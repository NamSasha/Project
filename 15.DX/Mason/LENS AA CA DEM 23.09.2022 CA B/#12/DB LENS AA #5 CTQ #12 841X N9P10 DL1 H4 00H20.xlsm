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8800" windowHeight="12225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36" i="1" l="1"/>
  <c r="V39" i="1" l="1"/>
  <c r="V40" i="1"/>
  <c r="M38" i="1"/>
  <c r="N39" i="1"/>
  <c r="V37" i="1"/>
  <c r="U40" i="1" l="1"/>
  <c r="L41" i="1"/>
  <c r="B41" i="1"/>
  <c r="L40" i="1"/>
  <c r="I55" i="1" l="1"/>
  <c r="I56" i="1"/>
  <c r="I57" i="1"/>
  <c r="I58" i="1"/>
  <c r="I59" i="1"/>
  <c r="I60" i="1"/>
  <c r="I61" i="1"/>
  <c r="I62" i="1"/>
  <c r="I63" i="1"/>
  <c r="I64" i="1"/>
  <c r="I65" i="1"/>
  <c r="I54" i="1"/>
  <c r="D35" i="1" l="1"/>
  <c r="L55" i="1" s="1"/>
  <c r="D36" i="1"/>
  <c r="L56" i="1" s="1"/>
  <c r="D37" i="1"/>
  <c r="L57" i="1" s="1"/>
  <c r="D38" i="1"/>
  <c r="L58" i="1" s="1"/>
  <c r="D39" i="1"/>
  <c r="L59" i="1" s="1"/>
  <c r="D40" i="1"/>
  <c r="L60" i="1" s="1"/>
  <c r="D41" i="1"/>
  <c r="L61" i="1" s="1"/>
  <c r="D42" i="1"/>
  <c r="L62" i="1" s="1"/>
  <c r="D43" i="1"/>
  <c r="L63" i="1" s="1"/>
  <c r="D44" i="1"/>
  <c r="L64" i="1" s="1"/>
  <c r="D45" i="1"/>
  <c r="L65" i="1" s="1"/>
  <c r="W35" i="1"/>
  <c r="Q55" i="1" s="1"/>
  <c r="W36" i="1"/>
  <c r="Q56" i="1" s="1"/>
  <c r="W37" i="1"/>
  <c r="Q57" i="1" s="1"/>
  <c r="W38" i="1"/>
  <c r="Q58" i="1" s="1"/>
  <c r="W39" i="1"/>
  <c r="Q59" i="1" s="1"/>
  <c r="W40" i="1"/>
  <c r="Q60" i="1" s="1"/>
  <c r="W41" i="1"/>
  <c r="Q61" i="1" s="1"/>
  <c r="W42" i="1"/>
  <c r="Q62" i="1" s="1"/>
  <c r="W43" i="1"/>
  <c r="Q63" i="1" s="1"/>
  <c r="W44" i="1"/>
  <c r="Q64" i="1" s="1"/>
  <c r="W45" i="1"/>
  <c r="Q65" i="1" s="1"/>
  <c r="W34" i="1"/>
  <c r="Q54" i="1" s="1"/>
  <c r="V35" i="1" l="1"/>
  <c r="P55" i="1" s="1"/>
  <c r="V36" i="1"/>
  <c r="P56" i="1" s="1"/>
  <c r="P57" i="1"/>
  <c r="V38" i="1"/>
  <c r="P58" i="1" s="1"/>
  <c r="P59" i="1"/>
  <c r="P60" i="1"/>
  <c r="V41" i="1"/>
  <c r="P61" i="1" s="1"/>
  <c r="V42" i="1"/>
  <c r="P62" i="1" s="1"/>
  <c r="V43" i="1"/>
  <c r="P63" i="1" s="1"/>
  <c r="V44" i="1"/>
  <c r="P64" i="1" s="1"/>
  <c r="V45" i="1"/>
  <c r="P65" i="1" s="1"/>
  <c r="V34" i="1"/>
  <c r="P54" i="1" s="1"/>
  <c r="C35" i="1"/>
  <c r="K55" i="1" s="1"/>
  <c r="C36" i="1"/>
  <c r="K56" i="1" s="1"/>
  <c r="C37" i="1"/>
  <c r="K57" i="1" s="1"/>
  <c r="C38" i="1"/>
  <c r="K58" i="1" s="1"/>
  <c r="C39" i="1"/>
  <c r="K59" i="1" s="1"/>
  <c r="C40" i="1"/>
  <c r="K60" i="1" s="1"/>
  <c r="C41" i="1"/>
  <c r="K61" i="1" s="1"/>
  <c r="C42" i="1"/>
  <c r="K62" i="1" s="1"/>
  <c r="C43" i="1"/>
  <c r="K63" i="1" s="1"/>
  <c r="C44" i="1"/>
  <c r="K64" i="1" s="1"/>
  <c r="C45" i="1"/>
  <c r="K65" i="1" s="1"/>
  <c r="C34" i="1"/>
  <c r="K54" i="1" s="1"/>
  <c r="D34" i="1" l="1"/>
  <c r="L54" i="1" s="1"/>
  <c r="N35" i="1" l="1"/>
  <c r="O55" i="1" s="1"/>
  <c r="O56" i="1"/>
  <c r="N37" i="1"/>
  <c r="O57" i="1" s="1"/>
  <c r="N38" i="1"/>
  <c r="O58" i="1" s="1"/>
  <c r="O59" i="1"/>
  <c r="N40" i="1"/>
  <c r="O60" i="1" s="1"/>
  <c r="N41" i="1"/>
  <c r="O61" i="1" s="1"/>
  <c r="N42" i="1"/>
  <c r="O62" i="1" s="1"/>
  <c r="N43" i="1"/>
  <c r="O63" i="1" s="1"/>
  <c r="N44" i="1"/>
  <c r="O64" i="1" s="1"/>
  <c r="N45" i="1"/>
  <c r="O65" i="1" s="1"/>
  <c r="N34" i="1"/>
  <c r="O54" i="1" s="1"/>
  <c r="M35" i="1"/>
  <c r="N55" i="1" s="1"/>
  <c r="M36" i="1"/>
  <c r="N56" i="1" s="1"/>
  <c r="M37" i="1"/>
  <c r="N57" i="1" s="1"/>
  <c r="N58" i="1"/>
  <c r="M39" i="1"/>
  <c r="N59" i="1" s="1"/>
  <c r="M40" i="1"/>
  <c r="N60" i="1" s="1"/>
  <c r="M41" i="1"/>
  <c r="N61" i="1" s="1"/>
  <c r="M42" i="1"/>
  <c r="N62" i="1" s="1"/>
  <c r="M43" i="1"/>
  <c r="N63" i="1" s="1"/>
  <c r="M44" i="1"/>
  <c r="N64" i="1" s="1"/>
  <c r="M45" i="1"/>
  <c r="N65" i="1" s="1"/>
  <c r="M34" i="1"/>
  <c r="N54" i="1" l="1"/>
  <c r="O34" i="1"/>
  <c r="K35" i="1"/>
  <c r="K36" i="1"/>
  <c r="C4" i="8" l="1"/>
  <c r="C5" i="8"/>
  <c r="C6" i="8"/>
  <c r="C3" i="8"/>
  <c r="A35" i="1" l="1"/>
  <c r="A36" i="1"/>
  <c r="A37" i="1"/>
  <c r="A38" i="1"/>
  <c r="A39" i="1"/>
  <c r="A40" i="1"/>
  <c r="A41" i="1"/>
  <c r="A42" i="1"/>
  <c r="A43" i="1"/>
  <c r="A44" i="1"/>
  <c r="A45" i="1"/>
  <c r="A34" i="1"/>
  <c r="K37" i="1"/>
  <c r="K38" i="1"/>
  <c r="K39" i="1"/>
  <c r="K40" i="1"/>
  <c r="K41" i="1"/>
  <c r="K42" i="1"/>
  <c r="K43" i="1"/>
  <c r="K44" i="1"/>
  <c r="K45" i="1"/>
  <c r="L36" i="1"/>
  <c r="L37" i="1"/>
  <c r="L38" i="1"/>
  <c r="L39" i="1"/>
  <c r="L42" i="1"/>
  <c r="L43" i="1"/>
  <c r="L44" i="1"/>
  <c r="L45" i="1"/>
  <c r="B38" i="1"/>
  <c r="B35" i="1"/>
  <c r="K34" i="1" l="1"/>
  <c r="L35" i="1"/>
  <c r="C102" i="7" l="1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U45" i="1"/>
  <c r="C66" i="7"/>
  <c r="D54" i="7" s="1"/>
  <c r="C50" i="7"/>
  <c r="D42" i="7" s="1"/>
  <c r="B45" i="1"/>
  <c r="C97" i="7"/>
  <c r="C81" i="7"/>
  <c r="U44" i="1"/>
  <c r="C65" i="7"/>
  <c r="D53" i="7" s="1"/>
  <c r="C49" i="7"/>
  <c r="D41" i="7" s="1"/>
  <c r="C26" i="7"/>
  <c r="B44" i="1"/>
  <c r="C96" i="7"/>
  <c r="C80" i="7"/>
  <c r="U43" i="1"/>
  <c r="P43" i="1"/>
  <c r="Q43" i="1" s="1"/>
  <c r="C48" i="7"/>
  <c r="D40" i="7" s="1"/>
  <c r="C25" i="7"/>
  <c r="B43" i="1"/>
  <c r="C95" i="7"/>
  <c r="C79" i="7"/>
  <c r="U42" i="1"/>
  <c r="C63" i="7"/>
  <c r="C47" i="7"/>
  <c r="C24" i="7"/>
  <c r="B42" i="1"/>
  <c r="C94" i="7"/>
  <c r="C78" i="7"/>
  <c r="U41" i="1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B40" i="1"/>
  <c r="C92" i="7"/>
  <c r="C76" i="7"/>
  <c r="U39" i="1"/>
  <c r="C60" i="7"/>
  <c r="D48" i="7" s="1"/>
  <c r="C44" i="7"/>
  <c r="D36" i="7" s="1"/>
  <c r="C21" i="7"/>
  <c r="B39" i="1"/>
  <c r="C91" i="7"/>
  <c r="C75" i="7"/>
  <c r="U38" i="1"/>
  <c r="C59" i="7"/>
  <c r="C43" i="7"/>
  <c r="C20" i="7"/>
  <c r="C90" i="7"/>
  <c r="C74" i="7"/>
  <c r="U37" i="1"/>
  <c r="C42" i="7"/>
  <c r="D34" i="7" s="1"/>
  <c r="C19" i="7"/>
  <c r="B37" i="1"/>
  <c r="C89" i="7"/>
  <c r="C73" i="7"/>
  <c r="U36" i="1"/>
  <c r="C57" i="7"/>
  <c r="D45" i="7" s="1"/>
  <c r="C41" i="7"/>
  <c r="D33" i="7" s="1"/>
  <c r="C18" i="7"/>
  <c r="B36" i="1"/>
  <c r="C88" i="7"/>
  <c r="C72" i="7"/>
  <c r="U35" i="1"/>
  <c r="C56" i="7"/>
  <c r="D44" i="7" s="1"/>
  <c r="C40" i="7"/>
  <c r="D32" i="7" s="1"/>
  <c r="C87" i="7"/>
  <c r="U34" i="1"/>
  <c r="C55" i="7"/>
  <c r="L34" i="1"/>
  <c r="C16" i="7"/>
  <c r="B34" i="1"/>
  <c r="D32" i="1"/>
  <c r="N5" i="1"/>
  <c r="M5" i="1"/>
  <c r="L5" i="1"/>
  <c r="K5" i="1"/>
  <c r="D5" i="1"/>
  <c r="C5" i="1"/>
  <c r="B5" i="1"/>
  <c r="A5" i="1"/>
  <c r="E37" i="1" l="1"/>
  <c r="M57" i="1" s="1"/>
  <c r="E35" i="1"/>
  <c r="M55" i="1" s="1"/>
  <c r="E36" i="1"/>
  <c r="M56" i="1" s="1"/>
  <c r="E44" i="1"/>
  <c r="M64" i="1" s="1"/>
  <c r="E45" i="1"/>
  <c r="M65" i="1" s="1"/>
  <c r="E39" i="1"/>
  <c r="M59" i="1" s="1"/>
  <c r="E40" i="1"/>
  <c r="M60" i="1" s="1"/>
  <c r="E41" i="1"/>
  <c r="M61" i="1" s="1"/>
  <c r="E42" i="1"/>
  <c r="M62" i="1" s="1"/>
  <c r="B51" i="7"/>
  <c r="B67" i="7"/>
  <c r="X34" i="1"/>
  <c r="Z34" i="1" s="1"/>
  <c r="D17" i="7"/>
  <c r="D69" i="7"/>
  <c r="D64" i="7"/>
  <c r="F34" i="1"/>
  <c r="I34" i="1" s="1"/>
  <c r="D68" i="7"/>
  <c r="R34" i="1"/>
  <c r="P37" i="1"/>
  <c r="Q37" i="1" s="1"/>
  <c r="F43" i="1"/>
  <c r="I43" i="1" s="1"/>
  <c r="G34" i="1"/>
  <c r="G40" i="1"/>
  <c r="G43" i="1"/>
  <c r="F37" i="1"/>
  <c r="I37" i="1" s="1"/>
  <c r="F40" i="1"/>
  <c r="I40" i="1" s="1"/>
  <c r="E43" i="1"/>
  <c r="M63" i="1" s="1"/>
  <c r="D67" i="7"/>
  <c r="X37" i="1"/>
  <c r="Z37" i="1" s="1"/>
  <c r="Y37" i="1"/>
  <c r="AA37" i="1" s="1"/>
  <c r="C71" i="7"/>
  <c r="D63" i="7" s="1"/>
  <c r="D65" i="7"/>
  <c r="Y34" i="1"/>
  <c r="AA34" i="1" s="1"/>
  <c r="Y43" i="1"/>
  <c r="AA43" i="1" s="1"/>
  <c r="O40" i="1"/>
  <c r="R40" i="1" s="1"/>
  <c r="P34" i="1"/>
  <c r="Q34" i="1" s="1"/>
  <c r="D70" i="7"/>
  <c r="D66" i="7"/>
  <c r="Y40" i="1"/>
  <c r="AA40" i="1" s="1"/>
  <c r="X43" i="1"/>
  <c r="Z43" i="1" s="1"/>
  <c r="X40" i="1"/>
  <c r="Z40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P40" i="1"/>
  <c r="Q40" i="1" s="1"/>
  <c r="C39" i="7"/>
  <c r="C64" i="7"/>
  <c r="D52" i="7" s="1"/>
  <c r="D62" i="7" s="1"/>
  <c r="O37" i="1"/>
  <c r="R37" i="1" s="1"/>
  <c r="C58" i="7"/>
  <c r="D46" i="7" s="1"/>
  <c r="O43" i="1"/>
  <c r="R43" i="1" s="1"/>
  <c r="D16" i="7"/>
  <c r="D18" i="7"/>
  <c r="E34" i="1"/>
  <c r="M54" i="1" s="1"/>
  <c r="C17" i="7"/>
  <c r="E38" i="1"/>
  <c r="M58" i="1" s="1"/>
  <c r="G37" i="1"/>
  <c r="D22" i="7" l="1"/>
  <c r="H37" i="1"/>
  <c r="D21" i="7"/>
  <c r="H34" i="1"/>
  <c r="H40" i="1"/>
  <c r="H43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<sst xmlns="http://schemas.openxmlformats.org/spreadsheetml/2006/main" count="906" uniqueCount="563">
  <si>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</si>
  <si>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</si>
  <si>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</si>
  <si>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</si>
  <si>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</si>
  <si>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</si>
  <si>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</si>
  <si>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</si>
  <si>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</si>
  <si>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</si>
  <si>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</si>
  <si>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</si>
  <si>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</si>
  <si>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</si>
  <si>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</si>
  <si>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</si>
  <si>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</si>
  <si>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</si>
  <si>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</si>
  <si>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</si>
  <si>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</si>
  <si>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</si>
  <si>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</si>
  <si>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</si>
  <si>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</si>
  <si>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</si>
  <si>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</si>
  <si>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</si>
  <si>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</si>
  <si>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</si>
  <si>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</si>
  <si>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</si>
  <si>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</si>
  <si>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</si>
  <si>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</si>
  <si>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</si>
  <si>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</si>
  <si>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</si>
  <si>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</si>
  <si>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</si>
  <si>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</si>
  <si>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</si>
  <si>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</si>
  <si>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</si>
  <si>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</si>
  <si>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</si>
  <si>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</si>
  <si>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</si>
  <si>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</si>
  <si>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</si>
  <si>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</si>
  <si>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</si>
  <si>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</si>
  <si>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</si>
  <si>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</si>
  <si>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</si>
  <si>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</si>
  <si>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</si>
  <si>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</si>
  <si>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</si>
  <si>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</si>
  <si>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</si>
  <si>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</si>
  <si>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</si>
  <si>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</si>
  <si>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</si>
  <si>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</si>
  <si>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</si>
  <si>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</si>
  <si>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</si>
  <si>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</si>
  <si>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</si>
  <si>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</si>
  <si>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</si>
  <si>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</si>
  <si>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</si>
  <si>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</si>
  <si>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</si>
  <si>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</si>
  <si>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</si>
  <si>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</si>
  <si>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</si>
  <si>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</si>
  <si>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</si>
  <si>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</si>
  <si>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</si>
  <si>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</si>
  <si>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</si>
  <si>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</si>
  <si>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</si>
  <si>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</si>
  <si>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</si>
  <si>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</si>
  <si>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</si>
  <si>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</si>
  <si>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</si>
  <si>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</si>
  <si>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</si>
  <si>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</si>
  <si>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</si>
  <si>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</si>
  <si>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</si>
  <si>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</si>
  <si>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</si>
  <si>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</si>
  <si>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</si>
  <si>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</si>
  <si>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</si>
  <si>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</si>
  <si>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</si>
  <si>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</si>
  <si>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</si>
  <si>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8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</si>
  <si>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</si>
  <si>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</si>
  <si>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</si>
  <si>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</si>
  <si>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</si>
  <si>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</si>
  <si>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</si>
  <si>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</si>
  <si>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</si>
  <si>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</si>
  <si>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</si>
  <si>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8" type="noConversion"/>
  </si>
  <si>
    <t>AG</t>
    <phoneticPr fontId="8" type="noConversion"/>
  </si>
  <si>
    <t>MS</t>
    <phoneticPr fontId="8" type="noConversion"/>
  </si>
  <si>
    <t>Config</t>
    <phoneticPr fontId="8" type="noConversion"/>
  </si>
  <si>
    <t>D50_ON_OC.csv</t>
    <phoneticPr fontId="8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</si>
  <si>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</si>
  <si>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</si>
  <si>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</si>
  <si>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</si>
  <si>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</si>
  <si>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</si>
  <si>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</si>
  <si>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</si>
  <si>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</si>
  <si>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</si>
  <si>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</si>
  <si>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</si>
  <si>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</si>
  <si>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</si>
  <si>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</si>
  <si>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</si>
  <si>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</si>
  <si>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</si>
  <si>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</si>
  <si>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</si>
  <si>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NAME</t>
  </si>
  <si>
    <t>MS</t>
  </si>
  <si>
    <t>MES</t>
  </si>
  <si>
    <t>X =&gt; MS
Z =&gt; AG</t>
  </si>
  <si>
    <t>14/07/2022</t>
  </si>
  <si>
    <t>Thay đổi spec OC theo ERS</t>
  </si>
  <si>
    <t>AVG Infu Peak</t>
  </si>
  <si>
    <t>OOS</t>
  </si>
  <si>
    <t>Inf.Margin</t>
  </si>
  <si>
    <t>AVG</t>
  </si>
  <si>
    <t>OOC</t>
  </si>
  <si>
    <t>`</t>
    <phoneticPr fontId="8" type="noConversion"/>
  </si>
  <si>
    <t>OC</t>
    <phoneticPr fontId="7" type="noConversion"/>
  </si>
  <si>
    <t>±28</t>
    <phoneticPr fontId="7" type="noConversion"/>
  </si>
  <si>
    <t>±12</t>
  </si>
  <si>
    <t>±22.5</t>
  </si>
  <si>
    <t>AVG OOC</t>
  </si>
  <si>
    <t>±10.8</t>
  </si>
  <si>
    <t>Inf.Margin</t>
    <phoneticPr fontId="8" type="noConversion"/>
  </si>
  <si>
    <t>OCX_shift</t>
    <phoneticPr fontId="8" type="noConversion"/>
  </si>
  <si>
    <t>OCY_shift</t>
    <phoneticPr fontId="8" type="noConversion"/>
  </si>
  <si>
    <t>MS</t>
    <phoneticPr fontId="8" type="noConversion"/>
  </si>
  <si>
    <t>AG</t>
    <phoneticPr fontId="8" type="noConversion"/>
  </si>
  <si>
    <t>AS</t>
    <phoneticPr fontId="8" type="noConversion"/>
  </si>
  <si>
    <t>D:\EVMS\TP\LOG\VSY841XN9P10_2022092311</t>
    <phoneticPr fontId="8" type="noConversion"/>
  </si>
  <si>
    <t>GlobalTime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</si>
  <si>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</si>
  <si>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</si>
  <si>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</si>
  <si>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</si>
  <si>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</si>
  <si>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</si>
  <si>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</si>
  <si>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</si>
  <si>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</si>
  <si>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</si>
  <si>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</si>
  <si>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</si>
  <si>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</si>
  <si>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</si>
  <si>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</si>
  <si>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</si>
  <si>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</si>
  <si>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</si>
  <si>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</si>
  <si>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</si>
  <si>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</si>
  <si>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</si>
  <si>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</si>
  <si>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</si>
  <si>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</si>
  <si>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</si>
  <si>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</si>
  <si>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</si>
  <si>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</si>
  <si>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</si>
  <si>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</si>
  <si>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</si>
  <si>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</si>
  <si>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</si>
  <si>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</si>
  <si>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T220923111537195VCMLEBC050</t>
  </si>
  <si>
    <t>'2022-09-23 11:15:46:138</t>
  </si>
  <si>
    <t>VCMLEBC050A</t>
  </si>
  <si>
    <t>DB_C1001</t>
  </si>
  <si>
    <t>210615ADOE</t>
  </si>
  <si>
    <t>R13A_OC_MFG_C10_21091603_b1779c9</t>
  </si>
  <si>
    <t>VSY841XN9P10</t>
  </si>
  <si>
    <t>22cc65170339</t>
  </si>
  <si>
    <t>0x52801362a6203702</t>
  </si>
  <si>
    <t>MF9C3549A3C6B2B6B035006112</t>
  </si>
  <si>
    <t>MF5C3445A8UJ14A7A641</t>
  </si>
  <si>
    <t>DNA22253112350H12A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</si>
  <si>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</si>
  <si>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</si>
  <si>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</si>
  <si>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</si>
  <si>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</si>
  <si>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</si>
  <si>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T220923111711800VCMLEBC050</t>
  </si>
  <si>
    <t>'2022-09-23 11:17:20:668</t>
  </si>
  <si>
    <t>22cc65170786</t>
  </si>
  <si>
    <t>0x52801362a6182503</t>
  </si>
  <si>
    <t>MF9C3549A6GNB1B6B638039142</t>
  </si>
  <si>
    <t>MF5C3445A8N014A7A634</t>
  </si>
  <si>
    <t>DNA22246113860L09A</t>
  </si>
  <si>
    <t>T220923111817861VCMLEBC050</t>
  </si>
  <si>
    <t>'2022-09-23 11:18:27:019</t>
  </si>
  <si>
    <t>22cc65170785</t>
  </si>
  <si>
    <t>0x528011629dc96f05</t>
  </si>
  <si>
    <t>MF9C3549A6JCB1B6C436002109</t>
  </si>
  <si>
    <t>MF5C3445A8B714A7A641</t>
  </si>
  <si>
    <t>DNA22253114040C04A</t>
  </si>
  <si>
    <t>FPDC_Coefficient_01_INFD_normal</t>
  </si>
  <si>
    <t>FPDC_Coefficient_02_INFD_normal</t>
  </si>
  <si>
    <t>FPDC_Coefficient_03_INFD_normal</t>
  </si>
  <si>
    <t>FPDC_Coefficient_04_INFD_normal</t>
  </si>
  <si>
    <t>FPDC_Coefficient_05_INFD_normal</t>
  </si>
  <si>
    <t>FPDC_Coefficient_06_INFD_normal</t>
  </si>
  <si>
    <t>FPDC_Coefficient_07_INFD_normal</t>
  </si>
  <si>
    <t>FPDC_Coefficient_08_INFD_normal</t>
  </si>
  <si>
    <t>FPDC_Coefficient_09_INFD_normal</t>
  </si>
  <si>
    <t>FPDC_Coefficient_10_INFD_normal</t>
  </si>
  <si>
    <t>FPDC_Coefficient_11_INFD_normal</t>
  </si>
  <si>
    <t>FPDC_Coefficient_12_INFD_normal</t>
  </si>
  <si>
    <t>FPDC_Coefficient_13_INFD_normal</t>
  </si>
  <si>
    <t>FPDC_Coefficient_14_INFD_normal</t>
  </si>
  <si>
    <t>FPDC_Coefficient_15_INFD_normal</t>
  </si>
  <si>
    <t>FPDC_Coefficient_16_INFD_normal</t>
  </si>
  <si>
    <t>FPDC_Coefficient_17_INFD_normal</t>
  </si>
  <si>
    <t>FPDC_Coefficient_18_INFD_normal</t>
  </si>
  <si>
    <t>FPDC_Coefficient_19_INFD_normal</t>
  </si>
  <si>
    <t>FPDC_Coefficient_20_INFD_normal</t>
  </si>
  <si>
    <t>FPDC_Coefficient_Residual_ERR1_INFD_normal</t>
  </si>
  <si>
    <t>FPDC_Coefficient_Residual_ERR2_INFD_normal</t>
  </si>
  <si>
    <t>FPDC_Delta_01_INFD_normal</t>
  </si>
  <si>
    <t>FPDC_Delta_02_INFD_normal</t>
  </si>
  <si>
    <t>FPDC_Delta_03_INFD_normal</t>
  </si>
  <si>
    <t>FPDC_Delta_04_INFD_normal</t>
  </si>
  <si>
    <t>FPDC_Euclidean_INFD_normal</t>
  </si>
  <si>
    <t>deviceConfig_INFD_normal</t>
  </si>
  <si>
    <t>speedConfig_INFD_normal</t>
  </si>
  <si>
    <t>excute_time_INFD_normal</t>
  </si>
  <si>
    <t>FPDC_DLLVersion</t>
  </si>
  <si>
    <t>T220923111603969VCMLEBC050</t>
  </si>
  <si>
    <t>'2022-09-23 11:16:33:505</t>
  </si>
  <si>
    <t>R13A_IPQC_MFG_SFR_InfDn_C10_21090805_b1779c9</t>
  </si>
  <si>
    <t>D6x_Wide</t>
  </si>
  <si>
    <t>Normal</t>
  </si>
  <si>
    <t>T220923111738114VCMLEBC050</t>
  </si>
  <si>
    <t>'2022-09-23 11:18:06:396</t>
  </si>
  <si>
    <t>T220923111844506VCMLEBC050</t>
  </si>
  <si>
    <t>'2022-09-23 11:19:12:931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</si>
  <si>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</si>
  <si>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</si>
  <si>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</si>
  <si>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</si>
  <si>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</si>
  <si>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</si>
  <si>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</si>
  <si>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</si>
  <si>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</si>
  <si>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</si>
  <si>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</si>
  <si>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</si>
  <si>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</si>
  <si>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11:16:23:477</t>
  </si>
  <si>
    <t>'2022-09-23 11:17:56:371</t>
  </si>
  <si>
    <t>'2022-09-23 11:19:02:905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</si>
  <si>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</si>
  <si>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</si>
  <si>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</si>
  <si>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</si>
  <si>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</si>
  <si>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</si>
  <si>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</si>
  <si>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</si>
  <si>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</si>
  <si>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</si>
  <si>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</si>
  <si>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</si>
  <si>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</si>
  <si>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</si>
  <si>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</si>
  <si>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</si>
  <si>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</si>
  <si>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</si>
  <si>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</si>
  <si>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</si>
  <si>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</si>
  <si>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</si>
  <si>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</si>
  <si>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</si>
  <si>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</si>
  <si>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</si>
  <si>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</si>
  <si>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</si>
  <si>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</si>
  <si>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</si>
  <si>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</si>
  <si>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</si>
  <si>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</si>
  <si>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</si>
  <si>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</si>
  <si>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</si>
  <si>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</si>
  <si>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</si>
  <si>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</si>
  <si>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</si>
  <si>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</si>
  <si>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</si>
  <si>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</si>
  <si>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</si>
  <si>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</si>
  <si>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</si>
  <si>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</si>
  <si>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</si>
  <si>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</si>
  <si>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</si>
  <si>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</si>
  <si>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</si>
  <si>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</si>
  <si>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</si>
  <si>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</si>
  <si>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</si>
  <si>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</si>
  <si>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</si>
  <si>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</si>
  <si>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</si>
  <si>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</si>
  <si>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</si>
  <si>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</si>
  <si>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</si>
  <si>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</si>
  <si>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</si>
  <si>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</si>
  <si>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</si>
  <si>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</si>
  <si>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</si>
  <si>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</si>
  <si>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</si>
  <si>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</si>
  <si>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</si>
  <si>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</si>
  <si>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</si>
  <si>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</si>
  <si>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</si>
  <si>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</si>
  <si>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</si>
  <si>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</si>
  <si>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</si>
  <si>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</si>
  <si>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</si>
  <si>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</si>
  <si>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</si>
  <si>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</si>
  <si>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</si>
  <si>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</si>
  <si>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</si>
  <si>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</si>
  <si>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</si>
  <si>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</si>
  <si>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</si>
  <si>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</si>
  <si>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</si>
  <si>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</si>
  <si>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</si>
  <si>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</si>
  <si>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</si>
  <si>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</si>
  <si>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</si>
  <si>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</si>
  <si>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</si>
  <si>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</si>
  <si>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</si>
  <si>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</si>
  <si>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</si>
  <si>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</si>
  <si>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</si>
  <si>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</si>
  <si>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</si>
  <si>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</si>
  <si>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</si>
  <si>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</si>
  <si>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</si>
  <si>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</si>
  <si>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</si>
  <si>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</si>
  <si>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</si>
  <si>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</si>
  <si>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</si>
  <si>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</si>
  <si>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</si>
  <si>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</si>
  <si>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</si>
  <si>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</si>
  <si>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</si>
  <si>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</si>
  <si>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</si>
  <si>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</si>
  <si>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</si>
  <si>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</si>
  <si>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</si>
  <si>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</si>
  <si>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</si>
  <si>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</si>
  <si>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</si>
  <si>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</si>
  <si>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</si>
  <si>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</si>
  <si>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</si>
  <si>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</si>
  <si>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</si>
  <si>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</si>
  <si>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</si>
  <si>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</si>
  <si>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</si>
  <si>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</si>
  <si>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</si>
  <si>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</si>
  <si>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</si>
  <si>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</si>
  <si>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</si>
  <si>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</si>
  <si>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</si>
  <si>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</si>
  <si>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</si>
  <si>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</si>
  <si>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</si>
  <si>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</si>
  <si>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</si>
  <si>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</si>
  <si>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</si>
  <si>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</si>
  <si>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</si>
  <si>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</si>
  <si>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</si>
  <si>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</si>
  <si>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</si>
  <si>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</si>
  <si>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</si>
  <si>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</si>
  <si>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</si>
  <si>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</si>
  <si>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</si>
  <si>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</si>
  <si>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</si>
  <si>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</si>
  <si>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</si>
  <si>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</si>
  <si>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</si>
  <si>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</si>
  <si>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</si>
  <si>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</si>
  <si>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</si>
  <si>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</si>
  <si>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</si>
  <si>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</si>
  <si>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</si>
  <si>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</si>
  <si>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</si>
  <si>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</si>
  <si>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</si>
  <si>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</si>
  <si>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</si>
  <si>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</si>
  <si>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</si>
  <si>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</si>
  <si>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</si>
  <si>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</si>
  <si>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</si>
  <si>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</si>
  <si>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</si>
  <si>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</si>
  <si>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</si>
  <si>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</si>
  <si>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</si>
  <si>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</si>
  <si>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</si>
  <si>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</si>
  <si>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</si>
  <si>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</si>
  <si>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</si>
  <si>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</si>
  <si>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</si>
  <si>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</si>
  <si>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</si>
  <si>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</si>
  <si>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</si>
  <si>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</si>
  <si>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</si>
  <si>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</si>
  <si>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</si>
  <si>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</si>
  <si>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</si>
  <si>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</si>
  <si>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</si>
  <si>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</si>
  <si>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</si>
  <si>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</si>
  <si>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</si>
  <si>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</si>
  <si>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</si>
  <si>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</si>
  <si>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</si>
  <si>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</si>
  <si>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</si>
  <si>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</si>
  <si>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</si>
  <si>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</si>
  <si>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</si>
  <si>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</si>
  <si>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</si>
  <si>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</si>
  <si>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</si>
  <si>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</si>
  <si>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</si>
  <si>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</si>
  <si>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</si>
  <si>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</si>
  <si>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</si>
  <si>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</si>
  <si>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</si>
  <si>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</si>
  <si>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</si>
  <si>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vcm_versionERS</t>
  </si>
  <si>
    <t>T220923111549142VCMLEBC050</t>
  </si>
  <si>
    <t>'2022-09-23 11:16:01:691</t>
  </si>
  <si>
    <t>R13A_IPQC_MFG_Laser_C10_21090805_b1779c9</t>
  </si>
  <si>
    <t>v9p4</t>
  </si>
  <si>
    <t>T220923111723278VCMLEBC050</t>
  </si>
  <si>
    <t>'2022-09-23 11:17:35:814</t>
  </si>
  <si>
    <t>T220923111829664VCMLEBC050</t>
  </si>
  <si>
    <t>'2022-09-23 11:18:42:202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</si>
</sst>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5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28"/>
      <color rgb="FFFF0000"/>
      <name val="Arial"/>
      <family val="2"/>
    </font>
    <font>
      <b/>
      <sz val="18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0" fontId="0" fillId="0" borderId="0"/>
    <xf numFmtId="0" fontId="7" fillId="0" borderId="0">
      <alignment vertical="center"/>
    </xf>
    <xf numFmtId="0" fontId="5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</cellStyleXfs>
  <cellXfs count="102">
    <xf numFmtId="0" fontId="0" fillId="0" borderId="0" xfId="0"/>
    <xf numFmtId="0" fontId="7" fillId="6" borderId="0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  <xf numFmtId="0" fontId="7" fillId="2" borderId="1" xfId="1" applyNumberFormat="1" applyFill="1" applyBorder="1" applyAlignment="1">
      <alignment horizontal="center" vertical="center"/>
    </xf>
    <xf numFmtId="0" fontId="7" fillId="2" borderId="0" xfId="1" applyNumberFormat="1" applyFill="1" applyBorder="1" applyAlignment="1">
      <alignment horizontal="center" vertical="center"/>
    </xf>
    <xf numFmtId="0" fontId="7" fillId="6" borderId="5" xfId="1" applyNumberFormat="1" applyFill="1" applyBorder="1" applyAlignment="1">
      <alignment horizontal="center" vertical="center"/>
    </xf>
    <xf numFmtId="0" fontId="7" fillId="5" borderId="14" xfId="1" applyNumberFormat="1" applyFill="1" applyBorder="1" applyAlignment="1">
      <alignment horizontal="center" vertical="center"/>
    </xf>
    <xf numFmtId="0" fontId="6" fillId="6" borderId="0" xfId="1" applyNumberFormat="1" applyFont="1" applyFill="1" applyBorder="1" applyAlignment="1">
      <alignment horizontal="center" vertical="center"/>
    </xf>
    <xf numFmtId="0" fontId="7" fillId="6" borderId="6" xfId="1" applyNumberFormat="1" applyFill="1" applyBorder="1" applyAlignment="1">
      <alignment horizontal="center" vertical="center"/>
    </xf>
    <xf numFmtId="0" fontId="7" fillId="5" borderId="15" xfId="1" applyNumberFormat="1" applyFill="1" applyBorder="1" applyAlignment="1">
      <alignment horizontal="center" vertical="center"/>
    </xf>
    <xf numFmtId="0" fontId="7" fillId="6" borderId="7" xfId="1" applyNumberFormat="1" applyFill="1" applyBorder="1" applyAlignment="1">
      <alignment horizontal="center" vertical="center"/>
    </xf>
    <xf numFmtId="0" fontId="7" fillId="5" borderId="16" xfId="1" applyNumberFormat="1" applyFill="1" applyBorder="1" applyAlignment="1">
      <alignment horizontal="center" vertical="center"/>
    </xf>
    <xf numFmtId="0" fontId="7" fillId="6" borderId="17" xfId="1" applyNumberFormat="1" applyFill="1" applyBorder="1" applyAlignment="1">
      <alignment horizontal="center" vertical="center"/>
    </xf>
    <xf numFmtId="0" fontId="7" fillId="6" borderId="18" xfId="1" applyNumberFormat="1" applyFill="1" applyBorder="1" applyAlignment="1">
      <alignment horizontal="center" vertical="center"/>
    </xf>
    <xf numFmtId="0" fontId="7" fillId="6" borderId="11" xfId="1" applyNumberFormat="1" applyFill="1" applyBorder="1" applyAlignment="1">
      <alignment horizontal="center" vertical="center"/>
    </xf>
    <xf numFmtId="0" fontId="7" fillId="6" borderId="12" xfId="1" applyNumberFormat="1" applyFill="1" applyBorder="1" applyAlignment="1">
      <alignment horizontal="center" vertical="center"/>
    </xf>
    <xf numFmtId="0" fontId="7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5" fillId="0" borderId="0" xfId="2">
      <alignment vertical="center"/>
    </xf>
    <xf numFmtId="0" fontId="9" fillId="8" borderId="1" xfId="2" applyFont="1" applyFill="1" applyBorder="1" applyAlignment="1">
      <alignment horizontal="center" vertical="center" wrapText="1"/>
    </xf>
    <xf numFmtId="0" fontId="10" fillId="0" borderId="1" xfId="2" applyFont="1" applyBorder="1">
      <alignment vertical="center"/>
    </xf>
    <xf numFmtId="0" fontId="5" fillId="0" borderId="0" xfId="2" applyAlignment="1">
      <alignment vertical="center"/>
    </xf>
    <xf numFmtId="0" fontId="9" fillId="8" borderId="1" xfId="2" applyFont="1" applyFill="1" applyBorder="1" applyAlignment="1">
      <alignment horizontal="center" vertical="center"/>
    </xf>
    <xf numFmtId="0" fontId="10" fillId="9" borderId="1" xfId="2" applyFont="1" applyFill="1" applyBorder="1">
      <alignment vertical="center"/>
    </xf>
    <xf numFmtId="0" fontId="11" fillId="9" borderId="1" xfId="2" applyFont="1" applyFill="1" applyBorder="1">
      <alignment vertical="center"/>
    </xf>
    <xf numFmtId="0" fontId="12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4" fillId="0" borderId="0" xfId="0" applyFont="1" applyAlignment="1">
      <alignment horizontal="center" vertical="center" wrapText="1"/>
    </xf>
    <xf numFmtId="0" fontId="14" fillId="0" borderId="1" xfId="0" applyFont="1" applyBorder="1" applyAlignment="1">
      <alignment horizontal="center" vertical="center" wrapText="1"/>
    </xf>
    <xf numFmtId="0" fontId="17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2" borderId="1" xfId="0" applyFont="1" applyFill="1" applyBorder="1" applyAlignment="1">
      <alignment horizontal="center" vertical="center"/>
    </xf>
    <xf numFmtId="0" fontId="14" fillId="0" borderId="0" xfId="0" applyFont="1" applyBorder="1" applyAlignment="1">
      <alignment vertical="center"/>
    </xf>
    <xf numFmtId="0" fontId="14" fillId="0" borderId="0" xfId="0" applyFont="1" applyBorder="1" applyAlignment="1">
      <alignment horizontal="center" vertical="center"/>
    </xf>
    <xf numFmtId="0" fontId="19" fillId="2" borderId="1" xfId="2" applyFont="1" applyFill="1" applyBorder="1" applyAlignment="1">
      <alignment horizontal="center" vertical="center"/>
    </xf>
    <xf numFmtId="0" fontId="18" fillId="0" borderId="1" xfId="2" applyFont="1" applyBorder="1" applyAlignment="1">
      <alignment horizontal="center" vertical="center"/>
    </xf>
    <xf numFmtId="0" fontId="0" fillId="0" borderId="1" xfId="0" applyBorder="1"/>
    <xf numFmtId="0" fontId="4" fillId="0" borderId="0" xfId="2" applyFont="1" applyAlignment="1">
      <alignment horizontal="center" vertical="center"/>
    </xf>
    <xf numFmtId="0" fontId="15" fillId="0" borderId="1" xfId="0" applyFont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5" fillId="3" borderId="1" xfId="0" applyFont="1" applyFill="1" applyBorder="1" applyAlignment="1">
      <alignment horizontal="center" vertical="center" wrapText="1"/>
    </xf>
    <xf numFmtId="0" fontId="15" fillId="5" borderId="1" xfId="0" applyFont="1" applyFill="1" applyBorder="1" applyAlignment="1">
      <alignment horizontal="center" vertical="center" wrapText="1"/>
    </xf>
    <xf numFmtId="176" fontId="14" fillId="0" borderId="1" xfId="0" applyNumberFormat="1" applyFont="1" applyFill="1" applyBorder="1" applyAlignment="1">
      <alignment horizontal="center" vertical="center"/>
    </xf>
    <xf numFmtId="0" fontId="20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20" fillId="2" borderId="1" xfId="0" applyFont="1" applyFill="1" applyBorder="1" applyAlignment="1" applyProtection="1">
      <alignment horizontal="center" vertical="center"/>
      <protection locked="0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0" borderId="1" xfId="0" applyBorder="1"/>
    <xf numFmtId="0" fontId="23" fillId="2" borderId="1" xfId="0" applyFont="1" applyFill="1" applyBorder="1" applyAlignment="1">
      <alignment horizontal="center" vertical="center"/>
    </xf>
    <xf numFmtId="0" fontId="2" fillId="0" borderId="0" xfId="2" applyFont="1">
      <alignment vertical="center"/>
    </xf>
    <xf numFmtId="0" fontId="20" fillId="6" borderId="1" xfId="0" applyFont="1" applyFill="1" applyBorder="1" applyAlignment="1" applyProtection="1">
      <alignment horizontal="center" vertical="center"/>
    </xf>
    <xf numFmtId="0" fontId="20" fillId="6" borderId="30" xfId="0" applyFont="1" applyFill="1" applyBorder="1" applyAlignment="1" applyProtection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21" fillId="2" borderId="30" xfId="0" applyFont="1" applyFill="1" applyBorder="1" applyAlignment="1" applyProtection="1">
      <alignment horizontal="center" vertical="center"/>
      <protection locked="0"/>
    </xf>
    <xf numFmtId="0" fontId="21" fillId="2" borderId="31" xfId="0" applyFont="1" applyFill="1" applyBorder="1" applyAlignment="1" applyProtection="1">
      <alignment horizontal="center" vertical="center"/>
      <protection locked="0"/>
    </xf>
    <xf numFmtId="0" fontId="21" fillId="2" borderId="32" xfId="0" applyFont="1" applyFill="1" applyBorder="1" applyAlignment="1" applyProtection="1">
      <alignment horizontal="center" vertical="center"/>
      <protection locked="0"/>
    </xf>
    <xf numFmtId="0" fontId="24" fillId="0" borderId="9" xfId="0" applyFont="1" applyBorder="1" applyAlignment="1">
      <alignment horizontal="center" vertical="center" wrapText="1"/>
    </xf>
    <xf numFmtId="0" fontId="24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5" fillId="0" borderId="0" xfId="0" applyFont="1" applyBorder="1" applyAlignment="1">
      <alignment horizontal="center" vertical="center"/>
    </xf>
    <xf numFmtId="0" fontId="15" fillId="7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76" fontId="16" fillId="0" borderId="1" xfId="0" applyNumberFormat="1" applyFont="1" applyBorder="1" applyAlignment="1">
      <alignment horizontal="center" vertical="center"/>
    </xf>
    <xf numFmtId="1" fontId="16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7" fillId="6" borderId="8" xfId="1" applyNumberFormat="1" applyFill="1" applyBorder="1" applyAlignment="1">
      <alignment horizontal="center" vertical="center"/>
    </xf>
    <xf numFmtId="0" fontId="7" fillId="6" borderId="9" xfId="1" applyNumberFormat="1" applyFill="1" applyBorder="1" applyAlignment="1">
      <alignment horizontal="center" vertical="center"/>
    </xf>
    <xf numFmtId="0" fontId="7" fillId="6" borderId="10" xfId="1" applyNumberFormat="1" applyFill="1" applyBorder="1" applyAlignment="1">
      <alignment horizontal="center" vertical="center"/>
    </xf>
    <xf numFmtId="0" fontId="7" fillId="6" borderId="2" xfId="1" applyNumberFormat="1" applyFill="1" applyBorder="1" applyAlignment="1">
      <alignment horizontal="center" vertical="center"/>
    </xf>
    <xf numFmtId="0" fontId="7" fillId="6" borderId="3" xfId="1" applyNumberFormat="1" applyFill="1" applyBorder="1" applyAlignment="1">
      <alignment horizontal="center" vertical="center"/>
    </xf>
    <xf numFmtId="0" fontId="7" fillId="6" borderId="4" xfId="1" applyNumberFormat="1" applyFill="1" applyBorder="1" applyAlignment="1">
      <alignment horizontal="center" vertical="center"/>
    </xf>
    <xf numFmtId="0" fontId="7" fillId="6" borderId="1" xfId="1" applyNumberFormat="1" applyFill="1" applyBorder="1" applyAlignment="1">
      <alignment horizontal="center" vertical="center"/>
    </xf>
  </cellXfs>
  <cellStyles count="5">
    <cellStyle name="Normal 2" xfId="2"/>
    <cellStyle name="Normal 2 2" xfId="4"/>
    <cellStyle name="표준" xfId="0" builtinId="0"/>
    <cellStyle name="표준 2" xfId="1"/>
    <cellStyle name="표준 2 2" xfId="3"/>
  </cellStyles>
  <dxfs count="29"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'Summary(3pcs)'!$M$34:$M$37</c:f>
              <c:numCache>
                <c:formatCode>0.000</c:formatCode>
                <c:ptCount val="4"/>
                <c:pt idx="0">
                  <c:v>4.530901858</c:v>
                </c:pt>
                <c:pt idx="1">
                  <c:v>-1.3467527029999999</c:v>
                </c:pt>
                <c:pt idx="2">
                  <c:v>-6.1250679844000002</c:v>
                </c:pt>
                <c:pt idx="3">
                  <c:v>0</c:v>
                </c:pt>
              </c:numCache>
            </c:numRef>
          </c:xVal>
          <c:yVal>
            <c:numRef>
              <c:f>'Summary(3pcs)'!$N$34:$N$37</c:f>
              <c:numCache>
                <c:formatCode>0.000</c:formatCode>
                <c:ptCount val="4"/>
                <c:pt idx="0">
                  <c:v>-0.62402495029999994</c:v>
                </c:pt>
                <c:pt idx="1">
                  <c:v>2.9607889803000003</c:v>
                </c:pt>
                <c:pt idx="2">
                  <c:v>7.2526507569999996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'Summary(3pcs)'!$O$34</c:f>
              <c:numCache>
                <c:formatCode>0.00</c:formatCode>
                <c:ptCount val="1"/>
                <c:pt idx="0">
                  <c:v>-0.98030627646666668</c:v>
                </c:pt>
              </c:numCache>
            </c:numRef>
          </c:xVal>
          <c:yVal>
            <c:numRef>
              <c:f>'Summary(3pcs)'!$P$34</c:f>
              <c:numCache>
                <c:formatCode>0.00</c:formatCode>
                <c:ptCount val="1"/>
                <c:pt idx="0">
                  <c:v>3.1964715956666665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477504"/>
        <c:axId val="47479040"/>
      </c:scatterChart>
      <c:valAx>
        <c:axId val="4747750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479040"/>
        <c:crosses val="autoZero"/>
        <c:crossBetween val="midCat"/>
        <c:majorUnit val="10"/>
      </c:valAx>
      <c:valAx>
        <c:axId val="4747904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7477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'Summary(3pcs)'!$M$38:$M$41</c:f>
              <c:numCache>
                <c:formatCode>0.000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'Summary(3pcs)'!$N$38:$N$41</c:f>
              <c:numCache>
                <c:formatCode>0.000</c:formatCode>
                <c:ptCount val="4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'Summary(3pcs)'!$O$37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'Summary(3pcs)'!$P$37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572672"/>
        <c:axId val="48582656"/>
      </c:scatterChart>
      <c:valAx>
        <c:axId val="4857267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582656"/>
        <c:crosses val="autoZero"/>
        <c:crossBetween val="midCat"/>
        <c:majorUnit val="10"/>
      </c:valAx>
      <c:valAx>
        <c:axId val="4858265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572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'Summary(3pcs)'!$M$42:$M$44</c:f>
              <c:numCache>
                <c:formatCode>0.000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xVal>
          <c:yVal>
            <c:numRef>
              <c:f>'Summary(3pcs)'!$N$42:$N$44</c:f>
              <c:numCache>
                <c:formatCode>0.000</c:formatCode>
                <c:ptCount val="3"/>
                <c:pt idx="0">
                  <c:v>4</c:v>
                </c:pt>
                <c:pt idx="1">
                  <c:v>4</c:v>
                </c:pt>
                <c:pt idx="2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'Summary(3pcs)'!$P$40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607232"/>
        <c:axId val="48608768"/>
      </c:scatterChart>
      <c:valAx>
        <c:axId val="4860723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608768"/>
        <c:crosses val="autoZero"/>
        <c:crossBetween val="midCat"/>
        <c:majorUnit val="10"/>
      </c:valAx>
      <c:valAx>
        <c:axId val="4860876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8607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'Summary(3pcs)'!$M$45:$M$45</c:f>
              <c:numCache>
                <c:formatCode>0.000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'Summary(3pcs)'!$N$45:$N$45</c:f>
              <c:numCache>
                <c:formatCode>0.000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'Summary(3pcs)'!$O$43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'Summary(3pcs)'!$P$43</c:f>
              <c:numCache>
                <c:formatCode>0.00</c:formatCode>
                <c:ptCount val="1"/>
                <c:pt idx="0">
                  <c:v>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124864"/>
        <c:axId val="49126400"/>
      </c:scatterChart>
      <c:valAx>
        <c:axId val="491248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126400"/>
        <c:crosses val="autoZero"/>
        <c:crossBetween val="midCat"/>
        <c:majorUnit val="10"/>
      </c:valAx>
      <c:valAx>
        <c:axId val="4912640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124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'Summary(3pcs)'!$C$34:$C$35</c:f>
              <c:numCache>
                <c:formatCode>0.000</c:formatCode>
                <c:ptCount val="2"/>
                <c:pt idx="0">
                  <c:v>92.632589953600004</c:v>
                </c:pt>
                <c:pt idx="1">
                  <c:v>90.1031090237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'Summary(3pcs)'!$F$34:$F$36</c:f>
              <c:numCache>
                <c:formatCode>0.000</c:formatCode>
                <c:ptCount val="3"/>
                <c:pt idx="0">
                  <c:v>89.589537005466653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28800"/>
        <c:axId val="49246976"/>
      </c:scatterChart>
      <c:valAx>
        <c:axId val="49228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246976"/>
        <c:crosses val="autoZero"/>
        <c:crossBetween val="midCat"/>
      </c:valAx>
      <c:valAx>
        <c:axId val="4924697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2288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'Summary(3pcs)'!$C$36:$C$38</c:f>
              <c:numCache>
                <c:formatCode>0.000</c:formatCode>
                <c:ptCount val="3"/>
                <c:pt idx="0">
                  <c:v>86.032912039099998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'Summary(3pcs)'!$F$37:$F$39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275648"/>
        <c:axId val="49277184"/>
      </c:scatterChart>
      <c:valAx>
        <c:axId val="49275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277184"/>
        <c:crosses val="autoZero"/>
        <c:crossBetween val="midCat"/>
      </c:valAx>
      <c:valAx>
        <c:axId val="4927718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275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'Summary(3pcs)'!$C$39:$C$41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'Summary(3pcs)'!$F$40:$F$42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659968"/>
        <c:axId val="60669952"/>
      </c:scatterChart>
      <c:valAx>
        <c:axId val="60659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669952"/>
        <c:crosses val="autoZero"/>
        <c:crossBetween val="midCat"/>
      </c:valAx>
      <c:valAx>
        <c:axId val="6066995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659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'Summary(3pcs)'!$C$42:$C$44</c:f>
              <c:numCache>
                <c:formatCode>0.000</c:formatCode>
                <c:ptCount val="3"/>
                <c:pt idx="0">
                  <c:v>6</c:v>
                </c:pt>
                <c:pt idx="1">
                  <c:v>6</c:v>
                </c:pt>
                <c:pt idx="2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'Summary(3pcs)'!$F$43:$F$45</c:f>
              <c:numCache>
                <c:formatCode>0.000</c:formatCode>
                <c:ptCount val="3"/>
                <c:pt idx="0">
                  <c:v>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763520"/>
        <c:axId val="60777600"/>
      </c:scatterChart>
      <c:valAx>
        <c:axId val="607635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777600"/>
        <c:crosses val="autoZero"/>
        <c:crossBetween val="midCat"/>
      </c:valAx>
      <c:valAx>
        <c:axId val="60777600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07635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'Summary(3pcs)'!$V$37:$V$39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'Summary(3pcs)'!$W$37:$W$39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'Summary(3pcs)'!$X$37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'Summary(3pcs)'!$Y$37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34944"/>
        <c:axId val="60836480"/>
      </c:scatterChart>
      <c:valAx>
        <c:axId val="608349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36480"/>
        <c:crosses val="autoZero"/>
        <c:crossBetween val="midCat"/>
        <c:majorUnit val="10"/>
      </c:valAx>
      <c:valAx>
        <c:axId val="6083648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34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'Summary(3pcs)'!$V$40:$V$42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'Summary(3pcs)'!$W$40:$W$42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'Summary(3pcs)'!$X$40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'Summary(3pcs)'!$Y$40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873344"/>
        <c:axId val="60887424"/>
      </c:scatterChart>
      <c:valAx>
        <c:axId val="6087334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87424"/>
        <c:crosses val="autoZero"/>
        <c:crossBetween val="midCat"/>
        <c:majorUnit val="10"/>
      </c:valAx>
      <c:valAx>
        <c:axId val="608874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873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'Summary(3pcs)'!$V$43:$V$45</c:f>
              <c:numCache>
                <c:formatCode>General</c:formatCode>
                <c:ptCount val="3"/>
                <c:pt idx="0">
                  <c:v>-7</c:v>
                </c:pt>
                <c:pt idx="1">
                  <c:v>-7</c:v>
                </c:pt>
                <c:pt idx="2">
                  <c:v>-7</c:v>
                </c:pt>
              </c:numCache>
            </c:numRef>
          </c:xVal>
          <c:yVal>
            <c:numRef>
              <c:f>'Summary(3pcs)'!$W$43:$W$45</c:f>
              <c:numCache>
                <c:formatCode>General</c:formatCode>
                <c:ptCount val="3"/>
                <c:pt idx="0">
                  <c:v>-3</c:v>
                </c:pt>
                <c:pt idx="1">
                  <c:v>-3</c:v>
                </c:pt>
                <c:pt idx="2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'Summary(3pcs)'!$X$43</c:f>
              <c:numCache>
                <c:formatCode>0.00</c:formatCode>
                <c:ptCount val="1"/>
                <c:pt idx="0">
                  <c:v>-7</c:v>
                </c:pt>
              </c:numCache>
            </c:numRef>
          </c:xVal>
          <c:yVal>
            <c:numRef>
              <c:f>'Summary(3pcs)'!$Y$43</c:f>
              <c:numCache>
                <c:formatCode>0.00</c:formatCode>
                <c:ptCount val="1"/>
                <c:pt idx="0">
                  <c:v>-3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24288"/>
        <c:axId val="60925824"/>
      </c:scatterChart>
      <c:valAx>
        <c:axId val="6092428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925824"/>
        <c:crosses val="autoZero"/>
        <c:crossBetween val="midCat"/>
        <c:majorUnit val="10"/>
      </c:valAx>
      <c:valAx>
        <c:axId val="609258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924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'Summary(3pcs)'!$V$34:$V$36</c:f>
              <c:numCache>
                <c:formatCode>General</c:formatCode>
                <c:ptCount val="3"/>
                <c:pt idx="0">
                  <c:v>10.497730255099999</c:v>
                </c:pt>
                <c:pt idx="1">
                  <c:v>6.6217050551999996</c:v>
                </c:pt>
                <c:pt idx="2">
                  <c:v>3.4953384398999994</c:v>
                </c:pt>
              </c:numCache>
            </c:numRef>
          </c:xVal>
          <c:yVal>
            <c:numRef>
              <c:f>'Summary(3pcs)'!$W$34:$W$36</c:f>
              <c:numCache>
                <c:formatCode>General</c:formatCode>
                <c:ptCount val="3"/>
                <c:pt idx="0">
                  <c:v>-6.9426636695999999</c:v>
                </c:pt>
                <c:pt idx="1">
                  <c:v>-6.1375422477999999</c:v>
                </c:pt>
                <c:pt idx="2">
                  <c:v>-3.1949280500000001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'Summary(3pcs)'!$X$34</c:f>
              <c:numCache>
                <c:formatCode>0.00</c:formatCode>
                <c:ptCount val="1"/>
                <c:pt idx="0">
                  <c:v>6.8715912500666656</c:v>
                </c:pt>
              </c:numCache>
            </c:numRef>
          </c:xVal>
          <c:yVal>
            <c:numRef>
              <c:f>'Summary(3pcs)'!$Y$34</c:f>
              <c:numCache>
                <c:formatCode>0.00</c:formatCode>
                <c:ptCount val="1"/>
                <c:pt idx="0">
                  <c:v>-5.4250446558000007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0974976"/>
        <c:axId val="60976512"/>
      </c:scatterChart>
      <c:valAx>
        <c:axId val="6097497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976512"/>
        <c:crosses val="autoZero"/>
        <c:crossBetween val="midCat"/>
        <c:majorUnit val="10"/>
      </c:valAx>
      <c:valAx>
        <c:axId val="6097651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60974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29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29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29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29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29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29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13607</xdr:colOff>
      <xdr:row>30</xdr:row>
      <xdr:rowOff>149679</xdr:rowOff>
    </xdr:from>
    <xdr:to>
      <xdr:col>16</xdr:col>
      <xdr:colOff>27214</xdr:colOff>
      <xdr:row>30</xdr:row>
      <xdr:rowOff>734787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620500" y="353786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4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4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38" t="s">
        <v>143</v>
      </c>
      <c r="B1" s="38" t="s">
        <v>144</v>
      </c>
      <c r="C1" s="38" t="s">
        <v>145</v>
      </c>
      <c r="D1" s="38" t="s">
        <v>146</v>
      </c>
      <c r="E1" s="38" t="s">
        <v>149</v>
      </c>
    </row>
    <row r="2" spans="1:5">
      <c r="A2" s="38">
        <v>1</v>
      </c>
      <c r="B2" s="38" t="s">
        <v>147</v>
      </c>
      <c r="C2" s="38">
        <v>0.2</v>
      </c>
      <c r="D2" s="38" t="s">
        <v>148</v>
      </c>
      <c r="E2" s="38"/>
    </row>
    <row r="3" spans="1:5">
      <c r="A3" s="72">
        <v>2</v>
      </c>
      <c r="B3" s="72" t="s">
        <v>153</v>
      </c>
      <c r="C3" s="72">
        <v>0.2</v>
      </c>
      <c r="D3" s="72" t="s">
        <v>154</v>
      </c>
      <c r="E3" s="38"/>
    </row>
    <row r="4" spans="1:5">
      <c r="A4" s="38"/>
      <c r="B4" s="38"/>
      <c r="C4" s="38"/>
      <c r="D4" s="38"/>
      <c r="E4" s="38"/>
    </row>
    <row r="5" spans="1:5">
      <c r="A5" s="38"/>
      <c r="B5" s="38"/>
      <c r="C5" s="38"/>
      <c r="D5" s="38"/>
      <c r="E5" s="38"/>
    </row>
    <row r="6" spans="1:5">
      <c r="A6" s="38"/>
      <c r="B6" s="38"/>
      <c r="C6" s="38"/>
      <c r="D6" s="38"/>
      <c r="E6" s="38"/>
    </row>
  </sheetData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19"/>
  <sheetViews>
    <sheetView showGridLines="0" workbookViewId="0">
      <selection activeCell="C20" sqref="C20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7" t="s">
        <v>139</v>
      </c>
      <c r="B1" s="36">
        <v>5</v>
      </c>
    </row>
    <row r="2" spans="1:5" ht="36.75" customHeight="1">
      <c r="A2" s="19" t="s">
        <v>113</v>
      </c>
      <c r="B2" s="19" t="s">
        <v>114</v>
      </c>
      <c r="C2" s="19" t="s">
        <v>115</v>
      </c>
      <c r="D2" s="19" t="s">
        <v>116</v>
      </c>
      <c r="E2" s="19" t="s">
        <v>139</v>
      </c>
    </row>
    <row r="3" spans="1:5">
      <c r="A3" s="39"/>
      <c r="B3" s="20" t="s">
        <v>9</v>
      </c>
      <c r="C3" s="20" t="str">
        <f>$C$8&amp;"_"&amp;D3</f>
        <v>D:\EVMS\TP\LOG\VSY841XN9P10_2022092311_D50_ON_OC.csv</v>
      </c>
      <c r="D3" s="20" t="s">
        <v>128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D:\EVMS\TP\LOG\VSY841XN9P10_2022092311_FPDC_INFD_normal.csv</v>
      </c>
      <c r="D4" s="20" t="s">
        <v>117</v>
      </c>
    </row>
    <row r="5" spans="1:5">
      <c r="B5" s="20" t="s">
        <v>118</v>
      </c>
      <c r="C5" s="20" t="str">
        <f t="shared" si="0"/>
        <v>D:\EVMS\TP\LOG\VSY841XN9P10_2022092311_INFDMargin_IPQC.csv</v>
      </c>
      <c r="D5" s="20" t="s">
        <v>119</v>
      </c>
    </row>
    <row r="6" spans="1:5">
      <c r="B6" s="20" t="s">
        <v>120</v>
      </c>
      <c r="C6" s="20" t="str">
        <f t="shared" si="0"/>
        <v>D:\EVMS\TP\LOG\VSY841XN9P10_2022092311_VCM_MEASURE.csv</v>
      </c>
      <c r="D6" s="20" t="s">
        <v>121</v>
      </c>
    </row>
    <row r="7" spans="1:5">
      <c r="B7" s="22" t="s">
        <v>122</v>
      </c>
      <c r="C7" s="22" t="s">
        <v>123</v>
      </c>
      <c r="D7" s="22"/>
    </row>
    <row r="8" spans="1:5">
      <c r="B8" s="23" t="s">
        <v>124</v>
      </c>
      <c r="C8" s="24" t="s">
        <v>173</v>
      </c>
      <c r="D8" s="20"/>
    </row>
    <row r="19" spans="3:3">
      <c r="C19" s="74" t="s">
        <v>160</v>
      </c>
    </row>
  </sheetData>
  <phoneticPr fontId="8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5"/>
  <sheetViews>
    <sheetView showGridLines="0" tabSelected="1" topLeftCell="A30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6.875" style="27" customWidth="1"/>
    <col min="3" max="8" width="11.875" style="27" customWidth="1"/>
    <col min="9" max="9" width="8.125" style="27" customWidth="1"/>
    <col min="10" max="10" width="7.5" customWidth="1"/>
    <col min="11" max="11" width="6.75" style="27" customWidth="1"/>
    <col min="12" max="12" width="16.875" style="27" customWidth="1"/>
    <col min="13" max="16" width="11.87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6.875" style="27" customWidth="1"/>
    <col min="22" max="25" width="11.87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2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ht="16.5" customHeight="1">
      <c r="R30" s="31" t="s">
        <v>127</v>
      </c>
      <c r="S30" s="32"/>
      <c r="T30" s="32"/>
      <c r="AA30" s="25" t="s">
        <v>125</v>
      </c>
    </row>
    <row r="31" spans="2:35" ht="60.75" customHeight="1">
      <c r="B31" s="86" t="s">
        <v>14</v>
      </c>
      <c r="M31" s="86" t="s">
        <v>9</v>
      </c>
      <c r="R31" s="73" t="s">
        <v>150</v>
      </c>
      <c r="S31" s="84" t="s">
        <v>152</v>
      </c>
      <c r="T31" s="85"/>
      <c r="U31" s="86" t="s">
        <v>2</v>
      </c>
      <c r="AA31" s="25" t="s">
        <v>126</v>
      </c>
      <c r="AE31" s="34"/>
      <c r="AF31" s="34"/>
      <c r="AG31" s="34"/>
      <c r="AH31" s="34"/>
      <c r="AI31" s="34"/>
    </row>
    <row r="32" spans="2:35" ht="17.100000000000001" customHeight="1">
      <c r="B32" s="87"/>
      <c r="C32" s="28" t="s">
        <v>17</v>
      </c>
      <c r="D32" s="28">
        <f>5.1^2/(150-5.1)*1000</f>
        <v>179.50310559006209</v>
      </c>
      <c r="M32" s="87"/>
      <c r="U32" s="87"/>
      <c r="AE32" s="35"/>
      <c r="AF32" s="35"/>
      <c r="AG32" s="35"/>
      <c r="AH32" s="35"/>
      <c r="AI32" s="35"/>
    </row>
    <row r="33" spans="1:37" s="29" customFormat="1" ht="30">
      <c r="A33" s="40" t="s">
        <v>1</v>
      </c>
      <c r="B33" s="40" t="s">
        <v>0</v>
      </c>
      <c r="C33" s="41" t="s">
        <v>15</v>
      </c>
      <c r="D33" s="41" t="s">
        <v>167</v>
      </c>
      <c r="E33" s="41" t="s">
        <v>16</v>
      </c>
      <c r="F33" s="42" t="s">
        <v>18</v>
      </c>
      <c r="G33" s="42" t="s">
        <v>20</v>
      </c>
      <c r="H33" s="42" t="s">
        <v>19</v>
      </c>
      <c r="I33" s="43" t="s">
        <v>21</v>
      </c>
      <c r="J33"/>
      <c r="K33" s="40" t="s">
        <v>1</v>
      </c>
      <c r="L33" s="40" t="s">
        <v>0</v>
      </c>
      <c r="M33" s="41" t="s">
        <v>168</v>
      </c>
      <c r="N33" s="41" t="s">
        <v>169</v>
      </c>
      <c r="O33" s="42" t="s">
        <v>10</v>
      </c>
      <c r="P33" s="42" t="s">
        <v>11</v>
      </c>
      <c r="Q33" s="43" t="s">
        <v>12</v>
      </c>
      <c r="R33" s="43" t="s">
        <v>13</v>
      </c>
      <c r="T33" s="40" t="s">
        <v>1</v>
      </c>
      <c r="U33" s="40" t="s">
        <v>0</v>
      </c>
      <c r="V33" s="41" t="s">
        <v>3</v>
      </c>
      <c r="W33" s="41" t="s">
        <v>4</v>
      </c>
      <c r="X33" s="42" t="s">
        <v>5</v>
      </c>
      <c r="Y33" s="42" t="s">
        <v>6</v>
      </c>
      <c r="Z33" s="43" t="s">
        <v>7</v>
      </c>
      <c r="AA33" s="43" t="s">
        <v>8</v>
      </c>
    </row>
    <row r="34" spans="1:37" s="32" customFormat="1" ht="17.100000000000001" customHeight="1">
      <c r="A34" s="79">
        <f>T34</f>
        <v>1</v>
      </c>
      <c r="B34" s="80" t="str">
        <f>IPQC!J2</f>
        <v>22cc65170339</v>
      </c>
      <c r="C34" s="44">
        <f>IPQC!S2+VLOOKUP($R$31,$AD$38:$AK$42,6,FALSE)+VLOOKUP('File location'!$B$1,'Tester offset'!$A$2:$D$4,2,FALSE)</f>
        <v>92.632589953600004</v>
      </c>
      <c r="D34" s="44">
        <f>IPQC!Z2+VLOOKUP($R$31,$AD$38:$AK$42,6,FALSE)</f>
        <v>74.226303483899997</v>
      </c>
      <c r="E34" s="44">
        <f>VCM!HU2-'Summary(3pcs)'!C34-'Summary(3pcs)'!$D$32</f>
        <v>137.84621571933786</v>
      </c>
      <c r="F34" s="90">
        <f>AVERAGEIF($A$34:$A$45,1,$C$34:$C$45)</f>
        <v>89.589537005466653</v>
      </c>
      <c r="G34" s="91">
        <f>AVERAGEIF($A$34:$A$45,1,$D$34:$D$45)</f>
        <v>68.550810173133328</v>
      </c>
      <c r="H34" s="91">
        <f>AVERAGEIF($A$34:$A$45,1,$E$34:$E$45)</f>
        <v>149.4165989099379</v>
      </c>
      <c r="I34" s="91">
        <f>85-F34</f>
        <v>-4.5895370054666529</v>
      </c>
      <c r="J34"/>
      <c r="K34" s="79">
        <f>T34</f>
        <v>1</v>
      </c>
      <c r="L34" s="80" t="str">
        <f>OC!J2</f>
        <v>22cc65170339</v>
      </c>
      <c r="M34" s="44">
        <f>OC!S2+VLOOKUP($R$31,$AD$38:$AK$42,4,FALSE)</f>
        <v>4.530901858</v>
      </c>
      <c r="N34" s="44">
        <f>OC!T2+VLOOKUP($R$31,$AD$38:$AK$42,5,FALSE)</f>
        <v>-0.62402495029999994</v>
      </c>
      <c r="O34" s="92">
        <f>AVERAGEIF($K$34:$K$45,1,$M$34:$M$45)</f>
        <v>-0.98030627646666668</v>
      </c>
      <c r="P34" s="92">
        <f>AVERAGEIF($K$34:$K$45,1,$N$34:$N$45)</f>
        <v>3.1964715956666665</v>
      </c>
      <c r="Q34" s="90">
        <f>P34*0.001</f>
        <v>3.1964715956666664E-3</v>
      </c>
      <c r="R34" s="90">
        <f>O34*0.001</f>
        <v>-9.8030627646666663E-4</v>
      </c>
      <c r="T34" s="79">
        <v>1</v>
      </c>
      <c r="U34" s="80" t="str">
        <f>FPDC!J2</f>
        <v>22cc65170339</v>
      </c>
      <c r="V34" s="75">
        <f>FPDC!R2+VLOOKUP($R$31,$AD$38:$AK$42,2,FALSE)+VLOOKUP($R$31,$AD$38:$AK$42,7,FALSE)+VLOOKUP('File location'!$B$1,'Tester offset'!$A$2:$D$4,3,FALSE)</f>
        <v>10.497730255099999</v>
      </c>
      <c r="W34" s="76">
        <f>FPDC!S2+VLOOKUP($R$31,$AD$38:$AK$42,3,FALSE)+VLOOKUP($R$31,$AD$38:$AK$42,8,FALSE)+VLOOKUP('File location'!$B$1,'Tester offset'!$A$2:$D$4,4,FALSE)</f>
        <v>-6.9426636695999999</v>
      </c>
      <c r="X34" s="92">
        <f>AVERAGEIF($T$34:$T$45,1,$V$34:$V$45)</f>
        <v>6.8715912500666656</v>
      </c>
      <c r="Y34" s="92">
        <f>AVERAGEIF($T$34:$T$45,1,$W$34:$W$45)</f>
        <v>-5.4250446558000007</v>
      </c>
      <c r="Z34" s="90">
        <f>(X34*-0.01)/4</f>
        <v>-1.7178978125166663E-2</v>
      </c>
      <c r="AA34" s="90">
        <f>(Y34*-0.01)/4</f>
        <v>1.3562611639500002E-2</v>
      </c>
    </row>
    <row r="35" spans="1:37" s="32" customFormat="1" ht="17.100000000000001" customHeight="1">
      <c r="A35" s="79">
        <f t="shared" ref="A35:A45" si="0">T35</f>
        <v>1</v>
      </c>
      <c r="B35" s="80" t="str">
        <f>IPQC!J3</f>
        <v>22cc65170786</v>
      </c>
      <c r="C35" s="44">
        <f>IPQC!S3+VLOOKUP($R$31,$AD$38:$AK$42,6,FALSE)+VLOOKUP('File location'!$B$1,'Tester offset'!$A$2:$D$4,2,FALSE)</f>
        <v>90.1031090237</v>
      </c>
      <c r="D35" s="44">
        <f>IPQC!Z3+VLOOKUP($R$31,$AD$38:$AK$42,6,FALSE)</f>
        <v>63.780005613999997</v>
      </c>
      <c r="E35" s="44">
        <f>VCM!HU3-'Summary(3pcs)'!C35-'Summary(3pcs)'!$D$32</f>
        <v>147.7636176644379</v>
      </c>
      <c r="F35" s="90"/>
      <c r="G35" s="91"/>
      <c r="H35" s="91"/>
      <c r="I35" s="91"/>
      <c r="J35"/>
      <c r="K35" s="79">
        <f t="shared" ref="K35:K45" si="1">T35</f>
        <v>1</v>
      </c>
      <c r="L35" s="80" t="str">
        <f>OC!J3</f>
        <v>22cc65170786</v>
      </c>
      <c r="M35" s="44">
        <f>OC!S3+VLOOKUP($R$31,$AD$38:$AK$42,4,FALSE)</f>
        <v>-1.3467527029999999</v>
      </c>
      <c r="N35" s="44">
        <f>OC!T3+VLOOKUP($R$31,$AD$38:$AK$42,5,FALSE)</f>
        <v>2.9607889803000003</v>
      </c>
      <c r="O35" s="92"/>
      <c r="P35" s="92"/>
      <c r="Q35" s="90"/>
      <c r="R35" s="90"/>
      <c r="T35" s="79">
        <v>1</v>
      </c>
      <c r="U35" s="80" t="str">
        <f>FPDC!J3</f>
        <v>22cc65170786</v>
      </c>
      <c r="V35" s="75">
        <f>FPDC!R3+VLOOKUP($R$31,$AD$38:$AK$42,2,FALSE)+VLOOKUP($R$31,$AD$38:$AK$42,7,FALSE)+VLOOKUP('File location'!$B$1,'Tester offset'!$A$2:$D$4,3,FALSE)</f>
        <v>6.6217050551999996</v>
      </c>
      <c r="W35" s="76">
        <f>FPDC!S3+VLOOKUP($R$31,$AD$38:$AK$42,3,FALSE)+VLOOKUP($R$31,$AD$38:$AK$42,8,FALSE)+VLOOKUP('File location'!$B$1,'Tester offset'!$A$2:$D$4,4,FALSE)</f>
        <v>-6.1375422477999999</v>
      </c>
      <c r="X35" s="92"/>
      <c r="Y35" s="92"/>
      <c r="Z35" s="90"/>
      <c r="AA35" s="90"/>
    </row>
    <row r="36" spans="1:37" s="32" customFormat="1" ht="17.100000000000001" customHeight="1">
      <c r="A36" s="79">
        <f t="shared" si="0"/>
        <v>1</v>
      </c>
      <c r="B36" s="80" t="str">
        <f>IPQC!J4</f>
        <v>22cc65170785</v>
      </c>
      <c r="C36" s="44">
        <f>IPQC!S4+VLOOKUP($R$31,$AD$38:$AK$42,6,FALSE)+VLOOKUP('File location'!$B$1,'Tester offset'!$A$2:$D$4,2,FALSE)</f>
        <v>86.032912039099998</v>
      </c>
      <c r="D36" s="44">
        <f>IPQC!Z4+VLOOKUP($R$31,$AD$38:$AK$42,6,FALSE)</f>
        <v>67.646121421499998</v>
      </c>
      <c r="E36" s="44">
        <f>VCM!HU4-'Summary(3pcs)'!C36-'Summary(3pcs)'!$D$32</f>
        <v>162.63996334603792</v>
      </c>
      <c r="F36" s="90"/>
      <c r="G36" s="91"/>
      <c r="H36" s="91"/>
      <c r="I36" s="91"/>
      <c r="J36"/>
      <c r="K36" s="79">
        <f t="shared" si="1"/>
        <v>1</v>
      </c>
      <c r="L36" s="80" t="str">
        <f>OC!J4</f>
        <v>22cc65170785</v>
      </c>
      <c r="M36" s="44">
        <f>OC!S4+VLOOKUP($R$31,$AD$38:$AK$42,4,FALSE)</f>
        <v>-6.1250679844000002</v>
      </c>
      <c r="N36" s="44">
        <f>OC!T4+VLOOKUP($R$31,$AD$38:$AK$42,5,FALSE)</f>
        <v>7.2526507569999996</v>
      </c>
      <c r="O36" s="92"/>
      <c r="P36" s="92"/>
      <c r="Q36" s="90"/>
      <c r="R36" s="90"/>
      <c r="T36" s="79">
        <v>1</v>
      </c>
      <c r="U36" s="80" t="str">
        <f>FPDC!J4</f>
        <v>22cc65170785</v>
      </c>
      <c r="V36" s="75">
        <f>FPDC!R4+VLOOKUP($R$31,$AD$38:$AK$42,2,FALSE)+VLOOKUP($R$31,$AD$38:$AK$42,7,FALSE)+VLOOKUP('File location'!$B$1,'Tester offset'!$A$2:$D$4,3,FALSE)</f>
        <v>3.4953384398999994</v>
      </c>
      <c r="W36" s="76">
        <f>FPDC!S4+VLOOKUP($R$31,$AD$38:$AK$42,3,FALSE)+VLOOKUP($R$31,$AD$38:$AK$42,8,FALSE)+VLOOKUP('File location'!$B$1,'Tester offset'!$A$2:$D$4,4,FALSE)</f>
        <v>-3.1949280500000001</v>
      </c>
      <c r="X36" s="92"/>
      <c r="Y36" s="92"/>
      <c r="Z36" s="90"/>
      <c r="AA36" s="90"/>
      <c r="AD36" s="94" t="s">
        <v>137</v>
      </c>
      <c r="AE36" s="94" t="s">
        <v>130</v>
      </c>
      <c r="AF36" s="94"/>
      <c r="AG36" s="94"/>
      <c r="AH36" s="94"/>
      <c r="AI36" s="94"/>
      <c r="AJ36" s="94" t="s">
        <v>136</v>
      </c>
      <c r="AK36" s="94"/>
    </row>
    <row r="37" spans="1:37" s="32" customFormat="1" ht="17.100000000000001" customHeight="1">
      <c r="A37" s="79">
        <f t="shared" si="0"/>
        <v>2</v>
      </c>
      <c r="B37" s="80">
        <f>IPQC!J5</f>
        <v>0</v>
      </c>
      <c r="C37" s="44">
        <f>IPQC!S5+VLOOKUP($R$31,$AD$38:$AK$42,6,FALSE)+VLOOKUP('File location'!$B$1,'Tester offset'!$A$2:$D$4,2,FALSE)</f>
        <v>6</v>
      </c>
      <c r="D37" s="44">
        <f>IPQC!Z5+VLOOKUP($R$31,$AD$38:$AK$42,6,FALSE)</f>
        <v>6</v>
      </c>
      <c r="E37" s="44">
        <f>VCM!HU5-'Summary(3pcs)'!C37-'Summary(3pcs)'!$D$32</f>
        <v>-185.50310559006209</v>
      </c>
      <c r="F37" s="90">
        <f>AVERAGEIF($A$34:$A$45,2,$C$34:$C$45)</f>
        <v>6</v>
      </c>
      <c r="G37" s="91">
        <f>AVERAGEIF($A$34:$A$45,2,$D$34:$D$45)</f>
        <v>6</v>
      </c>
      <c r="H37" s="91">
        <f>AVERAGEIF($A$34:$A$45,2,$E$34:$E$45)</f>
        <v>-185.50310559006209</v>
      </c>
      <c r="I37" s="91">
        <f>85-F37</f>
        <v>79</v>
      </c>
      <c r="J37"/>
      <c r="K37" s="79">
        <f t="shared" si="1"/>
        <v>2</v>
      </c>
      <c r="L37" s="80">
        <f>OC!J5</f>
        <v>0</v>
      </c>
      <c r="M37" s="44">
        <f>OC!S5+VLOOKUP($R$31,$AD$38:$AK$42,4,FALSE)</f>
        <v>0</v>
      </c>
      <c r="N37" s="44">
        <f>OC!T5+VLOOKUP($R$31,$AD$38:$AK$42,5,FALSE)</f>
        <v>4</v>
      </c>
      <c r="O37" s="92">
        <f>AVERAGEIF($K$34:$K$45,2,$M$34:$M$45)</f>
        <v>0</v>
      </c>
      <c r="P37" s="92">
        <f>AVERAGEIF($K$34:$K$45,2,$N$34:$N$45)</f>
        <v>4</v>
      </c>
      <c r="Q37" s="90">
        <f>P37*0.001</f>
        <v>4.0000000000000001E-3</v>
      </c>
      <c r="R37" s="90">
        <f>O37*0.001</f>
        <v>0</v>
      </c>
      <c r="T37" s="79">
        <v>2</v>
      </c>
      <c r="U37" s="80">
        <f>FPDC!J5</f>
        <v>0</v>
      </c>
      <c r="V37" s="75">
        <f>FPDC!R5+VLOOKUP($R$31,$AD$38:$AK$42,2,FALSE)+VLOOKUP($R$31,$AD$38:$AK$42,7,FALSE)+VLOOKUP('File location'!$B$1,'Tester offset'!$A$2:$D$4,3,FALSE)</f>
        <v>-7</v>
      </c>
      <c r="W37" s="76">
        <f>FPDC!S5+VLOOKUP($R$31,$AD$38:$AK$42,3,FALSE)+VLOOKUP($R$31,$AD$38:$AK$42,8,FALSE)+VLOOKUP('File location'!$B$1,'Tester offset'!$A$2:$D$4,4,FALSE)</f>
        <v>-3</v>
      </c>
      <c r="X37" s="92">
        <f>AVERAGEIF($T$34:$T$45,2,$V$34:$V$45)</f>
        <v>-7</v>
      </c>
      <c r="Y37" s="92">
        <f>AVERAGEIF($T$34:$T$45,2,$W$34:$W$45)</f>
        <v>-3</v>
      </c>
      <c r="Z37" s="90">
        <f>(X37*-0.01)/4</f>
        <v>1.7500000000000002E-2</v>
      </c>
      <c r="AA37" s="90">
        <f>(Y37*-0.01)/4</f>
        <v>7.4999999999999997E-3</v>
      </c>
      <c r="AD37" s="94"/>
      <c r="AE37" s="79" t="s">
        <v>131</v>
      </c>
      <c r="AF37" s="79" t="s">
        <v>132</v>
      </c>
      <c r="AG37" s="79" t="s">
        <v>133</v>
      </c>
      <c r="AH37" s="79" t="s">
        <v>134</v>
      </c>
      <c r="AI37" s="79" t="s">
        <v>135</v>
      </c>
      <c r="AJ37" s="79" t="s">
        <v>131</v>
      </c>
      <c r="AK37" s="79" t="s">
        <v>132</v>
      </c>
    </row>
    <row r="38" spans="1:37" s="32" customFormat="1" ht="17.100000000000001" customHeight="1">
      <c r="A38" s="79">
        <f t="shared" si="0"/>
        <v>2</v>
      </c>
      <c r="B38" s="80">
        <f>IPQC!J6</f>
        <v>0</v>
      </c>
      <c r="C38" s="44">
        <f>IPQC!S6+VLOOKUP($R$31,$AD$38:$AK$42,6,FALSE)+VLOOKUP('File location'!$B$1,'Tester offset'!$A$2:$D$4,2,FALSE)</f>
        <v>6</v>
      </c>
      <c r="D38" s="44">
        <f>IPQC!Z6+VLOOKUP($R$31,$AD$38:$AK$42,6,FALSE)</f>
        <v>6</v>
      </c>
      <c r="E38" s="44">
        <f>VCM!HU6-'Summary(3pcs)'!C38-'Summary(3pcs)'!$D$32</f>
        <v>-185.50310559006209</v>
      </c>
      <c r="F38" s="90"/>
      <c r="G38" s="91"/>
      <c r="H38" s="91"/>
      <c r="I38" s="91"/>
      <c r="J38"/>
      <c r="K38" s="79">
        <f t="shared" si="1"/>
        <v>2</v>
      </c>
      <c r="L38" s="80">
        <f>OC!J6</f>
        <v>0</v>
      </c>
      <c r="M38" s="44">
        <f>OC!S6+VLOOKUP($R$31,$AD$38:$AK$42,4,FALSE)</f>
        <v>0</v>
      </c>
      <c r="N38" s="44">
        <f>OC!T6+VLOOKUP($R$31,$AD$38:$AK$42,5,FALSE)</f>
        <v>4</v>
      </c>
      <c r="O38" s="92"/>
      <c r="P38" s="92"/>
      <c r="Q38" s="90"/>
      <c r="R38" s="90"/>
      <c r="T38" s="79">
        <v>2</v>
      </c>
      <c r="U38" s="80">
        <f>FPDC!J6</f>
        <v>0</v>
      </c>
      <c r="V38" s="75">
        <f>FPDC!R6+VLOOKUP($R$31,$AD$38:$AK$42,2,FALSE)+VLOOKUP($R$31,$AD$38:$AK$42,7,FALSE)+VLOOKUP('File location'!$B$1,'Tester offset'!$A$2:$D$4,3,FALSE)</f>
        <v>-7</v>
      </c>
      <c r="W38" s="76">
        <f>FPDC!S6+VLOOKUP($R$31,$AD$38:$AK$42,3,FALSE)+VLOOKUP($R$31,$AD$38:$AK$42,8,FALSE)+VLOOKUP('File location'!$B$1,'Tester offset'!$A$2:$D$4,4,FALSE)</f>
        <v>-3</v>
      </c>
      <c r="X38" s="92"/>
      <c r="Y38" s="92"/>
      <c r="Z38" s="90"/>
      <c r="AA38" s="90"/>
      <c r="AD38" s="79" t="s">
        <v>170</v>
      </c>
      <c r="AE38" s="79">
        <v>-2</v>
      </c>
      <c r="AF38" s="79">
        <v>0</v>
      </c>
      <c r="AG38" s="79">
        <v>0</v>
      </c>
      <c r="AH38" s="79">
        <v>4</v>
      </c>
      <c r="AI38" s="79">
        <v>6</v>
      </c>
      <c r="AJ38" s="79">
        <v>-4</v>
      </c>
      <c r="AK38" s="79">
        <v>-3</v>
      </c>
    </row>
    <row r="39" spans="1:37" s="32" customFormat="1" ht="17.100000000000001" customHeight="1">
      <c r="A39" s="79">
        <f t="shared" si="0"/>
        <v>2</v>
      </c>
      <c r="B39" s="80">
        <f>IPQC!J7</f>
        <v>0</v>
      </c>
      <c r="C39" s="44">
        <f>IPQC!S7+VLOOKUP($R$31,$AD$38:$AK$42,6,FALSE)+VLOOKUP('File location'!$B$1,'Tester offset'!$A$2:$D$4,2,FALSE)</f>
        <v>6</v>
      </c>
      <c r="D39" s="44">
        <f>IPQC!Z7+VLOOKUP($R$31,$AD$38:$AK$42,6,FALSE)</f>
        <v>6</v>
      </c>
      <c r="E39" s="44">
        <f>VCM!HU7-'Summary(3pcs)'!C39-'Summary(3pcs)'!$D$32</f>
        <v>-185.50310559006209</v>
      </c>
      <c r="F39" s="90"/>
      <c r="G39" s="91"/>
      <c r="H39" s="91"/>
      <c r="I39" s="91"/>
      <c r="J39"/>
      <c r="K39" s="79">
        <f t="shared" si="1"/>
        <v>2</v>
      </c>
      <c r="L39" s="80">
        <f>OC!J7</f>
        <v>0</v>
      </c>
      <c r="M39" s="44">
        <f>OC!S7+VLOOKUP($R$31,$AD$38:$AK$42,4,FALSE)</f>
        <v>0</v>
      </c>
      <c r="N39" s="44">
        <f>OC!T7+VLOOKUP($R$31,$AD$38:$AK$42,5,FALSE)</f>
        <v>4</v>
      </c>
      <c r="O39" s="92"/>
      <c r="P39" s="92"/>
      <c r="Q39" s="90"/>
      <c r="R39" s="90"/>
      <c r="T39" s="79">
        <v>2</v>
      </c>
      <c r="U39" s="80">
        <f>FPDC!J7</f>
        <v>0</v>
      </c>
      <c r="V39" s="75">
        <f>FPDC!R7+VLOOKUP($R$31,$AD$38:$AK$42,2,FALSE)+VLOOKUP($R$31,$AD$38:$AK$42,7,FALSE)+VLOOKUP('File location'!$B$1,'Tester offset'!$A$2:$D$4,3,FALSE)</f>
        <v>-7</v>
      </c>
      <c r="W39" s="76">
        <f>FPDC!S7+VLOOKUP($R$31,$AD$38:$AK$42,3,FALSE)+VLOOKUP($R$31,$AD$38:$AK$42,8,FALSE)+VLOOKUP('File location'!$B$1,'Tester offset'!$A$2:$D$4,4,FALSE)</f>
        <v>-3</v>
      </c>
      <c r="X39" s="92"/>
      <c r="Y39" s="92"/>
      <c r="Z39" s="90"/>
      <c r="AA39" s="90"/>
      <c r="AD39" s="30" t="s">
        <v>171</v>
      </c>
      <c r="AE39" s="30">
        <v>0</v>
      </c>
      <c r="AF39" s="30">
        <v>0</v>
      </c>
      <c r="AG39" s="30">
        <v>0</v>
      </c>
      <c r="AH39" s="30">
        <v>4</v>
      </c>
      <c r="AI39" s="30">
        <v>0</v>
      </c>
      <c r="AJ39" s="79">
        <v>-4</v>
      </c>
      <c r="AK39" s="79">
        <v>-3</v>
      </c>
    </row>
    <row r="40" spans="1:37" s="32" customFormat="1" ht="17.100000000000001" customHeight="1">
      <c r="A40" s="79">
        <f t="shared" si="0"/>
        <v>3</v>
      </c>
      <c r="B40" s="80">
        <f>IPQC!J8</f>
        <v>0</v>
      </c>
      <c r="C40" s="44">
        <f>IPQC!S8+VLOOKUP($R$31,$AD$38:$AK$42,6,FALSE)+VLOOKUP('File location'!$B$1,'Tester offset'!$A$2:$D$4,2,FALSE)</f>
        <v>6</v>
      </c>
      <c r="D40" s="44">
        <f>IPQC!Z8+VLOOKUP($R$31,$AD$38:$AK$42,6,FALSE)</f>
        <v>6</v>
      </c>
      <c r="E40" s="44">
        <f>VCM!HU8-'Summary(3pcs)'!C40-'Summary(3pcs)'!$D$32</f>
        <v>-185.50310559006209</v>
      </c>
      <c r="F40" s="90">
        <f>AVERAGEIF($A$34:$A$45,3,$C$34:$C$45)</f>
        <v>6</v>
      </c>
      <c r="G40" s="91">
        <f>AVERAGEIF($A$34:$A$45,3,$D$34:$D$45)</f>
        <v>6</v>
      </c>
      <c r="H40" s="91">
        <f>AVERAGEIF($A$34:$A$45,3,$E$34:$E$45)</f>
        <v>-185.50310559006209</v>
      </c>
      <c r="I40" s="91">
        <f>85-F40</f>
        <v>79</v>
      </c>
      <c r="J40"/>
      <c r="K40" s="79">
        <f t="shared" si="1"/>
        <v>3</v>
      </c>
      <c r="L40" s="80">
        <f>OC!J8</f>
        <v>0</v>
      </c>
      <c r="M40" s="44">
        <f>OC!S8+VLOOKUP($R$31,$AD$38:$AK$42,4,FALSE)</f>
        <v>0</v>
      </c>
      <c r="N40" s="44">
        <f>OC!T8+VLOOKUP($R$31,$AD$38:$AK$42,5,FALSE)</f>
        <v>4</v>
      </c>
      <c r="O40" s="92">
        <f>AVERAGEIF($K$34:$K$45,3,$M$34:$M$45)</f>
        <v>0</v>
      </c>
      <c r="P40" s="92">
        <f>AVERAGEIF($K$34:$K$45,3,$N$34:$N$45)</f>
        <v>4</v>
      </c>
      <c r="Q40" s="90">
        <f>P40*0.001</f>
        <v>4.0000000000000001E-3</v>
      </c>
      <c r="R40" s="90">
        <f>O40*0.001</f>
        <v>0</v>
      </c>
      <c r="T40" s="79">
        <v>3</v>
      </c>
      <c r="U40" s="80">
        <f>FPDC!J8</f>
        <v>0</v>
      </c>
      <c r="V40" s="75">
        <f>FPDC!R8+VLOOKUP($R$31,$AD$38:$AK$42,2,FALSE)+VLOOKUP($R$31,$AD$38:$AK$42,7,FALSE)+VLOOKUP('File location'!$B$1,'Tester offset'!$A$2:$D$4,3,FALSE)</f>
        <v>-7</v>
      </c>
      <c r="W40" s="76">
        <f>FPDC!S8+VLOOKUP($R$31,$AD$38:$AK$42,3,FALSE)+VLOOKUP($R$31,$AD$38:$AK$42,8,FALSE)+VLOOKUP('File location'!$B$1,'Tester offset'!$A$2:$D$4,4,FALSE)</f>
        <v>-3</v>
      </c>
      <c r="X40" s="92">
        <f>AVERAGEIF($T$34:$T$45,3,$V$34:$V$45)</f>
        <v>-7</v>
      </c>
      <c r="Y40" s="92">
        <f>AVERAGEIF($T$34:$T$45,3,$W$34:$W$45)</f>
        <v>-3</v>
      </c>
      <c r="Z40" s="90">
        <f>(X40*-0.01)/4</f>
        <v>1.7500000000000002E-2</v>
      </c>
      <c r="AA40" s="90">
        <f>(Y40*-0.01)/4</f>
        <v>7.4999999999999997E-3</v>
      </c>
      <c r="AD40" s="30" t="s">
        <v>172</v>
      </c>
      <c r="AE40" s="79">
        <v>0</v>
      </c>
      <c r="AF40" s="79">
        <v>0</v>
      </c>
      <c r="AG40" s="79">
        <v>0</v>
      </c>
      <c r="AH40" s="79">
        <v>4</v>
      </c>
      <c r="AI40" s="79"/>
      <c r="AJ40" s="79">
        <v>-4</v>
      </c>
      <c r="AK40" s="79">
        <v>-3</v>
      </c>
    </row>
    <row r="41" spans="1:37" s="32" customFormat="1" ht="17.100000000000001" customHeight="1">
      <c r="A41" s="79">
        <f t="shared" si="0"/>
        <v>3</v>
      </c>
      <c r="B41" s="80">
        <f>IPQC!J9</f>
        <v>0</v>
      </c>
      <c r="C41" s="44">
        <f>IPQC!S9+VLOOKUP($R$31,$AD$38:$AK$42,6,FALSE)+VLOOKUP('File location'!$B$1,'Tester offset'!$A$2:$D$4,2,FALSE)</f>
        <v>6</v>
      </c>
      <c r="D41" s="44">
        <f>IPQC!Z9+VLOOKUP($R$31,$AD$38:$AK$42,6,FALSE)</f>
        <v>6</v>
      </c>
      <c r="E41" s="44">
        <f>VCM!HU9-'Summary(3pcs)'!C41-'Summary(3pcs)'!$D$32</f>
        <v>-185.50310559006209</v>
      </c>
      <c r="F41" s="90"/>
      <c r="G41" s="91"/>
      <c r="H41" s="91"/>
      <c r="I41" s="91"/>
      <c r="J41"/>
      <c r="K41" s="79">
        <f t="shared" si="1"/>
        <v>3</v>
      </c>
      <c r="L41" s="80">
        <f>OC!J9</f>
        <v>0</v>
      </c>
      <c r="M41" s="44">
        <f>OC!S9+VLOOKUP($R$31,$AD$38:$AK$42,4,FALSE)</f>
        <v>0</v>
      </c>
      <c r="N41" s="44">
        <f>OC!T9+VLOOKUP($R$31,$AD$38:$AK$42,5,FALSE)</f>
        <v>4</v>
      </c>
      <c r="O41" s="92"/>
      <c r="P41" s="92"/>
      <c r="Q41" s="90"/>
      <c r="R41" s="90"/>
      <c r="T41" s="79">
        <v>3</v>
      </c>
      <c r="U41" s="80">
        <f>FPDC!J9</f>
        <v>0</v>
      </c>
      <c r="V41" s="75">
        <f>FPDC!R9+VLOOKUP($R$31,$AD$38:$AK$42,2,FALSE)+VLOOKUP($R$31,$AD$38:$AK$42,7,FALSE)+VLOOKUP('File location'!$B$1,'Tester offset'!$A$2:$D$4,3,FALSE)</f>
        <v>-7</v>
      </c>
      <c r="W41" s="76">
        <f>FPDC!S9+VLOOKUP($R$31,$AD$38:$AK$42,3,FALSE)+VLOOKUP($R$31,$AD$38:$AK$42,8,FALSE)+VLOOKUP('File location'!$B$1,'Tester offset'!$A$2:$D$4,4,FALSE)</f>
        <v>-3</v>
      </c>
      <c r="X41" s="92"/>
      <c r="Y41" s="92"/>
      <c r="Z41" s="90"/>
      <c r="AA41" s="90"/>
      <c r="AD41" s="79" t="s">
        <v>129</v>
      </c>
      <c r="AE41" s="79">
        <v>0</v>
      </c>
      <c r="AF41" s="79">
        <v>0</v>
      </c>
      <c r="AG41" s="79">
        <v>0</v>
      </c>
      <c r="AH41" s="79">
        <v>4</v>
      </c>
      <c r="AI41" s="79">
        <v>6</v>
      </c>
      <c r="AJ41" s="79">
        <v>-4</v>
      </c>
      <c r="AK41" s="79">
        <v>-3</v>
      </c>
    </row>
    <row r="42" spans="1:37" s="32" customFormat="1" ht="17.100000000000001" customHeight="1">
      <c r="A42" s="79">
        <f t="shared" si="0"/>
        <v>3</v>
      </c>
      <c r="B42" s="80">
        <f>IPQC!J10</f>
        <v>0</v>
      </c>
      <c r="C42" s="44">
        <f>IPQC!S10+VLOOKUP($R$31,$AD$38:$AK$42,6,FALSE)+VLOOKUP('File location'!$B$1,'Tester offset'!$A$2:$D$4,2,FALSE)</f>
        <v>6</v>
      </c>
      <c r="D42" s="44">
        <f>IPQC!Z10+VLOOKUP($R$31,$AD$38:$AK$42,6,FALSE)</f>
        <v>6</v>
      </c>
      <c r="E42" s="44">
        <f>VCM!HU10-'Summary(3pcs)'!C42-'Summary(3pcs)'!$D$32</f>
        <v>-185.50310559006209</v>
      </c>
      <c r="F42" s="90"/>
      <c r="G42" s="91"/>
      <c r="H42" s="91"/>
      <c r="I42" s="91"/>
      <c r="J42"/>
      <c r="K42" s="79">
        <f t="shared" si="1"/>
        <v>3</v>
      </c>
      <c r="L42" s="80">
        <f>OC!J10</f>
        <v>0</v>
      </c>
      <c r="M42" s="44">
        <f>OC!S10+VLOOKUP($R$31,$AD$38:$AK$42,4,FALSE)</f>
        <v>0</v>
      </c>
      <c r="N42" s="44">
        <f>OC!T10+VLOOKUP($R$31,$AD$38:$AK$42,5,FALSE)</f>
        <v>4</v>
      </c>
      <c r="O42" s="92"/>
      <c r="P42" s="92"/>
      <c r="Q42" s="90"/>
      <c r="R42" s="90"/>
      <c r="T42" s="79">
        <v>3</v>
      </c>
      <c r="U42" s="80">
        <f>FPDC!J10</f>
        <v>0</v>
      </c>
      <c r="V42" s="75">
        <f>FPDC!R10+VLOOKUP($R$31,$AD$38:$AK$42,2,FALSE)+VLOOKUP($R$31,$AD$38:$AK$42,7,FALSE)+VLOOKUP('File location'!$B$1,'Tester offset'!$A$2:$D$4,3,FALSE)</f>
        <v>-7</v>
      </c>
      <c r="W42" s="76">
        <f>FPDC!S10+VLOOKUP($R$31,$AD$38:$AK$42,3,FALSE)+VLOOKUP($R$31,$AD$38:$AK$42,8,FALSE)+VLOOKUP('File location'!$B$1,'Tester offset'!$A$2:$D$4,4,FALSE)</f>
        <v>-3</v>
      </c>
      <c r="X42" s="92"/>
      <c r="Y42" s="92"/>
      <c r="Z42" s="90"/>
      <c r="AA42" s="90"/>
      <c r="AD42" s="33" t="s">
        <v>138</v>
      </c>
      <c r="AE42" s="79"/>
      <c r="AF42" s="79"/>
      <c r="AG42" s="79"/>
      <c r="AH42" s="79"/>
      <c r="AI42" s="79"/>
      <c r="AJ42" s="79"/>
      <c r="AK42" s="79"/>
    </row>
    <row r="43" spans="1:37" s="32" customFormat="1" ht="17.100000000000001" customHeight="1">
      <c r="A43" s="79">
        <f t="shared" si="0"/>
        <v>4</v>
      </c>
      <c r="B43" s="80">
        <f>IPQC!J11</f>
        <v>0</v>
      </c>
      <c r="C43" s="44">
        <f>IPQC!S11+VLOOKUP($R$31,$AD$38:$AK$42,6,FALSE)+VLOOKUP('File location'!$B$1,'Tester offset'!$A$2:$D$4,2,FALSE)</f>
        <v>6</v>
      </c>
      <c r="D43" s="44">
        <f>IPQC!Z11+VLOOKUP($R$31,$AD$38:$AK$42,6,FALSE)</f>
        <v>6</v>
      </c>
      <c r="E43" s="44">
        <f>VCM!HU11-'Summary(3pcs)'!C43-'Summary(3pcs)'!$D$32</f>
        <v>-185.50310559006209</v>
      </c>
      <c r="F43" s="90">
        <f>AVERAGEIF($A$34:$A$45,4,$C$34:$C$45)</f>
        <v>6</v>
      </c>
      <c r="G43" s="91">
        <f>AVERAGEIF($A$34:$A$45,4,$D$34:$D$45)</f>
        <v>6</v>
      </c>
      <c r="H43" s="91">
        <f>AVERAGEIF($A$34:$A$45,4,$E$34:$E$45)</f>
        <v>-185.50310559006209</v>
      </c>
      <c r="I43" s="91">
        <f>85-F43</f>
        <v>79</v>
      </c>
      <c r="J43"/>
      <c r="K43" s="79">
        <f t="shared" si="1"/>
        <v>4</v>
      </c>
      <c r="L43" s="80">
        <f>OC!J11</f>
        <v>0</v>
      </c>
      <c r="M43" s="44">
        <f>OC!S11+VLOOKUP($R$31,$AD$38:$AK$42,4,FALSE)</f>
        <v>0</v>
      </c>
      <c r="N43" s="44">
        <f>OC!T11+VLOOKUP($R$31,$AD$38:$AK$42,5,FALSE)</f>
        <v>4</v>
      </c>
      <c r="O43" s="92">
        <f>AVERAGEIF($K$34:$K$45,4,$M$34:$M$45)</f>
        <v>0</v>
      </c>
      <c r="P43" s="92">
        <f>AVERAGEIF($K$34:$K$45,4,$N$34:$N$45)</f>
        <v>4</v>
      </c>
      <c r="Q43" s="90">
        <f>P43*0.001</f>
        <v>4.0000000000000001E-3</v>
      </c>
      <c r="R43" s="90">
        <f>O43*0.001</f>
        <v>0</v>
      </c>
      <c r="T43" s="79">
        <v>4</v>
      </c>
      <c r="U43" s="80">
        <f>FPDC!J11</f>
        <v>0</v>
      </c>
      <c r="V43" s="75">
        <f>FPDC!R11+VLOOKUP($R$31,$AD$38:$AK$42,2,FALSE)+VLOOKUP($R$31,$AD$38:$AK$42,7,FALSE)+VLOOKUP('File location'!$B$1,'Tester offset'!$A$2:$D$4,3,FALSE)</f>
        <v>-7</v>
      </c>
      <c r="W43" s="76">
        <f>FPDC!S11+VLOOKUP($R$31,$AD$38:$AK$42,3,FALSE)+VLOOKUP($R$31,$AD$38:$AK$42,8,FALSE)+VLOOKUP('File location'!$B$1,'Tester offset'!$A$2:$D$4,4,FALSE)</f>
        <v>-3</v>
      </c>
      <c r="X43" s="92">
        <f>AVERAGEIF($T$34:$T$45,4,$V$34:$V$45)</f>
        <v>-7</v>
      </c>
      <c r="Y43" s="92">
        <f>AVERAGEIF($T$34:$T$45,4,$W$34:$W$45)</f>
        <v>-3</v>
      </c>
      <c r="Z43" s="90">
        <f>(X43*-0.01)/4</f>
        <v>1.7500000000000002E-2</v>
      </c>
      <c r="AA43" s="90">
        <f>(Y43*-0.01)/4</f>
        <v>7.4999999999999997E-3</v>
      </c>
    </row>
    <row r="44" spans="1:37" s="32" customFormat="1" ht="17.100000000000001" customHeight="1">
      <c r="A44" s="79">
        <f t="shared" si="0"/>
        <v>4</v>
      </c>
      <c r="B44" s="80">
        <f>IPQC!J12</f>
        <v>0</v>
      </c>
      <c r="C44" s="44">
        <f>IPQC!S12+VLOOKUP($R$31,$AD$38:$AK$42,6,FALSE)+VLOOKUP('File location'!$B$1,'Tester offset'!$A$2:$D$4,2,FALSE)</f>
        <v>6</v>
      </c>
      <c r="D44" s="44">
        <f>IPQC!Z12+VLOOKUP($R$31,$AD$38:$AK$42,6,FALSE)</f>
        <v>6</v>
      </c>
      <c r="E44" s="44">
        <f>VCM!HU12-'Summary(3pcs)'!C44-'Summary(3pcs)'!$D$32</f>
        <v>-185.50310559006209</v>
      </c>
      <c r="F44" s="90"/>
      <c r="G44" s="91"/>
      <c r="H44" s="91"/>
      <c r="I44" s="91"/>
      <c r="J44"/>
      <c r="K44" s="79">
        <f t="shared" si="1"/>
        <v>4</v>
      </c>
      <c r="L44" s="80">
        <f>OC!J12</f>
        <v>0</v>
      </c>
      <c r="M44" s="44">
        <f>OC!S12+VLOOKUP($R$31,$AD$38:$AK$42,4,FALSE)</f>
        <v>0</v>
      </c>
      <c r="N44" s="44">
        <f>OC!T12+VLOOKUP($R$31,$AD$38:$AK$42,5,FALSE)</f>
        <v>4</v>
      </c>
      <c r="O44" s="92"/>
      <c r="P44" s="92"/>
      <c r="Q44" s="90"/>
      <c r="R44" s="90"/>
      <c r="T44" s="79">
        <v>4</v>
      </c>
      <c r="U44" s="80">
        <f>FPDC!J12</f>
        <v>0</v>
      </c>
      <c r="V44" s="75">
        <f>FPDC!R12+VLOOKUP($R$31,$AD$38:$AK$42,2,FALSE)+VLOOKUP($R$31,$AD$38:$AK$42,7,FALSE)+VLOOKUP('File location'!$B$1,'Tester offset'!$A$2:$D$4,3,FALSE)</f>
        <v>-7</v>
      </c>
      <c r="W44" s="76">
        <f>FPDC!S12+VLOOKUP($R$31,$AD$38:$AK$42,3,FALSE)+VLOOKUP($R$31,$AD$38:$AK$42,8,FALSE)+VLOOKUP('File location'!$B$1,'Tester offset'!$A$2:$D$4,4,FALSE)</f>
        <v>-3</v>
      </c>
      <c r="X44" s="92"/>
      <c r="Y44" s="92"/>
      <c r="Z44" s="90"/>
      <c r="AA44" s="90"/>
    </row>
    <row r="45" spans="1:37" s="32" customFormat="1" ht="17.100000000000001" customHeight="1">
      <c r="A45" s="79">
        <f t="shared" si="0"/>
        <v>4</v>
      </c>
      <c r="B45" s="80">
        <f>IPQC!J13</f>
        <v>0</v>
      </c>
      <c r="C45" s="44">
        <f>IPQC!S13+VLOOKUP($R$31,$AD$38:$AK$42,6,FALSE)+VLOOKUP('File location'!$B$1,'Tester offset'!$A$2:$D$4,2,FALSE)</f>
        <v>6</v>
      </c>
      <c r="D45" s="44">
        <f>IPQC!Z13+VLOOKUP($R$31,$AD$38:$AK$42,6,FALSE)</f>
        <v>6</v>
      </c>
      <c r="E45" s="44">
        <f>VCM!HU13-'Summary(3pcs)'!C45-'Summary(3pcs)'!$D$32</f>
        <v>-185.50310559006209</v>
      </c>
      <c r="F45" s="90"/>
      <c r="G45" s="91"/>
      <c r="H45" s="91"/>
      <c r="I45" s="91"/>
      <c r="J45"/>
      <c r="K45" s="79">
        <f t="shared" si="1"/>
        <v>4</v>
      </c>
      <c r="L45" s="80">
        <f>OC!J13</f>
        <v>0</v>
      </c>
      <c r="M45" s="44">
        <f>OC!S13+VLOOKUP($R$31,$AD$38:$AK$42,4,FALSE)</f>
        <v>0</v>
      </c>
      <c r="N45" s="44">
        <f>OC!T13+VLOOKUP($R$31,$AD$38:$AK$42,5,FALSE)</f>
        <v>4</v>
      </c>
      <c r="O45" s="92"/>
      <c r="P45" s="92"/>
      <c r="Q45" s="90"/>
      <c r="R45" s="90"/>
      <c r="T45" s="79">
        <v>4</v>
      </c>
      <c r="U45" s="80">
        <f>FPDC!J13</f>
        <v>0</v>
      </c>
      <c r="V45" s="75">
        <f>FPDC!R13+VLOOKUP($R$31,$AD$38:$AK$42,2,FALSE)+VLOOKUP($R$31,$AD$38:$AK$42,7,FALSE)+VLOOKUP('File location'!$B$1,'Tester offset'!$A$2:$D$4,3,FALSE)</f>
        <v>-7</v>
      </c>
      <c r="W45" s="76">
        <f>FPDC!S13+VLOOKUP($R$31,$AD$38:$AK$42,3,FALSE)+VLOOKUP($R$31,$AD$38:$AK$42,8,FALSE)+VLOOKUP('File location'!$B$1,'Tester offset'!$A$2:$D$4,4,FALSE)</f>
        <v>-3</v>
      </c>
      <c r="X45" s="92"/>
      <c r="Y45" s="92"/>
      <c r="Z45" s="90"/>
      <c r="AA45" s="90"/>
    </row>
    <row r="47" spans="1:37" ht="15">
      <c r="F47" s="88" t="s">
        <v>14</v>
      </c>
      <c r="G47" s="88"/>
      <c r="H47" s="77" t="s">
        <v>105</v>
      </c>
      <c r="I47" s="32"/>
      <c r="K47" s="32"/>
      <c r="L47" s="32"/>
      <c r="M47" s="32"/>
      <c r="N47" s="32"/>
      <c r="O47" s="88" t="s">
        <v>161</v>
      </c>
      <c r="P47" s="88"/>
      <c r="Q47" s="77" t="s">
        <v>105</v>
      </c>
      <c r="R47" s="32"/>
      <c r="S47" s="32"/>
      <c r="T47" s="32"/>
      <c r="U47" s="32"/>
      <c r="V47" s="32"/>
      <c r="W47" s="32"/>
      <c r="X47" s="32"/>
      <c r="Y47" s="88" t="s">
        <v>2</v>
      </c>
      <c r="Z47" s="88"/>
      <c r="AA47" s="77" t="s">
        <v>105</v>
      </c>
    </row>
    <row r="48" spans="1:37" ht="17.25">
      <c r="F48" s="89" t="s">
        <v>155</v>
      </c>
      <c r="G48" s="89"/>
      <c r="H48" s="78" t="s">
        <v>141</v>
      </c>
      <c r="I48" s="32"/>
      <c r="K48" s="32"/>
      <c r="L48" s="32"/>
      <c r="M48" s="32"/>
      <c r="N48" s="32"/>
      <c r="O48" s="93" t="s">
        <v>156</v>
      </c>
      <c r="P48" s="89"/>
      <c r="Q48" s="78" t="s">
        <v>162</v>
      </c>
      <c r="R48" s="32"/>
      <c r="S48" s="32"/>
      <c r="T48" s="32"/>
      <c r="U48" s="32"/>
      <c r="V48" s="32"/>
      <c r="W48" s="32"/>
      <c r="X48" s="32"/>
      <c r="Y48" s="93" t="s">
        <v>156</v>
      </c>
      <c r="Z48" s="89"/>
      <c r="AA48" s="78" t="s">
        <v>104</v>
      </c>
    </row>
    <row r="49" spans="6:27" ht="17.25">
      <c r="F49" s="89" t="s">
        <v>157</v>
      </c>
      <c r="G49" s="89"/>
      <c r="H49" s="78" t="s">
        <v>107</v>
      </c>
      <c r="I49" s="32"/>
      <c r="K49" s="32"/>
      <c r="L49" s="32"/>
      <c r="M49" s="32"/>
      <c r="N49" s="32"/>
      <c r="O49" s="93" t="s">
        <v>165</v>
      </c>
      <c r="P49" s="89"/>
      <c r="Q49" s="78" t="s">
        <v>163</v>
      </c>
      <c r="R49" s="32"/>
      <c r="S49" s="32"/>
      <c r="T49" s="32"/>
      <c r="U49" s="32"/>
      <c r="V49" s="32"/>
      <c r="W49" s="32"/>
      <c r="X49" s="32"/>
      <c r="Y49" s="93" t="s">
        <v>159</v>
      </c>
      <c r="Z49" s="89"/>
      <c r="AA49" s="78" t="s">
        <v>164</v>
      </c>
    </row>
    <row r="50" spans="6:27" ht="17.25">
      <c r="F50" s="89" t="s">
        <v>16</v>
      </c>
      <c r="G50" s="89"/>
      <c r="H50" s="78" t="s">
        <v>106</v>
      </c>
      <c r="I50" s="32"/>
      <c r="K50" s="32"/>
      <c r="L50" s="32"/>
      <c r="M50" s="32"/>
      <c r="N50" s="32"/>
      <c r="O50" s="93" t="s">
        <v>165</v>
      </c>
      <c r="P50" s="89"/>
      <c r="Q50" s="78" t="s">
        <v>166</v>
      </c>
      <c r="R50" s="32"/>
      <c r="S50" s="32"/>
      <c r="T50" s="32"/>
      <c r="U50" s="32"/>
      <c r="V50" s="32"/>
      <c r="W50" s="32"/>
      <c r="X50" s="32"/>
      <c r="Y50" s="93" t="s">
        <v>158</v>
      </c>
      <c r="Z50" s="89"/>
      <c r="AA50" s="78" t="s">
        <v>142</v>
      </c>
    </row>
    <row r="52" spans="6:27" ht="19.5">
      <c r="I52" s="45"/>
      <c r="J52" s="45"/>
      <c r="K52" s="81" t="s">
        <v>151</v>
      </c>
      <c r="L52" s="82"/>
      <c r="M52" s="82"/>
      <c r="N52" s="82"/>
      <c r="O52" s="82"/>
      <c r="P52" s="82"/>
      <c r="Q52" s="83"/>
    </row>
    <row r="53" spans="6:27" ht="20.25" thickBot="1">
      <c r="I53" s="45"/>
      <c r="J53" s="45"/>
      <c r="K53" s="45"/>
      <c r="L53" s="45"/>
      <c r="M53" s="45"/>
      <c r="N53" s="45"/>
      <c r="O53" s="45"/>
      <c r="P53" s="45"/>
      <c r="Q53" s="45"/>
    </row>
    <row r="54" spans="6:27" ht="19.5">
      <c r="I54" s="47">
        <f t="shared" ref="I54:I65" si="2">T34</f>
        <v>1</v>
      </c>
      <c r="J54" s="45"/>
      <c r="K54" s="48">
        <f t="shared" ref="K54:K65" si="3">C34</f>
        <v>92.632589953600004</v>
      </c>
      <c r="L54" s="49">
        <f t="shared" ref="L54:L65" si="4">D34</f>
        <v>74.226303483899997</v>
      </c>
      <c r="M54" s="49">
        <f t="shared" ref="M54:M65" si="5">E34</f>
        <v>137.84621571933786</v>
      </c>
      <c r="N54" s="49">
        <f t="shared" ref="N54:O65" si="6">M34</f>
        <v>4.530901858</v>
      </c>
      <c r="O54" s="49">
        <f t="shared" si="6"/>
        <v>-0.62402495029999994</v>
      </c>
      <c r="P54" s="49">
        <f t="shared" ref="P54:P65" si="7">V34</f>
        <v>10.497730255099999</v>
      </c>
      <c r="Q54" s="50">
        <f t="shared" ref="Q54:Q65" si="8">W34</f>
        <v>-6.9426636695999999</v>
      </c>
    </row>
    <row r="55" spans="6:27" ht="19.5">
      <c r="I55" s="47">
        <f t="shared" si="2"/>
        <v>1</v>
      </c>
      <c r="J55" s="46"/>
      <c r="K55" s="51">
        <f t="shared" si="3"/>
        <v>90.1031090237</v>
      </c>
      <c r="L55" s="52">
        <f t="shared" si="4"/>
        <v>63.780005613999997</v>
      </c>
      <c r="M55" s="52">
        <f t="shared" si="5"/>
        <v>147.7636176644379</v>
      </c>
      <c r="N55" s="52">
        <f t="shared" si="6"/>
        <v>-1.3467527029999999</v>
      </c>
      <c r="O55" s="52">
        <f t="shared" si="6"/>
        <v>2.9607889803000003</v>
      </c>
      <c r="P55" s="52">
        <f t="shared" si="7"/>
        <v>6.6217050551999996</v>
      </c>
      <c r="Q55" s="53">
        <f t="shared" si="8"/>
        <v>-6.1375422477999999</v>
      </c>
    </row>
    <row r="56" spans="6:27" ht="19.5">
      <c r="I56" s="47">
        <f t="shared" si="2"/>
        <v>1</v>
      </c>
      <c r="J56" s="46"/>
      <c r="K56" s="54">
        <f t="shared" si="3"/>
        <v>86.032912039099998</v>
      </c>
      <c r="L56" s="55">
        <f t="shared" si="4"/>
        <v>67.646121421499998</v>
      </c>
      <c r="M56" s="55">
        <f t="shared" si="5"/>
        <v>162.63996334603792</v>
      </c>
      <c r="N56" s="55">
        <f t="shared" si="6"/>
        <v>-6.1250679844000002</v>
      </c>
      <c r="O56" s="55">
        <f t="shared" si="6"/>
        <v>7.2526507569999996</v>
      </c>
      <c r="P56" s="55">
        <f t="shared" si="7"/>
        <v>3.4953384398999994</v>
      </c>
      <c r="Q56" s="56">
        <f t="shared" si="8"/>
        <v>-3.1949280500000001</v>
      </c>
    </row>
    <row r="57" spans="6:27" ht="19.5">
      <c r="I57" s="47">
        <f t="shared" si="2"/>
        <v>2</v>
      </c>
      <c r="J57" s="46"/>
      <c r="K57" s="57">
        <f t="shared" si="3"/>
        <v>6</v>
      </c>
      <c r="L57" s="58">
        <f t="shared" si="4"/>
        <v>6</v>
      </c>
      <c r="M57" s="58">
        <f t="shared" si="5"/>
        <v>-185.50310559006209</v>
      </c>
      <c r="N57" s="58">
        <f t="shared" si="6"/>
        <v>0</v>
      </c>
      <c r="O57" s="58">
        <f t="shared" si="6"/>
        <v>4</v>
      </c>
      <c r="P57" s="58">
        <f t="shared" si="7"/>
        <v>-7</v>
      </c>
      <c r="Q57" s="59">
        <f t="shared" si="8"/>
        <v>-3</v>
      </c>
    </row>
    <row r="58" spans="6:27" ht="19.5">
      <c r="I58" s="47">
        <f t="shared" si="2"/>
        <v>2</v>
      </c>
      <c r="J58" s="46"/>
      <c r="K58" s="57">
        <f t="shared" si="3"/>
        <v>6</v>
      </c>
      <c r="L58" s="58">
        <f t="shared" si="4"/>
        <v>6</v>
      </c>
      <c r="M58" s="58">
        <f t="shared" si="5"/>
        <v>-185.50310559006209</v>
      </c>
      <c r="N58" s="58">
        <f t="shared" si="6"/>
        <v>0</v>
      </c>
      <c r="O58" s="58">
        <f t="shared" si="6"/>
        <v>4</v>
      </c>
      <c r="P58" s="58">
        <f t="shared" si="7"/>
        <v>-7</v>
      </c>
      <c r="Q58" s="59">
        <f t="shared" si="8"/>
        <v>-3</v>
      </c>
    </row>
    <row r="59" spans="6:27" ht="19.5">
      <c r="I59" s="47">
        <f t="shared" si="2"/>
        <v>2</v>
      </c>
      <c r="J59" s="46"/>
      <c r="K59" s="57">
        <f t="shared" si="3"/>
        <v>6</v>
      </c>
      <c r="L59" s="58">
        <f t="shared" si="4"/>
        <v>6</v>
      </c>
      <c r="M59" s="58">
        <f t="shared" si="5"/>
        <v>-185.50310559006209</v>
      </c>
      <c r="N59" s="58">
        <f t="shared" si="6"/>
        <v>0</v>
      </c>
      <c r="O59" s="58">
        <f t="shared" si="6"/>
        <v>4</v>
      </c>
      <c r="P59" s="58">
        <f t="shared" si="7"/>
        <v>-7</v>
      </c>
      <c r="Q59" s="59">
        <f t="shared" si="8"/>
        <v>-3</v>
      </c>
    </row>
    <row r="60" spans="6:27" ht="19.5">
      <c r="I60" s="47">
        <f t="shared" si="2"/>
        <v>3</v>
      </c>
      <c r="J60" s="46"/>
      <c r="K60" s="60">
        <f t="shared" si="3"/>
        <v>6</v>
      </c>
      <c r="L60" s="61">
        <f t="shared" si="4"/>
        <v>6</v>
      </c>
      <c r="M60" s="61">
        <f t="shared" si="5"/>
        <v>-185.50310559006209</v>
      </c>
      <c r="N60" s="61">
        <f t="shared" si="6"/>
        <v>0</v>
      </c>
      <c r="O60" s="61">
        <f t="shared" si="6"/>
        <v>4</v>
      </c>
      <c r="P60" s="61">
        <f t="shared" si="7"/>
        <v>-7</v>
      </c>
      <c r="Q60" s="62">
        <f t="shared" si="8"/>
        <v>-3</v>
      </c>
    </row>
    <row r="61" spans="6:27" ht="19.5">
      <c r="I61" s="47">
        <f t="shared" si="2"/>
        <v>3</v>
      </c>
      <c r="J61" s="46"/>
      <c r="K61" s="63">
        <f t="shared" si="3"/>
        <v>6</v>
      </c>
      <c r="L61" s="64">
        <f t="shared" si="4"/>
        <v>6</v>
      </c>
      <c r="M61" s="64">
        <f t="shared" si="5"/>
        <v>-185.50310559006209</v>
      </c>
      <c r="N61" s="64">
        <f t="shared" si="6"/>
        <v>0</v>
      </c>
      <c r="O61" s="64">
        <f t="shared" si="6"/>
        <v>4</v>
      </c>
      <c r="P61" s="64">
        <f t="shared" si="7"/>
        <v>-7</v>
      </c>
      <c r="Q61" s="65">
        <f t="shared" si="8"/>
        <v>-3</v>
      </c>
    </row>
    <row r="62" spans="6:27" ht="19.5">
      <c r="I62" s="47">
        <f t="shared" si="2"/>
        <v>3</v>
      </c>
      <c r="J62" s="46"/>
      <c r="K62" s="66">
        <f t="shared" si="3"/>
        <v>6</v>
      </c>
      <c r="L62" s="67">
        <f t="shared" si="4"/>
        <v>6</v>
      </c>
      <c r="M62" s="67">
        <f t="shared" si="5"/>
        <v>-185.50310559006209</v>
      </c>
      <c r="N62" s="67">
        <f t="shared" si="6"/>
        <v>0</v>
      </c>
      <c r="O62" s="67">
        <f t="shared" si="6"/>
        <v>4</v>
      </c>
      <c r="P62" s="67">
        <f t="shared" si="7"/>
        <v>-7</v>
      </c>
      <c r="Q62" s="68">
        <f t="shared" si="8"/>
        <v>-3</v>
      </c>
    </row>
    <row r="63" spans="6:27" ht="19.5">
      <c r="I63" s="47">
        <f t="shared" si="2"/>
        <v>4</v>
      </c>
      <c r="J63" s="46"/>
      <c r="K63" s="57">
        <f t="shared" si="3"/>
        <v>6</v>
      </c>
      <c r="L63" s="58">
        <f t="shared" si="4"/>
        <v>6</v>
      </c>
      <c r="M63" s="58">
        <f t="shared" si="5"/>
        <v>-185.50310559006209</v>
      </c>
      <c r="N63" s="58">
        <f t="shared" si="6"/>
        <v>0</v>
      </c>
      <c r="O63" s="58">
        <f t="shared" si="6"/>
        <v>4</v>
      </c>
      <c r="P63" s="58">
        <f t="shared" si="7"/>
        <v>-7</v>
      </c>
      <c r="Q63" s="59">
        <f t="shared" si="8"/>
        <v>-3</v>
      </c>
    </row>
    <row r="64" spans="6:27" ht="19.5">
      <c r="I64" s="47">
        <f t="shared" si="2"/>
        <v>4</v>
      </c>
      <c r="J64" s="46"/>
      <c r="K64" s="57">
        <f t="shared" si="3"/>
        <v>6</v>
      </c>
      <c r="L64" s="58">
        <f t="shared" si="4"/>
        <v>6</v>
      </c>
      <c r="M64" s="58">
        <f t="shared" si="5"/>
        <v>-185.50310559006209</v>
      </c>
      <c r="N64" s="58">
        <f t="shared" si="6"/>
        <v>0</v>
      </c>
      <c r="O64" s="58">
        <f t="shared" si="6"/>
        <v>4</v>
      </c>
      <c r="P64" s="58">
        <f t="shared" si="7"/>
        <v>-7</v>
      </c>
      <c r="Q64" s="59">
        <f t="shared" si="8"/>
        <v>-3</v>
      </c>
    </row>
    <row r="65" spans="9:17" ht="20.25" thickBot="1">
      <c r="I65" s="47">
        <f t="shared" si="2"/>
        <v>4</v>
      </c>
      <c r="J65" s="46"/>
      <c r="K65" s="69">
        <f t="shared" si="3"/>
        <v>6</v>
      </c>
      <c r="L65" s="70">
        <f t="shared" si="4"/>
        <v>6</v>
      </c>
      <c r="M65" s="70">
        <f t="shared" si="5"/>
        <v>-185.50310559006209</v>
      </c>
      <c r="N65" s="70">
        <f t="shared" si="6"/>
        <v>0</v>
      </c>
      <c r="O65" s="70">
        <f t="shared" si="6"/>
        <v>4</v>
      </c>
      <c r="P65" s="70">
        <f t="shared" si="7"/>
        <v>-7</v>
      </c>
      <c r="Q65" s="71">
        <f t="shared" si="8"/>
        <v>-3</v>
      </c>
    </row>
  </sheetData>
  <sheetProtection selectLockedCells="1"/>
  <mergeCells count="68">
    <mergeCell ref="AE36:AI36"/>
    <mergeCell ref="AJ36:AK36"/>
    <mergeCell ref="AD36:AD37"/>
    <mergeCell ref="AA34:AA36"/>
    <mergeCell ref="Z37:Z39"/>
    <mergeCell ref="AA37:AA39"/>
    <mergeCell ref="Z34:Z36"/>
    <mergeCell ref="AA40:AA42"/>
    <mergeCell ref="Z43:Z45"/>
    <mergeCell ref="AA43:AA45"/>
    <mergeCell ref="G37:G39"/>
    <mergeCell ref="G40:G42"/>
    <mergeCell ref="Z40:Z42"/>
    <mergeCell ref="O37:O39"/>
    <mergeCell ref="P37:P39"/>
    <mergeCell ref="O40:O42"/>
    <mergeCell ref="P40:P42"/>
    <mergeCell ref="X37:X39"/>
    <mergeCell ref="Y37:Y39"/>
    <mergeCell ref="X40:X42"/>
    <mergeCell ref="Y40:Y42"/>
    <mergeCell ref="Q40:Q42"/>
    <mergeCell ref="R40:R42"/>
    <mergeCell ref="F49:G49"/>
    <mergeCell ref="F50:G50"/>
    <mergeCell ref="Y47:Z47"/>
    <mergeCell ref="Y48:Z48"/>
    <mergeCell ref="Y49:Z49"/>
    <mergeCell ref="O47:P47"/>
    <mergeCell ref="O48:P48"/>
    <mergeCell ref="O49:P49"/>
    <mergeCell ref="Y50:Z50"/>
    <mergeCell ref="O50:P50"/>
    <mergeCell ref="X43:X45"/>
    <mergeCell ref="O34:O36"/>
    <mergeCell ref="P34:P36"/>
    <mergeCell ref="Y43:Y45"/>
    <mergeCell ref="O43:O45"/>
    <mergeCell ref="P43:P45"/>
    <mergeCell ref="Q43:Q45"/>
    <mergeCell ref="R43:R45"/>
    <mergeCell ref="Y34:Y36"/>
    <mergeCell ref="X34:X36"/>
    <mergeCell ref="Q34:Q36"/>
    <mergeCell ref="R34:R36"/>
    <mergeCell ref="Q37:Q39"/>
    <mergeCell ref="R37:R39"/>
    <mergeCell ref="I37:I39"/>
    <mergeCell ref="G34:G36"/>
    <mergeCell ref="G43:G45"/>
    <mergeCell ref="I40:I42"/>
    <mergeCell ref="I43:I45"/>
    <mergeCell ref="K52:Q52"/>
    <mergeCell ref="S31:T31"/>
    <mergeCell ref="U31:U32"/>
    <mergeCell ref="M31:M32"/>
    <mergeCell ref="B31:B32"/>
    <mergeCell ref="F47:G47"/>
    <mergeCell ref="F48:G48"/>
    <mergeCell ref="F43:F45"/>
    <mergeCell ref="H43:H45"/>
    <mergeCell ref="F34:F36"/>
    <mergeCell ref="H34:H36"/>
    <mergeCell ref="F37:F39"/>
    <mergeCell ref="H37:H39"/>
    <mergeCell ref="F40:F42"/>
    <mergeCell ref="H40:H42"/>
    <mergeCell ref="I34:I36"/>
  </mergeCells>
  <phoneticPr fontId="8" type="noConversion"/>
  <conditionalFormatting sqref="I54:I65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4:Q65">
    <cfRule type="duplicateValues" dxfId="26" priority="158"/>
  </conditionalFormatting>
  <conditionalFormatting sqref="X34:Y34 X37:Y37 X40:Y40 X43:Y43">
    <cfRule type="cellIs" dxfId="25" priority="30" operator="lessThan">
      <formula>-7</formula>
    </cfRule>
    <cfRule type="cellIs" dxfId="24" priority="31" operator="greaterThan">
      <formula>7</formula>
    </cfRule>
  </conditionalFormatting>
  <conditionalFormatting sqref="M34:N45">
    <cfRule type="cellIs" dxfId="23" priority="9" operator="lessThan">
      <formula>-28</formula>
    </cfRule>
    <cfRule type="cellIs" dxfId="22" priority="10" operator="greaterThan">
      <formula>28</formula>
    </cfRule>
    <cfRule type="cellIs" dxfId="21" priority="15" operator="lessThan">
      <formula>-26.6</formula>
    </cfRule>
    <cfRule type="cellIs" dxfId="20" priority="16" operator="greaterThan">
      <formula>26.6</formula>
    </cfRule>
    <cfRule type="duplicateValues" dxfId="19" priority="18"/>
  </conditionalFormatting>
  <conditionalFormatting sqref="E34:E45">
    <cfRule type="cellIs" dxfId="18" priority="29" operator="lessThan">
      <formula>35</formula>
    </cfRule>
  </conditionalFormatting>
  <conditionalFormatting sqref="D34:D45">
    <cfRule type="cellIs" dxfId="17" priority="28" operator="lessThan">
      <formula>45</formula>
    </cfRule>
  </conditionalFormatting>
  <conditionalFormatting sqref="F34:F45">
    <cfRule type="cellIs" dxfId="16" priority="26" operator="lessThan">
      <formula>83</formula>
    </cfRule>
    <cfRule type="cellIs" dxfId="15" priority="27" operator="greaterThan">
      <formula>97</formula>
    </cfRule>
  </conditionalFormatting>
  <conditionalFormatting sqref="L34:L45 B34:B45">
    <cfRule type="uniqueValues" dxfId="14" priority="25"/>
  </conditionalFormatting>
  <conditionalFormatting sqref="L34:L45 U34:U45">
    <cfRule type="uniqueValues" dxfId="13" priority="24"/>
  </conditionalFormatting>
  <conditionalFormatting sqref="V34:W45">
    <cfRule type="cellIs" dxfId="12" priority="20" operator="lessThan">
      <formula>-25</formula>
    </cfRule>
    <cfRule type="cellIs" dxfId="11" priority="21" operator="greaterThan">
      <formula>25</formula>
    </cfRule>
    <cfRule type="cellIs" dxfId="10" priority="22" operator="lessThan">
      <formula>-22.5</formula>
    </cfRule>
    <cfRule type="cellIs" dxfId="9" priority="23" operator="greaterThan">
      <formula>22.5</formula>
    </cfRule>
  </conditionalFormatting>
  <conditionalFormatting sqref="V34:W45">
    <cfRule type="duplicateValues" dxfId="8" priority="19"/>
  </conditionalFormatting>
  <conditionalFormatting sqref="C34:E45">
    <cfRule type="duplicateValues" dxfId="7" priority="17"/>
  </conditionalFormatting>
  <conditionalFormatting sqref="X34:Y45">
    <cfRule type="duplicateValues" dxfId="6" priority="8"/>
  </conditionalFormatting>
  <conditionalFormatting sqref="F34:H45">
    <cfRule type="duplicateValues" dxfId="5" priority="6"/>
  </conditionalFormatting>
  <conditionalFormatting sqref="O34:P45">
    <cfRule type="duplicateValues" dxfId="4" priority="1"/>
    <cfRule type="cellIs" dxfId="3" priority="2" operator="lessThan">
      <formula>-12</formula>
    </cfRule>
    <cfRule type="cellIs" dxfId="2" priority="3" operator="greaterThan">
      <formula>12</formula>
    </cfRule>
    <cfRule type="cellIs" dxfId="1" priority="4" operator="lessThan">
      <formula>-10.8</formula>
    </cfRule>
    <cfRule type="cellIs" dxfId="0" priority="5" operator="greaterThan">
      <formula>10.8</formula>
    </cfRule>
  </conditionalFormatting>
  <dataValidations count="1">
    <dataValidation type="list" allowBlank="1" showInputMessage="1" showErrorMessage="1" sqref="R31">
      <formula1>$AD$38:$AD$42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4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6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190</v>
      </c>
      <c r="R1" t="s">
        <v>191</v>
      </c>
      <c r="S1" t="s">
        <v>192</v>
      </c>
      <c r="T1" t="s">
        <v>193</v>
      </c>
      <c r="U1" t="s">
        <v>194</v>
      </c>
      <c r="V1" t="s">
        <v>195</v>
      </c>
      <c r="W1" t="s">
        <v>196</v>
      </c>
      <c r="X1" t="s">
        <v>197</v>
      </c>
      <c r="Y1" t="s">
        <v>198</v>
      </c>
      <c r="Z1" t="s">
        <v>199</v>
      </c>
      <c r="AA1" t="s">
        <v>200</v>
      </c>
      <c r="AB1" t="s">
        <v>201</v>
      </c>
      <c r="AC1" t="s">
        <v>202</v>
      </c>
      <c r="AD1" t="s">
        <v>203</v>
      </c>
      <c r="AE1" t="s">
        <v>204</v>
      </c>
      <c r="AF1" t="s">
        <v>205</v>
      </c>
      <c r="AG1" t="s">
        <v>206</v>
      </c>
      <c r="AH1" t="s">
        <v>207</v>
      </c>
      <c r="AI1" t="s">
        <v>208</v>
      </c>
      <c r="AJ1" t="s">
        <v>209</v>
      </c>
    </row>
    <row r="2" spans="1:36">
      <c r="A2" t="s">
        <v>210</v>
      </c>
      <c r="B2" t="s">
        <v>211</v>
      </c>
      <c r="C2" t="s">
        <v>212</v>
      </c>
      <c r="D2">
        <v>3</v>
      </c>
      <c r="E2" t="s">
        <v>213</v>
      </c>
      <c r="F2" t="s">
        <v>214</v>
      </c>
      <c r="G2" t="s">
        <v>215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2117.0309018580001</v>
      </c>
      <c r="R2">
        <v>1517.1240249503001</v>
      </c>
      <c r="S2">
        <v>4.530901858</v>
      </c>
      <c r="T2">
        <v>-4.6240249502999999</v>
      </c>
      <c r="U2">
        <v>6.4738457184999998</v>
      </c>
      <c r="V2">
        <v>716.17840000000001</v>
      </c>
      <c r="W2">
        <v>383.84160000000003</v>
      </c>
      <c r="X2">
        <v>387.56450000000001</v>
      </c>
      <c r="Y2">
        <v>383.41250000000002</v>
      </c>
      <c r="Z2">
        <v>385.07979999999998</v>
      </c>
      <c r="AA2">
        <v>550.57650000000001</v>
      </c>
      <c r="AB2" t="s">
        <v>222</v>
      </c>
      <c r="AC2" t="s">
        <v>223</v>
      </c>
      <c r="AD2" t="s">
        <v>224</v>
      </c>
      <c r="AE2" t="s">
        <v>225</v>
      </c>
      <c r="AF2" t="s">
        <v>226</v>
      </c>
      <c r="AG2">
        <v>7</v>
      </c>
      <c r="AH2" t="s">
        <v>227</v>
      </c>
      <c r="AJ2">
        <v>1</v>
      </c>
    </row>
    <row r="3" spans="1:36">
      <c r="A3" t="s">
        <v>228</v>
      </c>
      <c r="B3" t="s">
        <v>229</v>
      </c>
      <c r="C3" t="s">
        <v>212</v>
      </c>
      <c r="D3">
        <v>3</v>
      </c>
      <c r="E3" t="s">
        <v>213</v>
      </c>
      <c r="F3" t="s">
        <v>214</v>
      </c>
      <c r="G3" t="s">
        <v>215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2111.1532472969998</v>
      </c>
      <c r="R3">
        <v>1513.5392110196999</v>
      </c>
      <c r="S3">
        <v>-1.3467527029999999</v>
      </c>
      <c r="T3">
        <v>-1.0392110197</v>
      </c>
      <c r="U3">
        <v>1.7010885887</v>
      </c>
      <c r="V3">
        <v>713.94449999999995</v>
      </c>
      <c r="W3">
        <v>383.5403</v>
      </c>
      <c r="X3">
        <v>388.63869999999997</v>
      </c>
      <c r="Y3">
        <v>383.46870000000001</v>
      </c>
      <c r="Z3">
        <v>385.62090000000001</v>
      </c>
      <c r="AA3">
        <v>549.63082499999996</v>
      </c>
      <c r="AB3" t="s">
        <v>222</v>
      </c>
      <c r="AC3" t="s">
        <v>223</v>
      </c>
      <c r="AD3" t="s">
        <v>224</v>
      </c>
      <c r="AE3" t="s">
        <v>225</v>
      </c>
      <c r="AF3" t="s">
        <v>226</v>
      </c>
      <c r="AG3">
        <v>7</v>
      </c>
      <c r="AH3" t="s">
        <v>227</v>
      </c>
      <c r="AJ3">
        <v>1</v>
      </c>
    </row>
    <row r="4" spans="1:36">
      <c r="A4" t="s">
        <v>235</v>
      </c>
      <c r="B4" t="s">
        <v>236</v>
      </c>
      <c r="C4" t="s">
        <v>212</v>
      </c>
      <c r="D4">
        <v>3</v>
      </c>
      <c r="E4" t="s">
        <v>213</v>
      </c>
      <c r="F4" t="s">
        <v>214</v>
      </c>
      <c r="G4" t="s">
        <v>215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2106.3749320155998</v>
      </c>
      <c r="R4">
        <v>1509.2473492429999</v>
      </c>
      <c r="S4">
        <v>-6.1250679844000002</v>
      </c>
      <c r="T4">
        <v>3.2526507570000001</v>
      </c>
      <c r="U4">
        <v>6.9351420144000002</v>
      </c>
      <c r="V4">
        <v>735.19849999999997</v>
      </c>
      <c r="W4">
        <v>399.4452</v>
      </c>
      <c r="X4">
        <v>402.98419999999999</v>
      </c>
      <c r="Y4">
        <v>401.54629999999997</v>
      </c>
      <c r="Z4">
        <v>398.23289999999997</v>
      </c>
      <c r="AA4">
        <v>567.87532499999998</v>
      </c>
      <c r="AB4" t="s">
        <v>222</v>
      </c>
      <c r="AC4" t="s">
        <v>223</v>
      </c>
      <c r="AD4" t="s">
        <v>224</v>
      </c>
      <c r="AE4" t="s">
        <v>225</v>
      </c>
      <c r="AF4" t="s">
        <v>226</v>
      </c>
      <c r="AG4">
        <v>7</v>
      </c>
      <c r="AH4" t="s">
        <v>227</v>
      </c>
      <c r="AJ4">
        <v>1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X4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0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242</v>
      </c>
      <c r="R1" t="s">
        <v>243</v>
      </c>
      <c r="S1" t="s">
        <v>244</v>
      </c>
      <c r="T1" t="s">
        <v>245</v>
      </c>
      <c r="U1" t="s">
        <v>246</v>
      </c>
      <c r="V1" t="s">
        <v>247</v>
      </c>
      <c r="W1" t="s">
        <v>248</v>
      </c>
      <c r="X1" t="s">
        <v>249</v>
      </c>
      <c r="Y1" t="s">
        <v>250</v>
      </c>
      <c r="Z1" t="s">
        <v>251</v>
      </c>
      <c r="AA1" t="s">
        <v>252</v>
      </c>
      <c r="AB1" t="s">
        <v>253</v>
      </c>
      <c r="AC1" t="s">
        <v>254</v>
      </c>
      <c r="AD1" t="s">
        <v>255</v>
      </c>
      <c r="AE1" t="s">
        <v>256</v>
      </c>
      <c r="AF1" t="s">
        <v>257</v>
      </c>
      <c r="AG1" t="s">
        <v>258</v>
      </c>
      <c r="AH1" t="s">
        <v>259</v>
      </c>
      <c r="AI1" t="s">
        <v>260</v>
      </c>
      <c r="AJ1" t="s">
        <v>261</v>
      </c>
      <c r="AK1" t="s">
        <v>262</v>
      </c>
      <c r="AL1" t="s">
        <v>263</v>
      </c>
      <c r="AM1" t="s">
        <v>264</v>
      </c>
      <c r="AN1" t="s">
        <v>265</v>
      </c>
      <c r="AO1" t="s">
        <v>266</v>
      </c>
      <c r="AP1" t="s">
        <v>267</v>
      </c>
      <c r="AQ1" t="s">
        <v>268</v>
      </c>
      <c r="AR1" t="s">
        <v>269</v>
      </c>
      <c r="AS1" t="s">
        <v>270</v>
      </c>
      <c r="AT1" t="s">
        <v>271</v>
      </c>
      <c r="AU1" t="s">
        <v>272</v>
      </c>
      <c r="AV1" t="s">
        <v>207</v>
      </c>
      <c r="AW1" t="s">
        <v>208</v>
      </c>
      <c r="AX1" t="s">
        <v>209</v>
      </c>
    </row>
    <row r="2" spans="1:50">
      <c r="A2" t="s">
        <v>273</v>
      </c>
      <c r="B2" t="s">
        <v>274</v>
      </c>
      <c r="C2" t="s">
        <v>212</v>
      </c>
      <c r="D2">
        <v>3</v>
      </c>
      <c r="E2" t="s">
        <v>213</v>
      </c>
      <c r="F2" t="s">
        <v>214</v>
      </c>
      <c r="G2" t="s">
        <v>275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-5.2452000000000002E-6</v>
      </c>
      <c r="R2">
        <v>17.497730255099999</v>
      </c>
      <c r="S2">
        <v>-3.9426636695999999</v>
      </c>
      <c r="T2">
        <v>6.1112456322000002</v>
      </c>
      <c r="U2">
        <v>7.5394353867000001</v>
      </c>
      <c r="V2">
        <v>-1.201530695</v>
      </c>
      <c r="W2">
        <v>-1.5529041290000001</v>
      </c>
      <c r="X2">
        <v>4.5038671494000004</v>
      </c>
      <c r="Y2">
        <v>0.16293680669999999</v>
      </c>
      <c r="Z2">
        <v>-0.29133492709999997</v>
      </c>
      <c r="AA2">
        <v>1.1017234325</v>
      </c>
      <c r="AB2">
        <v>-3.0678617953999998</v>
      </c>
      <c r="AC2">
        <v>0.22701644900000001</v>
      </c>
      <c r="AD2">
        <v>-0.84913527970000002</v>
      </c>
      <c r="AE2">
        <v>-1.8163696526999999</v>
      </c>
      <c r="AF2">
        <v>-0.78523212669999998</v>
      </c>
      <c r="AG2">
        <v>-0.46691295500000002</v>
      </c>
      <c r="AH2">
        <v>-0.1942042708</v>
      </c>
      <c r="AI2">
        <v>-0.60027086730000001</v>
      </c>
      <c r="AJ2">
        <v>0.51001048090000001</v>
      </c>
      <c r="AK2">
        <v>1.7586199999999999E-4</v>
      </c>
      <c r="AL2">
        <v>4.1252169800000002E-2</v>
      </c>
      <c r="AM2">
        <v>0.2703039646</v>
      </c>
      <c r="AN2">
        <v>0.11937670409999999</v>
      </c>
      <c r="AO2">
        <v>0.35617762800000002</v>
      </c>
      <c r="AP2">
        <v>0.35617762800000002</v>
      </c>
      <c r="AQ2">
        <v>17.9364199575</v>
      </c>
      <c r="AR2" t="s">
        <v>276</v>
      </c>
      <c r="AS2" t="s">
        <v>277</v>
      </c>
      <c r="AT2">
        <v>3</v>
      </c>
      <c r="AU2">
        <v>2.9</v>
      </c>
      <c r="AX2">
        <v>1</v>
      </c>
    </row>
    <row r="3" spans="1:50">
      <c r="A3" t="s">
        <v>278</v>
      </c>
      <c r="B3" t="s">
        <v>279</v>
      </c>
      <c r="C3" t="s">
        <v>212</v>
      </c>
      <c r="D3">
        <v>3</v>
      </c>
      <c r="E3" t="s">
        <v>213</v>
      </c>
      <c r="F3" t="s">
        <v>214</v>
      </c>
      <c r="G3" t="s">
        <v>275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2.3842E-6</v>
      </c>
      <c r="R3">
        <v>13.6217050552</v>
      </c>
      <c r="S3">
        <v>-3.1375422477999999</v>
      </c>
      <c r="T3">
        <v>4.2614479064999999</v>
      </c>
      <c r="U3">
        <v>8.6258306502999993</v>
      </c>
      <c r="V3">
        <v>1.8664975166</v>
      </c>
      <c r="W3">
        <v>-0.85305756330000004</v>
      </c>
      <c r="X3">
        <v>4.1164903640999997</v>
      </c>
      <c r="Y3">
        <v>-0.13159626720000001</v>
      </c>
      <c r="Z3">
        <v>-1.4118591546999999</v>
      </c>
      <c r="AA3">
        <v>1.1105936766</v>
      </c>
      <c r="AB3">
        <v>-2.1262469292000001</v>
      </c>
      <c r="AC3">
        <v>-0.490478158</v>
      </c>
      <c r="AD3">
        <v>-0.9112417102</v>
      </c>
      <c r="AE3">
        <v>-1.4917323589</v>
      </c>
      <c r="AF3">
        <v>0.2226583362</v>
      </c>
      <c r="AG3">
        <v>0.49260014299999999</v>
      </c>
      <c r="AH3">
        <v>-0.2761339545</v>
      </c>
      <c r="AI3">
        <v>6.7940235099999996E-2</v>
      </c>
      <c r="AJ3">
        <v>5.9005439299999997E-2</v>
      </c>
      <c r="AK3">
        <v>2.2390560000000001E-4</v>
      </c>
      <c r="AL3">
        <v>4.9604244499999998E-2</v>
      </c>
      <c r="AM3">
        <v>0.20220445100000001</v>
      </c>
      <c r="AN3">
        <v>0.1092443392</v>
      </c>
      <c r="AO3">
        <v>0.30963104959999999</v>
      </c>
      <c r="AP3">
        <v>0.30963104959999999</v>
      </c>
      <c r="AQ3">
        <v>13.9783768717</v>
      </c>
      <c r="AR3" t="s">
        <v>276</v>
      </c>
      <c r="AS3" t="s">
        <v>277</v>
      </c>
      <c r="AT3">
        <v>3</v>
      </c>
      <c r="AU3">
        <v>2.9</v>
      </c>
      <c r="AX3">
        <v>1</v>
      </c>
    </row>
    <row r="4" spans="1:50">
      <c r="A4" t="s">
        <v>280</v>
      </c>
      <c r="B4" t="s">
        <v>281</v>
      </c>
      <c r="C4" t="s">
        <v>212</v>
      </c>
      <c r="D4">
        <v>3</v>
      </c>
      <c r="E4" t="s">
        <v>213</v>
      </c>
      <c r="F4" t="s">
        <v>214</v>
      </c>
      <c r="G4" t="s">
        <v>275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-2.3603399999999998E-5</v>
      </c>
      <c r="R4">
        <v>10.495338439899999</v>
      </c>
      <c r="S4">
        <v>-0.19492804999999999</v>
      </c>
      <c r="T4">
        <v>-0.38629388809999998</v>
      </c>
      <c r="U4">
        <v>6.9325437546000002</v>
      </c>
      <c r="V4">
        <v>-4.6440687179999998</v>
      </c>
      <c r="W4">
        <v>-1.4003512859</v>
      </c>
      <c r="X4">
        <v>3.5766088962999998</v>
      </c>
      <c r="Y4">
        <v>2.0527608394999999</v>
      </c>
      <c r="Z4">
        <v>-0.4007232785</v>
      </c>
      <c r="AA4">
        <v>0.67558830979999995</v>
      </c>
      <c r="AB4">
        <v>-2.0110363960000002</v>
      </c>
      <c r="AC4">
        <v>0.88702094549999999</v>
      </c>
      <c r="AD4">
        <v>-0.4023128748</v>
      </c>
      <c r="AE4">
        <v>-1.4136037827000001</v>
      </c>
      <c r="AF4">
        <v>-0.55704271790000004</v>
      </c>
      <c r="AG4">
        <v>0.34563037749999997</v>
      </c>
      <c r="AH4">
        <v>-0.55249172449999995</v>
      </c>
      <c r="AI4">
        <v>-8.3866834599999995E-2</v>
      </c>
      <c r="AJ4">
        <v>4.5070439599999998E-2</v>
      </c>
      <c r="AK4">
        <v>1.7939879999999999E-4</v>
      </c>
      <c r="AL4">
        <v>4.40413952E-2</v>
      </c>
      <c r="AM4">
        <v>0.18551421169999999</v>
      </c>
      <c r="AN4">
        <v>7.4955485799999999E-2</v>
      </c>
      <c r="AO4">
        <v>0.22972452639999999</v>
      </c>
      <c r="AP4">
        <v>0.22972452639999999</v>
      </c>
      <c r="AQ4">
        <v>10.4971484658</v>
      </c>
      <c r="AR4" t="s">
        <v>276</v>
      </c>
      <c r="AS4" t="s">
        <v>277</v>
      </c>
      <c r="AT4">
        <v>3</v>
      </c>
      <c r="AU4">
        <v>2.9</v>
      </c>
      <c r="AX4">
        <v>1</v>
      </c>
    </row>
  </sheetData>
  <phoneticPr fontId="8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F4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2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282</v>
      </c>
      <c r="R1" t="s">
        <v>283</v>
      </c>
      <c r="S1" t="s">
        <v>284</v>
      </c>
      <c r="T1" t="s">
        <v>285</v>
      </c>
      <c r="U1" t="s">
        <v>286</v>
      </c>
      <c r="V1" t="s">
        <v>287</v>
      </c>
      <c r="W1" t="s">
        <v>288</v>
      </c>
      <c r="X1" t="s">
        <v>289</v>
      </c>
      <c r="Y1" t="s">
        <v>290</v>
      </c>
      <c r="Z1" t="s">
        <v>291</v>
      </c>
      <c r="AA1" t="s">
        <v>292</v>
      </c>
      <c r="AB1" t="s">
        <v>293</v>
      </c>
      <c r="AC1" t="s">
        <v>294</v>
      </c>
      <c r="AD1" t="s">
        <v>207</v>
      </c>
      <c r="AE1" t="s">
        <v>208</v>
      </c>
      <c r="AF1" t="s">
        <v>209</v>
      </c>
    </row>
    <row r="2" spans="1:32">
      <c r="A2" t="s">
        <v>273</v>
      </c>
      <c r="B2" t="s">
        <v>295</v>
      </c>
      <c r="C2" t="s">
        <v>212</v>
      </c>
      <c r="D2">
        <v>3</v>
      </c>
      <c r="E2" t="s">
        <v>213</v>
      </c>
      <c r="F2" t="s">
        <v>214</v>
      </c>
      <c r="G2" t="s">
        <v>275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-5.8651026392999999</v>
      </c>
      <c r="R2">
        <v>-40</v>
      </c>
      <c r="S2">
        <v>86.632589953600004</v>
      </c>
      <c r="T2">
        <v>107.8306411945</v>
      </c>
      <c r="U2">
        <v>3.6364141280000002</v>
      </c>
      <c r="V2">
        <v>3.3201894E-3</v>
      </c>
      <c r="W2">
        <v>-7.7708799999999997E-5</v>
      </c>
      <c r="X2">
        <v>3.4363072054999999</v>
      </c>
      <c r="Y2">
        <v>86.5131800658</v>
      </c>
      <c r="Z2">
        <v>68.226303483899997</v>
      </c>
      <c r="AA2">
        <v>323.34932130940001</v>
      </c>
      <c r="AB2">
        <v>345.88415561639999</v>
      </c>
      <c r="AC2">
        <v>1</v>
      </c>
      <c r="AF2">
        <v>1</v>
      </c>
    </row>
    <row r="3" spans="1:32">
      <c r="A3" t="s">
        <v>278</v>
      </c>
      <c r="B3" t="s">
        <v>296</v>
      </c>
      <c r="C3" t="s">
        <v>212</v>
      </c>
      <c r="D3">
        <v>3</v>
      </c>
      <c r="E3" t="s">
        <v>213</v>
      </c>
      <c r="F3" t="s">
        <v>214</v>
      </c>
      <c r="G3" t="s">
        <v>275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-8.2111436950000005</v>
      </c>
      <c r="R3">
        <v>-56</v>
      </c>
      <c r="S3">
        <v>84.1031090237</v>
      </c>
      <c r="T3">
        <v>112.800716126</v>
      </c>
      <c r="U3">
        <v>3.5187665264999999</v>
      </c>
      <c r="V3">
        <v>2.3725974999999999E-3</v>
      </c>
      <c r="W3">
        <v>-6.41653E-5</v>
      </c>
      <c r="X3">
        <v>3.2986896475999998</v>
      </c>
      <c r="Y3">
        <v>78.591146344600006</v>
      </c>
      <c r="Z3">
        <v>57.780005613999997</v>
      </c>
      <c r="AA3">
        <v>333.26672325449999</v>
      </c>
      <c r="AB3">
        <v>356.10565472230002</v>
      </c>
      <c r="AC3">
        <v>1</v>
      </c>
      <c r="AF3">
        <v>1</v>
      </c>
    </row>
    <row r="4" spans="1:32">
      <c r="A4" t="s">
        <v>280</v>
      </c>
      <c r="B4" t="s">
        <v>297</v>
      </c>
      <c r="C4" t="s">
        <v>212</v>
      </c>
      <c r="D4">
        <v>3</v>
      </c>
      <c r="E4" t="s">
        <v>213</v>
      </c>
      <c r="F4" t="s">
        <v>214</v>
      </c>
      <c r="G4" t="s">
        <v>275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-11.7302052786</v>
      </c>
      <c r="R4">
        <v>-80</v>
      </c>
      <c r="S4">
        <v>80.032912039099998</v>
      </c>
      <c r="T4">
        <v>121.1827707321</v>
      </c>
      <c r="U4">
        <v>3.5496356470000001</v>
      </c>
      <c r="V4">
        <v>2.7453432E-3</v>
      </c>
      <c r="W4">
        <v>-6.8364199999999998E-5</v>
      </c>
      <c r="X4">
        <v>3.3381271733000002</v>
      </c>
      <c r="Y4">
        <v>79.516740814200006</v>
      </c>
      <c r="Z4">
        <v>61.646121421499998</v>
      </c>
      <c r="AA4">
        <v>348.14306893610001</v>
      </c>
      <c r="AB4">
        <v>370.6547973987</v>
      </c>
      <c r="AC4">
        <v>1</v>
      </c>
      <c r="AF4">
        <v>1</v>
      </c>
    </row>
  </sheetData>
  <phoneticPr fontId="8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Q4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77">
      <c r="A1" t="s">
        <v>174</v>
      </c>
      <c r="B1" t="s">
        <v>175</v>
      </c>
      <c r="C1" t="s">
        <v>176</v>
      </c>
      <c r="D1" t="s">
        <v>177</v>
      </c>
      <c r="E1" t="s">
        <v>178</v>
      </c>
      <c r="F1" t="s">
        <v>179</v>
      </c>
      <c r="G1" t="s">
        <v>180</v>
      </c>
      <c r="H1" t="s">
        <v>181</v>
      </c>
      <c r="I1" t="s">
        <v>182</v>
      </c>
      <c r="J1" t="s">
        <v>183</v>
      </c>
      <c r="K1" t="s">
        <v>184</v>
      </c>
      <c r="L1" t="s">
        <v>185</v>
      </c>
      <c r="M1" t="s">
        <v>186</v>
      </c>
      <c r="N1" t="s">
        <v>187</v>
      </c>
      <c r="O1" t="s">
        <v>188</v>
      </c>
      <c r="P1" t="s">
        <v>189</v>
      </c>
      <c r="Q1" t="s">
        <v>298</v>
      </c>
      <c r="R1" t="s">
        <v>299</v>
      </c>
      <c r="S1" t="s">
        <v>300</v>
      </c>
      <c r="T1" t="s">
        <v>301</v>
      </c>
      <c r="U1" t="s">
        <v>302</v>
      </c>
      <c r="V1" t="s">
        <v>303</v>
      </c>
      <c r="W1" t="s">
        <v>304</v>
      </c>
      <c r="X1" t="s">
        <v>305</v>
      </c>
      <c r="Y1" t="s">
        <v>306</v>
      </c>
      <c r="Z1" t="s">
        <v>307</v>
      </c>
      <c r="AA1" t="s">
        <v>308</v>
      </c>
      <c r="AB1" t="s">
        <v>309</v>
      </c>
      <c r="AC1" t="s">
        <v>310</v>
      </c>
      <c r="AD1" t="s">
        <v>311</v>
      </c>
      <c r="AE1" t="s">
        <v>312</v>
      </c>
      <c r="AF1" t="s">
        <v>313</v>
      </c>
      <c r="AG1" t="s">
        <v>314</v>
      </c>
      <c r="AH1" t="s">
        <v>315</v>
      </c>
      <c r="AI1" t="s">
        <v>316</v>
      </c>
      <c r="AJ1" t="s">
        <v>317</v>
      </c>
      <c r="AK1" t="s">
        <v>318</v>
      </c>
      <c r="AL1" t="s">
        <v>319</v>
      </c>
      <c r="AM1" t="s">
        <v>320</v>
      </c>
      <c r="AN1" t="s">
        <v>321</v>
      </c>
      <c r="AO1" t="s">
        <v>322</v>
      </c>
      <c r="AP1" t="s">
        <v>323</v>
      </c>
      <c r="AQ1" t="s">
        <v>324</v>
      </c>
      <c r="AR1" t="s">
        <v>325</v>
      </c>
      <c r="AS1" t="s">
        <v>326</v>
      </c>
      <c r="AT1" t="s">
        <v>327</v>
      </c>
      <c r="AU1" t="s">
        <v>328</v>
      </c>
      <c r="AV1" t="s">
        <v>329</v>
      </c>
      <c r="AW1" t="s">
        <v>330</v>
      </c>
      <c r="AX1" t="s">
        <v>331</v>
      </c>
      <c r="AY1" t="s">
        <v>332</v>
      </c>
      <c r="AZ1" t="s">
        <v>333</v>
      </c>
      <c r="BA1" t="s">
        <v>334</v>
      </c>
      <c r="BB1" t="s">
        <v>335</v>
      </c>
      <c r="BC1" t="s">
        <v>336</v>
      </c>
      <c r="BD1" t="s">
        <v>337</v>
      </c>
      <c r="BE1" t="s">
        <v>338</v>
      </c>
      <c r="BF1" t="s">
        <v>339</v>
      </c>
      <c r="BG1" t="s">
        <v>340</v>
      </c>
      <c r="BH1" t="s">
        <v>341</v>
      </c>
      <c r="BI1" t="s">
        <v>342</v>
      </c>
      <c r="BJ1" t="s">
        <v>343</v>
      </c>
      <c r="BK1" t="s">
        <v>344</v>
      </c>
      <c r="BL1" t="s">
        <v>345</v>
      </c>
      <c r="BM1" t="s">
        <v>346</v>
      </c>
      <c r="BN1" t="s">
        <v>347</v>
      </c>
      <c r="BO1" t="s">
        <v>348</v>
      </c>
      <c r="BP1" t="s">
        <v>349</v>
      </c>
      <c r="BQ1" t="s">
        <v>350</v>
      </c>
      <c r="BR1" t="s">
        <v>351</v>
      </c>
      <c r="BS1" t="s">
        <v>352</v>
      </c>
      <c r="BT1" t="s">
        <v>353</v>
      </c>
      <c r="BU1" t="s">
        <v>354</v>
      </c>
      <c r="BV1" t="s">
        <v>355</v>
      </c>
      <c r="BW1" t="s">
        <v>356</v>
      </c>
      <c r="BX1" t="s">
        <v>357</v>
      </c>
      <c r="BY1" t="s">
        <v>358</v>
      </c>
      <c r="BZ1" t="s">
        <v>359</v>
      </c>
      <c r="CA1" t="s">
        <v>360</v>
      </c>
      <c r="CB1" t="s">
        <v>361</v>
      </c>
      <c r="CC1" t="s">
        <v>362</v>
      </c>
      <c r="CD1" t="s">
        <v>363</v>
      </c>
      <c r="CE1" t="s">
        <v>364</v>
      </c>
      <c r="CF1" t="s">
        <v>365</v>
      </c>
      <c r="CG1" t="s">
        <v>366</v>
      </c>
      <c r="CH1" t="s">
        <v>367</v>
      </c>
      <c r="CI1" t="s">
        <v>368</v>
      </c>
      <c r="CJ1" t="s">
        <v>369</v>
      </c>
      <c r="CK1" t="s">
        <v>370</v>
      </c>
      <c r="CL1" t="s">
        <v>371</v>
      </c>
      <c r="CM1" t="s">
        <v>372</v>
      </c>
      <c r="CN1" t="s">
        <v>373</v>
      </c>
      <c r="CO1" t="s">
        <v>374</v>
      </c>
      <c r="CP1" t="s">
        <v>375</v>
      </c>
      <c r="CQ1" t="s">
        <v>376</v>
      </c>
      <c r="CR1" t="s">
        <v>377</v>
      </c>
      <c r="CS1" t="s">
        <v>378</v>
      </c>
      <c r="CT1" t="s">
        <v>379</v>
      </c>
      <c r="CU1" t="s">
        <v>380</v>
      </c>
      <c r="CV1" t="s">
        <v>381</v>
      </c>
      <c r="CW1" t="s">
        <v>382</v>
      </c>
      <c r="CX1" t="s">
        <v>383</v>
      </c>
      <c r="CY1" t="s">
        <v>384</v>
      </c>
      <c r="CZ1" t="s">
        <v>385</v>
      </c>
      <c r="DA1" t="s">
        <v>386</v>
      </c>
      <c r="DB1" t="s">
        <v>387</v>
      </c>
      <c r="DC1" t="s">
        <v>388</v>
      </c>
      <c r="DD1" t="s">
        <v>389</v>
      </c>
      <c r="DE1" t="s">
        <v>390</v>
      </c>
      <c r="DF1" t="s">
        <v>391</v>
      </c>
      <c r="DG1" t="s">
        <v>392</v>
      </c>
      <c r="DH1" t="s">
        <v>393</v>
      </c>
      <c r="DI1" t="s">
        <v>394</v>
      </c>
      <c r="DJ1" t="s">
        <v>395</v>
      </c>
      <c r="DK1" t="s">
        <v>396</v>
      </c>
      <c r="DL1" t="s">
        <v>397</v>
      </c>
      <c r="DM1" t="s">
        <v>398</v>
      </c>
      <c r="DN1" t="s">
        <v>399</v>
      </c>
      <c r="DO1" t="s">
        <v>400</v>
      </c>
      <c r="DP1" t="s">
        <v>401</v>
      </c>
      <c r="DQ1" t="s">
        <v>402</v>
      </c>
      <c r="DR1" t="s">
        <v>403</v>
      </c>
      <c r="DS1" t="s">
        <v>404</v>
      </c>
      <c r="DT1" t="s">
        <v>405</v>
      </c>
      <c r="DU1" t="s">
        <v>406</v>
      </c>
      <c r="DV1" t="s">
        <v>407</v>
      </c>
      <c r="DW1" t="s">
        <v>408</v>
      </c>
      <c r="DX1" t="s">
        <v>409</v>
      </c>
      <c r="DY1" t="s">
        <v>410</v>
      </c>
      <c r="DZ1" t="s">
        <v>411</v>
      </c>
      <c r="EA1" t="s">
        <v>412</v>
      </c>
      <c r="EB1" t="s">
        <v>413</v>
      </c>
      <c r="EC1" t="s">
        <v>414</v>
      </c>
      <c r="ED1" t="s">
        <v>415</v>
      </c>
      <c r="EE1" t="s">
        <v>416</v>
      </c>
      <c r="EF1" t="s">
        <v>417</v>
      </c>
      <c r="EG1" t="s">
        <v>418</v>
      </c>
      <c r="EH1" t="s">
        <v>419</v>
      </c>
      <c r="EI1" t="s">
        <v>420</v>
      </c>
      <c r="EJ1" t="s">
        <v>421</v>
      </c>
      <c r="EK1" t="s">
        <v>422</v>
      </c>
      <c r="EL1" t="s">
        <v>423</v>
      </c>
      <c r="EM1" t="s">
        <v>424</v>
      </c>
      <c r="EN1" t="s">
        <v>425</v>
      </c>
      <c r="EO1" t="s">
        <v>426</v>
      </c>
      <c r="EP1" t="s">
        <v>427</v>
      </c>
      <c r="EQ1" t="s">
        <v>428</v>
      </c>
      <c r="ER1" t="s">
        <v>429</v>
      </c>
      <c r="ES1" t="s">
        <v>430</v>
      </c>
      <c r="ET1" t="s">
        <v>431</v>
      </c>
      <c r="EU1" t="s">
        <v>432</v>
      </c>
      <c r="EV1" t="s">
        <v>433</v>
      </c>
      <c r="EW1" t="s">
        <v>434</v>
      </c>
      <c r="EX1" t="s">
        <v>435</v>
      </c>
      <c r="EY1" t="s">
        <v>436</v>
      </c>
      <c r="EZ1" t="s">
        <v>437</v>
      </c>
      <c r="FA1" t="s">
        <v>438</v>
      </c>
      <c r="FB1" t="s">
        <v>439</v>
      </c>
      <c r="FC1" t="s">
        <v>440</v>
      </c>
      <c r="FD1" t="s">
        <v>441</v>
      </c>
      <c r="FE1" t="s">
        <v>442</v>
      </c>
      <c r="FF1" t="s">
        <v>443</v>
      </c>
      <c r="FG1" t="s">
        <v>444</v>
      </c>
      <c r="FH1" t="s">
        <v>445</v>
      </c>
      <c r="FI1" t="s">
        <v>446</v>
      </c>
      <c r="FJ1" t="s">
        <v>447</v>
      </c>
      <c r="FK1" t="s">
        <v>448</v>
      </c>
      <c r="FL1" t="s">
        <v>449</v>
      </c>
      <c r="FM1" t="s">
        <v>450</v>
      </c>
      <c r="FN1" t="s">
        <v>451</v>
      </c>
      <c r="FO1" t="s">
        <v>452</v>
      </c>
      <c r="FP1" t="s">
        <v>453</v>
      </c>
      <c r="FQ1" t="s">
        <v>454</v>
      </c>
      <c r="FR1" t="s">
        <v>455</v>
      </c>
      <c r="FS1" t="s">
        <v>456</v>
      </c>
      <c r="FT1" t="s">
        <v>457</v>
      </c>
      <c r="FU1" t="s">
        <v>458</v>
      </c>
      <c r="FV1" t="s">
        <v>459</v>
      </c>
      <c r="FW1" t="s">
        <v>460</v>
      </c>
      <c r="FX1" t="s">
        <v>461</v>
      </c>
      <c r="FY1" t="s">
        <v>462</v>
      </c>
      <c r="FZ1" t="s">
        <v>463</v>
      </c>
      <c r="GA1" t="s">
        <v>464</v>
      </c>
      <c r="GB1" t="s">
        <v>465</v>
      </c>
      <c r="GC1" t="s">
        <v>466</v>
      </c>
      <c r="GD1" t="s">
        <v>467</v>
      </c>
      <c r="GE1" t="s">
        <v>468</v>
      </c>
      <c r="GF1" t="s">
        <v>469</v>
      </c>
      <c r="GG1" t="s">
        <v>470</v>
      </c>
      <c r="GH1" t="s">
        <v>471</v>
      </c>
      <c r="GI1" t="s">
        <v>472</v>
      </c>
      <c r="GJ1" t="s">
        <v>473</v>
      </c>
      <c r="GK1" t="s">
        <v>474</v>
      </c>
      <c r="GL1" t="s">
        <v>475</v>
      </c>
      <c r="GM1" t="s">
        <v>476</v>
      </c>
      <c r="GN1" t="s">
        <v>477</v>
      </c>
      <c r="GO1" t="s">
        <v>478</v>
      </c>
      <c r="GP1" t="s">
        <v>479</v>
      </c>
      <c r="GQ1" t="s">
        <v>480</v>
      </c>
      <c r="GR1" t="s">
        <v>481</v>
      </c>
      <c r="GS1" t="s">
        <v>482</v>
      </c>
      <c r="GT1" t="s">
        <v>483</v>
      </c>
      <c r="GU1" t="s">
        <v>484</v>
      </c>
      <c r="GV1" t="s">
        <v>485</v>
      </c>
      <c r="GW1" t="s">
        <v>486</v>
      </c>
      <c r="GX1" t="s">
        <v>487</v>
      </c>
      <c r="GY1" t="s">
        <v>488</v>
      </c>
      <c r="GZ1" t="s">
        <v>489</v>
      </c>
      <c r="HA1" t="s">
        <v>490</v>
      </c>
      <c r="HB1" t="s">
        <v>491</v>
      </c>
      <c r="HC1" t="s">
        <v>492</v>
      </c>
      <c r="HD1" t="s">
        <v>493</v>
      </c>
      <c r="HE1" t="s">
        <v>494</v>
      </c>
      <c r="HF1" t="s">
        <v>495</v>
      </c>
      <c r="HG1" t="s">
        <v>496</v>
      </c>
      <c r="HH1" t="s">
        <v>497</v>
      </c>
      <c r="HI1" t="s">
        <v>498</v>
      </c>
      <c r="HJ1" t="s">
        <v>499</v>
      </c>
      <c r="HK1" t="s">
        <v>500</v>
      </c>
      <c r="HL1" t="s">
        <v>501</v>
      </c>
      <c r="HM1" t="s">
        <v>502</v>
      </c>
      <c r="HN1" t="s">
        <v>503</v>
      </c>
      <c r="HO1" t="s">
        <v>504</v>
      </c>
      <c r="HP1" t="s">
        <v>505</v>
      </c>
      <c r="HQ1" t="s">
        <v>506</v>
      </c>
      <c r="HR1" t="s">
        <v>507</v>
      </c>
      <c r="HS1" t="s">
        <v>508</v>
      </c>
      <c r="HT1" t="s">
        <v>509</v>
      </c>
      <c r="HU1" t="s">
        <v>510</v>
      </c>
      <c r="HV1" t="s">
        <v>511</v>
      </c>
      <c r="HW1" t="s">
        <v>512</v>
      </c>
      <c r="HX1" t="s">
        <v>513</v>
      </c>
      <c r="HY1" t="s">
        <v>514</v>
      </c>
      <c r="HZ1" t="s">
        <v>515</v>
      </c>
      <c r="IA1" t="s">
        <v>516</v>
      </c>
      <c r="IB1" t="s">
        <v>517</v>
      </c>
      <c r="IC1" t="s">
        <v>518</v>
      </c>
      <c r="ID1" t="s">
        <v>519</v>
      </c>
      <c r="IE1" t="s">
        <v>520</v>
      </c>
      <c r="IF1" t="s">
        <v>521</v>
      </c>
      <c r="IG1" t="s">
        <v>522</v>
      </c>
      <c r="IH1" t="s">
        <v>523</v>
      </c>
      <c r="II1" t="s">
        <v>524</v>
      </c>
      <c r="IJ1" t="s">
        <v>525</v>
      </c>
      <c r="IK1" t="s">
        <v>526</v>
      </c>
      <c r="IL1" t="s">
        <v>527</v>
      </c>
      <c r="IM1" t="s">
        <v>528</v>
      </c>
      <c r="IN1" t="s">
        <v>529</v>
      </c>
      <c r="IO1" t="s">
        <v>530</v>
      </c>
      <c r="IP1" t="s">
        <v>531</v>
      </c>
      <c r="IQ1" t="s">
        <v>532</v>
      </c>
      <c r="IR1" t="s">
        <v>533</v>
      </c>
      <c r="IS1" t="s">
        <v>534</v>
      </c>
      <c r="IT1" t="s">
        <v>535</v>
      </c>
      <c r="IU1" t="s">
        <v>536</v>
      </c>
      <c r="IV1" t="s">
        <v>537</v>
      </c>
      <c r="IW1" t="s">
        <v>538</v>
      </c>
      <c r="IX1" t="s">
        <v>539</v>
      </c>
      <c r="IY1" t="s">
        <v>540</v>
      </c>
      <c r="IZ1" t="s">
        <v>541</v>
      </c>
      <c r="JA1" t="s">
        <v>542</v>
      </c>
      <c r="JB1" t="s">
        <v>543</v>
      </c>
      <c r="JC1" t="s">
        <v>544</v>
      </c>
      <c r="JD1" t="s">
        <v>545</v>
      </c>
      <c r="JE1" t="s">
        <v>546</v>
      </c>
      <c r="JF1" t="s">
        <v>547</v>
      </c>
      <c r="JG1" t="s">
        <v>548</v>
      </c>
      <c r="JH1" t="s">
        <v>549</v>
      </c>
      <c r="JI1" t="s">
        <v>550</v>
      </c>
      <c r="JJ1" t="s">
        <v>551</v>
      </c>
      <c r="JK1" t="s">
        <v>289</v>
      </c>
      <c r="JL1" t="s">
        <v>552</v>
      </c>
      <c r="JM1" t="s">
        <v>553</v>
      </c>
      <c r="JN1" t="s">
        <v>554</v>
      </c>
      <c r="JO1" t="s">
        <v>207</v>
      </c>
      <c r="JP1" t="s">
        <v>208</v>
      </c>
      <c r="JQ1" t="s">
        <v>209</v>
      </c>
    </row>
    <row r="2" spans="1:277">
      <c r="A2" t="s">
        <v>555</v>
      </c>
      <c r="B2" t="s">
        <v>556</v>
      </c>
      <c r="C2" t="s">
        <v>212</v>
      </c>
      <c r="D2">
        <v>3</v>
      </c>
      <c r="E2" t="s">
        <v>213</v>
      </c>
      <c r="F2" t="s">
        <v>214</v>
      </c>
      <c r="G2" t="s">
        <v>557</v>
      </c>
      <c r="H2" t="s">
        <v>216</v>
      </c>
      <c r="J2" t="s">
        <v>217</v>
      </c>
      <c r="K2" t="s">
        <v>218</v>
      </c>
      <c r="L2" t="s">
        <v>219</v>
      </c>
      <c r="M2" t="s">
        <v>220</v>
      </c>
      <c r="N2" t="s">
        <v>221</v>
      </c>
      <c r="O2">
        <v>0</v>
      </c>
      <c r="P2">
        <v>0</v>
      </c>
      <c r="Q2">
        <v>0.50000000010000001</v>
      </c>
      <c r="R2">
        <v>0.40000000079999998</v>
      </c>
      <c r="S2">
        <v>0.40000000079999998</v>
      </c>
      <c r="T2">
        <v>0.3000000015</v>
      </c>
      <c r="U2">
        <v>0.20000000039999999</v>
      </c>
      <c r="V2">
        <v>0.20000000039999999</v>
      </c>
      <c r="W2">
        <v>0</v>
      </c>
      <c r="X2">
        <v>0.20000000039999999</v>
      </c>
      <c r="Y2">
        <v>0.1000000011</v>
      </c>
      <c r="Z2">
        <v>0.20000000039999999</v>
      </c>
      <c r="AA2">
        <v>0.1000000011</v>
      </c>
      <c r="AB2">
        <v>0.20000000039999999</v>
      </c>
      <c r="AC2">
        <v>0.1000000011</v>
      </c>
      <c r="AD2">
        <v>0.20000000039999999</v>
      </c>
      <c r="AE2">
        <v>0.20000000039999999</v>
      </c>
      <c r="AF2">
        <v>0.1000000011</v>
      </c>
      <c r="AG2">
        <v>0.20000000039999999</v>
      </c>
      <c r="AH2">
        <v>0.1000000011</v>
      </c>
      <c r="AI2">
        <v>1.9000000011</v>
      </c>
      <c r="AJ2">
        <v>5.9000000001000004</v>
      </c>
      <c r="AK2">
        <v>11.300000000100001</v>
      </c>
      <c r="AL2">
        <v>17.700000000300001</v>
      </c>
      <c r="AM2">
        <v>24.800000001099999</v>
      </c>
      <c r="AN2">
        <v>32.4000000001</v>
      </c>
      <c r="AO2">
        <v>40.300000000600001</v>
      </c>
      <c r="AP2">
        <v>47.800000000300003</v>
      </c>
      <c r="AQ2">
        <v>55.6000000015</v>
      </c>
      <c r="AR2">
        <v>63.200000000499998</v>
      </c>
      <c r="AS2">
        <v>70.600000000899996</v>
      </c>
      <c r="AT2">
        <v>78.500000001399997</v>
      </c>
      <c r="AU2">
        <v>86.800000000899999</v>
      </c>
      <c r="AV2">
        <v>95.100000000500003</v>
      </c>
      <c r="AW2">
        <v>103.7000000015</v>
      </c>
      <c r="AX2">
        <v>112.50000000110001</v>
      </c>
      <c r="AY2">
        <v>120.7000000013</v>
      </c>
      <c r="AZ2">
        <v>129.00000000079999</v>
      </c>
      <c r="BA2">
        <v>137.6</v>
      </c>
      <c r="BB2">
        <v>146.00000000060001</v>
      </c>
      <c r="BC2">
        <v>154.59999999979999</v>
      </c>
      <c r="BD2">
        <v>163.00000000049999</v>
      </c>
      <c r="BE2">
        <v>170.900000001</v>
      </c>
      <c r="BF2">
        <v>179.10000000119999</v>
      </c>
      <c r="BG2">
        <v>187.5</v>
      </c>
      <c r="BH2">
        <v>195.99999999990001</v>
      </c>
      <c r="BI2">
        <v>204.6000000009</v>
      </c>
      <c r="BJ2">
        <v>213.0000000016</v>
      </c>
      <c r="BK2">
        <v>221.0000000014</v>
      </c>
      <c r="BL2">
        <v>228.7000000015</v>
      </c>
      <c r="BM2">
        <v>236.80000000059999</v>
      </c>
      <c r="BN2">
        <v>244.90000000149999</v>
      </c>
      <c r="BO2">
        <v>253.09999999990001</v>
      </c>
      <c r="BP2">
        <v>261.2000000008</v>
      </c>
      <c r="BQ2">
        <v>269.10000000129997</v>
      </c>
      <c r="BR2">
        <v>276.30000000140001</v>
      </c>
      <c r="BS2">
        <v>283.60000000069999</v>
      </c>
      <c r="BT2">
        <v>291.20000000149997</v>
      </c>
      <c r="BU2">
        <v>298.80000000050001</v>
      </c>
      <c r="BV2">
        <v>306.30000000019999</v>
      </c>
      <c r="BW2">
        <v>314.10000000140002</v>
      </c>
      <c r="BX2">
        <v>321.5</v>
      </c>
      <c r="BY2">
        <v>327.69999999980001</v>
      </c>
      <c r="BZ2">
        <v>333.90000000139997</v>
      </c>
      <c r="CA2">
        <v>340.79999999990002</v>
      </c>
      <c r="CB2">
        <v>347.70000000030001</v>
      </c>
      <c r="CC2">
        <v>354.40000000020001</v>
      </c>
      <c r="CD2">
        <v>361.00000000080001</v>
      </c>
      <c r="CE2">
        <v>367.90000000110001</v>
      </c>
      <c r="CF2">
        <v>374.40000000060002</v>
      </c>
      <c r="CG2">
        <v>380.30000000069998</v>
      </c>
      <c r="CH2">
        <v>385.70000000070002</v>
      </c>
      <c r="CI2">
        <v>391.40000000039998</v>
      </c>
      <c r="CJ2">
        <v>397.6000000002</v>
      </c>
      <c r="CK2">
        <v>403.60000000150001</v>
      </c>
      <c r="CL2">
        <v>409.40000000049997</v>
      </c>
      <c r="CM2">
        <v>415.70000000139999</v>
      </c>
      <c r="CN2">
        <v>421.60000000150001</v>
      </c>
      <c r="CO2">
        <v>426.80000000109999</v>
      </c>
      <c r="CP2">
        <v>432.20000000110002</v>
      </c>
      <c r="CQ2">
        <v>436.90000000060002</v>
      </c>
      <c r="CR2">
        <v>441.60000000010001</v>
      </c>
      <c r="CS2">
        <v>446.8000000015</v>
      </c>
      <c r="CT2">
        <v>451.50000000099999</v>
      </c>
      <c r="CU2">
        <v>454.00000000149998</v>
      </c>
      <c r="CV2">
        <v>454.20000000009998</v>
      </c>
      <c r="CW2">
        <v>454.20000000009998</v>
      </c>
      <c r="CX2">
        <v>454.10000000079998</v>
      </c>
      <c r="CY2">
        <v>454.20000000009998</v>
      </c>
      <c r="CZ2">
        <v>454.10000000079998</v>
      </c>
      <c r="DA2">
        <v>454.20000000009998</v>
      </c>
      <c r="DB2">
        <v>454.20000000009998</v>
      </c>
      <c r="DC2">
        <v>454.10000000079998</v>
      </c>
      <c r="DD2">
        <v>454.20000000009998</v>
      </c>
      <c r="DE2">
        <v>454.10000000079998</v>
      </c>
      <c r="DF2">
        <v>454.10000000079998</v>
      </c>
      <c r="DG2">
        <v>0.80000000159999995</v>
      </c>
      <c r="DH2">
        <v>0.90000000089999999</v>
      </c>
      <c r="DI2">
        <v>0.90000000089999999</v>
      </c>
      <c r="DJ2">
        <v>0.90000000089999999</v>
      </c>
      <c r="DK2">
        <v>0.90000000089999999</v>
      </c>
      <c r="DL2">
        <v>0.90000000089999999</v>
      </c>
      <c r="DM2">
        <v>0.80000000159999995</v>
      </c>
      <c r="DN2">
        <v>0.80000000159999995</v>
      </c>
      <c r="DO2">
        <v>0.80000000159999995</v>
      </c>
      <c r="DP2">
        <v>0.80000000159999995</v>
      </c>
      <c r="DQ2">
        <v>0.80000000159999995</v>
      </c>
      <c r="DR2">
        <v>0.80000000159999995</v>
      </c>
      <c r="DS2">
        <v>0.80000000159999995</v>
      </c>
      <c r="DT2">
        <v>0.7000000005</v>
      </c>
      <c r="DU2">
        <v>0.7000000005</v>
      </c>
      <c r="DV2">
        <v>0.7000000005</v>
      </c>
      <c r="DW2">
        <v>1.0000000002</v>
      </c>
      <c r="DX2">
        <v>4.2000000012000003</v>
      </c>
      <c r="DY2">
        <v>9.9000000009000004</v>
      </c>
      <c r="DZ2">
        <v>16.300000001099999</v>
      </c>
      <c r="EA2">
        <v>23.300000000699999</v>
      </c>
      <c r="EB2">
        <v>30.900000001599999</v>
      </c>
      <c r="EC2">
        <v>38.700000000999999</v>
      </c>
      <c r="ED2">
        <v>46.5000000004</v>
      </c>
      <c r="EE2">
        <v>54.100000001200002</v>
      </c>
      <c r="EF2">
        <v>61.600000000900003</v>
      </c>
      <c r="EG2">
        <v>68.900000000199995</v>
      </c>
      <c r="EH2">
        <v>76.800000000699995</v>
      </c>
      <c r="EI2">
        <v>84.899999999800002</v>
      </c>
      <c r="EJ2">
        <v>93.400000001600006</v>
      </c>
      <c r="EK2">
        <v>101.6</v>
      </c>
      <c r="EL2">
        <v>110.09999999990001</v>
      </c>
      <c r="EM2">
        <v>118.7000000009</v>
      </c>
      <c r="EN2">
        <v>127.2000000008</v>
      </c>
      <c r="EO2">
        <v>135.70000000069999</v>
      </c>
      <c r="EP2">
        <v>144.2999999999</v>
      </c>
      <c r="EQ2">
        <v>152.7000000006</v>
      </c>
      <c r="ER2">
        <v>161.30000000160001</v>
      </c>
      <c r="ES2">
        <v>169.20000000030001</v>
      </c>
      <c r="ET2">
        <v>177.4000000005</v>
      </c>
      <c r="EU2">
        <v>186.00000000150001</v>
      </c>
      <c r="EV2">
        <v>194.5000000014</v>
      </c>
      <c r="EW2">
        <v>203.00000000130001</v>
      </c>
      <c r="EX2">
        <v>211.69999999980001</v>
      </c>
      <c r="EY2">
        <v>219.50000000110001</v>
      </c>
      <c r="EZ2">
        <v>227.40000000160001</v>
      </c>
      <c r="FA2">
        <v>235.80000000039999</v>
      </c>
      <c r="FB2">
        <v>244.09999999990001</v>
      </c>
      <c r="FC2">
        <v>252.3000000001</v>
      </c>
      <c r="FD2">
        <v>260.50000000030002</v>
      </c>
      <c r="FE2">
        <v>268.3000000015</v>
      </c>
      <c r="FF2">
        <v>275.80000000130002</v>
      </c>
      <c r="FG2">
        <v>283.5000000014</v>
      </c>
      <c r="FH2">
        <v>291.20000000149997</v>
      </c>
      <c r="FI2">
        <v>299.0000000009</v>
      </c>
      <c r="FJ2">
        <v>306.59999999989998</v>
      </c>
      <c r="FK2">
        <v>314.60000000150001</v>
      </c>
      <c r="FL2">
        <v>322.10000000119999</v>
      </c>
      <c r="FM2">
        <v>328.5000000014</v>
      </c>
      <c r="FN2">
        <v>335.0000000009</v>
      </c>
      <c r="FO2">
        <v>342.09999999979999</v>
      </c>
      <c r="FP2">
        <v>349.10000000129997</v>
      </c>
      <c r="FQ2">
        <v>356.00000000159997</v>
      </c>
      <c r="FR2">
        <v>363.20000000160002</v>
      </c>
      <c r="FS2">
        <v>370.10000000010001</v>
      </c>
      <c r="FT2">
        <v>375.80000000159998</v>
      </c>
      <c r="FU2">
        <v>381.50000000130001</v>
      </c>
      <c r="FV2">
        <v>387.40000000139997</v>
      </c>
      <c r="FW2">
        <v>393.50000000009999</v>
      </c>
      <c r="FX2">
        <v>399.6999999999</v>
      </c>
      <c r="FY2">
        <v>405.6</v>
      </c>
      <c r="FZ2">
        <v>411.50000000019998</v>
      </c>
      <c r="GA2">
        <v>417.7</v>
      </c>
      <c r="GB2">
        <v>423.30000000040002</v>
      </c>
      <c r="GC2">
        <v>428.4000000007</v>
      </c>
      <c r="GD2">
        <v>433.2000000013</v>
      </c>
      <c r="GE2">
        <v>437.5</v>
      </c>
      <c r="GF2">
        <v>442.39999999989999</v>
      </c>
      <c r="GG2">
        <v>446.90000000079999</v>
      </c>
      <c r="GH2">
        <v>451.0000000009</v>
      </c>
      <c r="GI2">
        <v>453.5000000014</v>
      </c>
      <c r="GJ2">
        <v>454.00000000149998</v>
      </c>
      <c r="GK2">
        <v>454.10000000079998</v>
      </c>
      <c r="GL2">
        <v>453.80000000109999</v>
      </c>
      <c r="GM2">
        <v>454.10000000079998</v>
      </c>
      <c r="GN2">
        <v>453.90000000039998</v>
      </c>
      <c r="GO2">
        <v>453.90000000039998</v>
      </c>
      <c r="GP2">
        <v>454.00000000149998</v>
      </c>
      <c r="GQ2">
        <v>454.00000000149998</v>
      </c>
      <c r="GR2">
        <v>454.00000000149998</v>
      </c>
      <c r="GS2">
        <v>454.00000000149998</v>
      </c>
      <c r="GT2">
        <v>454.00000000149998</v>
      </c>
      <c r="GU2">
        <v>454.10000000079998</v>
      </c>
      <c r="GV2">
        <v>454.10000000079998</v>
      </c>
      <c r="GW2">
        <v>1</v>
      </c>
      <c r="GX2">
        <v>110.3000000003</v>
      </c>
      <c r="GY2">
        <v>103.7000000015</v>
      </c>
      <c r="GZ2">
        <v>103.7000000015</v>
      </c>
      <c r="HA2">
        <v>118.7000000009</v>
      </c>
      <c r="HB2">
        <v>107.3727953333</v>
      </c>
      <c r="HC2">
        <v>-14.9999999994</v>
      </c>
      <c r="HD2">
        <v>454.10000000079998</v>
      </c>
      <c r="HE2">
        <v>302.60911592960002</v>
      </c>
      <c r="HF2">
        <v>88.9665088637</v>
      </c>
      <c r="HG2">
        <v>454.20000000009998</v>
      </c>
      <c r="HH2">
        <v>454.10000000079998</v>
      </c>
      <c r="HI2">
        <v>454.20000000009998</v>
      </c>
      <c r="HJ2">
        <v>454.10000000079998</v>
      </c>
      <c r="HK2">
        <v>112.6099706745</v>
      </c>
      <c r="HL2">
        <v>3.4363072054999999</v>
      </c>
      <c r="HM2">
        <v>3.3024339119000001</v>
      </c>
      <c r="HN2">
        <v>3.3529022240000002</v>
      </c>
      <c r="HO2">
        <v>3.3097935646000001</v>
      </c>
      <c r="HP2">
        <v>3.6364141280000002</v>
      </c>
      <c r="HQ2">
        <v>2.2923738317</v>
      </c>
      <c r="HR2">
        <v>18.406286469699999</v>
      </c>
      <c r="HS2">
        <v>-25.806451612899998</v>
      </c>
      <c r="HT2">
        <v>-176</v>
      </c>
      <c r="HU2">
        <v>409.98191126299997</v>
      </c>
      <c r="HV2">
        <v>91.495601172999997</v>
      </c>
      <c r="HW2">
        <v>624</v>
      </c>
      <c r="HX2">
        <v>18.406286469699999</v>
      </c>
      <c r="HY2">
        <v>-25.806451612899998</v>
      </c>
      <c r="HZ2">
        <v>-176</v>
      </c>
      <c r="IA2">
        <v>409.98191126299997</v>
      </c>
      <c r="IB2">
        <v>91.495601172999997</v>
      </c>
      <c r="IC2">
        <v>624</v>
      </c>
      <c r="ID2">
        <v>44.118088737900003</v>
      </c>
      <c r="IE2">
        <v>0.11940988769999999</v>
      </c>
      <c r="IF2">
        <v>-35.190615835800003</v>
      </c>
      <c r="IG2">
        <v>-240</v>
      </c>
      <c r="IH2">
        <v>432.51674557000001</v>
      </c>
      <c r="II2">
        <v>100.87976539589999</v>
      </c>
      <c r="IJ2">
        <v>688</v>
      </c>
      <c r="IK2">
        <v>391.57562479329999</v>
      </c>
      <c r="IL2">
        <v>117.3020527859</v>
      </c>
      <c r="IM2">
        <v>415.9888803261</v>
      </c>
      <c r="IN2">
        <v>126.6862170088</v>
      </c>
      <c r="IO2">
        <v>6.4000000002000004</v>
      </c>
      <c r="IP2">
        <v>6.1999999998000002</v>
      </c>
      <c r="IQ2">
        <v>8.7999999996000007</v>
      </c>
      <c r="IR2">
        <v>6.0991405429999999</v>
      </c>
      <c r="IS2">
        <v>6.0991405429999999</v>
      </c>
      <c r="IT2">
        <v>12.0000000006</v>
      </c>
      <c r="IU2">
        <v>-28.152492668600001</v>
      </c>
      <c r="IV2">
        <v>15.800000001000001</v>
      </c>
      <c r="IW2">
        <v>56.304985337200002</v>
      </c>
      <c r="IX2">
        <v>12.699999999299999</v>
      </c>
      <c r="IY2">
        <v>98.533724340199996</v>
      </c>
      <c r="IZ2">
        <v>-31.607772880500001</v>
      </c>
      <c r="JA2">
        <v>0.3226660039</v>
      </c>
      <c r="JB2">
        <v>-3.3445760000000001E-4</v>
      </c>
      <c r="JC2">
        <v>6.8130000000000005E-7</v>
      </c>
      <c r="JD2">
        <v>0.2910100699</v>
      </c>
      <c r="JE2">
        <v>0.3408187976</v>
      </c>
      <c r="JF2">
        <v>0.1077503491</v>
      </c>
      <c r="JG2">
        <v>107.8306411945</v>
      </c>
      <c r="JH2">
        <v>3.6364141280000002</v>
      </c>
      <c r="JI2">
        <v>3.3201894E-3</v>
      </c>
      <c r="JJ2">
        <v>-7.7708799999999997E-5</v>
      </c>
      <c r="JK2">
        <v>3.4363072054999999</v>
      </c>
      <c r="JL2">
        <v>1.1617038352</v>
      </c>
      <c r="JM2">
        <v>0.47632462279999999</v>
      </c>
      <c r="JN2" t="s">
        <v>558</v>
      </c>
      <c r="JQ2">
        <v>1</v>
      </c>
    </row>
    <row r="3" spans="1:277">
      <c r="A3" t="s">
        <v>559</v>
      </c>
      <c r="B3" t="s">
        <v>560</v>
      </c>
      <c r="C3" t="s">
        <v>212</v>
      </c>
      <c r="D3">
        <v>3</v>
      </c>
      <c r="E3" t="s">
        <v>213</v>
      </c>
      <c r="F3" t="s">
        <v>214</v>
      </c>
      <c r="G3" t="s">
        <v>557</v>
      </c>
      <c r="H3" t="s">
        <v>216</v>
      </c>
      <c r="J3" t="s">
        <v>230</v>
      </c>
      <c r="K3" t="s">
        <v>231</v>
      </c>
      <c r="L3" t="s">
        <v>232</v>
      </c>
      <c r="M3" t="s">
        <v>233</v>
      </c>
      <c r="N3" t="s">
        <v>234</v>
      </c>
      <c r="O3">
        <v>0</v>
      </c>
      <c r="P3">
        <v>0</v>
      </c>
      <c r="Q3">
        <v>1.2999999999</v>
      </c>
      <c r="R3">
        <v>1.0000000002</v>
      </c>
      <c r="S3">
        <v>1.0000000002</v>
      </c>
      <c r="T3">
        <v>1.0999999995</v>
      </c>
      <c r="U3">
        <v>1.0999999995</v>
      </c>
      <c r="V3">
        <v>1.0999999995</v>
      </c>
      <c r="W3">
        <v>1.0999999995</v>
      </c>
      <c r="X3">
        <v>1.0999999995</v>
      </c>
      <c r="Y3">
        <v>1.0000000002</v>
      </c>
      <c r="Z3">
        <v>1.0999999995</v>
      </c>
      <c r="AA3">
        <v>1.0000000002</v>
      </c>
      <c r="AB3">
        <v>1.0000000002</v>
      </c>
      <c r="AC3">
        <v>0.90000000089999999</v>
      </c>
      <c r="AD3">
        <v>0.90000000089999999</v>
      </c>
      <c r="AE3">
        <v>0.59999999940000004</v>
      </c>
      <c r="AF3">
        <v>0</v>
      </c>
      <c r="AG3">
        <v>1.7000000007</v>
      </c>
      <c r="AH3">
        <v>5.4</v>
      </c>
      <c r="AI3">
        <v>8.9000000007000004</v>
      </c>
      <c r="AJ3">
        <v>12.0999999999</v>
      </c>
      <c r="AK3">
        <v>17.9000000007</v>
      </c>
      <c r="AL3">
        <v>25.499999999700002</v>
      </c>
      <c r="AM3">
        <v>32.499999999300002</v>
      </c>
      <c r="AN3">
        <v>39.199999999299997</v>
      </c>
      <c r="AO3">
        <v>46.200000000700001</v>
      </c>
      <c r="AP3">
        <v>53.599999999300003</v>
      </c>
      <c r="AQ3">
        <v>61.299999999400001</v>
      </c>
      <c r="AR3">
        <v>69.199999999900001</v>
      </c>
      <c r="AS3">
        <v>77.199999999699997</v>
      </c>
      <c r="AT3">
        <v>84.800000000500006</v>
      </c>
      <c r="AU3">
        <v>92.200000001000006</v>
      </c>
      <c r="AV3">
        <v>99.700000000700001</v>
      </c>
      <c r="AW3">
        <v>108.0000000002</v>
      </c>
      <c r="AX3">
        <v>117.0999999995</v>
      </c>
      <c r="AY3">
        <v>125.7000000005</v>
      </c>
      <c r="AZ3">
        <v>133.7999999996</v>
      </c>
      <c r="BA3">
        <v>141.49999999970001</v>
      </c>
      <c r="BB3">
        <v>149.10000000049999</v>
      </c>
      <c r="BC3">
        <v>157.19999999960001</v>
      </c>
      <c r="BD3">
        <v>165.60000000030001</v>
      </c>
      <c r="BE3">
        <v>174.1000000002</v>
      </c>
      <c r="BF3">
        <v>182.1</v>
      </c>
      <c r="BG3">
        <v>190.09999999979999</v>
      </c>
      <c r="BH3">
        <v>197.89999999919999</v>
      </c>
      <c r="BI3">
        <v>205.7000000004</v>
      </c>
      <c r="BJ3">
        <v>213.90000000059999</v>
      </c>
      <c r="BK3">
        <v>222.20000000019999</v>
      </c>
      <c r="BL3">
        <v>230.49999999970001</v>
      </c>
      <c r="BM3">
        <v>238.10000000049999</v>
      </c>
      <c r="BN3">
        <v>245.3999999998</v>
      </c>
      <c r="BO3">
        <v>253.00000000060001</v>
      </c>
      <c r="BP3">
        <v>260.70000000070002</v>
      </c>
      <c r="BQ3">
        <v>268.70000000049998</v>
      </c>
      <c r="BR3">
        <v>276.59999999920001</v>
      </c>
      <c r="BS3">
        <v>283.7999999992</v>
      </c>
      <c r="BT3">
        <v>290.99999999929997</v>
      </c>
      <c r="BU3">
        <v>298.00000000070003</v>
      </c>
      <c r="BV3">
        <v>304.89999999920002</v>
      </c>
      <c r="BW3">
        <v>312.09999999920001</v>
      </c>
      <c r="BX3">
        <v>319.49999999959999</v>
      </c>
      <c r="BY3">
        <v>326.69999999959998</v>
      </c>
      <c r="BZ3">
        <v>333.69999999919997</v>
      </c>
      <c r="CA3">
        <v>340.40000000100002</v>
      </c>
      <c r="CB3">
        <v>346.79999999929998</v>
      </c>
      <c r="CC3">
        <v>352.99999999919999</v>
      </c>
      <c r="CD3">
        <v>359.39999999939999</v>
      </c>
      <c r="CE3">
        <v>365.59999999920001</v>
      </c>
      <c r="CF3">
        <v>372.40000000020001</v>
      </c>
      <c r="CG3">
        <v>378.89999999970001</v>
      </c>
      <c r="CH3">
        <v>385.00000000019998</v>
      </c>
      <c r="CI3">
        <v>391.10000000069999</v>
      </c>
      <c r="CJ3">
        <v>396.80000000040002</v>
      </c>
      <c r="CK3">
        <v>402.50000000009999</v>
      </c>
      <c r="CL3">
        <v>408.10000000060001</v>
      </c>
      <c r="CM3">
        <v>413.80000000029997</v>
      </c>
      <c r="CN3">
        <v>419.79999999969999</v>
      </c>
      <c r="CO3">
        <v>425.80000000090001</v>
      </c>
      <c r="CP3">
        <v>431.30000000019999</v>
      </c>
      <c r="CQ3">
        <v>436.60000000090002</v>
      </c>
      <c r="CR3">
        <v>442.19999999949999</v>
      </c>
      <c r="CS3">
        <v>446.4000000007</v>
      </c>
      <c r="CT3">
        <v>448.7000000008</v>
      </c>
      <c r="CU3">
        <v>450.00000000070003</v>
      </c>
      <c r="CV3">
        <v>450.30000000040002</v>
      </c>
      <c r="CW3">
        <v>450.30000000040002</v>
      </c>
      <c r="CX3">
        <v>450.30000000040002</v>
      </c>
      <c r="CY3">
        <v>450.19999999930002</v>
      </c>
      <c r="CZ3">
        <v>450.1</v>
      </c>
      <c r="DA3">
        <v>450.1</v>
      </c>
      <c r="DB3">
        <v>450.1</v>
      </c>
      <c r="DC3">
        <v>450.1</v>
      </c>
      <c r="DD3">
        <v>450.1</v>
      </c>
      <c r="DE3">
        <v>450.00000000070003</v>
      </c>
      <c r="DF3">
        <v>450.00000000070003</v>
      </c>
      <c r="DG3">
        <v>2.3000000000999998</v>
      </c>
      <c r="DH3">
        <v>2.0000000004</v>
      </c>
      <c r="DI3">
        <v>2.0000000004</v>
      </c>
      <c r="DJ3">
        <v>2.0000000004</v>
      </c>
      <c r="DK3">
        <v>1.8999999993000001</v>
      </c>
      <c r="DL3">
        <v>1.8999999993000001</v>
      </c>
      <c r="DM3">
        <v>1.8999999993000001</v>
      </c>
      <c r="DN3">
        <v>1.8999999993000001</v>
      </c>
      <c r="DO3">
        <v>1.8999999993000001</v>
      </c>
      <c r="DP3">
        <v>1.8999999993000001</v>
      </c>
      <c r="DQ3">
        <v>1.8</v>
      </c>
      <c r="DR3">
        <v>1.7000000007</v>
      </c>
      <c r="DS3">
        <v>1.7000000007</v>
      </c>
      <c r="DT3">
        <v>1.2999999999</v>
      </c>
      <c r="DU3">
        <v>1.5000000003</v>
      </c>
      <c r="DV3">
        <v>4.0000000008000001</v>
      </c>
      <c r="DW3">
        <v>7.9999999998</v>
      </c>
      <c r="DX3">
        <v>11.3999999994</v>
      </c>
      <c r="DY3">
        <v>16.2</v>
      </c>
      <c r="DZ3">
        <v>23.199999999599999</v>
      </c>
      <c r="EA3">
        <v>30.399999999599999</v>
      </c>
      <c r="EB3">
        <v>37.299999999999997</v>
      </c>
      <c r="EC3">
        <v>44.299999999599997</v>
      </c>
      <c r="ED3">
        <v>51.6000000007</v>
      </c>
      <c r="EE3">
        <v>59.300000000799997</v>
      </c>
      <c r="EF3">
        <v>67.100000000199998</v>
      </c>
      <c r="EG3">
        <v>75.000000000699998</v>
      </c>
      <c r="EH3">
        <v>82.800000000099999</v>
      </c>
      <c r="EI3">
        <v>90.099999999399998</v>
      </c>
      <c r="EJ3">
        <v>97.599999999100007</v>
      </c>
      <c r="EK3">
        <v>105.49999999969999</v>
      </c>
      <c r="EL3">
        <v>114.2</v>
      </c>
      <c r="EM3">
        <v>123.10000000070001</v>
      </c>
      <c r="EN3">
        <v>131.60000000060001</v>
      </c>
      <c r="EO3">
        <v>139.4</v>
      </c>
      <c r="EP3">
        <v>147.10000000010001</v>
      </c>
      <c r="EQ3">
        <v>155.09999999990001</v>
      </c>
      <c r="ER3">
        <v>163.50000000060001</v>
      </c>
      <c r="ES3">
        <v>172.00000000049999</v>
      </c>
      <c r="ET3">
        <v>180.09999999959999</v>
      </c>
      <c r="EU3">
        <v>188.00000000009999</v>
      </c>
      <c r="EV3">
        <v>195.99999999990001</v>
      </c>
      <c r="EW3">
        <v>203.79999999930001</v>
      </c>
      <c r="EX3">
        <v>212.10000000060001</v>
      </c>
      <c r="EY3">
        <v>220.30000000090001</v>
      </c>
      <c r="EZ3">
        <v>228.4999999993</v>
      </c>
      <c r="FA3">
        <v>236.3999999998</v>
      </c>
      <c r="FB3">
        <v>243.89999999950001</v>
      </c>
      <c r="FC3">
        <v>251.2999999999</v>
      </c>
      <c r="FD3">
        <v>259</v>
      </c>
      <c r="FE3">
        <v>266.90000000049997</v>
      </c>
      <c r="FF3">
        <v>274.9000000003</v>
      </c>
      <c r="FG3">
        <v>282.19999999959998</v>
      </c>
      <c r="FH3">
        <v>289.50000000080001</v>
      </c>
      <c r="FI3">
        <v>296.7000000008</v>
      </c>
      <c r="FJ3">
        <v>303.7000000004</v>
      </c>
      <c r="FK3">
        <v>310.7</v>
      </c>
      <c r="FL3">
        <v>318.10000000039997</v>
      </c>
      <c r="FM3">
        <v>325.39999999970001</v>
      </c>
      <c r="FN3">
        <v>332.39999999930001</v>
      </c>
      <c r="FO3">
        <v>339.09999999920001</v>
      </c>
      <c r="FP3">
        <v>345.49999999940002</v>
      </c>
      <c r="FQ3">
        <v>351.69999999930002</v>
      </c>
      <c r="FR3">
        <v>358.09999999950003</v>
      </c>
      <c r="FS3">
        <v>364.79999999939997</v>
      </c>
      <c r="FT3">
        <v>371.4</v>
      </c>
      <c r="FU3">
        <v>377.59999999979999</v>
      </c>
      <c r="FV3">
        <v>383.9000000007</v>
      </c>
      <c r="FW3">
        <v>389.80000000080003</v>
      </c>
      <c r="FX3">
        <v>395.50000000049999</v>
      </c>
      <c r="FY3">
        <v>400.99999999980002</v>
      </c>
      <c r="FZ3">
        <v>406.69999999949999</v>
      </c>
      <c r="GA3">
        <v>412.39999999930001</v>
      </c>
      <c r="GB3">
        <v>418.20000000009998</v>
      </c>
      <c r="GC3">
        <v>424.1000000002</v>
      </c>
      <c r="GD3">
        <v>429.59999999950003</v>
      </c>
      <c r="GE3">
        <v>435.1999999999</v>
      </c>
      <c r="GF3">
        <v>440.50000000059998</v>
      </c>
      <c r="GG3">
        <v>444.99999999969998</v>
      </c>
      <c r="GH3">
        <v>447.79999999990002</v>
      </c>
      <c r="GI3">
        <v>449.39999999949998</v>
      </c>
      <c r="GJ3">
        <v>450.1</v>
      </c>
      <c r="GK3">
        <v>450.00000000070003</v>
      </c>
      <c r="GL3">
        <v>450.00000000070003</v>
      </c>
      <c r="GM3">
        <v>450.00000000070003</v>
      </c>
      <c r="GN3">
        <v>450.00000000070003</v>
      </c>
      <c r="GO3">
        <v>449.89999999960003</v>
      </c>
      <c r="GP3">
        <v>450.00000000070003</v>
      </c>
      <c r="GQ3">
        <v>449.89999999960003</v>
      </c>
      <c r="GR3">
        <v>449.89999999960003</v>
      </c>
      <c r="GS3">
        <v>449.89999999960003</v>
      </c>
      <c r="GT3">
        <v>449.89999999960003</v>
      </c>
      <c r="GU3">
        <v>449.89999999960003</v>
      </c>
      <c r="GV3">
        <v>450.00000000070003</v>
      </c>
      <c r="GW3">
        <v>1</v>
      </c>
      <c r="GX3">
        <v>113.7000000017</v>
      </c>
      <c r="GY3">
        <v>108.0000000002</v>
      </c>
      <c r="GZ3">
        <v>108.0000000002</v>
      </c>
      <c r="HA3">
        <v>123.10000000070001</v>
      </c>
      <c r="HB3">
        <v>111.8760524273</v>
      </c>
      <c r="HC3">
        <v>-15.1000000005</v>
      </c>
      <c r="HD3">
        <v>450.00000000070003</v>
      </c>
      <c r="HE3">
        <v>305.49377985090001</v>
      </c>
      <c r="HF3">
        <v>85.5529490176</v>
      </c>
      <c r="HG3">
        <v>450.30000000040002</v>
      </c>
      <c r="HH3">
        <v>450.0976674442</v>
      </c>
      <c r="HI3">
        <v>450.30000000040002</v>
      </c>
      <c r="HJ3">
        <v>450.1</v>
      </c>
      <c r="HK3">
        <v>112.6099706745</v>
      </c>
      <c r="HL3">
        <v>3.2986896475999998</v>
      </c>
      <c r="HM3">
        <v>3.1983112103</v>
      </c>
      <c r="HN3">
        <v>3.207709623</v>
      </c>
      <c r="HO3">
        <v>3.2681128506000001</v>
      </c>
      <c r="HP3">
        <v>3.5187665264999999</v>
      </c>
      <c r="HQ3">
        <v>2.1942106367999998</v>
      </c>
      <c r="HR3">
        <v>26.3231034097</v>
      </c>
      <c r="HS3">
        <v>-25.806451612899998</v>
      </c>
      <c r="HT3">
        <v>-176</v>
      </c>
      <c r="HU3">
        <v>417.36983227820002</v>
      </c>
      <c r="HV3">
        <v>96.187683284499997</v>
      </c>
      <c r="HW3">
        <v>656</v>
      </c>
      <c r="HX3">
        <v>26.3231034097</v>
      </c>
      <c r="HY3">
        <v>-25.806451612899998</v>
      </c>
      <c r="HZ3">
        <v>-176</v>
      </c>
      <c r="IA3">
        <v>417.36983227820002</v>
      </c>
      <c r="IB3">
        <v>96.187683284499997</v>
      </c>
      <c r="IC3">
        <v>656</v>
      </c>
      <c r="ID3">
        <v>32.727835165999998</v>
      </c>
      <c r="IE3">
        <v>5.5119626790999998</v>
      </c>
      <c r="IF3">
        <v>-35.190615835800003</v>
      </c>
      <c r="IG3">
        <v>-240</v>
      </c>
      <c r="IH3">
        <v>440.20876374599999</v>
      </c>
      <c r="II3">
        <v>105.57184750730001</v>
      </c>
      <c r="IJ3">
        <v>720</v>
      </c>
      <c r="IK3">
        <v>391.0467288685</v>
      </c>
      <c r="IL3">
        <v>121.9941348974</v>
      </c>
      <c r="IM3">
        <v>416.51071864890002</v>
      </c>
      <c r="IN3">
        <v>131.37829912020001</v>
      </c>
      <c r="IO3">
        <v>7.5999999989999996</v>
      </c>
      <c r="IP3">
        <v>5.6000000003999997</v>
      </c>
      <c r="IQ3">
        <v>9.0999999992999996</v>
      </c>
      <c r="IR3">
        <v>6.4594546049000003</v>
      </c>
      <c r="IS3">
        <v>6.4594546049000003</v>
      </c>
      <c r="IT3">
        <v>12.4999999989</v>
      </c>
      <c r="IU3">
        <v>-28.152492668600001</v>
      </c>
      <c r="IV3">
        <v>15.1000000005</v>
      </c>
      <c r="IW3">
        <v>0</v>
      </c>
      <c r="IX3">
        <v>9.3999999990000003</v>
      </c>
      <c r="IY3">
        <v>103.22580645159999</v>
      </c>
      <c r="IZ3">
        <v>-34.120250579199997</v>
      </c>
      <c r="JA3">
        <v>0.33315992210000001</v>
      </c>
      <c r="JB3">
        <v>-3.3595709999999999E-4</v>
      </c>
      <c r="JC3">
        <v>6.8410000000000004E-7</v>
      </c>
      <c r="JD3">
        <v>0.30315067699999998</v>
      </c>
      <c r="JE3">
        <v>0.2490701555</v>
      </c>
      <c r="JF3">
        <v>0.1068299365</v>
      </c>
      <c r="JG3">
        <v>112.800716126</v>
      </c>
      <c r="JH3">
        <v>3.5187665264999999</v>
      </c>
      <c r="JI3">
        <v>2.3725974999999999E-3</v>
      </c>
      <c r="JJ3">
        <v>-6.41653E-5</v>
      </c>
      <c r="JK3">
        <v>3.2986896475999998</v>
      </c>
      <c r="JL3">
        <v>1.6464094885</v>
      </c>
      <c r="JM3">
        <v>0.59191593409999999</v>
      </c>
      <c r="JN3" t="s">
        <v>558</v>
      </c>
      <c r="JQ3">
        <v>1</v>
      </c>
    </row>
    <row r="4" spans="1:277">
      <c r="A4" t="s">
        <v>561</v>
      </c>
      <c r="B4" t="s">
        <v>562</v>
      </c>
      <c r="C4" t="s">
        <v>212</v>
      </c>
      <c r="D4">
        <v>3</v>
      </c>
      <c r="E4" t="s">
        <v>213</v>
      </c>
      <c r="F4" t="s">
        <v>214</v>
      </c>
      <c r="G4" t="s">
        <v>557</v>
      </c>
      <c r="H4" t="s">
        <v>216</v>
      </c>
      <c r="J4" t="s">
        <v>237</v>
      </c>
      <c r="K4" t="s">
        <v>238</v>
      </c>
      <c r="L4" t="s">
        <v>239</v>
      </c>
      <c r="M4" t="s">
        <v>240</v>
      </c>
      <c r="N4" t="s">
        <v>241</v>
      </c>
      <c r="O4">
        <v>0</v>
      </c>
      <c r="P4">
        <v>0</v>
      </c>
      <c r="Q4">
        <v>0.20000000039999999</v>
      </c>
      <c r="R4">
        <v>0</v>
      </c>
      <c r="S4">
        <v>0.1000000011</v>
      </c>
      <c r="T4">
        <v>0.1000000011</v>
      </c>
      <c r="U4">
        <v>0.1000000011</v>
      </c>
      <c r="V4">
        <v>0.1000000011</v>
      </c>
      <c r="W4">
        <v>0.20000000039999999</v>
      </c>
      <c r="X4">
        <v>0.20000000039999999</v>
      </c>
      <c r="Y4">
        <v>0.20000000039999999</v>
      </c>
      <c r="Z4">
        <v>0.29999999970000002</v>
      </c>
      <c r="AA4">
        <v>0.29999999970000002</v>
      </c>
      <c r="AB4">
        <v>0.29999999970000002</v>
      </c>
      <c r="AC4">
        <v>0.29999999970000002</v>
      </c>
      <c r="AD4">
        <v>0.40000000079999998</v>
      </c>
      <c r="AE4">
        <v>0.40000000079999998</v>
      </c>
      <c r="AF4">
        <v>0.50000000010000001</v>
      </c>
      <c r="AG4">
        <v>1.5000000003</v>
      </c>
      <c r="AH4">
        <v>5.3000000006999999</v>
      </c>
      <c r="AI4">
        <v>11.0999999997</v>
      </c>
      <c r="AJ4">
        <v>17.700000000300001</v>
      </c>
      <c r="AK4">
        <v>24.9999999996</v>
      </c>
      <c r="AL4">
        <v>32.5000000012</v>
      </c>
      <c r="AM4">
        <v>39.700000001200003</v>
      </c>
      <c r="AN4">
        <v>46.700000000800003</v>
      </c>
      <c r="AO4">
        <v>54.000000000100002</v>
      </c>
      <c r="AP4">
        <v>61.200000000099998</v>
      </c>
      <c r="AQ4">
        <v>68.499999999400004</v>
      </c>
      <c r="AR4">
        <v>76.6000000003</v>
      </c>
      <c r="AS4">
        <v>84.800000000500006</v>
      </c>
      <c r="AT4">
        <v>92.500000000699998</v>
      </c>
      <c r="AU4">
        <v>100.2000000008</v>
      </c>
      <c r="AV4">
        <v>108.2000000006</v>
      </c>
      <c r="AW4">
        <v>116.1000000011</v>
      </c>
      <c r="AX4">
        <v>125.2000000004</v>
      </c>
      <c r="AY4">
        <v>134.2000000004</v>
      </c>
      <c r="AZ4">
        <v>142.29999999949999</v>
      </c>
      <c r="BA4">
        <v>150.19999999999999</v>
      </c>
      <c r="BB4">
        <v>158.4000000003</v>
      </c>
      <c r="BC4">
        <v>166.1999999997</v>
      </c>
      <c r="BD4">
        <v>174.19999999949999</v>
      </c>
      <c r="BE4">
        <v>182.8999999998</v>
      </c>
      <c r="BF4">
        <v>191.50000000079999</v>
      </c>
      <c r="BG4">
        <v>199.50000000060001</v>
      </c>
      <c r="BH4">
        <v>207.50000000040001</v>
      </c>
      <c r="BI4">
        <v>215.400000001</v>
      </c>
      <c r="BJ4">
        <v>223.2000000004</v>
      </c>
      <c r="BK4">
        <v>231.60000000100001</v>
      </c>
      <c r="BL4">
        <v>240.20000000019999</v>
      </c>
      <c r="BM4">
        <v>247.9000000003</v>
      </c>
      <c r="BN4">
        <v>255.6999999997</v>
      </c>
      <c r="BO4">
        <v>263.3999999998</v>
      </c>
      <c r="BP4">
        <v>270.70000000089999</v>
      </c>
      <c r="BQ4">
        <v>278.20000000070002</v>
      </c>
      <c r="BR4">
        <v>286.40000000089998</v>
      </c>
      <c r="BS4">
        <v>294.2999999996</v>
      </c>
      <c r="BT4">
        <v>301.49999999959999</v>
      </c>
      <c r="BU4">
        <v>308.80000000069998</v>
      </c>
      <c r="BV4">
        <v>315.80000000029997</v>
      </c>
      <c r="BW4">
        <v>322.70000000060003</v>
      </c>
      <c r="BX4">
        <v>329.79999999950002</v>
      </c>
      <c r="BY4">
        <v>337.30000000109999</v>
      </c>
      <c r="BZ4">
        <v>344.60000000039997</v>
      </c>
      <c r="CA4">
        <v>351.09999999989998</v>
      </c>
      <c r="CB4">
        <v>357.70000000049998</v>
      </c>
      <c r="CC4">
        <v>364.2</v>
      </c>
      <c r="CD4">
        <v>370.30000000050001</v>
      </c>
      <c r="CE4">
        <v>376.50000000030002</v>
      </c>
      <c r="CF4">
        <v>383.10000000090002</v>
      </c>
      <c r="CG4">
        <v>389.80000000080003</v>
      </c>
      <c r="CH4">
        <v>395.70000000089999</v>
      </c>
      <c r="CI4">
        <v>401.6000000011</v>
      </c>
      <c r="CJ4">
        <v>407.80000000090001</v>
      </c>
      <c r="CK4">
        <v>413.70000000099998</v>
      </c>
      <c r="CL4">
        <v>419.10000000100001</v>
      </c>
      <c r="CM4">
        <v>424.50000000099999</v>
      </c>
      <c r="CN4">
        <v>430.00000000030002</v>
      </c>
      <c r="CO4">
        <v>436.10000000079998</v>
      </c>
      <c r="CP4">
        <v>442.0000000009</v>
      </c>
      <c r="CQ4">
        <v>447.20000000049998</v>
      </c>
      <c r="CR4">
        <v>452.60000000050002</v>
      </c>
      <c r="CS4">
        <v>457.00000000030002</v>
      </c>
      <c r="CT4">
        <v>460.0000000009</v>
      </c>
      <c r="CU4">
        <v>462.10000000060001</v>
      </c>
      <c r="CV4">
        <v>462.49999999959999</v>
      </c>
      <c r="CW4">
        <v>462.49999999959999</v>
      </c>
      <c r="CX4">
        <v>462.49999999959999</v>
      </c>
      <c r="CY4">
        <v>462.49999999959999</v>
      </c>
      <c r="CZ4">
        <v>462.60000000069999</v>
      </c>
      <c r="DA4">
        <v>462.49999999959999</v>
      </c>
      <c r="DB4">
        <v>462.60000000069999</v>
      </c>
      <c r="DC4">
        <v>462.60000000069999</v>
      </c>
      <c r="DD4">
        <v>462.60000000069999</v>
      </c>
      <c r="DE4">
        <v>462.49999999959999</v>
      </c>
      <c r="DF4">
        <v>462.49999999959999</v>
      </c>
      <c r="DG4">
        <v>1.400000001</v>
      </c>
      <c r="DH4">
        <v>1.2999999999</v>
      </c>
      <c r="DI4">
        <v>1.2999999999</v>
      </c>
      <c r="DJ4">
        <v>1.2999999999</v>
      </c>
      <c r="DK4">
        <v>1.2999999999</v>
      </c>
      <c r="DL4">
        <v>1.400000001</v>
      </c>
      <c r="DM4">
        <v>1.400000001</v>
      </c>
      <c r="DN4">
        <v>1.400000001</v>
      </c>
      <c r="DO4">
        <v>1.400000001</v>
      </c>
      <c r="DP4">
        <v>1.5000000003</v>
      </c>
      <c r="DQ4">
        <v>1.5000000003</v>
      </c>
      <c r="DR4">
        <v>1.5000000003</v>
      </c>
      <c r="DS4">
        <v>1.5000000003</v>
      </c>
      <c r="DT4">
        <v>1.5000000003</v>
      </c>
      <c r="DU4">
        <v>1.5999999996000001</v>
      </c>
      <c r="DV4">
        <v>3.8999999996999999</v>
      </c>
      <c r="DW4">
        <v>9.4000000008000004</v>
      </c>
      <c r="DX4">
        <v>15.9000000003</v>
      </c>
      <c r="DY4">
        <v>23.199999999599999</v>
      </c>
      <c r="DZ4">
        <v>30.800000000499999</v>
      </c>
      <c r="EA4">
        <v>38.099999999799998</v>
      </c>
      <c r="EB4">
        <v>44.900000000799999</v>
      </c>
      <c r="EC4">
        <v>52.200000000099998</v>
      </c>
      <c r="ED4">
        <v>59.4000000001</v>
      </c>
      <c r="EE4">
        <v>66.600000000099996</v>
      </c>
      <c r="EF4">
        <v>74.399999999499997</v>
      </c>
      <c r="EG4">
        <v>82.700000000800003</v>
      </c>
      <c r="EH4">
        <v>90.500000000200004</v>
      </c>
      <c r="EI4">
        <v>98</v>
      </c>
      <c r="EJ4">
        <v>105.9000000005</v>
      </c>
      <c r="EK4">
        <v>113.6999999999</v>
      </c>
      <c r="EL4">
        <v>122.1000000005</v>
      </c>
      <c r="EM4">
        <v>131.49999999950001</v>
      </c>
      <c r="EN4">
        <v>140.10000000049999</v>
      </c>
      <c r="EO4">
        <v>148.00000000099999</v>
      </c>
      <c r="EP4">
        <v>156.19999999940001</v>
      </c>
      <c r="EQ4">
        <v>164.1</v>
      </c>
      <c r="ER4">
        <v>172.00000000049999</v>
      </c>
      <c r="ES4">
        <v>180.5999999997</v>
      </c>
      <c r="ET4">
        <v>189.40000000110001</v>
      </c>
      <c r="EU4">
        <v>197.40000000090001</v>
      </c>
      <c r="EV4">
        <v>205.5</v>
      </c>
      <c r="EW4">
        <v>213.4999999998</v>
      </c>
      <c r="EX4">
        <v>221.10000000069999</v>
      </c>
      <c r="EY4">
        <v>229.30000000090001</v>
      </c>
      <c r="EZ4">
        <v>238.00000000119999</v>
      </c>
      <c r="FA4">
        <v>245.89999999989999</v>
      </c>
      <c r="FB4">
        <v>253.70000000109999</v>
      </c>
      <c r="FC4">
        <v>261.39999999939999</v>
      </c>
      <c r="FD4">
        <v>268.90000000089998</v>
      </c>
      <c r="FE4">
        <v>276.40000000060002</v>
      </c>
      <c r="FF4">
        <v>284.40000000049997</v>
      </c>
      <c r="FG4">
        <v>292.1999999999</v>
      </c>
      <c r="FH4">
        <v>299.50000000099999</v>
      </c>
      <c r="FI4">
        <v>307.10000000000002</v>
      </c>
      <c r="FJ4">
        <v>314.3</v>
      </c>
      <c r="FK4">
        <v>321.20000000030001</v>
      </c>
      <c r="FL4">
        <v>328.300000001</v>
      </c>
      <c r="FM4">
        <v>335.69999999959998</v>
      </c>
      <c r="FN4">
        <v>343.1</v>
      </c>
      <c r="FO4">
        <v>349.8</v>
      </c>
      <c r="FP4">
        <v>356.29999999950002</v>
      </c>
      <c r="FQ4">
        <v>362.90000000010002</v>
      </c>
      <c r="FR4">
        <v>369.20000000099998</v>
      </c>
      <c r="FS4">
        <v>375.50000000009999</v>
      </c>
      <c r="FT4">
        <v>382.10000000069999</v>
      </c>
      <c r="FU4">
        <v>388.89999999989999</v>
      </c>
      <c r="FV4">
        <v>395.00000000040001</v>
      </c>
      <c r="FW4">
        <v>400.60000000079998</v>
      </c>
      <c r="FX4">
        <v>406.69999999949999</v>
      </c>
      <c r="FY4">
        <v>412.5999999997</v>
      </c>
      <c r="FZ4">
        <v>418.30000000119998</v>
      </c>
      <c r="GA4">
        <v>423.60000000010001</v>
      </c>
      <c r="GB4">
        <v>429.00000000009999</v>
      </c>
      <c r="GC4">
        <v>434.90000000020001</v>
      </c>
      <c r="GD4">
        <v>440.89999999960003</v>
      </c>
      <c r="GE4">
        <v>446.10000000100001</v>
      </c>
      <c r="GF4">
        <v>451.0000000009</v>
      </c>
      <c r="GG4">
        <v>455.7000000004</v>
      </c>
      <c r="GH4">
        <v>459.30000000040002</v>
      </c>
      <c r="GI4">
        <v>461.60000000050002</v>
      </c>
      <c r="GJ4">
        <v>462.30000000109999</v>
      </c>
      <c r="GK4">
        <v>462.4000000003</v>
      </c>
      <c r="GL4">
        <v>462.4000000003</v>
      </c>
      <c r="GM4">
        <v>462.4000000003</v>
      </c>
      <c r="GN4">
        <v>462.49999999959999</v>
      </c>
      <c r="GO4">
        <v>462.49999999959999</v>
      </c>
      <c r="GP4">
        <v>462.49999999959999</v>
      </c>
      <c r="GQ4">
        <v>462.4000000003</v>
      </c>
      <c r="GR4">
        <v>462.49999999959999</v>
      </c>
      <c r="GS4">
        <v>462.4000000003</v>
      </c>
      <c r="GT4">
        <v>462.49999999959999</v>
      </c>
      <c r="GU4">
        <v>462.49999999959999</v>
      </c>
      <c r="GV4">
        <v>462.49999999959999</v>
      </c>
      <c r="GW4">
        <v>1</v>
      </c>
      <c r="GX4">
        <v>122.4000000002</v>
      </c>
      <c r="GY4">
        <v>116.1000000011</v>
      </c>
      <c r="GZ4">
        <v>116.1000000011</v>
      </c>
      <c r="HA4">
        <v>131.49999999950001</v>
      </c>
      <c r="HB4">
        <v>120.2217598104</v>
      </c>
      <c r="HC4">
        <v>-15.3999999984</v>
      </c>
      <c r="HD4">
        <v>462.49999999959999</v>
      </c>
      <c r="HE4">
        <v>307.9542211648</v>
      </c>
      <c r="HF4">
        <v>101.8349691929</v>
      </c>
      <c r="HG4">
        <v>462.60000000069999</v>
      </c>
      <c r="HH4">
        <v>462.49999999959999</v>
      </c>
      <c r="HI4">
        <v>462.60000000069999</v>
      </c>
      <c r="HJ4">
        <v>462.49999999959999</v>
      </c>
      <c r="HK4">
        <v>112.6099706745</v>
      </c>
      <c r="HL4">
        <v>3.3381271733000002</v>
      </c>
      <c r="HM4">
        <v>3.2362094648999999</v>
      </c>
      <c r="HN4">
        <v>3.2455975742000001</v>
      </c>
      <c r="HO4">
        <v>3.1914087941</v>
      </c>
      <c r="HP4">
        <v>3.5496356470000001</v>
      </c>
      <c r="HQ4">
        <v>2.1802416836999998</v>
      </c>
      <c r="HR4">
        <v>18.386790617599999</v>
      </c>
      <c r="HS4">
        <v>-30.4985337243</v>
      </c>
      <c r="HT4">
        <v>-208</v>
      </c>
      <c r="HU4">
        <v>428.17598097519999</v>
      </c>
      <c r="HV4">
        <v>96.187683284499997</v>
      </c>
      <c r="HW4">
        <v>656</v>
      </c>
      <c r="HX4">
        <v>18.386790617599999</v>
      </c>
      <c r="HY4">
        <v>-30.4985337243</v>
      </c>
      <c r="HZ4">
        <v>-208</v>
      </c>
      <c r="IA4">
        <v>428.17598097519999</v>
      </c>
      <c r="IB4">
        <v>96.187683284499997</v>
      </c>
      <c r="IC4">
        <v>656</v>
      </c>
      <c r="ID4">
        <v>34.324019024400002</v>
      </c>
      <c r="IE4">
        <v>0.51617122479999999</v>
      </c>
      <c r="IF4">
        <v>-39.8826979472</v>
      </c>
      <c r="IG4">
        <v>-272</v>
      </c>
      <c r="IH4">
        <v>450.68770943779998</v>
      </c>
      <c r="II4">
        <v>105.57184750730001</v>
      </c>
      <c r="IJ4">
        <v>720</v>
      </c>
      <c r="IK4">
        <v>409.78919035759998</v>
      </c>
      <c r="IL4">
        <v>126.6862170088</v>
      </c>
      <c r="IM4">
        <v>434.71847367740003</v>
      </c>
      <c r="IN4">
        <v>136.0703812317</v>
      </c>
      <c r="IO4">
        <v>6.6000000005999997</v>
      </c>
      <c r="IP4">
        <v>5.9999999994</v>
      </c>
      <c r="IQ4">
        <v>9.3999999990000003</v>
      </c>
      <c r="IR4">
        <v>6.8029588358000002</v>
      </c>
      <c r="IS4">
        <v>6.8029588358000002</v>
      </c>
      <c r="IT4">
        <v>12.0999999999</v>
      </c>
      <c r="IU4">
        <v>-32.844574780099997</v>
      </c>
      <c r="IV4">
        <v>15.3999999984</v>
      </c>
      <c r="IW4">
        <v>0</v>
      </c>
      <c r="IX4">
        <v>10.0000000002</v>
      </c>
      <c r="IY4">
        <v>103.22580645159999</v>
      </c>
      <c r="IZ4">
        <v>-36.519229361400001</v>
      </c>
      <c r="JA4">
        <v>0.33517610879999998</v>
      </c>
      <c r="JB4">
        <v>-3.4964080000000002E-4</v>
      </c>
      <c r="JC4">
        <v>6.7599999999999997E-7</v>
      </c>
      <c r="JD4">
        <v>0.29956917399999999</v>
      </c>
      <c r="JE4">
        <v>0.27457468509999999</v>
      </c>
      <c r="JF4">
        <v>0.114237136</v>
      </c>
      <c r="JG4">
        <v>121.1827707321</v>
      </c>
      <c r="JH4">
        <v>3.5496356470000001</v>
      </c>
      <c r="JI4">
        <v>2.7453432E-3</v>
      </c>
      <c r="JJ4">
        <v>-6.8364199999999998E-5</v>
      </c>
      <c r="JK4">
        <v>3.3381271733000002</v>
      </c>
      <c r="JL4">
        <v>1.273644915</v>
      </c>
      <c r="JM4">
        <v>0.62990345400000003</v>
      </c>
      <c r="JN4" t="s">
        <v>558</v>
      </c>
      <c r="JQ4">
        <v>1</v>
      </c>
    </row>
  </sheetData>
  <phoneticPr fontId="8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8" t="s">
        <v>24</v>
      </c>
      <c r="C4" s="3"/>
    </row>
    <row r="5" spans="1:7">
      <c r="B5" s="99"/>
      <c r="C5" s="3"/>
    </row>
    <row r="6" spans="1:7">
      <c r="B6" s="99"/>
      <c r="C6" s="3"/>
    </row>
    <row r="7" spans="1:7">
      <c r="B7" s="100"/>
      <c r="C7" s="3"/>
    </row>
    <row r="8" spans="1:7">
      <c r="B8" s="101" t="s">
        <v>25</v>
      </c>
      <c r="C8" s="3"/>
    </row>
    <row r="9" spans="1:7">
      <c r="B9" s="101"/>
      <c r="C9" s="3"/>
    </row>
    <row r="10" spans="1:7">
      <c r="B10" s="101"/>
      <c r="C10" s="3"/>
    </row>
    <row r="11" spans="1:7">
      <c r="B11" s="101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108</v>
      </c>
    </row>
    <row r="16" spans="1:7">
      <c r="A16" s="1" t="s">
        <v>29</v>
      </c>
      <c r="C16" s="8">
        <f>'Summary(3pcs)'!D34</f>
        <v>74.226303483899997</v>
      </c>
      <c r="D16" s="9">
        <f>AVERAGE(C18:C20)</f>
        <v>26.548707140499999</v>
      </c>
      <c r="E16" s="1" t="s">
        <v>31</v>
      </c>
      <c r="G16" s="7" t="s">
        <v>109</v>
      </c>
    </row>
    <row r="17" spans="1:7" ht="17.25" thickBot="1">
      <c r="A17" s="1" t="s">
        <v>29</v>
      </c>
      <c r="C17" s="10">
        <f>'Summary(3pcs)'!D35</f>
        <v>63.780005613999997</v>
      </c>
      <c r="D17" s="9">
        <f>AVERAGE(C21:C23)</f>
        <v>6</v>
      </c>
      <c r="E17" s="1" t="s">
        <v>32</v>
      </c>
      <c r="G17" s="7" t="s">
        <v>110</v>
      </c>
    </row>
    <row r="18" spans="1:7" ht="17.25" thickBot="1">
      <c r="A18" s="1" t="s">
        <v>33</v>
      </c>
      <c r="C18" s="5">
        <f>'Summary(3pcs)'!D36</f>
        <v>67.646121421499998</v>
      </c>
      <c r="D18" s="11">
        <f>AVERAGE(C24:C26)</f>
        <v>6</v>
      </c>
      <c r="E18" s="1" t="s">
        <v>34</v>
      </c>
      <c r="G18" s="7" t="s">
        <v>111</v>
      </c>
    </row>
    <row r="19" spans="1:7">
      <c r="A19" s="1" t="s">
        <v>33</v>
      </c>
      <c r="C19" s="8">
        <f>'Summary(3pcs)'!D37</f>
        <v>6</v>
      </c>
      <c r="D19" s="6">
        <f>AVERAGE('Summary(3pcs)'!E34:E35)</f>
        <v>142.80491669188788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'Summary(3pcs)'!D38</f>
        <v>6</v>
      </c>
      <c r="D20" s="9">
        <f>AVERAGE('Summary(3pcs)'!E36:E38)</f>
        <v>-69.455415944695417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'Summary(3pcs)'!D39</f>
        <v>6</v>
      </c>
      <c r="D21" s="9">
        <f>AVERAGE('Summary(3pcs)'!E39:E41)</f>
        <v>-185.50310559006209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'Summary(3pcs)'!D40</f>
        <v>6</v>
      </c>
      <c r="D22" s="11">
        <f>AVERAGE('Summary(3pcs)'!E42:E44)</f>
        <v>-185.50310559006209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'Summary(3pcs)'!D41</f>
        <v>6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'Summary(3pcs)'!D42</f>
        <v>6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'Summary(3pcs)'!D43</f>
        <v>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'Summary(3pcs)'!D44</f>
        <v>6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4.530901858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-1.3467527029999999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0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0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0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0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0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0</v>
      </c>
      <c r="E38" s="1" t="s">
        <v>52</v>
      </c>
      <c r="G38" s="1" t="s">
        <v>52</v>
      </c>
    </row>
    <row r="39" spans="1:7" ht="17.25" thickBot="1">
      <c r="A39" s="1" t="s">
        <v>49</v>
      </c>
      <c r="B39" s="95">
        <f>AVERAGE(C39:C42)</f>
        <v>0.79603728875000002</v>
      </c>
      <c r="C39" s="5">
        <f>'Summary(3pcs)'!M34</f>
        <v>4.530901858</v>
      </c>
      <c r="D39" s="11">
        <f t="shared" si="0"/>
        <v>0</v>
      </c>
      <c r="E39" s="1" t="s">
        <v>52</v>
      </c>
      <c r="G39" s="1" t="s">
        <v>52</v>
      </c>
    </row>
    <row r="40" spans="1:7">
      <c r="A40" s="1" t="s">
        <v>49</v>
      </c>
      <c r="B40" s="96"/>
      <c r="C40" s="8">
        <f>'Summary(3pcs)'!M35</f>
        <v>-1.3467527029999999</v>
      </c>
      <c r="D40" s="6">
        <f t="shared" si="0"/>
        <v>0</v>
      </c>
      <c r="E40" s="1" t="s">
        <v>53</v>
      </c>
      <c r="G40" s="1" t="s">
        <v>53</v>
      </c>
    </row>
    <row r="41" spans="1:7" ht="17.25" thickBot="1">
      <c r="A41" s="1" t="s">
        <v>49</v>
      </c>
      <c r="B41" s="96"/>
      <c r="C41" s="10">
        <f>'Summary(3pcs)'!M37</f>
        <v>0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7"/>
      <c r="C42" s="5">
        <f>'Summary(3pcs)'!M38</f>
        <v>0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5">
        <f>AVERAGE(C43:C46)</f>
        <v>0</v>
      </c>
      <c r="C43" s="8">
        <f>'Summary(3pcs)'!M39</f>
        <v>0</v>
      </c>
      <c r="D43" s="6">
        <f t="shared" ref="D43:D54" si="2">C55</f>
        <v>-0.62402495029999994</v>
      </c>
      <c r="E43" s="1" t="s">
        <v>55</v>
      </c>
      <c r="G43" s="1" t="s">
        <v>55</v>
      </c>
    </row>
    <row r="44" spans="1:7" ht="17.25" thickBot="1">
      <c r="A44" s="1" t="s">
        <v>51</v>
      </c>
      <c r="B44" s="96"/>
      <c r="C44" s="10">
        <f>'Summary(3pcs)'!M41</f>
        <v>0</v>
      </c>
      <c r="D44" s="9">
        <f t="shared" si="2"/>
        <v>2.9607889803000003</v>
      </c>
      <c r="E44" s="1" t="s">
        <v>55</v>
      </c>
      <c r="G44" s="1" t="s">
        <v>55</v>
      </c>
    </row>
    <row r="45" spans="1:7" ht="17.25" thickBot="1">
      <c r="A45" s="1" t="s">
        <v>52</v>
      </c>
      <c r="B45" s="96"/>
      <c r="C45" s="5">
        <f>'Summary(3pcs)'!M42</f>
        <v>0</v>
      </c>
      <c r="D45" s="11">
        <f t="shared" si="2"/>
        <v>4</v>
      </c>
      <c r="E45" s="1" t="s">
        <v>55</v>
      </c>
      <c r="G45" s="1" t="s">
        <v>55</v>
      </c>
    </row>
    <row r="46" spans="1:7">
      <c r="A46" s="1" t="s">
        <v>52</v>
      </c>
      <c r="B46" s="97"/>
      <c r="C46" s="8">
        <f>'Summary(3pcs)'!M43</f>
        <v>0</v>
      </c>
      <c r="D46" s="6">
        <f t="shared" si="2"/>
        <v>4</v>
      </c>
      <c r="E46" s="1" t="s">
        <v>59</v>
      </c>
      <c r="G46" s="1" t="s">
        <v>59</v>
      </c>
    </row>
    <row r="47" spans="1:7" ht="17.25" thickBot="1">
      <c r="A47" s="1" t="s">
        <v>52</v>
      </c>
      <c r="B47" s="95" t="e">
        <f>AVERAGE(C47:C50)</f>
        <v>#REF!</v>
      </c>
      <c r="C47" s="10">
        <f>'Summary(3pcs)'!M44</f>
        <v>0</v>
      </c>
      <c r="D47" s="9">
        <f t="shared" si="2"/>
        <v>4</v>
      </c>
      <c r="E47" s="1" t="s">
        <v>59</v>
      </c>
      <c r="G47" s="1" t="s">
        <v>59</v>
      </c>
    </row>
    <row r="48" spans="1:7" ht="17.25" thickBot="1">
      <c r="A48" s="1" t="s">
        <v>53</v>
      </c>
      <c r="B48" s="96"/>
      <c r="C48" s="5">
        <f>'Summary(3pcs)'!M45</f>
        <v>0</v>
      </c>
      <c r="D48" s="11">
        <f t="shared" si="2"/>
        <v>4</v>
      </c>
      <c r="E48" s="1" t="s">
        <v>59</v>
      </c>
      <c r="G48" s="1" t="s">
        <v>59</v>
      </c>
    </row>
    <row r="49" spans="1:7">
      <c r="A49" s="1" t="s">
        <v>53</v>
      </c>
      <c r="B49" s="96"/>
      <c r="C49" s="8" t="e">
        <f>'Summary(3pcs)'!#REF!</f>
        <v>#REF!</v>
      </c>
      <c r="D49" s="6">
        <f t="shared" si="2"/>
        <v>4</v>
      </c>
      <c r="E49" s="1" t="s">
        <v>63</v>
      </c>
      <c r="G49" s="1" t="s">
        <v>63</v>
      </c>
    </row>
    <row r="50" spans="1:7" ht="17.25" thickBot="1">
      <c r="A50" s="1" t="s">
        <v>53</v>
      </c>
      <c r="B50" s="97"/>
      <c r="C50" s="10" t="e">
        <f>'Summary(3pcs)'!#REF!</f>
        <v>#REF!</v>
      </c>
      <c r="D50" s="9">
        <f t="shared" si="2"/>
        <v>4</v>
      </c>
      <c r="E50" s="1" t="s">
        <v>63</v>
      </c>
      <c r="G50" s="1" t="s">
        <v>63</v>
      </c>
    </row>
    <row r="51" spans="1:7" ht="17.25" thickBot="1">
      <c r="B51" s="95">
        <f>AVERAGE(C51:C54)</f>
        <v>0</v>
      </c>
      <c r="C51" s="12">
        <f>[2]Result!Z15</f>
        <v>0</v>
      </c>
      <c r="D51" s="11">
        <f t="shared" si="2"/>
        <v>4</v>
      </c>
      <c r="E51" s="1" t="s">
        <v>63</v>
      </c>
      <c r="G51" s="1" t="s">
        <v>63</v>
      </c>
    </row>
    <row r="52" spans="1:7">
      <c r="B52" s="96"/>
      <c r="C52" s="8">
        <f>[2]Result!Z16</f>
        <v>0</v>
      </c>
      <c r="D52" s="6">
        <f t="shared" si="2"/>
        <v>4</v>
      </c>
      <c r="E52" s="1" t="s">
        <v>65</v>
      </c>
      <c r="G52" s="1" t="s">
        <v>65</v>
      </c>
    </row>
    <row r="53" spans="1:7">
      <c r="B53" s="96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7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5">
        <f>AVERAGE(C55:C58)</f>
        <v>2.5841910075000003</v>
      </c>
      <c r="C55" s="5">
        <f>'Summary(3pcs)'!N34</f>
        <v>-0.62402495029999994</v>
      </c>
      <c r="D55" s="6">
        <f>AVERAGE(D31:D33)</f>
        <v>1.0613830516666667</v>
      </c>
      <c r="E55" s="1" t="s">
        <v>66</v>
      </c>
      <c r="G55" s="1" t="s">
        <v>67</v>
      </c>
    </row>
    <row r="56" spans="1:7">
      <c r="A56" s="1" t="s">
        <v>55</v>
      </c>
      <c r="B56" s="96"/>
      <c r="C56" s="8">
        <f>'Summary(3pcs)'!N35</f>
        <v>2.9607889803000003</v>
      </c>
      <c r="D56" s="9">
        <f>AVERAGE(D34:D36)</f>
        <v>0</v>
      </c>
      <c r="E56" s="1" t="s">
        <v>68</v>
      </c>
      <c r="G56" s="1" t="s">
        <v>69</v>
      </c>
    </row>
    <row r="57" spans="1:7" ht="17.25" thickBot="1">
      <c r="A57" s="1" t="s">
        <v>55</v>
      </c>
      <c r="B57" s="96"/>
      <c r="C57" s="10">
        <f>'Summary(3pcs)'!N37</f>
        <v>4</v>
      </c>
      <c r="D57" s="9">
        <f>AVERAGE(D37:D39)</f>
        <v>0</v>
      </c>
      <c r="E57" s="1" t="s">
        <v>70</v>
      </c>
      <c r="G57" s="1" t="s">
        <v>71</v>
      </c>
    </row>
    <row r="58" spans="1:7">
      <c r="A58" s="1" t="s">
        <v>59</v>
      </c>
      <c r="B58" s="97"/>
      <c r="C58" s="5">
        <f>'Summary(3pcs)'!N38</f>
        <v>4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5">
        <f>AVERAGE(C59:C62)</f>
        <v>4</v>
      </c>
      <c r="C59" s="8">
        <f>'Summary(3pcs)'!N39</f>
        <v>4</v>
      </c>
      <c r="D59" s="9">
        <f>AVERAGE(D43:D45)</f>
        <v>2.1122546766666668</v>
      </c>
      <c r="E59" s="1" t="s">
        <v>74</v>
      </c>
      <c r="G59" s="1" t="s">
        <v>75</v>
      </c>
    </row>
    <row r="60" spans="1:7" ht="17.25" thickBot="1">
      <c r="A60" s="1" t="s">
        <v>59</v>
      </c>
      <c r="B60" s="96"/>
      <c r="C60" s="10">
        <f>'Summary(3pcs)'!N41</f>
        <v>4</v>
      </c>
      <c r="D60" s="9">
        <f>AVERAGE(D46:D48)</f>
        <v>4</v>
      </c>
      <c r="E60" s="7" t="s">
        <v>112</v>
      </c>
      <c r="G60" s="1" t="s">
        <v>77</v>
      </c>
    </row>
    <row r="61" spans="1:7">
      <c r="A61" s="1" t="s">
        <v>63</v>
      </c>
      <c r="B61" s="96"/>
      <c r="C61" s="5">
        <f>'Summary(3pcs)'!N42</f>
        <v>4</v>
      </c>
      <c r="D61" s="9">
        <f>AVERAGE(D49:D51)</f>
        <v>4</v>
      </c>
      <c r="E61" s="1" t="s">
        <v>76</v>
      </c>
      <c r="G61" s="1" t="s">
        <v>77</v>
      </c>
    </row>
    <row r="62" spans="1:7" ht="17.25" thickBot="1">
      <c r="A62" s="1" t="s">
        <v>63</v>
      </c>
      <c r="B62" s="97"/>
      <c r="C62" s="8">
        <f>'Summary(3pcs)'!N43</f>
        <v>4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5" t="e">
        <f>AVERAGE(C63:C66)</f>
        <v>#REF!</v>
      </c>
      <c r="C63" s="10">
        <f>'Summary(3pcs)'!N44</f>
        <v>4</v>
      </c>
      <c r="D63" s="6">
        <f>AVERAGE(C71:C73)</f>
        <v>6.8715912500666656</v>
      </c>
      <c r="E63" s="1" t="s">
        <v>80</v>
      </c>
      <c r="G63" s="1" t="s">
        <v>80</v>
      </c>
    </row>
    <row r="64" spans="1:7">
      <c r="A64" s="1" t="s">
        <v>65</v>
      </c>
      <c r="B64" s="96"/>
      <c r="C64" s="5">
        <f>'Summary(3pcs)'!N45</f>
        <v>4</v>
      </c>
      <c r="D64" s="9">
        <f>AVERAGE(C74:C76)</f>
        <v>-7</v>
      </c>
      <c r="E64" s="1" t="s">
        <v>81</v>
      </c>
      <c r="G64" s="1" t="s">
        <v>81</v>
      </c>
    </row>
    <row r="65" spans="1:7">
      <c r="A65" s="1" t="s">
        <v>65</v>
      </c>
      <c r="B65" s="96"/>
      <c r="C65" s="8" t="e">
        <f>'Summary(3pcs)'!#REF!</f>
        <v>#REF!</v>
      </c>
      <c r="D65" s="9">
        <f>AVERAGE(C77:C79)</f>
        <v>-7</v>
      </c>
      <c r="E65" s="1" t="s">
        <v>82</v>
      </c>
      <c r="G65" s="1" t="s">
        <v>82</v>
      </c>
    </row>
    <row r="66" spans="1:7" ht="17.25" thickBot="1">
      <c r="A66" s="1" t="s">
        <v>65</v>
      </c>
      <c r="B66" s="97"/>
      <c r="C66" s="10" t="e">
        <f>'Summary(3pcs)'!#REF!</f>
        <v>#REF!</v>
      </c>
      <c r="D66" s="11">
        <f>AVERAGE(C80:C82)</f>
        <v>-7</v>
      </c>
      <c r="E66" s="1" t="s">
        <v>83</v>
      </c>
      <c r="G66" s="1" t="s">
        <v>83</v>
      </c>
    </row>
    <row r="67" spans="1:7">
      <c r="B67" s="95">
        <f>AVERAGE(C67:C70)</f>
        <v>0</v>
      </c>
      <c r="C67" s="12">
        <f>[2]Result!AA15</f>
        <v>0</v>
      </c>
      <c r="D67" s="6">
        <f>AVERAGE(C87:C89)</f>
        <v>-5.4250446558000007</v>
      </c>
      <c r="E67" s="1" t="s">
        <v>84</v>
      </c>
      <c r="G67" s="1" t="s">
        <v>84</v>
      </c>
    </row>
    <row r="68" spans="1:7">
      <c r="B68" s="96"/>
      <c r="C68" s="8">
        <f>[2]Result!AA16</f>
        <v>0</v>
      </c>
      <c r="D68" s="9">
        <f>AVERAGE(C90:C92)</f>
        <v>-3</v>
      </c>
      <c r="E68" s="1" t="s">
        <v>85</v>
      </c>
      <c r="G68" s="1" t="s">
        <v>85</v>
      </c>
    </row>
    <row r="69" spans="1:7">
      <c r="B69" s="96"/>
      <c r="C69" s="8">
        <f>[2]Result!AA17</f>
        <v>0</v>
      </c>
      <c r="D69" s="9">
        <f>AVERAGE(C93:C95)</f>
        <v>-3</v>
      </c>
      <c r="E69" s="1" t="s">
        <v>86</v>
      </c>
      <c r="G69" s="1" t="s">
        <v>86</v>
      </c>
    </row>
    <row r="70" spans="1:7" ht="17.25" thickBot="1">
      <c r="B70" s="97"/>
      <c r="C70" s="13">
        <f>[2]Result!AA18</f>
        <v>0</v>
      </c>
      <c r="D70" s="11">
        <f>AVERAGE(C96:C98)</f>
        <v>-3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'Summary(3pcs)'!V34</f>
        <v>10.497730255099999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'Summary(3pcs)'!V35</f>
        <v>6.6217050551999996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'Summary(3pcs)'!V36</f>
        <v>3.4953384398999994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'Summary(3pcs)'!V37</f>
        <v>-7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'Summary(3pcs)'!V38</f>
        <v>-7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'Summary(3pcs)'!V39</f>
        <v>-7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'Summary(3pcs)'!V40</f>
        <v>-7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'Summary(3pcs)'!V41</f>
        <v>-7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'Summary(3pcs)'!V42</f>
        <v>-7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'Summary(3pcs)'!V43</f>
        <v>-7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'Summary(3pcs)'!V44</f>
        <v>-7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'Summary(3pcs)'!V45</f>
        <v>-7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'Summary(3pcs)'!W34</f>
        <v>-6.9426636695999999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'Summary(3pcs)'!W35</f>
        <v>-6.1375422477999999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'Summary(3pcs)'!W36</f>
        <v>-3.1949280500000001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'Summary(3pcs)'!W37</f>
        <v>-3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'Summary(3pcs)'!W38</f>
        <v>-3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'Summary(3pcs)'!W39</f>
        <v>-3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'Summary(3pcs)'!W40</f>
        <v>-3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'Summary(3pcs)'!W41</f>
        <v>-3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'Summary(3pcs)'!W42</f>
        <v>-3</v>
      </c>
    </row>
    <row r="96" spans="1:7">
      <c r="A96" s="1" t="s">
        <v>87</v>
      </c>
      <c r="C96" s="5">
        <f>'Summary(3pcs)'!W43</f>
        <v>-3</v>
      </c>
    </row>
    <row r="97" spans="1:3">
      <c r="A97" s="1" t="s">
        <v>87</v>
      </c>
      <c r="C97" s="8">
        <f>'Summary(3pcs)'!W44</f>
        <v>-3</v>
      </c>
    </row>
    <row r="98" spans="1:3" ht="17.25" thickBot="1">
      <c r="A98" s="1" t="s">
        <v>87</v>
      </c>
      <c r="C98" s="10">
        <f>'Summary(3pcs)'!W45</f>
        <v>-3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8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38"/>
      <c r="B1" s="38" t="s">
        <v>140</v>
      </c>
      <c r="C1" s="38" t="s">
        <v>131</v>
      </c>
      <c r="D1" s="38" t="s">
        <v>132</v>
      </c>
    </row>
    <row r="2" spans="1:4">
      <c r="A2" s="38">
        <v>4</v>
      </c>
      <c r="B2" s="38">
        <v>0</v>
      </c>
      <c r="C2" s="38">
        <v>0</v>
      </c>
      <c r="D2" s="38">
        <v>0</v>
      </c>
    </row>
    <row r="3" spans="1:4">
      <c r="A3" s="38">
        <v>5</v>
      </c>
      <c r="B3" s="38">
        <v>0</v>
      </c>
      <c r="C3" s="38">
        <v>-1</v>
      </c>
      <c r="D3" s="38">
        <v>0</v>
      </c>
    </row>
    <row r="4" spans="1:4">
      <c r="A4" s="38">
        <v>6</v>
      </c>
      <c r="B4" s="38">
        <v>-8</v>
      </c>
      <c r="C4" s="38">
        <v>0</v>
      </c>
      <c r="D4" s="38">
        <v>0</v>
      </c>
    </row>
  </sheetData>
  <phoneticPr fontId="8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2022-09-23T04:19:36Z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