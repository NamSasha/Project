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<sst xmlns="http://schemas.openxmlformats.org/spreadsheetml/2006/main" count="906" uniqueCount="563">
  <si>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</si>
  <si>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</si>
  <si>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</si>
  <si>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</si>
  <si>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</si>
  <si>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</si>
  <si>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</si>
  <si>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</si>
  <si>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</si>
  <si>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</si>
  <si>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</si>
  <si>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</si>
  <si>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</si>
  <si>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</si>
  <si>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</si>
  <si>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</si>
  <si>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</si>
  <si>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</si>
  <si>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</si>
  <si>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</si>
  <si>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</si>
  <si>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</si>
  <si>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</si>
  <si>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</si>
  <si>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</si>
  <si>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</si>
  <si>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</si>
  <si>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</si>
  <si>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</si>
  <si>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</si>
  <si>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</si>
  <si>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</si>
  <si>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</si>
  <si>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</si>
  <si>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</si>
  <si>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</si>
  <si>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</si>
  <si>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</si>
  <si>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</si>
  <si>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</si>
  <si>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</si>
  <si>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</si>
  <si>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</si>
  <si>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</si>
  <si>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</si>
  <si>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</si>
  <si>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</si>
  <si>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</si>
  <si>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</si>
  <si>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</si>
  <si>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</si>
  <si>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</si>
  <si>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</si>
  <si>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</si>
  <si>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</si>
  <si>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</si>
  <si>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</si>
  <si>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</si>
  <si>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</si>
  <si>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</si>
  <si>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</si>
  <si>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</si>
  <si>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</si>
  <si>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</si>
  <si>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</si>
  <si>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</si>
  <si>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</si>
  <si>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</si>
  <si>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</si>
  <si>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</si>
  <si>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</si>
  <si>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</si>
  <si>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</si>
  <si>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</si>
  <si>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</si>
  <si>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</si>
  <si>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</si>
  <si>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</si>
  <si>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</si>
  <si>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</si>
  <si>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</si>
  <si>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</si>
  <si>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</si>
  <si>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</si>
  <si>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</si>
  <si>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</si>
  <si>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</si>
  <si>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</si>
  <si>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</si>
  <si>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</si>
  <si>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</si>
  <si>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</si>
  <si>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</si>
  <si>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</si>
  <si>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</si>
  <si>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</si>
  <si>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</si>
  <si>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</si>
  <si>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</si>
  <si>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</si>
  <si>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</si>
  <si>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</si>
  <si>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</si>
  <si>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</si>
  <si>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</si>
  <si>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</si>
  <si>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</si>
  <si>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</si>
  <si>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</si>
  <si>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</si>
  <si>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</si>
  <si>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</si>
  <si>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</si>
  <si>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</si>
  <si>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</si>
  <si>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</si>
  <si>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</si>
  <si>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</si>
  <si>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</si>
  <si>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</si>
  <si>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</si>
  <si>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</si>
  <si>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</si>
  <si>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</si>
  <si>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</si>
  <si>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</si>
  <si>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</si>
  <si>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</si>
  <si>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</si>
  <si>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</si>
  <si>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</si>
  <si>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</si>
  <si>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</si>
  <si>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</si>
  <si>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</si>
  <si>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</si>
  <si>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</si>
  <si>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</si>
  <si>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</si>
  <si>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</si>
  <si>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</si>
  <si>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</si>
  <si>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</si>
  <si>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</si>
  <si>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</si>
  <si>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</si>
  <si>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</si>
  <si>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</si>
  <si>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</si>
  <si>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</si>
  <si>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</si>
  <si>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</si>
  <si>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</si>
  <si>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</si>
  <si>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</si>
  <si>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</si>
  <si>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</si>
  <si>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</si>
  <si>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</si>
  <si>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</si>
  <si>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</si>
  <si>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</si>
  <si>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</si>
  <si>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</si>
  <si>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</si>
  <si>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</si>
  <si>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</si>
  <si>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</si>
  <si>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</si>
  <si>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</si>
  <si>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</si>
  <si>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</si>
  <si>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</si>
  <si>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D:\EVMS\TP\LOG\VSY841N9NFT_2022092311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</si>
  <si>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</si>
  <si>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</si>
  <si>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</si>
  <si>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</si>
  <si>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</si>
  <si>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</si>
  <si>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</si>
  <si>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</si>
  <si>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</si>
  <si>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</si>
  <si>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</si>
  <si>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</si>
  <si>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</si>
  <si>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</si>
  <si>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</si>
  <si>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</si>
  <si>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</si>
  <si>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</si>
  <si>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</si>
  <si>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</si>
  <si>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</si>
  <si>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</si>
  <si>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</si>
  <si>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</si>
  <si>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</si>
  <si>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</si>
  <si>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</si>
  <si>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</si>
  <si>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</si>
  <si>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</si>
  <si>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</si>
  <si>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</si>
  <si>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</si>
  <si>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</si>
  <si>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</si>
  <si>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</si>
  <si>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T220923112031178VCMLEBC050</t>
  </si>
  <si>
    <t>'2022-09-23 11:20:40:086</t>
  </si>
  <si>
    <t>VCMLEBC050A</t>
  </si>
  <si>
    <t>DB_C1001</t>
  </si>
  <si>
    <t>210615ADOE</t>
  </si>
  <si>
    <t>R13A_OC_MFG_C10_21091603_b1779c9</t>
  </si>
  <si>
    <t>VSY841N9NFT</t>
  </si>
  <si>
    <t>22cc81070719</t>
  </si>
  <si>
    <t>0x52801562e4390804</t>
  </si>
  <si>
    <t>MFAC357AB1VT81B6B844011112</t>
  </si>
  <si>
    <t>MF4C3444ALZ114A7A638</t>
  </si>
  <si>
    <t>DNA22297015080C14A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</si>
  <si>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</si>
  <si>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</si>
  <si>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</si>
  <si>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</si>
  <si>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</si>
  <si>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</si>
  <si>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T220923112314978VCMLEBC050</t>
  </si>
  <si>
    <t>'2022-09-23 11:23:23:938</t>
  </si>
  <si>
    <t>22cc81060810</t>
  </si>
  <si>
    <t>0x52801562e434d903</t>
  </si>
  <si>
    <t>MFAC357AB1WT81B6C032042007</t>
  </si>
  <si>
    <t>MF4C3454B0ZU14A7A629</t>
  </si>
  <si>
    <t>DNA22297011660I13A</t>
  </si>
  <si>
    <t>T220923112428166VCMLEBC050</t>
  </si>
  <si>
    <t>'2022-09-23 11:24:37:124</t>
  </si>
  <si>
    <t>22cc81060491</t>
  </si>
  <si>
    <t>0x52801562e435b605</t>
  </si>
  <si>
    <t>MFAC357AB13E81B6B735021007</t>
  </si>
  <si>
    <t>MF4C3454B0ZT14A7A634</t>
  </si>
  <si>
    <t>DNA22297011830I09A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</si>
  <si>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</si>
  <si>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</si>
  <si>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</si>
  <si>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</si>
  <si>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</si>
  <si>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</si>
  <si>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</si>
  <si>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</si>
  <si>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</si>
  <si>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</si>
  <si>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</si>
  <si>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</si>
  <si>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</si>
  <si>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</si>
  <si>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</si>
  <si>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</si>
  <si>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</si>
  <si>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</si>
  <si>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</si>
  <si>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</si>
  <si>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</si>
  <si>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</si>
  <si>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</si>
  <si>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</si>
  <si>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</si>
  <si>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</si>
  <si>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</si>
  <si>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</si>
  <si>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</si>
  <si>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</si>
  <si>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</si>
  <si>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T220923112057571VCMLEBC050</t>
  </si>
  <si>
    <t>'2022-09-23 11:21:25:851</t>
  </si>
  <si>
    <t>R13A_IPQC_MFG_SFR_InfDn_C10_21090805_b1779c9</t>
  </si>
  <si>
    <t>D6x_Wide</t>
  </si>
  <si>
    <t>Normal</t>
  </si>
  <si>
    <t>T220923112341409VCMLEBC050</t>
  </si>
  <si>
    <t>'2022-09-23 11:24:09:593</t>
  </si>
  <si>
    <t>T220923112454664VCMLEBC050</t>
  </si>
  <si>
    <t>'2022-09-23 11:25:22:870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</si>
  <si>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</si>
  <si>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</si>
  <si>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</si>
  <si>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</si>
  <si>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</si>
  <si>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</si>
  <si>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</si>
  <si>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</si>
  <si>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</si>
  <si>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</si>
  <si>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</si>
  <si>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</si>
  <si>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</si>
  <si>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11:21:15:822</t>
  </si>
  <si>
    <t>'2022-09-23 11:23:59:565</t>
  </si>
  <si>
    <t>'2022-09-23 11:25:12:846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</si>
  <si>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</si>
  <si>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</si>
  <si>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</si>
  <si>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</si>
  <si>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</si>
  <si>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</si>
  <si>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</si>
  <si>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</si>
  <si>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</si>
  <si>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</si>
  <si>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</si>
  <si>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</si>
  <si>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</si>
  <si>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</si>
  <si>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</si>
  <si>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</si>
  <si>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</si>
  <si>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</si>
  <si>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</si>
  <si>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</si>
  <si>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</si>
  <si>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</si>
  <si>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</si>
  <si>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</si>
  <si>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</si>
  <si>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</si>
  <si>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</si>
  <si>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</si>
  <si>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</si>
  <si>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</si>
  <si>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</si>
  <si>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</si>
  <si>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</si>
  <si>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</si>
  <si>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</si>
  <si>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</si>
  <si>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</si>
  <si>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</si>
  <si>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</si>
  <si>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</si>
  <si>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</si>
  <si>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</si>
  <si>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</si>
  <si>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</si>
  <si>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</si>
  <si>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</si>
  <si>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</si>
  <si>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</si>
  <si>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</si>
  <si>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</si>
  <si>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</si>
  <si>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</si>
  <si>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</si>
  <si>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</si>
  <si>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</si>
  <si>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</si>
  <si>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</si>
  <si>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</si>
  <si>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</si>
  <si>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</si>
  <si>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</si>
  <si>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</si>
  <si>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</si>
  <si>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</si>
  <si>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</si>
  <si>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</si>
  <si>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</si>
  <si>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</si>
  <si>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</si>
  <si>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</si>
  <si>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</si>
  <si>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</si>
  <si>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</si>
  <si>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</si>
  <si>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</si>
  <si>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</si>
  <si>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</si>
  <si>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</si>
  <si>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</si>
  <si>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</si>
  <si>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</si>
  <si>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</si>
  <si>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</si>
  <si>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</si>
  <si>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</si>
  <si>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</si>
  <si>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</si>
  <si>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</si>
  <si>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</si>
  <si>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</si>
  <si>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</si>
  <si>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</si>
  <si>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</si>
  <si>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</si>
  <si>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</si>
  <si>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</si>
  <si>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</si>
  <si>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</si>
  <si>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</si>
  <si>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</si>
  <si>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</si>
  <si>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</si>
  <si>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</si>
  <si>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</si>
  <si>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</si>
  <si>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</si>
  <si>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</si>
  <si>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</si>
  <si>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</si>
  <si>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</si>
  <si>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</si>
  <si>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</si>
  <si>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</si>
  <si>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</si>
  <si>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</si>
  <si>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</si>
  <si>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</si>
  <si>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</si>
  <si>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</si>
  <si>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</si>
  <si>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</si>
  <si>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</si>
  <si>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</si>
  <si>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</si>
  <si>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</si>
  <si>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</si>
  <si>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</si>
  <si>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</si>
  <si>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</si>
  <si>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</si>
  <si>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</si>
  <si>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</si>
  <si>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</si>
  <si>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</si>
  <si>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</si>
  <si>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</si>
  <si>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</si>
  <si>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</si>
  <si>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</si>
  <si>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</si>
  <si>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</si>
  <si>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</si>
  <si>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</si>
  <si>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</si>
  <si>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</si>
  <si>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</si>
  <si>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</si>
  <si>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</si>
  <si>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</si>
  <si>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</si>
  <si>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</si>
  <si>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</si>
  <si>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</si>
  <si>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</si>
  <si>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</si>
  <si>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</si>
  <si>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</si>
  <si>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</si>
  <si>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</si>
  <si>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</si>
  <si>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</si>
  <si>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</si>
  <si>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</si>
  <si>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</si>
  <si>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</si>
  <si>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</si>
  <si>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</si>
  <si>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</si>
  <si>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</si>
  <si>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</si>
  <si>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</si>
  <si>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</si>
  <si>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</si>
  <si>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</si>
  <si>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</si>
  <si>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</si>
  <si>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</si>
  <si>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</si>
  <si>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</si>
  <si>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</si>
  <si>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</si>
  <si>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</si>
  <si>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</si>
  <si>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</si>
  <si>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</si>
  <si>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</si>
  <si>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</si>
  <si>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</si>
  <si>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</si>
  <si>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</si>
  <si>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</si>
  <si>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</si>
  <si>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</si>
  <si>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</si>
  <si>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</si>
  <si>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</si>
  <si>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</si>
  <si>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</si>
  <si>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</si>
  <si>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</si>
  <si>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</si>
  <si>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</si>
  <si>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</si>
  <si>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</si>
  <si>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</si>
  <si>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</si>
  <si>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</si>
  <si>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</si>
  <si>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</si>
  <si>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</si>
  <si>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</si>
  <si>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</si>
  <si>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</si>
  <si>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</si>
  <si>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</si>
  <si>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</si>
  <si>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</si>
  <si>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</si>
  <si>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</si>
  <si>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</si>
  <si>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</si>
  <si>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</si>
  <si>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</si>
  <si>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</si>
  <si>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</si>
  <si>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</si>
  <si>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</si>
  <si>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</si>
  <si>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</si>
  <si>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</si>
  <si>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</si>
  <si>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</si>
  <si>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</si>
  <si>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</si>
  <si>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</si>
  <si>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</si>
  <si>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</si>
  <si>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</si>
  <si>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</si>
  <si>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</si>
  <si>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</si>
  <si>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</si>
  <si>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</si>
  <si>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</si>
  <si>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</si>
  <si>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</si>
  <si>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</si>
  <si>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</si>
  <si>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</si>
  <si>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</si>
  <si>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</si>
  <si>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</si>
  <si>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</si>
  <si>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</si>
  <si>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</si>
  <si>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</si>
  <si>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</si>
  <si>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T220923112042742VCMLEBC050</t>
  </si>
  <si>
    <t>'2022-09-23 11:20:55:275</t>
  </si>
  <si>
    <t>R13A_IPQC_MFG_Laser_C10_21090805_b1779c9</t>
  </si>
  <si>
    <t>v9p4</t>
  </si>
  <si>
    <t>T220923112326573VCMLEBC050</t>
  </si>
  <si>
    <t>'2022-09-23 11:23:39:109</t>
  </si>
  <si>
    <t>T220923112439831VCMLEBC050</t>
  </si>
  <si>
    <t>'2022-09-23 11:24:52:360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</si>
</sst>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1.388533837</c:v>
                </c:pt>
                <c:pt idx="1">
                  <c:v>-4.0802022558999997</c:v>
                </c:pt>
                <c:pt idx="2">
                  <c:v>-1.1882816603999999</c:v>
                </c:pt>
                <c:pt idx="3">
                  <c:v>0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6.3074558730000003</c:v>
                </c:pt>
                <c:pt idx="1">
                  <c:v>1.3843116305000001</c:v>
                </c:pt>
                <c:pt idx="2">
                  <c:v>-3.9318186037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-1.2933166931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1.2533162999333334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47520"/>
        <c:axId val="51149056"/>
      </c:scatterChart>
      <c:valAx>
        <c:axId val="511475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149056"/>
        <c:crosses val="autoZero"/>
        <c:crossBetween val="midCat"/>
        <c:majorUnit val="10"/>
      </c:valAx>
      <c:valAx>
        <c:axId val="511490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147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5888"/>
        <c:axId val="51531776"/>
      </c:scatterChart>
      <c:valAx>
        <c:axId val="5152588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531776"/>
        <c:crosses val="autoZero"/>
        <c:crossBetween val="midCat"/>
        <c:majorUnit val="10"/>
      </c:valAx>
      <c:valAx>
        <c:axId val="5153177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525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60448"/>
        <c:axId val="51561984"/>
      </c:scatterChart>
      <c:valAx>
        <c:axId val="5156044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561984"/>
        <c:crosses val="autoZero"/>
        <c:crossBetween val="midCat"/>
        <c:majorUnit val="10"/>
      </c:valAx>
      <c:valAx>
        <c:axId val="515619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56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80928"/>
        <c:axId val="88382464"/>
      </c:scatterChart>
      <c:valAx>
        <c:axId val="883809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8382464"/>
        <c:crosses val="autoZero"/>
        <c:crossBetween val="midCat"/>
        <c:majorUnit val="10"/>
      </c:valAx>
      <c:valAx>
        <c:axId val="883824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8380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85.562474082899996</c:v>
                </c:pt>
                <c:pt idx="1">
                  <c:v>78.533305009100005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84.04670087689999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84480"/>
        <c:axId val="123302656"/>
      </c:scatterChart>
      <c:valAx>
        <c:axId val="12328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3302656"/>
        <c:crosses val="autoZero"/>
        <c:crossBetween val="midCat"/>
      </c:valAx>
      <c:valAx>
        <c:axId val="12330265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3284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88.044323538699999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31328"/>
        <c:axId val="123332864"/>
      </c:scatterChart>
      <c:valAx>
        <c:axId val="12333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3332864"/>
        <c:crosses val="autoZero"/>
        <c:crossBetween val="midCat"/>
      </c:valAx>
      <c:valAx>
        <c:axId val="12333286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3331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61664"/>
        <c:axId val="124571648"/>
      </c:scatterChart>
      <c:valAx>
        <c:axId val="124561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571648"/>
        <c:crosses val="autoZero"/>
        <c:crossBetween val="midCat"/>
      </c:valAx>
      <c:valAx>
        <c:axId val="12457164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561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33984"/>
        <c:axId val="126252160"/>
      </c:scatterChart>
      <c:valAx>
        <c:axId val="12623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6252160"/>
        <c:crosses val="autoZero"/>
        <c:crossBetween val="midCat"/>
      </c:valAx>
      <c:valAx>
        <c:axId val="12625216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6233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-7</c:v>
                </c:pt>
                <c:pt idx="1">
                  <c:v>-7</c:v>
                </c:pt>
                <c:pt idx="2">
                  <c:v>-7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-7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01312"/>
        <c:axId val="126302848"/>
      </c:scatterChart>
      <c:valAx>
        <c:axId val="12630131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302848"/>
        <c:crosses val="autoZero"/>
        <c:crossBetween val="midCat"/>
        <c:majorUnit val="10"/>
      </c:valAx>
      <c:valAx>
        <c:axId val="12630284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301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-7</c:v>
                </c:pt>
                <c:pt idx="1">
                  <c:v>-7</c:v>
                </c:pt>
                <c:pt idx="2">
                  <c:v>-7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-7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52000"/>
        <c:axId val="126361984"/>
      </c:scatterChart>
      <c:valAx>
        <c:axId val="1263520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361984"/>
        <c:crosses val="autoZero"/>
        <c:crossBetween val="midCat"/>
        <c:majorUnit val="10"/>
      </c:valAx>
      <c:valAx>
        <c:axId val="1263619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35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-7</c:v>
                </c:pt>
                <c:pt idx="1">
                  <c:v>-7</c:v>
                </c:pt>
                <c:pt idx="2">
                  <c:v>-7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-7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94752"/>
        <c:axId val="126396288"/>
      </c:scatterChart>
      <c:valAx>
        <c:axId val="1263947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396288"/>
        <c:crosses val="autoZero"/>
        <c:crossBetween val="midCat"/>
        <c:majorUnit val="10"/>
      </c:valAx>
      <c:valAx>
        <c:axId val="1263962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39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6.4220352199999997</c:v>
                </c:pt>
                <c:pt idx="1">
                  <c:v>6.2602672599999991</c:v>
                </c:pt>
                <c:pt idx="2">
                  <c:v>7.4684486400000001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-4.6443796160000002</c:v>
                </c:pt>
                <c:pt idx="1">
                  <c:v>4.247480393</c:v>
                </c:pt>
                <c:pt idx="2">
                  <c:v>-2.394425392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6.7169170399999993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-0.93044153833333343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45440"/>
        <c:axId val="126446976"/>
      </c:scatterChart>
      <c:valAx>
        <c:axId val="12644544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446976"/>
        <c:crosses val="autoZero"/>
        <c:crossBetween val="midCat"/>
        <c:majorUnit val="10"/>
      </c:valAx>
      <c:valAx>
        <c:axId val="12644697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445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>
      <selection activeCell="C20" sqref="C20"/>
    </sheetView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D:\EVMS\TP\LOG\VSY841N9NFT_2022092311_D50_ON_OC.csv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D:\EVMS\TP\LOG\VSY841N9NFT_2022092311_FPDC_INFD_normal.csv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D:\EVMS\TP\LOG\VSY841N9NFT_2022092311_INFDMargin_IPQC.csv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D:\EVMS\TP\LOG\VSY841N9NFT_2022092311_VCM_MEASURE.csv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22cc81070719</v>
      </c>
      <c r="C34" s="44">
        <f>IPQC!S2+VLOOKUP($R$31,$AD$38:$AK$42,6,FALSE)+VLOOKUP('File location'!$B$1,'Tester offset'!$A$2:$D$4,2,FALSE)</f>
        <v>85.562474082899996</v>
      </c>
      <c r="D34" s="44">
        <f>IPQC!Z2+VLOOKUP($R$31,$AD$38:$AK$42,6,FALSE)</f>
        <v>67.868268412500001</v>
      </c>
      <c r="E34" s="44">
        <f>VCM!HU2-'Summary(3pcs)'!C34-'Summary(3pcs)'!$D$32</f>
        <v>143.65638252373793</v>
      </c>
      <c r="F34" s="90">
        <f>AVERAGEIF($A$34:$A$45,1,$C$34:$C$45)</f>
        <v>84.04670087689999</v>
      </c>
      <c r="G34" s="91">
        <f>AVERAGEIF($A$34:$A$45,1,$D$34:$D$45)</f>
        <v>67.582656590166678</v>
      </c>
      <c r="H34" s="91">
        <f>AVERAGEIF($A$34:$A$45,1,$E$34:$E$45)</f>
        <v>147.21831672137125</v>
      </c>
      <c r="I34" s="91">
        <f>85-F34</f>
        <v>0.95329912310000964</v>
      </c>
      <c r="J34"/>
      <c r="K34" s="79">
        <f>T34</f>
        <v>1</v>
      </c>
      <c r="L34" s="80" t="str">
        <f>OC!J2</f>
        <v>22cc81070719</v>
      </c>
      <c r="M34" s="44">
        <f>OC!S2+VLOOKUP($R$31,$AD$38:$AK$42,4,FALSE)</f>
        <v>1.388533837</v>
      </c>
      <c r="N34" s="44">
        <f>OC!T2+VLOOKUP($R$31,$AD$38:$AK$42,5,FALSE)</f>
        <v>6.3074558730000003</v>
      </c>
      <c r="O34" s="92">
        <f>AVERAGEIF($K$34:$K$45,1,$M$34:$M$45)</f>
        <v>-1.2933166931</v>
      </c>
      <c r="P34" s="92">
        <f>AVERAGEIF($K$34:$K$45,1,$N$34:$N$45)</f>
        <v>1.2533162999333334</v>
      </c>
      <c r="Q34" s="90">
        <f>P34*0.001</f>
        <v>1.2533162999333334E-3</v>
      </c>
      <c r="R34" s="90">
        <f>O34*0.001</f>
        <v>-1.2933166931E-3</v>
      </c>
      <c r="T34" s="79">
        <v>1</v>
      </c>
      <c r="U34" s="80" t="str">
        <f>FPDC!J2</f>
        <v>22cc81070719</v>
      </c>
      <c r="V34" s="75">
        <f>FPDC!R2+VLOOKUP($R$31,$AD$38:$AK$42,2,FALSE)+VLOOKUP($R$31,$AD$38:$AK$42,7,FALSE)+VLOOKUP('File location'!$B$1,'Tester offset'!$A$2:$D$4,3,FALSE)</f>
        <v>6.4220352199999997</v>
      </c>
      <c r="W34" s="76">
        <f>FPDC!S2+VLOOKUP($R$31,$AD$38:$AK$42,3,FALSE)+VLOOKUP($R$31,$AD$38:$AK$42,8,FALSE)+VLOOKUP('File location'!$B$1,'Tester offset'!$A$2:$D$4,4,FALSE)</f>
        <v>-4.6443796160000002</v>
      </c>
      <c r="X34" s="92">
        <f>AVERAGEIF($T$34:$T$45,1,$V$34:$V$45)</f>
        <v>6.7169170399999993</v>
      </c>
      <c r="Y34" s="92">
        <f>AVERAGEIF($T$34:$T$45,1,$W$34:$W$45)</f>
        <v>-0.93044153833333343</v>
      </c>
      <c r="Z34" s="90">
        <f>(X34*-0.01)/4</f>
        <v>-1.6792292599999998E-2</v>
      </c>
      <c r="AA34" s="90">
        <f>(Y34*-0.01)/4</f>
        <v>2.3261038458333334E-3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22cc81060810</v>
      </c>
      <c r="C35" s="44">
        <f>IPQC!S3+VLOOKUP($R$31,$AD$38:$AK$42,6,FALSE)+VLOOKUP('File location'!$B$1,'Tester offset'!$A$2:$D$4,2,FALSE)</f>
        <v>78.533305009100005</v>
      </c>
      <c r="D35" s="44">
        <f>IPQC!Z3+VLOOKUP($R$31,$AD$38:$AK$42,6,FALSE)</f>
        <v>62.792339566999999</v>
      </c>
      <c r="E35" s="44">
        <f>VCM!HU3-'Summary(3pcs)'!C35-'Summary(3pcs)'!$D$32</f>
        <v>155.82151589513791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22cc81060810</v>
      </c>
      <c r="M35" s="44">
        <f>OC!S3+VLOOKUP($R$31,$AD$38:$AK$42,4,FALSE)</f>
        <v>-4.0802022558999997</v>
      </c>
      <c r="N35" s="44">
        <f>OC!T3+VLOOKUP($R$31,$AD$38:$AK$42,5,FALSE)</f>
        <v>1.3843116305000001</v>
      </c>
      <c r="O35" s="92"/>
      <c r="P35" s="92"/>
      <c r="Q35" s="90"/>
      <c r="R35" s="90"/>
      <c r="T35" s="79">
        <v>1</v>
      </c>
      <c r="U35" s="80" t="str">
        <f>FPDC!J3</f>
        <v>22cc81060810</v>
      </c>
      <c r="V35" s="75">
        <f>FPDC!R3+VLOOKUP($R$31,$AD$38:$AK$42,2,FALSE)+VLOOKUP($R$31,$AD$38:$AK$42,7,FALSE)+VLOOKUP('File location'!$B$1,'Tester offset'!$A$2:$D$4,3,FALSE)</f>
        <v>6.2602672599999991</v>
      </c>
      <c r="W35" s="76">
        <f>FPDC!S3+VLOOKUP($R$31,$AD$38:$AK$42,3,FALSE)+VLOOKUP($R$31,$AD$38:$AK$42,8,FALSE)+VLOOKUP('File location'!$B$1,'Tester offset'!$A$2:$D$4,4,FALSE)</f>
        <v>4.247480393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22cc81060491</v>
      </c>
      <c r="C36" s="44">
        <f>IPQC!S4+VLOOKUP($R$31,$AD$38:$AK$42,6,FALSE)+VLOOKUP('File location'!$B$1,'Tester offset'!$A$2:$D$4,2,FALSE)</f>
        <v>88.044323538699999</v>
      </c>
      <c r="D36" s="44">
        <f>IPQC!Z4+VLOOKUP($R$31,$AD$38:$AK$42,6,FALSE)</f>
        <v>72.087361791000006</v>
      </c>
      <c r="E36" s="44">
        <f>VCM!HU4-'Summary(3pcs)'!C36-'Summary(3pcs)'!$D$32</f>
        <v>142.17705174523792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22cc81060491</v>
      </c>
      <c r="M36" s="44">
        <f>OC!S4+VLOOKUP($R$31,$AD$38:$AK$42,4,FALSE)</f>
        <v>-1.1882816603999999</v>
      </c>
      <c r="N36" s="44">
        <f>OC!T4+VLOOKUP($R$31,$AD$38:$AK$42,5,FALSE)</f>
        <v>-3.9318186037</v>
      </c>
      <c r="O36" s="92"/>
      <c r="P36" s="92"/>
      <c r="Q36" s="90"/>
      <c r="R36" s="90"/>
      <c r="T36" s="79">
        <v>1</v>
      </c>
      <c r="U36" s="80" t="str">
        <f>FPDC!J4</f>
        <v>22cc81060491</v>
      </c>
      <c r="V36" s="75">
        <f>FPDC!R4+VLOOKUP($R$31,$AD$38:$AK$42,2,FALSE)+VLOOKUP($R$31,$AD$38:$AK$42,7,FALSE)+VLOOKUP('File location'!$B$1,'Tester offset'!$A$2:$D$4,3,FALSE)</f>
        <v>7.4684486400000001</v>
      </c>
      <c r="W36" s="76">
        <f>FPDC!S4+VLOOKUP($R$31,$AD$38:$AK$42,3,FALSE)+VLOOKUP($R$31,$AD$38:$AK$42,8,FALSE)+VLOOKUP('File location'!$B$1,'Tester offset'!$A$2:$D$4,4,FALSE)</f>
        <v>-2.394425392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>
        <f>IPQC!J5</f>
        <v>0</v>
      </c>
      <c r="C37" s="44">
        <f>IPQC!S5+VLOOKUP($R$31,$AD$38:$AK$42,6,FALSE)+VLOOKUP('File location'!$B$1,'Tester offset'!$A$2:$D$4,2,FALSE)</f>
        <v>6</v>
      </c>
      <c r="D37" s="44">
        <f>IPQC!Z5+VLOOKUP($R$31,$AD$38:$AK$42,6,FALSE)</f>
        <v>6</v>
      </c>
      <c r="E37" s="44">
        <f>VCM!HU5-'Summary(3pcs)'!C37-'Summary(3pcs)'!$D$32</f>
        <v>-185.50310559006209</v>
      </c>
      <c r="F37" s="90">
        <f>AVERAGEIF($A$34:$A$45,2,$C$34:$C$45)</f>
        <v>6</v>
      </c>
      <c r="G37" s="91">
        <f>AVERAGEIF($A$34:$A$45,2,$D$34:$D$45)</f>
        <v>6</v>
      </c>
      <c r="H37" s="91">
        <f>AVERAGEIF($A$34:$A$45,2,$E$34:$E$45)</f>
        <v>-185.50310559006209</v>
      </c>
      <c r="I37" s="91">
        <f>85-F37</f>
        <v>79</v>
      </c>
      <c r="J37"/>
      <c r="K37" s="79">
        <f t="shared" si="1"/>
        <v>2</v>
      </c>
      <c r="L37" s="80">
        <f>OC!J5</f>
        <v>0</v>
      </c>
      <c r="M37" s="44">
        <f>OC!S5+VLOOKUP($R$31,$AD$38:$AK$42,4,FALSE)</f>
        <v>0</v>
      </c>
      <c r="N37" s="44">
        <f>OC!T5+VLOOKUP($R$31,$AD$38:$AK$42,5,FALSE)</f>
        <v>4</v>
      </c>
      <c r="O37" s="92">
        <f>AVERAGEIF($K$34:$K$45,2,$M$34:$M$45)</f>
        <v>0</v>
      </c>
      <c r="P37" s="92">
        <f>AVERAGEIF($K$34:$K$45,2,$N$34:$N$45)</f>
        <v>4</v>
      </c>
      <c r="Q37" s="90">
        <f>P37*0.001</f>
        <v>4.0000000000000001E-3</v>
      </c>
      <c r="R37" s="90">
        <f>O37*0.001</f>
        <v>0</v>
      </c>
      <c r="T37" s="79">
        <v>2</v>
      </c>
      <c r="U37" s="80">
        <f>FPDC!J5</f>
        <v>0</v>
      </c>
      <c r="V37" s="75">
        <f>FPDC!R5+VLOOKUP($R$31,$AD$38:$AK$42,2,FALSE)+VLOOKUP($R$31,$AD$38:$AK$42,7,FALSE)+VLOOKUP('File location'!$B$1,'Tester offset'!$A$2:$D$4,3,FALSE)</f>
        <v>-7</v>
      </c>
      <c r="W37" s="76">
        <f>FPDC!S5+VLOOKUP($R$31,$AD$38:$AK$42,3,FALSE)+VLOOKUP($R$31,$AD$38:$AK$42,8,FALSE)+VLOOKUP('File location'!$B$1,'Tester offset'!$A$2:$D$4,4,FALSE)</f>
        <v>-3</v>
      </c>
      <c r="X37" s="92">
        <f>AVERAGEIF($T$34:$T$45,2,$V$34:$V$45)</f>
        <v>-7</v>
      </c>
      <c r="Y37" s="92">
        <f>AVERAGEIF($T$34:$T$45,2,$W$34:$W$45)</f>
        <v>-3</v>
      </c>
      <c r="Z37" s="90">
        <f>(X37*-0.01)/4</f>
        <v>1.7500000000000002E-2</v>
      </c>
      <c r="AA37" s="90">
        <f>(Y37*-0.01)/4</f>
        <v>7.4999999999999997E-3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>
        <f>IPQC!J6</f>
        <v>0</v>
      </c>
      <c r="C38" s="44">
        <f>IPQC!S6+VLOOKUP($R$31,$AD$38:$AK$42,6,FALSE)+VLOOKUP('File location'!$B$1,'Tester offset'!$A$2:$D$4,2,FALSE)</f>
        <v>6</v>
      </c>
      <c r="D38" s="44">
        <f>IPQC!Z6+VLOOKUP($R$31,$AD$38:$AK$42,6,FALSE)</f>
        <v>6</v>
      </c>
      <c r="E38" s="44">
        <f>VCM!HU6-'Summary(3pcs)'!C38-'Summary(3pcs)'!$D$32</f>
        <v>-185.50310559006209</v>
      </c>
      <c r="F38" s="90"/>
      <c r="G38" s="91"/>
      <c r="H38" s="91"/>
      <c r="I38" s="91"/>
      <c r="J38"/>
      <c r="K38" s="79">
        <f t="shared" si="1"/>
        <v>2</v>
      </c>
      <c r="L38" s="80">
        <f>OC!J6</f>
        <v>0</v>
      </c>
      <c r="M38" s="44">
        <f>OC!S6+VLOOKUP($R$31,$AD$38:$AK$42,4,FALSE)</f>
        <v>0</v>
      </c>
      <c r="N38" s="44">
        <f>OC!T6+VLOOKUP($R$31,$AD$38:$AK$42,5,FALSE)</f>
        <v>4</v>
      </c>
      <c r="O38" s="92"/>
      <c r="P38" s="92"/>
      <c r="Q38" s="90"/>
      <c r="R38" s="90"/>
      <c r="T38" s="79">
        <v>2</v>
      </c>
      <c r="U38" s="80">
        <f>FPDC!J6</f>
        <v>0</v>
      </c>
      <c r="V38" s="75">
        <f>FPDC!R6+VLOOKUP($R$31,$AD$38:$AK$42,2,FALSE)+VLOOKUP($R$31,$AD$38:$AK$42,7,FALSE)+VLOOKUP('File location'!$B$1,'Tester offset'!$A$2:$D$4,3,FALSE)</f>
        <v>-7</v>
      </c>
      <c r="W38" s="76">
        <f>FPDC!S6+VLOOKUP($R$31,$AD$38:$AK$42,3,FALSE)+VLOOKUP($R$31,$AD$38:$AK$42,8,FALSE)+VLOOKUP('File location'!$B$1,'Tester offset'!$A$2:$D$4,4,FALSE)</f>
        <v>-3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>
        <f>IPQC!J7</f>
        <v>0</v>
      </c>
      <c r="C39" s="44">
        <f>IPQC!S7+VLOOKUP($R$31,$AD$38:$AK$42,6,FALSE)+VLOOKUP('File location'!$B$1,'Tester offset'!$A$2:$D$4,2,FALSE)</f>
        <v>6</v>
      </c>
      <c r="D39" s="44">
        <f>IPQC!Z7+VLOOKUP($R$31,$AD$38:$AK$42,6,FALSE)</f>
        <v>6</v>
      </c>
      <c r="E39" s="44">
        <f>VCM!HU7-'Summary(3pcs)'!C39-'Summary(3pcs)'!$D$32</f>
        <v>-185.50310559006209</v>
      </c>
      <c r="F39" s="90"/>
      <c r="G39" s="91"/>
      <c r="H39" s="91"/>
      <c r="I39" s="91"/>
      <c r="J39"/>
      <c r="K39" s="79">
        <f t="shared" si="1"/>
        <v>2</v>
      </c>
      <c r="L39" s="80">
        <f>OC!J7</f>
        <v>0</v>
      </c>
      <c r="M39" s="44">
        <f>OC!S7+VLOOKUP($R$31,$AD$38:$AK$42,4,FALSE)</f>
        <v>0</v>
      </c>
      <c r="N39" s="44">
        <f>OC!T7+VLOOKUP($R$31,$AD$38:$AK$42,5,FALSE)</f>
        <v>4</v>
      </c>
      <c r="O39" s="92"/>
      <c r="P39" s="92"/>
      <c r="Q39" s="90"/>
      <c r="R39" s="90"/>
      <c r="T39" s="79">
        <v>2</v>
      </c>
      <c r="U39" s="80">
        <f>FPDC!J7</f>
        <v>0</v>
      </c>
      <c r="V39" s="75">
        <f>FPDC!R7+VLOOKUP($R$31,$AD$38:$AK$42,2,FALSE)+VLOOKUP($R$31,$AD$38:$AK$42,7,FALSE)+VLOOKUP('File location'!$B$1,'Tester offset'!$A$2:$D$4,3,FALSE)</f>
        <v>-7</v>
      </c>
      <c r="W39" s="76">
        <f>FPDC!S7+VLOOKUP($R$31,$AD$38:$AK$42,3,FALSE)+VLOOKUP($R$31,$AD$38:$AK$42,8,FALSE)+VLOOKUP('File location'!$B$1,'Tester offset'!$A$2:$D$4,4,FALSE)</f>
        <v>-3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>
        <f>IPQC!J8</f>
        <v>0</v>
      </c>
      <c r="C40" s="44">
        <f>IPQC!S8+VLOOKUP($R$31,$AD$38:$AK$42,6,FALSE)+VLOOKUP('File location'!$B$1,'Tester offset'!$A$2:$D$4,2,FALSE)</f>
        <v>6</v>
      </c>
      <c r="D40" s="44">
        <f>IPQC!Z8+VLOOKUP($R$31,$AD$38:$AK$42,6,FALSE)</f>
        <v>6</v>
      </c>
      <c r="E40" s="44">
        <f>VCM!HU8-'Summary(3pcs)'!C40-'Summary(3pcs)'!$D$32</f>
        <v>-185.50310559006209</v>
      </c>
      <c r="F40" s="90">
        <f>AVERAGEIF($A$34:$A$45,3,$C$34:$C$45)</f>
        <v>6</v>
      </c>
      <c r="G40" s="91">
        <f>AVERAGEIF($A$34:$A$45,3,$D$34:$D$45)</f>
        <v>6</v>
      </c>
      <c r="H40" s="91">
        <f>AVERAGEIF($A$34:$A$45,3,$E$34:$E$45)</f>
        <v>-185.50310559006209</v>
      </c>
      <c r="I40" s="91">
        <f>85-F40</f>
        <v>79</v>
      </c>
      <c r="J40"/>
      <c r="K40" s="79">
        <f t="shared" si="1"/>
        <v>3</v>
      </c>
      <c r="L40" s="80">
        <f>OC!J8</f>
        <v>0</v>
      </c>
      <c r="M40" s="44">
        <f>OC!S8+VLOOKUP($R$31,$AD$38:$AK$42,4,FALSE)</f>
        <v>0</v>
      </c>
      <c r="N40" s="44">
        <f>OC!T8+VLOOKUP($R$31,$AD$38:$AK$42,5,FALSE)</f>
        <v>4</v>
      </c>
      <c r="O40" s="92">
        <f>AVERAGEIF($K$34:$K$45,3,$M$34:$M$45)</f>
        <v>0</v>
      </c>
      <c r="P40" s="92">
        <f>AVERAGEIF($K$34:$K$45,3,$N$34:$N$45)</f>
        <v>4</v>
      </c>
      <c r="Q40" s="90">
        <f>P40*0.001</f>
        <v>4.0000000000000001E-3</v>
      </c>
      <c r="R40" s="90">
        <f>O40*0.001</f>
        <v>0</v>
      </c>
      <c r="T40" s="79">
        <v>3</v>
      </c>
      <c r="U40" s="80">
        <f>FPDC!J8</f>
        <v>0</v>
      </c>
      <c r="V40" s="75">
        <f>FPDC!R8+VLOOKUP($R$31,$AD$38:$AK$42,2,FALSE)+VLOOKUP($R$31,$AD$38:$AK$42,7,FALSE)+VLOOKUP('File location'!$B$1,'Tester offset'!$A$2:$D$4,3,FALSE)</f>
        <v>-7</v>
      </c>
      <c r="W40" s="76">
        <f>FPDC!S8+VLOOKUP($R$31,$AD$38:$AK$42,3,FALSE)+VLOOKUP($R$31,$AD$38:$AK$42,8,FALSE)+VLOOKUP('File location'!$B$1,'Tester offset'!$A$2:$D$4,4,FALSE)</f>
        <v>-3</v>
      </c>
      <c r="X40" s="92">
        <f>AVERAGEIF($T$34:$T$45,3,$V$34:$V$45)</f>
        <v>-7</v>
      </c>
      <c r="Y40" s="92">
        <f>AVERAGEIF($T$34:$T$45,3,$W$34:$W$45)</f>
        <v>-3</v>
      </c>
      <c r="Z40" s="90">
        <f>(X40*-0.01)/4</f>
        <v>1.7500000000000002E-2</v>
      </c>
      <c r="AA40" s="90">
        <f>(Y40*-0.01)/4</f>
        <v>7.4999999999999997E-3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>
        <f>IPQC!J9</f>
        <v>0</v>
      </c>
      <c r="C41" s="44">
        <f>IPQC!S9+VLOOKUP($R$31,$AD$38:$AK$42,6,FALSE)+VLOOKUP('File location'!$B$1,'Tester offset'!$A$2:$D$4,2,FALSE)</f>
        <v>6</v>
      </c>
      <c r="D41" s="44">
        <f>IPQC!Z9+VLOOKUP($R$31,$AD$38:$AK$42,6,FALSE)</f>
        <v>6</v>
      </c>
      <c r="E41" s="44">
        <f>VCM!HU9-'Summary(3pcs)'!C41-'Summary(3pcs)'!$D$32</f>
        <v>-185.50310559006209</v>
      </c>
      <c r="F41" s="90"/>
      <c r="G41" s="91"/>
      <c r="H41" s="91"/>
      <c r="I41" s="91"/>
      <c r="J41"/>
      <c r="K41" s="79">
        <f t="shared" si="1"/>
        <v>3</v>
      </c>
      <c r="L41" s="80">
        <f>OC!J9</f>
        <v>0</v>
      </c>
      <c r="M41" s="44">
        <f>OC!S9+VLOOKUP($R$31,$AD$38:$AK$42,4,FALSE)</f>
        <v>0</v>
      </c>
      <c r="N41" s="44">
        <f>OC!T9+VLOOKUP($R$31,$AD$38:$AK$42,5,FALSE)</f>
        <v>4</v>
      </c>
      <c r="O41" s="92"/>
      <c r="P41" s="92"/>
      <c r="Q41" s="90"/>
      <c r="R41" s="90"/>
      <c r="T41" s="79">
        <v>3</v>
      </c>
      <c r="U41" s="80">
        <f>FPDC!J9</f>
        <v>0</v>
      </c>
      <c r="V41" s="75">
        <f>FPDC!R9+VLOOKUP($R$31,$AD$38:$AK$42,2,FALSE)+VLOOKUP($R$31,$AD$38:$AK$42,7,FALSE)+VLOOKUP('File location'!$B$1,'Tester offset'!$A$2:$D$4,3,FALSE)</f>
        <v>-7</v>
      </c>
      <c r="W41" s="76">
        <f>FPDC!S9+VLOOKUP($R$31,$AD$38:$AK$42,3,FALSE)+VLOOKUP($R$31,$AD$38:$AK$42,8,FALSE)+VLOOKUP('File location'!$B$1,'Tester offset'!$A$2:$D$4,4,FALSE)</f>
        <v>-3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>
        <f>IPQC!J10</f>
        <v>0</v>
      </c>
      <c r="C42" s="44">
        <f>IPQC!S10+VLOOKUP($R$31,$AD$38:$AK$42,6,FALSE)+VLOOKUP('File location'!$B$1,'Tester offset'!$A$2:$D$4,2,FALSE)</f>
        <v>6</v>
      </c>
      <c r="D42" s="44">
        <f>IPQC!Z10+VLOOKUP($R$31,$AD$38:$AK$42,6,FALSE)</f>
        <v>6</v>
      </c>
      <c r="E42" s="44">
        <f>VCM!HU10-'Summary(3pcs)'!C42-'Summary(3pcs)'!$D$32</f>
        <v>-185.50310559006209</v>
      </c>
      <c r="F42" s="90"/>
      <c r="G42" s="91"/>
      <c r="H42" s="91"/>
      <c r="I42" s="91"/>
      <c r="J42"/>
      <c r="K42" s="79">
        <f t="shared" si="1"/>
        <v>3</v>
      </c>
      <c r="L42" s="80">
        <f>OC!J10</f>
        <v>0</v>
      </c>
      <c r="M42" s="44">
        <f>OC!S10+VLOOKUP($R$31,$AD$38:$AK$42,4,FALSE)</f>
        <v>0</v>
      </c>
      <c r="N42" s="44">
        <f>OC!T10+VLOOKUP($R$31,$AD$38:$AK$42,5,FALSE)</f>
        <v>4</v>
      </c>
      <c r="O42" s="92"/>
      <c r="P42" s="92"/>
      <c r="Q42" s="90"/>
      <c r="R42" s="90"/>
      <c r="T42" s="79">
        <v>3</v>
      </c>
      <c r="U42" s="80">
        <f>FPDC!J10</f>
        <v>0</v>
      </c>
      <c r="V42" s="75">
        <f>FPDC!R10+VLOOKUP($R$31,$AD$38:$AK$42,2,FALSE)+VLOOKUP($R$31,$AD$38:$AK$42,7,FALSE)+VLOOKUP('File location'!$B$1,'Tester offset'!$A$2:$D$4,3,FALSE)</f>
        <v>-7</v>
      </c>
      <c r="W42" s="76">
        <f>FPDC!S10+VLOOKUP($R$31,$AD$38:$AK$42,3,FALSE)+VLOOKUP($R$31,$AD$38:$AK$42,8,FALSE)+VLOOKUP('File location'!$B$1,'Tester offset'!$A$2:$D$4,4,FALSE)</f>
        <v>-3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>
        <f>IPQC!J11</f>
        <v>0</v>
      </c>
      <c r="C43" s="44">
        <f>IPQC!S11+VLOOKUP($R$31,$AD$38:$AK$42,6,FALSE)+VLOOKUP('File location'!$B$1,'Tester offset'!$A$2:$D$4,2,FALSE)</f>
        <v>6</v>
      </c>
      <c r="D43" s="44">
        <f>IPQC!Z11+VLOOKUP($R$31,$AD$38:$AK$42,6,FALSE)</f>
        <v>6</v>
      </c>
      <c r="E43" s="44">
        <f>VCM!HU11-'Summary(3pcs)'!C43-'Summary(3pcs)'!$D$32</f>
        <v>-185.50310559006209</v>
      </c>
      <c r="F43" s="90">
        <f>AVERAGEIF($A$34:$A$45,4,$C$34:$C$45)</f>
        <v>6</v>
      </c>
      <c r="G43" s="91">
        <f>AVERAGEIF($A$34:$A$45,4,$D$34:$D$45)</f>
        <v>6</v>
      </c>
      <c r="H43" s="91">
        <f>AVERAGEIF($A$34:$A$45,4,$E$34:$E$45)</f>
        <v>-185.50310559006209</v>
      </c>
      <c r="I43" s="91">
        <f>85-F43</f>
        <v>79</v>
      </c>
      <c r="J43"/>
      <c r="K43" s="79">
        <f t="shared" si="1"/>
        <v>4</v>
      </c>
      <c r="L43" s="80">
        <f>OC!J11</f>
        <v>0</v>
      </c>
      <c r="M43" s="44">
        <f>OC!S11+VLOOKUP($R$31,$AD$38:$AK$42,4,FALSE)</f>
        <v>0</v>
      </c>
      <c r="N43" s="44">
        <f>OC!T11+VLOOKUP($R$31,$AD$38:$AK$42,5,FALSE)</f>
        <v>4</v>
      </c>
      <c r="O43" s="92">
        <f>AVERAGEIF($K$34:$K$45,4,$M$34:$M$45)</f>
        <v>0</v>
      </c>
      <c r="P43" s="92">
        <f>AVERAGEIF($K$34:$K$45,4,$N$34:$N$45)</f>
        <v>4</v>
      </c>
      <c r="Q43" s="90">
        <f>P43*0.001</f>
        <v>4.0000000000000001E-3</v>
      </c>
      <c r="R43" s="90">
        <f>O43*0.001</f>
        <v>0</v>
      </c>
      <c r="T43" s="79">
        <v>4</v>
      </c>
      <c r="U43" s="80">
        <f>FPDC!J11</f>
        <v>0</v>
      </c>
      <c r="V43" s="75">
        <f>FPDC!R11+VLOOKUP($R$31,$AD$38:$AK$42,2,FALSE)+VLOOKUP($R$31,$AD$38:$AK$42,7,FALSE)+VLOOKUP('File location'!$B$1,'Tester offset'!$A$2:$D$4,3,FALSE)</f>
        <v>-7</v>
      </c>
      <c r="W43" s="76">
        <f>FPDC!S11+VLOOKUP($R$31,$AD$38:$AK$42,3,FALSE)+VLOOKUP($R$31,$AD$38:$AK$42,8,FALSE)+VLOOKUP('File location'!$B$1,'Tester offset'!$A$2:$D$4,4,FALSE)</f>
        <v>-3</v>
      </c>
      <c r="X43" s="92">
        <f>AVERAGEIF($T$34:$T$45,4,$V$34:$V$45)</f>
        <v>-7</v>
      </c>
      <c r="Y43" s="92">
        <f>AVERAGEIF($T$34:$T$45,4,$W$34:$W$45)</f>
        <v>-3</v>
      </c>
      <c r="Z43" s="90">
        <f>(X43*-0.01)/4</f>
        <v>1.7500000000000002E-2</v>
      </c>
      <c r="AA43" s="90">
        <f>(Y43*-0.01)/4</f>
        <v>7.4999999999999997E-3</v>
      </c>
    </row>
    <row r="44" spans="1:37" s="32" customFormat="1" ht="17.100000000000001" customHeight="1">
      <c r="A44" s="79">
        <f t="shared" si="0"/>
        <v>4</v>
      </c>
      <c r="B44" s="80">
        <f>IPQC!J12</f>
        <v>0</v>
      </c>
      <c r="C44" s="44">
        <f>IPQC!S12+VLOOKUP($R$31,$AD$38:$AK$42,6,FALSE)+VLOOKUP('File location'!$B$1,'Tester offset'!$A$2:$D$4,2,FALSE)</f>
        <v>6</v>
      </c>
      <c r="D44" s="44">
        <f>IPQC!Z12+VLOOKUP($R$31,$AD$38:$AK$42,6,FALSE)</f>
        <v>6</v>
      </c>
      <c r="E44" s="44">
        <f>VCM!HU12-'Summary(3pcs)'!C44-'Summary(3pcs)'!$D$32</f>
        <v>-185.50310559006209</v>
      </c>
      <c r="F44" s="90"/>
      <c r="G44" s="91"/>
      <c r="H44" s="91"/>
      <c r="I44" s="91"/>
      <c r="J44"/>
      <c r="K44" s="79">
        <f t="shared" si="1"/>
        <v>4</v>
      </c>
      <c r="L44" s="80">
        <f>OC!J12</f>
        <v>0</v>
      </c>
      <c r="M44" s="44">
        <f>OC!S12+VLOOKUP($R$31,$AD$38:$AK$42,4,FALSE)</f>
        <v>0</v>
      </c>
      <c r="N44" s="44">
        <f>OC!T12+VLOOKUP($R$31,$AD$38:$AK$42,5,FALSE)</f>
        <v>4</v>
      </c>
      <c r="O44" s="92"/>
      <c r="P44" s="92"/>
      <c r="Q44" s="90"/>
      <c r="R44" s="90"/>
      <c r="T44" s="79">
        <v>4</v>
      </c>
      <c r="U44" s="80">
        <f>FPDC!J12</f>
        <v>0</v>
      </c>
      <c r="V44" s="75">
        <f>FPDC!R12+VLOOKUP($R$31,$AD$38:$AK$42,2,FALSE)+VLOOKUP($R$31,$AD$38:$AK$42,7,FALSE)+VLOOKUP('File location'!$B$1,'Tester offset'!$A$2:$D$4,3,FALSE)</f>
        <v>-7</v>
      </c>
      <c r="W44" s="76">
        <f>FPDC!S12+VLOOKUP($R$31,$AD$38:$AK$42,3,FALSE)+VLOOKUP($R$31,$AD$38:$AK$42,8,FALSE)+VLOOKUP('File location'!$B$1,'Tester offset'!$A$2:$D$4,4,FALSE)</f>
        <v>-3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>
        <f>IPQC!J13</f>
        <v>0</v>
      </c>
      <c r="C45" s="44">
        <f>IPQC!S13+VLOOKUP($R$31,$AD$38:$AK$42,6,FALSE)+VLOOKUP('File location'!$B$1,'Tester offset'!$A$2:$D$4,2,FALSE)</f>
        <v>6</v>
      </c>
      <c r="D45" s="44">
        <f>IPQC!Z13+VLOOKUP($R$31,$AD$38:$AK$42,6,FALSE)</f>
        <v>6</v>
      </c>
      <c r="E45" s="44">
        <f>VCM!HU13-'Summary(3pcs)'!C45-'Summary(3pcs)'!$D$32</f>
        <v>-185.50310559006209</v>
      </c>
      <c r="F45" s="90"/>
      <c r="G45" s="91"/>
      <c r="H45" s="91"/>
      <c r="I45" s="91"/>
      <c r="J45"/>
      <c r="K45" s="79">
        <f t="shared" si="1"/>
        <v>4</v>
      </c>
      <c r="L45" s="80">
        <f>OC!J13</f>
        <v>0</v>
      </c>
      <c r="M45" s="44">
        <f>OC!S13+VLOOKUP($R$31,$AD$38:$AK$42,4,FALSE)</f>
        <v>0</v>
      </c>
      <c r="N45" s="44">
        <f>OC!T13+VLOOKUP($R$31,$AD$38:$AK$42,5,FALSE)</f>
        <v>4</v>
      </c>
      <c r="O45" s="92"/>
      <c r="P45" s="92"/>
      <c r="Q45" s="90"/>
      <c r="R45" s="90"/>
      <c r="T45" s="79">
        <v>4</v>
      </c>
      <c r="U45" s="80">
        <f>FPDC!J13</f>
        <v>0</v>
      </c>
      <c r="V45" s="75">
        <f>FPDC!R13+VLOOKUP($R$31,$AD$38:$AK$42,2,FALSE)+VLOOKUP($R$31,$AD$38:$AK$42,7,FALSE)+VLOOKUP('File location'!$B$1,'Tester offset'!$A$2:$D$4,3,FALSE)</f>
        <v>-7</v>
      </c>
      <c r="W45" s="76">
        <f>FPDC!S13+VLOOKUP($R$31,$AD$38:$AK$42,3,FALSE)+VLOOKUP($R$31,$AD$38:$AK$42,8,FALSE)+VLOOKUP('File location'!$B$1,'Tester offset'!$A$2:$D$4,4,FALSE)</f>
        <v>-3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85.562474082899996</v>
      </c>
      <c r="L54" s="49">
        <f t="shared" ref="L54:L65" si="4">D34</f>
        <v>67.868268412500001</v>
      </c>
      <c r="M54" s="49">
        <f t="shared" ref="M54:M65" si="5">E34</f>
        <v>143.65638252373793</v>
      </c>
      <c r="N54" s="49">
        <f t="shared" ref="N54:O65" si="6">M34</f>
        <v>1.388533837</v>
      </c>
      <c r="O54" s="49">
        <f t="shared" si="6"/>
        <v>6.3074558730000003</v>
      </c>
      <c r="P54" s="49">
        <f t="shared" ref="P54:P65" si="7">V34</f>
        <v>6.4220352199999997</v>
      </c>
      <c r="Q54" s="50">
        <f t="shared" ref="Q54:Q65" si="8">W34</f>
        <v>-4.6443796160000002</v>
      </c>
    </row>
    <row r="55" spans="6:27" ht="19.5">
      <c r="I55" s="47">
        <f t="shared" si="2"/>
        <v>1</v>
      </c>
      <c r="J55" s="46"/>
      <c r="K55" s="51">
        <f t="shared" si="3"/>
        <v>78.533305009100005</v>
      </c>
      <c r="L55" s="52">
        <f t="shared" si="4"/>
        <v>62.792339566999999</v>
      </c>
      <c r="M55" s="52">
        <f t="shared" si="5"/>
        <v>155.82151589513791</v>
      </c>
      <c r="N55" s="52">
        <f t="shared" si="6"/>
        <v>-4.0802022558999997</v>
      </c>
      <c r="O55" s="52">
        <f t="shared" si="6"/>
        <v>1.3843116305000001</v>
      </c>
      <c r="P55" s="52">
        <f t="shared" si="7"/>
        <v>6.2602672599999991</v>
      </c>
      <c r="Q55" s="53">
        <f t="shared" si="8"/>
        <v>4.247480393</v>
      </c>
    </row>
    <row r="56" spans="6:27" ht="19.5">
      <c r="I56" s="47">
        <f t="shared" si="2"/>
        <v>1</v>
      </c>
      <c r="J56" s="46"/>
      <c r="K56" s="54">
        <f t="shared" si="3"/>
        <v>88.044323538699999</v>
      </c>
      <c r="L56" s="55">
        <f t="shared" si="4"/>
        <v>72.087361791000006</v>
      </c>
      <c r="M56" s="55">
        <f t="shared" si="5"/>
        <v>142.17705174523792</v>
      </c>
      <c r="N56" s="55">
        <f t="shared" si="6"/>
        <v>-1.1882816603999999</v>
      </c>
      <c r="O56" s="55">
        <f t="shared" si="6"/>
        <v>-3.9318186037</v>
      </c>
      <c r="P56" s="55">
        <f t="shared" si="7"/>
        <v>7.4684486400000001</v>
      </c>
      <c r="Q56" s="56">
        <f t="shared" si="8"/>
        <v>-2.394425392</v>
      </c>
    </row>
    <row r="57" spans="6:27" ht="19.5">
      <c r="I57" s="47">
        <f t="shared" si="2"/>
        <v>2</v>
      </c>
      <c r="J57" s="46"/>
      <c r="K57" s="57">
        <f t="shared" si="3"/>
        <v>6</v>
      </c>
      <c r="L57" s="58">
        <f t="shared" si="4"/>
        <v>6</v>
      </c>
      <c r="M57" s="58">
        <f t="shared" si="5"/>
        <v>-185.50310559006209</v>
      </c>
      <c r="N57" s="58">
        <f t="shared" si="6"/>
        <v>0</v>
      </c>
      <c r="O57" s="58">
        <f t="shared" si="6"/>
        <v>4</v>
      </c>
      <c r="P57" s="58">
        <f t="shared" si="7"/>
        <v>-7</v>
      </c>
      <c r="Q57" s="59">
        <f t="shared" si="8"/>
        <v>-3</v>
      </c>
    </row>
    <row r="58" spans="6:27" ht="19.5">
      <c r="I58" s="47">
        <f t="shared" si="2"/>
        <v>2</v>
      </c>
      <c r="J58" s="46"/>
      <c r="K58" s="57">
        <f t="shared" si="3"/>
        <v>6</v>
      </c>
      <c r="L58" s="58">
        <f t="shared" si="4"/>
        <v>6</v>
      </c>
      <c r="M58" s="58">
        <f t="shared" si="5"/>
        <v>-185.50310559006209</v>
      </c>
      <c r="N58" s="58">
        <f t="shared" si="6"/>
        <v>0</v>
      </c>
      <c r="O58" s="58">
        <f t="shared" si="6"/>
        <v>4</v>
      </c>
      <c r="P58" s="58">
        <f t="shared" si="7"/>
        <v>-7</v>
      </c>
      <c r="Q58" s="59">
        <f t="shared" si="8"/>
        <v>-3</v>
      </c>
    </row>
    <row r="59" spans="6:27" ht="19.5">
      <c r="I59" s="47">
        <f t="shared" si="2"/>
        <v>2</v>
      </c>
      <c r="J59" s="46"/>
      <c r="K59" s="57">
        <f t="shared" si="3"/>
        <v>6</v>
      </c>
      <c r="L59" s="58">
        <f t="shared" si="4"/>
        <v>6</v>
      </c>
      <c r="M59" s="58">
        <f t="shared" si="5"/>
        <v>-185.50310559006209</v>
      </c>
      <c r="N59" s="58">
        <f t="shared" si="6"/>
        <v>0</v>
      </c>
      <c r="O59" s="58">
        <f t="shared" si="6"/>
        <v>4</v>
      </c>
      <c r="P59" s="58">
        <f t="shared" si="7"/>
        <v>-7</v>
      </c>
      <c r="Q59" s="59">
        <f t="shared" si="8"/>
        <v>-3</v>
      </c>
    </row>
    <row r="60" spans="6:27" ht="19.5">
      <c r="I60" s="47">
        <f t="shared" si="2"/>
        <v>3</v>
      </c>
      <c r="J60" s="46"/>
      <c r="K60" s="60">
        <f t="shared" si="3"/>
        <v>6</v>
      </c>
      <c r="L60" s="61">
        <f t="shared" si="4"/>
        <v>6</v>
      </c>
      <c r="M60" s="61">
        <f t="shared" si="5"/>
        <v>-185.50310559006209</v>
      </c>
      <c r="N60" s="61">
        <f t="shared" si="6"/>
        <v>0</v>
      </c>
      <c r="O60" s="61">
        <f t="shared" si="6"/>
        <v>4</v>
      </c>
      <c r="P60" s="61">
        <f t="shared" si="7"/>
        <v>-7</v>
      </c>
      <c r="Q60" s="62">
        <f t="shared" si="8"/>
        <v>-3</v>
      </c>
    </row>
    <row r="61" spans="6:27" ht="19.5">
      <c r="I61" s="47">
        <f t="shared" si="2"/>
        <v>3</v>
      </c>
      <c r="J61" s="46"/>
      <c r="K61" s="63">
        <f t="shared" si="3"/>
        <v>6</v>
      </c>
      <c r="L61" s="64">
        <f t="shared" si="4"/>
        <v>6</v>
      </c>
      <c r="M61" s="64">
        <f t="shared" si="5"/>
        <v>-185.50310559006209</v>
      </c>
      <c r="N61" s="64">
        <f t="shared" si="6"/>
        <v>0</v>
      </c>
      <c r="O61" s="64">
        <f t="shared" si="6"/>
        <v>4</v>
      </c>
      <c r="P61" s="64">
        <f t="shared" si="7"/>
        <v>-7</v>
      </c>
      <c r="Q61" s="65">
        <f t="shared" si="8"/>
        <v>-3</v>
      </c>
    </row>
    <row r="62" spans="6:27" ht="19.5">
      <c r="I62" s="47">
        <f t="shared" si="2"/>
        <v>3</v>
      </c>
      <c r="J62" s="46"/>
      <c r="K62" s="66">
        <f t="shared" si="3"/>
        <v>6</v>
      </c>
      <c r="L62" s="67">
        <f t="shared" si="4"/>
        <v>6</v>
      </c>
      <c r="M62" s="67">
        <f t="shared" si="5"/>
        <v>-185.50310559006209</v>
      </c>
      <c r="N62" s="67">
        <f t="shared" si="6"/>
        <v>0</v>
      </c>
      <c r="O62" s="67">
        <f t="shared" si="6"/>
        <v>4</v>
      </c>
      <c r="P62" s="67">
        <f t="shared" si="7"/>
        <v>-7</v>
      </c>
      <c r="Q62" s="68">
        <f t="shared" si="8"/>
        <v>-3</v>
      </c>
    </row>
    <row r="63" spans="6:27" ht="19.5">
      <c r="I63" s="47">
        <f t="shared" si="2"/>
        <v>4</v>
      </c>
      <c r="J63" s="46"/>
      <c r="K63" s="57">
        <f t="shared" si="3"/>
        <v>6</v>
      </c>
      <c r="L63" s="58">
        <f t="shared" si="4"/>
        <v>6</v>
      </c>
      <c r="M63" s="58">
        <f t="shared" si="5"/>
        <v>-185.50310559006209</v>
      </c>
      <c r="N63" s="58">
        <f t="shared" si="6"/>
        <v>0</v>
      </c>
      <c r="O63" s="58">
        <f t="shared" si="6"/>
        <v>4</v>
      </c>
      <c r="P63" s="58">
        <f t="shared" si="7"/>
        <v>-7</v>
      </c>
      <c r="Q63" s="59">
        <f t="shared" si="8"/>
        <v>-3</v>
      </c>
    </row>
    <row r="64" spans="6:27" ht="19.5">
      <c r="I64" s="47">
        <f t="shared" si="2"/>
        <v>4</v>
      </c>
      <c r="J64" s="46"/>
      <c r="K64" s="57">
        <f t="shared" si="3"/>
        <v>6</v>
      </c>
      <c r="L64" s="58">
        <f t="shared" si="4"/>
        <v>6</v>
      </c>
      <c r="M64" s="58">
        <f t="shared" si="5"/>
        <v>-185.50310559006209</v>
      </c>
      <c r="N64" s="58">
        <f t="shared" si="6"/>
        <v>0</v>
      </c>
      <c r="O64" s="58">
        <f t="shared" si="6"/>
        <v>4</v>
      </c>
      <c r="P64" s="58">
        <f t="shared" si="7"/>
        <v>-7</v>
      </c>
      <c r="Q64" s="59">
        <f t="shared" si="8"/>
        <v>-3</v>
      </c>
    </row>
    <row r="65" spans="9:17" ht="20.25" thickBot="1">
      <c r="I65" s="47">
        <f t="shared" si="2"/>
        <v>4</v>
      </c>
      <c r="J65" s="46"/>
      <c r="K65" s="69">
        <f t="shared" si="3"/>
        <v>6</v>
      </c>
      <c r="L65" s="70">
        <f t="shared" si="4"/>
        <v>6</v>
      </c>
      <c r="M65" s="70">
        <f t="shared" si="5"/>
        <v>-185.50310559006209</v>
      </c>
      <c r="N65" s="70">
        <f t="shared" si="6"/>
        <v>0</v>
      </c>
      <c r="O65" s="70">
        <f t="shared" si="6"/>
        <v>4</v>
      </c>
      <c r="P65" s="70">
        <f t="shared" si="7"/>
        <v>-7</v>
      </c>
      <c r="Q65" s="71">
        <f t="shared" si="8"/>
        <v>-3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4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2113.8885338370001</v>
      </c>
      <c r="R2">
        <v>1510.192544127</v>
      </c>
      <c r="S2">
        <v>1.388533837</v>
      </c>
      <c r="T2">
        <v>2.3074558729999999</v>
      </c>
      <c r="U2">
        <v>2.6930241036</v>
      </c>
      <c r="V2">
        <v>739.08709999999996</v>
      </c>
      <c r="W2">
        <v>398.91550000000001</v>
      </c>
      <c r="X2">
        <v>400.12920000000003</v>
      </c>
      <c r="Y2">
        <v>397.92250000000001</v>
      </c>
      <c r="Z2">
        <v>397.87470000000002</v>
      </c>
      <c r="AA2">
        <v>568.89878750000003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228</v>
      </c>
      <c r="B3" t="s">
        <v>229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2108.4197977440999</v>
      </c>
      <c r="R3">
        <v>1515.1156883695</v>
      </c>
      <c r="S3">
        <v>-4.0802022558999997</v>
      </c>
      <c r="T3">
        <v>-2.6156883694999999</v>
      </c>
      <c r="U3">
        <v>4.8466355438999997</v>
      </c>
      <c r="V3">
        <v>738.44380000000001</v>
      </c>
      <c r="W3">
        <v>398.36880000000002</v>
      </c>
      <c r="X3">
        <v>397.24200000000002</v>
      </c>
      <c r="Y3">
        <v>399.46249999999998</v>
      </c>
      <c r="Z3">
        <v>397.81599999999997</v>
      </c>
      <c r="AA3">
        <v>568.33306249999998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235</v>
      </c>
      <c r="B4" t="s">
        <v>236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2111.3117183395998</v>
      </c>
      <c r="R4">
        <v>1520.4318186037001</v>
      </c>
      <c r="S4">
        <v>-1.1882816603999999</v>
      </c>
      <c r="T4">
        <v>-7.9318186037</v>
      </c>
      <c r="U4">
        <v>8.0203341369000007</v>
      </c>
      <c r="V4">
        <v>739.53880000000004</v>
      </c>
      <c r="W4">
        <v>395.60320000000002</v>
      </c>
      <c r="X4">
        <v>396.64620000000002</v>
      </c>
      <c r="Y4">
        <v>396.07470000000001</v>
      </c>
      <c r="Z4">
        <v>395.39190000000002</v>
      </c>
      <c r="AA4">
        <v>567.73389999999995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4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242</v>
      </c>
      <c r="R1" t="s">
        <v>243</v>
      </c>
      <c r="S1" t="s">
        <v>244</v>
      </c>
      <c r="T1" t="s">
        <v>245</v>
      </c>
      <c r="U1" t="s">
        <v>246</v>
      </c>
      <c r="V1" t="s">
        <v>247</v>
      </c>
      <c r="W1" t="s">
        <v>248</v>
      </c>
      <c r="X1" t="s">
        <v>249</v>
      </c>
      <c r="Y1" t="s">
        <v>250</v>
      </c>
      <c r="Z1" t="s">
        <v>251</v>
      </c>
      <c r="AA1" t="s">
        <v>252</v>
      </c>
      <c r="AB1" t="s">
        <v>253</v>
      </c>
      <c r="AC1" t="s">
        <v>254</v>
      </c>
      <c r="AD1" t="s">
        <v>255</v>
      </c>
      <c r="AE1" t="s">
        <v>256</v>
      </c>
      <c r="AF1" t="s">
        <v>257</v>
      </c>
      <c r="AG1" t="s">
        <v>258</v>
      </c>
      <c r="AH1" t="s">
        <v>259</v>
      </c>
      <c r="AI1" t="s">
        <v>260</v>
      </c>
      <c r="AJ1" t="s">
        <v>261</v>
      </c>
      <c r="AK1" t="s">
        <v>262</v>
      </c>
      <c r="AL1" t="s">
        <v>263</v>
      </c>
      <c r="AM1" t="s">
        <v>264</v>
      </c>
      <c r="AN1" t="s">
        <v>265</v>
      </c>
      <c r="AO1" t="s">
        <v>266</v>
      </c>
      <c r="AP1" t="s">
        <v>267</v>
      </c>
      <c r="AQ1" t="s">
        <v>268</v>
      </c>
      <c r="AR1" t="s">
        <v>269</v>
      </c>
      <c r="AS1" t="s">
        <v>270</v>
      </c>
      <c r="AT1" t="s">
        <v>271</v>
      </c>
      <c r="AU1" t="s">
        <v>272</v>
      </c>
      <c r="AV1" t="s">
        <v>207</v>
      </c>
      <c r="AW1" t="s">
        <v>208</v>
      </c>
      <c r="AX1" t="s">
        <v>209</v>
      </c>
    </row>
    <row r="2" spans="1:50">
      <c r="A2" t="s">
        <v>273</v>
      </c>
      <c r="B2" t="s">
        <v>274</v>
      </c>
      <c r="C2" t="s">
        <v>212</v>
      </c>
      <c r="D2">
        <v>3</v>
      </c>
      <c r="E2" t="s">
        <v>213</v>
      </c>
      <c r="F2" t="s">
        <v>214</v>
      </c>
      <c r="G2" t="s">
        <v>275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-9.2983000000000004E-6</v>
      </c>
      <c r="R2">
        <v>13.42203522</v>
      </c>
      <c r="S2">
        <v>-1.6443796159999999</v>
      </c>
      <c r="T2">
        <v>3.2443618769999998</v>
      </c>
      <c r="U2">
        <v>9.2775592800000002</v>
      </c>
      <c r="V2">
        <v>-6.1664524079999996</v>
      </c>
      <c r="W2">
        <v>-0.60749667900000004</v>
      </c>
      <c r="X2">
        <v>1.4800202849999999</v>
      </c>
      <c r="Y2">
        <v>-1.136660695</v>
      </c>
      <c r="Z2">
        <v>-0.70533573599999999</v>
      </c>
      <c r="AA2">
        <v>-1.082980871</v>
      </c>
      <c r="AB2">
        <v>-2.2947316170000001</v>
      </c>
      <c r="AC2">
        <v>1.9595623019999999</v>
      </c>
      <c r="AD2">
        <v>-0.94432079800000002</v>
      </c>
      <c r="AE2">
        <v>-0.77360272399999996</v>
      </c>
      <c r="AF2">
        <v>0.37851190600000001</v>
      </c>
      <c r="AG2">
        <v>0.46668130200000002</v>
      </c>
      <c r="AH2">
        <v>0.341268301</v>
      </c>
      <c r="AI2">
        <v>0.17481899300000001</v>
      </c>
      <c r="AJ2">
        <v>3.4884930000000001E-2</v>
      </c>
      <c r="AK2">
        <v>1.4638300000000001E-4</v>
      </c>
      <c r="AL2">
        <v>3.8640915999999997E-2</v>
      </c>
      <c r="AM2">
        <v>0.24365991400000001</v>
      </c>
      <c r="AN2">
        <v>0.11711584799999999</v>
      </c>
      <c r="AO2">
        <v>0.28102397899999998</v>
      </c>
      <c r="AP2">
        <v>0.28102397899999998</v>
      </c>
      <c r="AQ2">
        <v>13.522389349999999</v>
      </c>
      <c r="AR2" t="s">
        <v>276</v>
      </c>
      <c r="AS2" t="s">
        <v>277</v>
      </c>
      <c r="AT2">
        <v>3</v>
      </c>
      <c r="AU2">
        <v>2.9</v>
      </c>
      <c r="AX2">
        <v>1</v>
      </c>
    </row>
    <row r="3" spans="1:50">
      <c r="A3" t="s">
        <v>278</v>
      </c>
      <c r="B3" t="s">
        <v>279</v>
      </c>
      <c r="C3" t="s">
        <v>212</v>
      </c>
      <c r="D3">
        <v>3</v>
      </c>
      <c r="E3" t="s">
        <v>213</v>
      </c>
      <c r="F3" t="s">
        <v>214</v>
      </c>
      <c r="G3" t="s">
        <v>275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5.8650999999999998E-5</v>
      </c>
      <c r="R3">
        <v>13.260267259999999</v>
      </c>
      <c r="S3">
        <v>7.247480393</v>
      </c>
      <c r="T3">
        <v>-0.85178160700000005</v>
      </c>
      <c r="U3">
        <v>2.5821676249999999</v>
      </c>
      <c r="V3">
        <v>-10.91242218</v>
      </c>
      <c r="W3">
        <v>-1.104644537</v>
      </c>
      <c r="X3">
        <v>3.0909898280000001</v>
      </c>
      <c r="Y3">
        <v>0.93687403199999997</v>
      </c>
      <c r="Z3">
        <v>0.51398038899999998</v>
      </c>
      <c r="AA3">
        <v>0.82450628299999995</v>
      </c>
      <c r="AB3">
        <v>-0.88270700000000002</v>
      </c>
      <c r="AC3">
        <v>2.6343946460000001</v>
      </c>
      <c r="AD3">
        <v>-0.54967331900000005</v>
      </c>
      <c r="AE3">
        <v>-2.1245987419999999</v>
      </c>
      <c r="AF3">
        <v>-0.39779457499999998</v>
      </c>
      <c r="AG3">
        <v>-0.79331004599999999</v>
      </c>
      <c r="AH3">
        <v>-0.45148026899999999</v>
      </c>
      <c r="AI3">
        <v>-0.54049837599999995</v>
      </c>
      <c r="AJ3">
        <v>0.77013355500000003</v>
      </c>
      <c r="AK3">
        <v>2.0894899999999999E-4</v>
      </c>
      <c r="AL3">
        <v>4.7301661000000002E-2</v>
      </c>
      <c r="AM3">
        <v>0.289252281</v>
      </c>
      <c r="AN3">
        <v>0.25165915500000002</v>
      </c>
      <c r="AO3">
        <v>0.289252281</v>
      </c>
      <c r="AP3">
        <v>0.289252281</v>
      </c>
      <c r="AQ3">
        <v>15.11160679</v>
      </c>
      <c r="AR3" t="s">
        <v>276</v>
      </c>
      <c r="AS3" t="s">
        <v>277</v>
      </c>
      <c r="AT3">
        <v>3</v>
      </c>
      <c r="AU3">
        <v>2.9</v>
      </c>
      <c r="AX3">
        <v>1</v>
      </c>
    </row>
    <row r="4" spans="1:50">
      <c r="A4" t="s">
        <v>280</v>
      </c>
      <c r="B4" t="s">
        <v>281</v>
      </c>
      <c r="C4" t="s">
        <v>212</v>
      </c>
      <c r="D4">
        <v>3</v>
      </c>
      <c r="E4" t="s">
        <v>213</v>
      </c>
      <c r="F4" t="s">
        <v>214</v>
      </c>
      <c r="G4" t="s">
        <v>275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2.7656599999999999E-5</v>
      </c>
      <c r="R4">
        <v>14.46844864</v>
      </c>
      <c r="S4">
        <v>0.60557460799999996</v>
      </c>
      <c r="T4">
        <v>3.1721687319999998</v>
      </c>
      <c r="U4">
        <v>5.6629762650000002</v>
      </c>
      <c r="V4">
        <v>-5.4922580720000003</v>
      </c>
      <c r="W4">
        <v>-0.825253546</v>
      </c>
      <c r="X4">
        <v>3.517089844</v>
      </c>
      <c r="Y4">
        <v>-1.3200693130000001</v>
      </c>
      <c r="Z4">
        <v>0.250790656</v>
      </c>
      <c r="AA4">
        <v>0.42424583399999999</v>
      </c>
      <c r="AB4">
        <v>-1.6174249650000001</v>
      </c>
      <c r="AC4">
        <v>0.86492109299999997</v>
      </c>
      <c r="AD4">
        <v>-0.97558629500000005</v>
      </c>
      <c r="AE4">
        <v>-2.0797681809999999</v>
      </c>
      <c r="AF4">
        <v>0.673627317</v>
      </c>
      <c r="AG4">
        <v>-0.23721909499999999</v>
      </c>
      <c r="AH4">
        <v>-0.97862380699999996</v>
      </c>
      <c r="AI4">
        <v>-0.19866842000000001</v>
      </c>
      <c r="AJ4">
        <v>0.51457619700000001</v>
      </c>
      <c r="AK4">
        <v>1.9188000000000001E-4</v>
      </c>
      <c r="AL4">
        <v>4.5430935999999998E-2</v>
      </c>
      <c r="AM4">
        <v>0.22953522200000001</v>
      </c>
      <c r="AN4">
        <v>7.3155395999999998E-2</v>
      </c>
      <c r="AO4">
        <v>0.237784624</v>
      </c>
      <c r="AP4">
        <v>0.237784624</v>
      </c>
      <c r="AQ4">
        <v>15.480297930000001</v>
      </c>
      <c r="AR4" t="s">
        <v>276</v>
      </c>
      <c r="AS4" t="s">
        <v>277</v>
      </c>
      <c r="AT4">
        <v>3</v>
      </c>
      <c r="AU4">
        <v>2.9</v>
      </c>
      <c r="AX4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294</v>
      </c>
      <c r="AD1" t="s">
        <v>207</v>
      </c>
      <c r="AE1" t="s">
        <v>208</v>
      </c>
      <c r="AF1" t="s">
        <v>209</v>
      </c>
    </row>
    <row r="2" spans="1:32">
      <c r="A2" t="s">
        <v>273</v>
      </c>
      <c r="B2" t="s">
        <v>295</v>
      </c>
      <c r="C2" t="s">
        <v>212</v>
      </c>
      <c r="D2">
        <v>3</v>
      </c>
      <c r="E2" t="s">
        <v>213</v>
      </c>
      <c r="F2" t="s">
        <v>214</v>
      </c>
      <c r="G2" t="s">
        <v>275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-9.3841642229000009</v>
      </c>
      <c r="R2">
        <v>-64</v>
      </c>
      <c r="S2">
        <v>79.562474082899996</v>
      </c>
      <c r="T2">
        <v>113.0537989962</v>
      </c>
      <c r="U2">
        <v>3.6134808555000002</v>
      </c>
      <c r="V2">
        <v>3.9654905999999997E-3</v>
      </c>
      <c r="W2">
        <v>-8.3448999999999993E-5</v>
      </c>
      <c r="X2">
        <v>3.4434678495000002</v>
      </c>
      <c r="Y2">
        <v>79.554868322299995</v>
      </c>
      <c r="Z2">
        <v>61.868268412500001</v>
      </c>
      <c r="AA2">
        <v>329.15948811390001</v>
      </c>
      <c r="AB2">
        <v>352.16767893349999</v>
      </c>
      <c r="AC2">
        <v>1</v>
      </c>
      <c r="AF2">
        <v>1</v>
      </c>
    </row>
    <row r="3" spans="1:32">
      <c r="A3" t="s">
        <v>278</v>
      </c>
      <c r="B3" t="s">
        <v>296</v>
      </c>
      <c r="C3" t="s">
        <v>212</v>
      </c>
      <c r="D3">
        <v>3</v>
      </c>
      <c r="E3" t="s">
        <v>213</v>
      </c>
      <c r="F3" t="s">
        <v>214</v>
      </c>
      <c r="G3" t="s">
        <v>275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-10.557184750699999</v>
      </c>
      <c r="R3">
        <v>-72</v>
      </c>
      <c r="S3">
        <v>72.533305009100005</v>
      </c>
      <c r="T3">
        <v>109.0478931817</v>
      </c>
      <c r="U3">
        <v>3.5000434101</v>
      </c>
      <c r="V3">
        <v>3.1748842999999999E-3</v>
      </c>
      <c r="W3">
        <v>-6.9828100000000003E-5</v>
      </c>
      <c r="X3">
        <v>3.3056622149999999</v>
      </c>
      <c r="Y3">
        <v>72.528466830300005</v>
      </c>
      <c r="Z3">
        <v>56.792339566999999</v>
      </c>
      <c r="AA3">
        <v>341.32462148529999</v>
      </c>
      <c r="AB3">
        <v>362.98006855099999</v>
      </c>
      <c r="AC3">
        <v>1</v>
      </c>
      <c r="AF3">
        <v>1</v>
      </c>
    </row>
    <row r="4" spans="1:32">
      <c r="A4" t="s">
        <v>280</v>
      </c>
      <c r="B4" t="s">
        <v>297</v>
      </c>
      <c r="C4" t="s">
        <v>212</v>
      </c>
      <c r="D4">
        <v>3</v>
      </c>
      <c r="E4" t="s">
        <v>213</v>
      </c>
      <c r="F4" t="s">
        <v>214</v>
      </c>
      <c r="G4" t="s">
        <v>275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-8.2111436950000005</v>
      </c>
      <c r="R4">
        <v>-56</v>
      </c>
      <c r="S4">
        <v>82.044323538699999</v>
      </c>
      <c r="T4">
        <v>111.29397924680001</v>
      </c>
      <c r="U4">
        <v>3.5972086857000001</v>
      </c>
      <c r="V4">
        <v>3.6018495E-3</v>
      </c>
      <c r="W4">
        <v>-8.0731799999999998E-5</v>
      </c>
      <c r="X4">
        <v>3.4023490735999999</v>
      </c>
      <c r="Y4">
        <v>81.839547581999994</v>
      </c>
      <c r="Z4">
        <v>66.087361791000006</v>
      </c>
      <c r="AA4">
        <v>327.68015733530001</v>
      </c>
      <c r="AB4">
        <v>350.47804804579999</v>
      </c>
      <c r="AC4">
        <v>1</v>
      </c>
      <c r="AF4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4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298</v>
      </c>
      <c r="R1" t="s">
        <v>299</v>
      </c>
      <c r="S1" t="s">
        <v>300</v>
      </c>
      <c r="T1" t="s">
        <v>301</v>
      </c>
      <c r="U1" t="s">
        <v>302</v>
      </c>
      <c r="V1" t="s">
        <v>303</v>
      </c>
      <c r="W1" t="s">
        <v>304</v>
      </c>
      <c r="X1" t="s">
        <v>305</v>
      </c>
      <c r="Y1" t="s">
        <v>306</v>
      </c>
      <c r="Z1" t="s">
        <v>307</v>
      </c>
      <c r="AA1" t="s">
        <v>308</v>
      </c>
      <c r="AB1" t="s">
        <v>309</v>
      </c>
      <c r="AC1" t="s">
        <v>310</v>
      </c>
      <c r="AD1" t="s">
        <v>311</v>
      </c>
      <c r="AE1" t="s">
        <v>312</v>
      </c>
      <c r="AF1" t="s">
        <v>313</v>
      </c>
      <c r="AG1" t="s">
        <v>314</v>
      </c>
      <c r="AH1" t="s">
        <v>315</v>
      </c>
      <c r="AI1" t="s">
        <v>316</v>
      </c>
      <c r="AJ1" t="s">
        <v>317</v>
      </c>
      <c r="AK1" t="s">
        <v>318</v>
      </c>
      <c r="AL1" t="s">
        <v>319</v>
      </c>
      <c r="AM1" t="s">
        <v>320</v>
      </c>
      <c r="AN1" t="s">
        <v>321</v>
      </c>
      <c r="AO1" t="s">
        <v>322</v>
      </c>
      <c r="AP1" t="s">
        <v>323</v>
      </c>
      <c r="AQ1" t="s">
        <v>324</v>
      </c>
      <c r="AR1" t="s">
        <v>325</v>
      </c>
      <c r="AS1" t="s">
        <v>326</v>
      </c>
      <c r="AT1" t="s">
        <v>327</v>
      </c>
      <c r="AU1" t="s">
        <v>328</v>
      </c>
      <c r="AV1" t="s">
        <v>329</v>
      </c>
      <c r="AW1" t="s">
        <v>330</v>
      </c>
      <c r="AX1" t="s">
        <v>331</v>
      </c>
      <c r="AY1" t="s">
        <v>332</v>
      </c>
      <c r="AZ1" t="s">
        <v>333</v>
      </c>
      <c r="BA1" t="s">
        <v>334</v>
      </c>
      <c r="BB1" t="s">
        <v>335</v>
      </c>
      <c r="BC1" t="s">
        <v>336</v>
      </c>
      <c r="BD1" t="s">
        <v>337</v>
      </c>
      <c r="BE1" t="s">
        <v>338</v>
      </c>
      <c r="BF1" t="s">
        <v>339</v>
      </c>
      <c r="BG1" t="s">
        <v>340</v>
      </c>
      <c r="BH1" t="s">
        <v>341</v>
      </c>
      <c r="BI1" t="s">
        <v>342</v>
      </c>
      <c r="BJ1" t="s">
        <v>343</v>
      </c>
      <c r="BK1" t="s">
        <v>344</v>
      </c>
      <c r="BL1" t="s">
        <v>345</v>
      </c>
      <c r="BM1" t="s">
        <v>346</v>
      </c>
      <c r="BN1" t="s">
        <v>347</v>
      </c>
      <c r="BO1" t="s">
        <v>348</v>
      </c>
      <c r="BP1" t="s">
        <v>349</v>
      </c>
      <c r="BQ1" t="s">
        <v>350</v>
      </c>
      <c r="BR1" t="s">
        <v>351</v>
      </c>
      <c r="BS1" t="s">
        <v>352</v>
      </c>
      <c r="BT1" t="s">
        <v>353</v>
      </c>
      <c r="BU1" t="s">
        <v>354</v>
      </c>
      <c r="BV1" t="s">
        <v>355</v>
      </c>
      <c r="BW1" t="s">
        <v>356</v>
      </c>
      <c r="BX1" t="s">
        <v>357</v>
      </c>
      <c r="BY1" t="s">
        <v>358</v>
      </c>
      <c r="BZ1" t="s">
        <v>359</v>
      </c>
      <c r="CA1" t="s">
        <v>360</v>
      </c>
      <c r="CB1" t="s">
        <v>361</v>
      </c>
      <c r="CC1" t="s">
        <v>362</v>
      </c>
      <c r="CD1" t="s">
        <v>363</v>
      </c>
      <c r="CE1" t="s">
        <v>364</v>
      </c>
      <c r="CF1" t="s">
        <v>365</v>
      </c>
      <c r="CG1" t="s">
        <v>366</v>
      </c>
      <c r="CH1" t="s">
        <v>367</v>
      </c>
      <c r="CI1" t="s">
        <v>368</v>
      </c>
      <c r="CJ1" t="s">
        <v>369</v>
      </c>
      <c r="CK1" t="s">
        <v>370</v>
      </c>
      <c r="CL1" t="s">
        <v>371</v>
      </c>
      <c r="CM1" t="s">
        <v>372</v>
      </c>
      <c r="CN1" t="s">
        <v>373</v>
      </c>
      <c r="CO1" t="s">
        <v>374</v>
      </c>
      <c r="CP1" t="s">
        <v>375</v>
      </c>
      <c r="CQ1" t="s">
        <v>376</v>
      </c>
      <c r="CR1" t="s">
        <v>377</v>
      </c>
      <c r="CS1" t="s">
        <v>378</v>
      </c>
      <c r="CT1" t="s">
        <v>379</v>
      </c>
      <c r="CU1" t="s">
        <v>380</v>
      </c>
      <c r="CV1" t="s">
        <v>381</v>
      </c>
      <c r="CW1" t="s">
        <v>382</v>
      </c>
      <c r="CX1" t="s">
        <v>383</v>
      </c>
      <c r="CY1" t="s">
        <v>384</v>
      </c>
      <c r="CZ1" t="s">
        <v>385</v>
      </c>
      <c r="DA1" t="s">
        <v>386</v>
      </c>
      <c r="DB1" t="s">
        <v>387</v>
      </c>
      <c r="DC1" t="s">
        <v>388</v>
      </c>
      <c r="DD1" t="s">
        <v>389</v>
      </c>
      <c r="DE1" t="s">
        <v>390</v>
      </c>
      <c r="DF1" t="s">
        <v>391</v>
      </c>
      <c r="DG1" t="s">
        <v>392</v>
      </c>
      <c r="DH1" t="s">
        <v>393</v>
      </c>
      <c r="DI1" t="s">
        <v>394</v>
      </c>
      <c r="DJ1" t="s">
        <v>395</v>
      </c>
      <c r="DK1" t="s">
        <v>396</v>
      </c>
      <c r="DL1" t="s">
        <v>397</v>
      </c>
      <c r="DM1" t="s">
        <v>398</v>
      </c>
      <c r="DN1" t="s">
        <v>399</v>
      </c>
      <c r="DO1" t="s">
        <v>400</v>
      </c>
      <c r="DP1" t="s">
        <v>401</v>
      </c>
      <c r="DQ1" t="s">
        <v>402</v>
      </c>
      <c r="DR1" t="s">
        <v>403</v>
      </c>
      <c r="DS1" t="s">
        <v>404</v>
      </c>
      <c r="DT1" t="s">
        <v>405</v>
      </c>
      <c r="DU1" t="s">
        <v>406</v>
      </c>
      <c r="DV1" t="s">
        <v>407</v>
      </c>
      <c r="DW1" t="s">
        <v>408</v>
      </c>
      <c r="DX1" t="s">
        <v>409</v>
      </c>
      <c r="DY1" t="s">
        <v>410</v>
      </c>
      <c r="DZ1" t="s">
        <v>411</v>
      </c>
      <c r="EA1" t="s">
        <v>412</v>
      </c>
      <c r="EB1" t="s">
        <v>413</v>
      </c>
      <c r="EC1" t="s">
        <v>414</v>
      </c>
      <c r="ED1" t="s">
        <v>415</v>
      </c>
      <c r="EE1" t="s">
        <v>416</v>
      </c>
      <c r="EF1" t="s">
        <v>417</v>
      </c>
      <c r="EG1" t="s">
        <v>418</v>
      </c>
      <c r="EH1" t="s">
        <v>419</v>
      </c>
      <c r="EI1" t="s">
        <v>420</v>
      </c>
      <c r="EJ1" t="s">
        <v>421</v>
      </c>
      <c r="EK1" t="s">
        <v>422</v>
      </c>
      <c r="EL1" t="s">
        <v>423</v>
      </c>
      <c r="EM1" t="s">
        <v>424</v>
      </c>
      <c r="EN1" t="s">
        <v>425</v>
      </c>
      <c r="EO1" t="s">
        <v>426</v>
      </c>
      <c r="EP1" t="s">
        <v>427</v>
      </c>
      <c r="EQ1" t="s">
        <v>428</v>
      </c>
      <c r="ER1" t="s">
        <v>429</v>
      </c>
      <c r="ES1" t="s">
        <v>430</v>
      </c>
      <c r="ET1" t="s">
        <v>431</v>
      </c>
      <c r="EU1" t="s">
        <v>432</v>
      </c>
      <c r="EV1" t="s">
        <v>433</v>
      </c>
      <c r="EW1" t="s">
        <v>434</v>
      </c>
      <c r="EX1" t="s">
        <v>435</v>
      </c>
      <c r="EY1" t="s">
        <v>436</v>
      </c>
      <c r="EZ1" t="s">
        <v>437</v>
      </c>
      <c r="FA1" t="s">
        <v>438</v>
      </c>
      <c r="FB1" t="s">
        <v>439</v>
      </c>
      <c r="FC1" t="s">
        <v>440</v>
      </c>
      <c r="FD1" t="s">
        <v>441</v>
      </c>
      <c r="FE1" t="s">
        <v>442</v>
      </c>
      <c r="FF1" t="s">
        <v>443</v>
      </c>
      <c r="FG1" t="s">
        <v>444</v>
      </c>
      <c r="FH1" t="s">
        <v>445</v>
      </c>
      <c r="FI1" t="s">
        <v>446</v>
      </c>
      <c r="FJ1" t="s">
        <v>447</v>
      </c>
      <c r="FK1" t="s">
        <v>448</v>
      </c>
      <c r="FL1" t="s">
        <v>449</v>
      </c>
      <c r="FM1" t="s">
        <v>450</v>
      </c>
      <c r="FN1" t="s">
        <v>451</v>
      </c>
      <c r="FO1" t="s">
        <v>452</v>
      </c>
      <c r="FP1" t="s">
        <v>453</v>
      </c>
      <c r="FQ1" t="s">
        <v>454</v>
      </c>
      <c r="FR1" t="s">
        <v>455</v>
      </c>
      <c r="FS1" t="s">
        <v>456</v>
      </c>
      <c r="FT1" t="s">
        <v>457</v>
      </c>
      <c r="FU1" t="s">
        <v>458</v>
      </c>
      <c r="FV1" t="s">
        <v>459</v>
      </c>
      <c r="FW1" t="s">
        <v>460</v>
      </c>
      <c r="FX1" t="s">
        <v>461</v>
      </c>
      <c r="FY1" t="s">
        <v>462</v>
      </c>
      <c r="FZ1" t="s">
        <v>463</v>
      </c>
      <c r="GA1" t="s">
        <v>464</v>
      </c>
      <c r="GB1" t="s">
        <v>465</v>
      </c>
      <c r="GC1" t="s">
        <v>466</v>
      </c>
      <c r="GD1" t="s">
        <v>467</v>
      </c>
      <c r="GE1" t="s">
        <v>468</v>
      </c>
      <c r="GF1" t="s">
        <v>469</v>
      </c>
      <c r="GG1" t="s">
        <v>470</v>
      </c>
      <c r="GH1" t="s">
        <v>471</v>
      </c>
      <c r="GI1" t="s">
        <v>472</v>
      </c>
      <c r="GJ1" t="s">
        <v>473</v>
      </c>
      <c r="GK1" t="s">
        <v>474</v>
      </c>
      <c r="GL1" t="s">
        <v>475</v>
      </c>
      <c r="GM1" t="s">
        <v>476</v>
      </c>
      <c r="GN1" t="s">
        <v>477</v>
      </c>
      <c r="GO1" t="s">
        <v>478</v>
      </c>
      <c r="GP1" t="s">
        <v>479</v>
      </c>
      <c r="GQ1" t="s">
        <v>480</v>
      </c>
      <c r="GR1" t="s">
        <v>481</v>
      </c>
      <c r="GS1" t="s">
        <v>482</v>
      </c>
      <c r="GT1" t="s">
        <v>483</v>
      </c>
      <c r="GU1" t="s">
        <v>484</v>
      </c>
      <c r="GV1" t="s">
        <v>485</v>
      </c>
      <c r="GW1" t="s">
        <v>486</v>
      </c>
      <c r="GX1" t="s">
        <v>487</v>
      </c>
      <c r="GY1" t="s">
        <v>488</v>
      </c>
      <c r="GZ1" t="s">
        <v>489</v>
      </c>
      <c r="HA1" t="s">
        <v>490</v>
      </c>
      <c r="HB1" t="s">
        <v>491</v>
      </c>
      <c r="HC1" t="s">
        <v>492</v>
      </c>
      <c r="HD1" t="s">
        <v>493</v>
      </c>
      <c r="HE1" t="s">
        <v>494</v>
      </c>
      <c r="HF1" t="s">
        <v>495</v>
      </c>
      <c r="HG1" t="s">
        <v>496</v>
      </c>
      <c r="HH1" t="s">
        <v>497</v>
      </c>
      <c r="HI1" t="s">
        <v>498</v>
      </c>
      <c r="HJ1" t="s">
        <v>499</v>
      </c>
      <c r="HK1" t="s">
        <v>500</v>
      </c>
      <c r="HL1" t="s">
        <v>501</v>
      </c>
      <c r="HM1" t="s">
        <v>502</v>
      </c>
      <c r="HN1" t="s">
        <v>503</v>
      </c>
      <c r="HO1" t="s">
        <v>504</v>
      </c>
      <c r="HP1" t="s">
        <v>505</v>
      </c>
      <c r="HQ1" t="s">
        <v>506</v>
      </c>
      <c r="HR1" t="s">
        <v>507</v>
      </c>
      <c r="HS1" t="s">
        <v>508</v>
      </c>
      <c r="HT1" t="s">
        <v>509</v>
      </c>
      <c r="HU1" t="s">
        <v>510</v>
      </c>
      <c r="HV1" t="s">
        <v>511</v>
      </c>
      <c r="HW1" t="s">
        <v>512</v>
      </c>
      <c r="HX1" t="s">
        <v>513</v>
      </c>
      <c r="HY1" t="s">
        <v>514</v>
      </c>
      <c r="HZ1" t="s">
        <v>515</v>
      </c>
      <c r="IA1" t="s">
        <v>516</v>
      </c>
      <c r="IB1" t="s">
        <v>517</v>
      </c>
      <c r="IC1" t="s">
        <v>518</v>
      </c>
      <c r="ID1" t="s">
        <v>519</v>
      </c>
      <c r="IE1" t="s">
        <v>520</v>
      </c>
      <c r="IF1" t="s">
        <v>521</v>
      </c>
      <c r="IG1" t="s">
        <v>522</v>
      </c>
      <c r="IH1" t="s">
        <v>523</v>
      </c>
      <c r="II1" t="s">
        <v>524</v>
      </c>
      <c r="IJ1" t="s">
        <v>525</v>
      </c>
      <c r="IK1" t="s">
        <v>526</v>
      </c>
      <c r="IL1" t="s">
        <v>527</v>
      </c>
      <c r="IM1" t="s">
        <v>528</v>
      </c>
      <c r="IN1" t="s">
        <v>529</v>
      </c>
      <c r="IO1" t="s">
        <v>530</v>
      </c>
      <c r="IP1" t="s">
        <v>531</v>
      </c>
      <c r="IQ1" t="s">
        <v>532</v>
      </c>
      <c r="IR1" t="s">
        <v>533</v>
      </c>
      <c r="IS1" t="s">
        <v>534</v>
      </c>
      <c r="IT1" t="s">
        <v>535</v>
      </c>
      <c r="IU1" t="s">
        <v>536</v>
      </c>
      <c r="IV1" t="s">
        <v>537</v>
      </c>
      <c r="IW1" t="s">
        <v>538</v>
      </c>
      <c r="IX1" t="s">
        <v>539</v>
      </c>
      <c r="IY1" t="s">
        <v>540</v>
      </c>
      <c r="IZ1" t="s">
        <v>541</v>
      </c>
      <c r="JA1" t="s">
        <v>542</v>
      </c>
      <c r="JB1" t="s">
        <v>543</v>
      </c>
      <c r="JC1" t="s">
        <v>544</v>
      </c>
      <c r="JD1" t="s">
        <v>545</v>
      </c>
      <c r="JE1" t="s">
        <v>546</v>
      </c>
      <c r="JF1" t="s">
        <v>547</v>
      </c>
      <c r="JG1" t="s">
        <v>548</v>
      </c>
      <c r="JH1" t="s">
        <v>549</v>
      </c>
      <c r="JI1" t="s">
        <v>550</v>
      </c>
      <c r="JJ1" t="s">
        <v>551</v>
      </c>
      <c r="JK1" t="s">
        <v>289</v>
      </c>
      <c r="JL1" t="s">
        <v>552</v>
      </c>
      <c r="JM1" t="s">
        <v>553</v>
      </c>
      <c r="JN1" t="s">
        <v>554</v>
      </c>
      <c r="JO1" t="s">
        <v>207</v>
      </c>
      <c r="JP1" t="s">
        <v>208</v>
      </c>
      <c r="JQ1" t="s">
        <v>209</v>
      </c>
    </row>
    <row r="2" spans="1:277">
      <c r="A2" t="s">
        <v>555</v>
      </c>
      <c r="B2" t="s">
        <v>556</v>
      </c>
      <c r="C2" t="s">
        <v>212</v>
      </c>
      <c r="D2">
        <v>3</v>
      </c>
      <c r="E2" t="s">
        <v>213</v>
      </c>
      <c r="F2" t="s">
        <v>214</v>
      </c>
      <c r="G2" t="s">
        <v>557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1.8</v>
      </c>
      <c r="R2">
        <v>0.50000000010000001</v>
      </c>
      <c r="S2">
        <v>0.50000000010000001</v>
      </c>
      <c r="T2">
        <v>0.50000000010000001</v>
      </c>
      <c r="U2">
        <v>0.40000000079999998</v>
      </c>
      <c r="V2">
        <v>0.29999999970000002</v>
      </c>
      <c r="W2">
        <v>0.29999999970000002</v>
      </c>
      <c r="X2">
        <v>0.29999999970000002</v>
      </c>
      <c r="Y2">
        <v>0.20000000039999999</v>
      </c>
      <c r="Z2">
        <v>0.20000000039999999</v>
      </c>
      <c r="AA2">
        <v>0.20000000039999999</v>
      </c>
      <c r="AB2">
        <v>0.1000000011</v>
      </c>
      <c r="AC2">
        <v>0.1000000011</v>
      </c>
      <c r="AD2">
        <v>0.1000000011</v>
      </c>
      <c r="AE2">
        <v>0.1000000011</v>
      </c>
      <c r="AF2">
        <v>0</v>
      </c>
      <c r="AG2">
        <v>0</v>
      </c>
      <c r="AH2">
        <v>0</v>
      </c>
      <c r="AI2">
        <v>3.0999999999000001</v>
      </c>
      <c r="AJ2">
        <v>9.5999999993999996</v>
      </c>
      <c r="AK2">
        <v>16.9999999998</v>
      </c>
      <c r="AL2">
        <v>24.1000000005</v>
      </c>
      <c r="AM2">
        <v>30.399999999599999</v>
      </c>
      <c r="AN2">
        <v>37.599999999700003</v>
      </c>
      <c r="AO2">
        <v>44.900000000799999</v>
      </c>
      <c r="AP2">
        <v>52.4000000005</v>
      </c>
      <c r="AQ2">
        <v>60.300000001000001</v>
      </c>
      <c r="AR2">
        <v>68.699999999799999</v>
      </c>
      <c r="AS2">
        <v>76.6000000003</v>
      </c>
      <c r="AT2">
        <v>83.700000001000006</v>
      </c>
      <c r="AU2">
        <v>91.500000000499995</v>
      </c>
      <c r="AV2">
        <v>99.400000000999995</v>
      </c>
      <c r="AW2">
        <v>108.0000000002</v>
      </c>
      <c r="AX2">
        <v>117.400000001</v>
      </c>
      <c r="AY2">
        <v>126.2999999999</v>
      </c>
      <c r="AZ2">
        <v>133.70000000030001</v>
      </c>
      <c r="BA2">
        <v>141.7999999994</v>
      </c>
      <c r="BB2">
        <v>149.80000000109999</v>
      </c>
      <c r="BC2">
        <v>158.300000001</v>
      </c>
      <c r="BD2">
        <v>167.4000000003</v>
      </c>
      <c r="BE2">
        <v>176.300000001</v>
      </c>
      <c r="BF2">
        <v>183.9</v>
      </c>
      <c r="BG2">
        <v>192.1000000002</v>
      </c>
      <c r="BH2">
        <v>200.19999999929999</v>
      </c>
      <c r="BI2">
        <v>208.30000000019999</v>
      </c>
      <c r="BJ2">
        <v>217.09999999979999</v>
      </c>
      <c r="BK2">
        <v>225.89999999950001</v>
      </c>
      <c r="BL2">
        <v>233.50000000029999</v>
      </c>
      <c r="BM2">
        <v>241.1000000011</v>
      </c>
      <c r="BN2">
        <v>249.1000000009</v>
      </c>
      <c r="BO2">
        <v>256.6999999999</v>
      </c>
      <c r="BP2">
        <v>264.99999999940002</v>
      </c>
      <c r="BQ2">
        <v>273.69999999970003</v>
      </c>
      <c r="BR2">
        <v>281.19999999940001</v>
      </c>
      <c r="BS2">
        <v>288.20000000089999</v>
      </c>
      <c r="BT2">
        <v>295.79999999990002</v>
      </c>
      <c r="BU2">
        <v>302.99999999990001</v>
      </c>
      <c r="BV2">
        <v>310.300000001</v>
      </c>
      <c r="BW2">
        <v>318.10000000039997</v>
      </c>
      <c r="BX2">
        <v>326.0000000009</v>
      </c>
      <c r="BY2">
        <v>332.7000000008</v>
      </c>
      <c r="BZ2">
        <v>338.99999999990001</v>
      </c>
      <c r="CA2">
        <v>345.9000000003</v>
      </c>
      <c r="CB2">
        <v>352.5000000009</v>
      </c>
      <c r="CC2">
        <v>358.70000000070002</v>
      </c>
      <c r="CD2">
        <v>365.7999999996</v>
      </c>
      <c r="CE2">
        <v>372.9000000003</v>
      </c>
      <c r="CF2">
        <v>379.6000000002</v>
      </c>
      <c r="CG2">
        <v>385.29999999990002</v>
      </c>
      <c r="CH2">
        <v>390.9000000003</v>
      </c>
      <c r="CI2">
        <v>397.10000000010001</v>
      </c>
      <c r="CJ2">
        <v>402.90000000100002</v>
      </c>
      <c r="CK2">
        <v>408.60000000069999</v>
      </c>
      <c r="CL2">
        <v>414.50000000080001</v>
      </c>
      <c r="CM2">
        <v>420.59999999950003</v>
      </c>
      <c r="CN2">
        <v>426.7</v>
      </c>
      <c r="CO2">
        <v>431.80000000029997</v>
      </c>
      <c r="CP2">
        <v>436.49999999980002</v>
      </c>
      <c r="CQ2">
        <v>441.30000000040002</v>
      </c>
      <c r="CR2">
        <v>443.49999999940002</v>
      </c>
      <c r="CS2">
        <v>443.60000000050002</v>
      </c>
      <c r="CT2">
        <v>443.80000000090001</v>
      </c>
      <c r="CU2">
        <v>443.80000000090001</v>
      </c>
      <c r="CV2">
        <v>443.90000000020001</v>
      </c>
      <c r="CW2">
        <v>443.90000000020001</v>
      </c>
      <c r="CX2">
        <v>443.99999999950001</v>
      </c>
      <c r="CY2">
        <v>444.10000000060001</v>
      </c>
      <c r="CZ2">
        <v>444.10000000060001</v>
      </c>
      <c r="DA2">
        <v>444.1999999999</v>
      </c>
      <c r="DB2">
        <v>444.1999999999</v>
      </c>
      <c r="DC2">
        <v>444.300000001</v>
      </c>
      <c r="DD2">
        <v>444.300000001</v>
      </c>
      <c r="DE2">
        <v>444.4000000003</v>
      </c>
      <c r="DF2">
        <v>444.4000000003</v>
      </c>
      <c r="DG2">
        <v>2.7000000008999998</v>
      </c>
      <c r="DH2">
        <v>1.5000000003</v>
      </c>
      <c r="DI2">
        <v>1.400000001</v>
      </c>
      <c r="DJ2">
        <v>1.5000000003</v>
      </c>
      <c r="DK2">
        <v>1.400000001</v>
      </c>
      <c r="DL2">
        <v>1.2999999999</v>
      </c>
      <c r="DM2">
        <v>1.2999999999</v>
      </c>
      <c r="DN2">
        <v>1.2000000006</v>
      </c>
      <c r="DO2">
        <v>1.2000000006</v>
      </c>
      <c r="DP2">
        <v>1.0000000002</v>
      </c>
      <c r="DQ2">
        <v>1.0999999995</v>
      </c>
      <c r="DR2">
        <v>1.0000000002</v>
      </c>
      <c r="DS2">
        <v>0.90000000089999999</v>
      </c>
      <c r="DT2">
        <v>0.90000000089999999</v>
      </c>
      <c r="DU2">
        <v>0.90000000089999999</v>
      </c>
      <c r="DV2">
        <v>0.79999999980000003</v>
      </c>
      <c r="DW2">
        <v>2.5999999998000001</v>
      </c>
      <c r="DX2">
        <v>9.1000000010999997</v>
      </c>
      <c r="DY2">
        <v>16.799999999400001</v>
      </c>
      <c r="DZ2">
        <v>23.699999999700001</v>
      </c>
      <c r="EA2">
        <v>30.0999999999</v>
      </c>
      <c r="EB2">
        <v>36.900000001000002</v>
      </c>
      <c r="EC2">
        <v>44.299999999599997</v>
      </c>
      <c r="ED2">
        <v>51.900000000399999</v>
      </c>
      <c r="EE2">
        <v>60.199999999900001</v>
      </c>
      <c r="EF2">
        <v>68.400000000099993</v>
      </c>
      <c r="EG2">
        <v>76.199999999499994</v>
      </c>
      <c r="EH2">
        <v>83.300000000200001</v>
      </c>
      <c r="EI2">
        <v>91.099999999600001</v>
      </c>
      <c r="EJ2">
        <v>98.900000000899993</v>
      </c>
      <c r="EK2">
        <v>107.5999999994</v>
      </c>
      <c r="EL2">
        <v>116.5999999994</v>
      </c>
      <c r="EM2">
        <v>125.2000000004</v>
      </c>
      <c r="EN2">
        <v>132.9000000005</v>
      </c>
      <c r="EO2">
        <v>140.6999999999</v>
      </c>
      <c r="EP2">
        <v>148.90000000009999</v>
      </c>
      <c r="EQ2">
        <v>157.40000000009999</v>
      </c>
      <c r="ER2">
        <v>166.80000000090001</v>
      </c>
      <c r="ES2">
        <v>175.49999999939999</v>
      </c>
      <c r="ET2">
        <v>183.19999999949999</v>
      </c>
      <c r="EU2">
        <v>191.1</v>
      </c>
      <c r="EV2">
        <v>199.20000000089999</v>
      </c>
      <c r="EW2">
        <v>207.8000000001</v>
      </c>
      <c r="EX2">
        <v>216.89999999939999</v>
      </c>
      <c r="EY2">
        <v>225.39999999939999</v>
      </c>
      <c r="EZ2">
        <v>233.0999999995</v>
      </c>
      <c r="FA2">
        <v>240.7999999996</v>
      </c>
      <c r="FB2">
        <v>248.7999999994</v>
      </c>
      <c r="FC2">
        <v>256.60000000060001</v>
      </c>
      <c r="FD2">
        <v>265.30000000090001</v>
      </c>
      <c r="FE2">
        <v>273.69999999970003</v>
      </c>
      <c r="FF2">
        <v>281.30000000059999</v>
      </c>
      <c r="FG2">
        <v>288.20000000089999</v>
      </c>
      <c r="FH2">
        <v>295.90000000100002</v>
      </c>
      <c r="FI2">
        <v>303.20000000030001</v>
      </c>
      <c r="FJ2">
        <v>310.80000000109999</v>
      </c>
      <c r="FK2">
        <v>318.80000000090001</v>
      </c>
      <c r="FL2">
        <v>326.39999999989999</v>
      </c>
      <c r="FM2">
        <v>333.20000000089999</v>
      </c>
      <c r="FN2">
        <v>339.5</v>
      </c>
      <c r="FO2">
        <v>346.60000000079998</v>
      </c>
      <c r="FP2">
        <v>353.19999999959998</v>
      </c>
      <c r="FQ2">
        <v>360.00000000059998</v>
      </c>
      <c r="FR2">
        <v>367.09999999950003</v>
      </c>
      <c r="FS2">
        <v>373.90000000049997</v>
      </c>
      <c r="FT2">
        <v>380.19999999959998</v>
      </c>
      <c r="FU2">
        <v>385.8</v>
      </c>
      <c r="FV2">
        <v>391.79999999939997</v>
      </c>
      <c r="FW2">
        <v>398.00000000099999</v>
      </c>
      <c r="FX2">
        <v>403.89999999930001</v>
      </c>
      <c r="FY2">
        <v>409.90000000060002</v>
      </c>
      <c r="FZ2">
        <v>415.80000000069998</v>
      </c>
      <c r="GA2">
        <v>421.50000000040001</v>
      </c>
      <c r="GB2">
        <v>427.20000000009998</v>
      </c>
      <c r="GC2">
        <v>432.20000000110002</v>
      </c>
      <c r="GD2">
        <v>436.79999999950002</v>
      </c>
      <c r="GE2">
        <v>441.50000000080001</v>
      </c>
      <c r="GF2">
        <v>443.80000000090001</v>
      </c>
      <c r="GG2">
        <v>443.90000000020001</v>
      </c>
      <c r="GH2">
        <v>443.90000000020001</v>
      </c>
      <c r="GI2">
        <v>443.90000000020001</v>
      </c>
      <c r="GJ2">
        <v>443.99999999950001</v>
      </c>
      <c r="GK2">
        <v>444.10000000060001</v>
      </c>
      <c r="GL2">
        <v>444.10000000060001</v>
      </c>
      <c r="GM2">
        <v>444.10000000060001</v>
      </c>
      <c r="GN2">
        <v>444.1999999999</v>
      </c>
      <c r="GO2">
        <v>444.10000000060001</v>
      </c>
      <c r="GP2">
        <v>444.1999999999</v>
      </c>
      <c r="GQ2">
        <v>444.1999999999</v>
      </c>
      <c r="GR2">
        <v>444.300000001</v>
      </c>
      <c r="GS2">
        <v>444.1999999999</v>
      </c>
      <c r="GT2">
        <v>444.4000000003</v>
      </c>
      <c r="GU2">
        <v>444.300000001</v>
      </c>
      <c r="GV2">
        <v>444.4000000003</v>
      </c>
      <c r="GW2">
        <v>1</v>
      </c>
      <c r="GX2">
        <v>114.49999999969999</v>
      </c>
      <c r="GY2">
        <v>108.0000000002</v>
      </c>
      <c r="GZ2">
        <v>108.0000000002</v>
      </c>
      <c r="HA2">
        <v>125.2000000004</v>
      </c>
      <c r="HB2">
        <v>112.5128712874</v>
      </c>
      <c r="HC2">
        <v>-17.200000000199999</v>
      </c>
      <c r="HD2">
        <v>444.4000000003</v>
      </c>
      <c r="HE2">
        <v>296.2090909094</v>
      </c>
      <c r="HF2">
        <v>94.818665616999994</v>
      </c>
      <c r="HG2">
        <v>444.4000000003</v>
      </c>
      <c r="HH2">
        <v>444.4000000003</v>
      </c>
      <c r="HI2">
        <v>444.4000000003</v>
      </c>
      <c r="HJ2">
        <v>444.4000000003</v>
      </c>
      <c r="HK2">
        <v>105.57184750730001</v>
      </c>
      <c r="HL2">
        <v>3.4434678495000002</v>
      </c>
      <c r="HM2">
        <v>3.3162263747999998</v>
      </c>
      <c r="HN2">
        <v>3.3311805253000002</v>
      </c>
      <c r="HO2">
        <v>3.1917882644</v>
      </c>
      <c r="HP2">
        <v>3.6134808555000002</v>
      </c>
      <c r="HQ2">
        <v>2.3308557591999999</v>
      </c>
      <c r="HR2">
        <v>17.694205670399999</v>
      </c>
      <c r="HS2">
        <v>-28.152492668600001</v>
      </c>
      <c r="HT2">
        <v>-192</v>
      </c>
      <c r="HU2">
        <v>408.72196219670002</v>
      </c>
      <c r="HV2">
        <v>89.149560117299998</v>
      </c>
      <c r="HW2">
        <v>608</v>
      </c>
      <c r="HX2">
        <v>17.694205670399999</v>
      </c>
      <c r="HY2">
        <v>-28.152492668600001</v>
      </c>
      <c r="HZ2">
        <v>-192</v>
      </c>
      <c r="IA2">
        <v>408.72196219670002</v>
      </c>
      <c r="IB2">
        <v>89.149560117299998</v>
      </c>
      <c r="IC2">
        <v>608</v>
      </c>
      <c r="ID2">
        <v>35.678037803599999</v>
      </c>
      <c r="IE2">
        <v>7.6057605999999998E-3</v>
      </c>
      <c r="IF2">
        <v>-37.536656891500002</v>
      </c>
      <c r="IG2">
        <v>-256</v>
      </c>
      <c r="IH2">
        <v>431.73015301629999</v>
      </c>
      <c r="II2">
        <v>98.533724340199996</v>
      </c>
      <c r="IJ2">
        <v>672</v>
      </c>
      <c r="IK2">
        <v>391.02775652629998</v>
      </c>
      <c r="IL2">
        <v>117.3020527859</v>
      </c>
      <c r="IM2">
        <v>417.24129162970002</v>
      </c>
      <c r="IN2">
        <v>126.6862170088</v>
      </c>
      <c r="IO2">
        <v>7.6999999983</v>
      </c>
      <c r="IP2">
        <v>6.1000000004999997</v>
      </c>
      <c r="IQ2">
        <v>9.4000000008000004</v>
      </c>
      <c r="IR2">
        <v>5.4406973453000003</v>
      </c>
      <c r="IS2">
        <v>5.4406973453000003</v>
      </c>
      <c r="IT2">
        <v>14.1000000003</v>
      </c>
      <c r="IU2">
        <v>-30.4985337243</v>
      </c>
      <c r="IV2">
        <v>17.200000000199999</v>
      </c>
      <c r="IW2">
        <v>0</v>
      </c>
      <c r="IX2">
        <v>12.699999999299999</v>
      </c>
      <c r="IY2">
        <v>96.187683284499997</v>
      </c>
      <c r="IZ2">
        <v>-33.648047894999998</v>
      </c>
      <c r="JA2">
        <v>0.3305926126</v>
      </c>
      <c r="JB2">
        <v>-3.6057180000000002E-4</v>
      </c>
      <c r="JC2">
        <v>7.0080000000000003E-7</v>
      </c>
      <c r="JD2">
        <v>0.29040491839999999</v>
      </c>
      <c r="JE2">
        <v>0.25328427409999998</v>
      </c>
      <c r="JF2">
        <v>0.11027173010000001</v>
      </c>
      <c r="JG2">
        <v>113.0537989962</v>
      </c>
      <c r="JH2">
        <v>3.6134808555000002</v>
      </c>
      <c r="JI2">
        <v>3.9654905999999997E-3</v>
      </c>
      <c r="JJ2">
        <v>-8.3448999999999993E-5</v>
      </c>
      <c r="JK2">
        <v>3.4434678495000002</v>
      </c>
      <c r="JL2">
        <v>1.3640339474000001</v>
      </c>
      <c r="JM2">
        <v>0.54785754740000003</v>
      </c>
      <c r="JN2" t="s">
        <v>558</v>
      </c>
      <c r="JQ2">
        <v>1</v>
      </c>
    </row>
    <row r="3" spans="1:277">
      <c r="A3" t="s">
        <v>559</v>
      </c>
      <c r="B3" t="s">
        <v>560</v>
      </c>
      <c r="C3" t="s">
        <v>212</v>
      </c>
      <c r="D3">
        <v>3</v>
      </c>
      <c r="E3" t="s">
        <v>213</v>
      </c>
      <c r="F3" t="s">
        <v>214</v>
      </c>
      <c r="G3" t="s">
        <v>557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2.9999999987999999</v>
      </c>
      <c r="R3">
        <v>3.3000000002999998</v>
      </c>
      <c r="S3">
        <v>3.3000000002999998</v>
      </c>
      <c r="T3">
        <v>3.3000000002999998</v>
      </c>
      <c r="U3">
        <v>3.3000000002999998</v>
      </c>
      <c r="V3">
        <v>3.3000000002999998</v>
      </c>
      <c r="W3">
        <v>3.3000000002999998</v>
      </c>
      <c r="X3">
        <v>3.3000000002999998</v>
      </c>
      <c r="Y3">
        <v>3.3999999995999999</v>
      </c>
      <c r="Z3">
        <v>3.3000000002999998</v>
      </c>
      <c r="AA3">
        <v>3.3000000002999998</v>
      </c>
      <c r="AB3">
        <v>2.8000000001999998</v>
      </c>
      <c r="AC3">
        <v>1.8999999993000001</v>
      </c>
      <c r="AD3">
        <v>1.2999999999</v>
      </c>
      <c r="AE3">
        <v>0.89999999909999995</v>
      </c>
      <c r="AF3">
        <v>0.50000000010000001</v>
      </c>
      <c r="AG3">
        <v>0</v>
      </c>
      <c r="AH3">
        <v>9.9999999300000003E-2</v>
      </c>
      <c r="AI3">
        <v>2.6999999991000001</v>
      </c>
      <c r="AJ3">
        <v>8.2999999995000007</v>
      </c>
      <c r="AK3">
        <v>15.1000000005</v>
      </c>
      <c r="AL3">
        <v>22.299999998699999</v>
      </c>
      <c r="AM3">
        <v>29.0999999997</v>
      </c>
      <c r="AN3">
        <v>35.8999999989</v>
      </c>
      <c r="AO3">
        <v>42.799999999299999</v>
      </c>
      <c r="AP3">
        <v>50.199999999699997</v>
      </c>
      <c r="AQ3">
        <v>57.899999999800002</v>
      </c>
      <c r="AR3">
        <v>65.699999999200003</v>
      </c>
      <c r="AS3">
        <v>73.800000000099999</v>
      </c>
      <c r="AT3">
        <v>81.399999999100004</v>
      </c>
      <c r="AU3">
        <v>88.599999999100007</v>
      </c>
      <c r="AV3">
        <v>96.299999999199997</v>
      </c>
      <c r="AW3">
        <v>104.49999999950001</v>
      </c>
      <c r="AX3">
        <v>112.9999999994</v>
      </c>
      <c r="AY3">
        <v>121.6999999997</v>
      </c>
      <c r="AZ3">
        <v>129.89999999989999</v>
      </c>
      <c r="BA3">
        <v>137.3999999996</v>
      </c>
      <c r="BB3">
        <v>145.0999999997</v>
      </c>
      <c r="BC3">
        <v>153.2999999999</v>
      </c>
      <c r="BD3">
        <v>161.5999999995</v>
      </c>
      <c r="BE3">
        <v>169.89999999899999</v>
      </c>
      <c r="BF3">
        <v>178.2999999996</v>
      </c>
      <c r="BG3">
        <v>186.2000000001</v>
      </c>
      <c r="BH3">
        <v>193.90000000020001</v>
      </c>
      <c r="BI3">
        <v>201.69999999960001</v>
      </c>
      <c r="BJ3">
        <v>209.69999999940001</v>
      </c>
      <c r="BK3">
        <v>217.8999999996</v>
      </c>
      <c r="BL3">
        <v>226.09999999990001</v>
      </c>
      <c r="BM3">
        <v>233.89999999930001</v>
      </c>
      <c r="BN3">
        <v>241.0999999993</v>
      </c>
      <c r="BO3">
        <v>248.7000000001</v>
      </c>
      <c r="BP3">
        <v>256.40000000020001</v>
      </c>
      <c r="BQ3">
        <v>264.10000000029999</v>
      </c>
      <c r="BR3">
        <v>271.80000000040002</v>
      </c>
      <c r="BS3">
        <v>279.69999999909999</v>
      </c>
      <c r="BT3">
        <v>286.79999999990002</v>
      </c>
      <c r="BU3">
        <v>293.59999999910002</v>
      </c>
      <c r="BV3">
        <v>300.49999999940002</v>
      </c>
      <c r="BW3">
        <v>307.69999999940001</v>
      </c>
      <c r="BX3">
        <v>314.8000000001</v>
      </c>
      <c r="BY3">
        <v>321.79999999969999</v>
      </c>
      <c r="BZ3">
        <v>328.90000000039998</v>
      </c>
      <c r="CA3">
        <v>335.60000000029999</v>
      </c>
      <c r="CB3">
        <v>341.89999999939999</v>
      </c>
      <c r="CC3">
        <v>348.2000000004</v>
      </c>
      <c r="CD3">
        <v>354.49999999950001</v>
      </c>
      <c r="CE3">
        <v>360.89999999970001</v>
      </c>
      <c r="CF3">
        <v>367.19999999880002</v>
      </c>
      <c r="CG3">
        <v>373.40000000039998</v>
      </c>
      <c r="CH3">
        <v>379.6000000002</v>
      </c>
      <c r="CI3">
        <v>385.69999999890001</v>
      </c>
      <c r="CJ3">
        <v>391.2</v>
      </c>
      <c r="CK3">
        <v>396.80000000040002</v>
      </c>
      <c r="CL3">
        <v>402.2000000004</v>
      </c>
      <c r="CM3">
        <v>407.69999999970003</v>
      </c>
      <c r="CN3">
        <v>413.19999999909999</v>
      </c>
      <c r="CO3">
        <v>418.59999999910002</v>
      </c>
      <c r="CP3">
        <v>423.9999999991</v>
      </c>
      <c r="CQ3">
        <v>429.50000000019998</v>
      </c>
      <c r="CR3">
        <v>434.79999999910001</v>
      </c>
      <c r="CS3">
        <v>439.5999999997</v>
      </c>
      <c r="CT3">
        <v>444.2999999992</v>
      </c>
      <c r="CU3">
        <v>448.5999999997</v>
      </c>
      <c r="CV3">
        <v>452.29999999900002</v>
      </c>
      <c r="CW3">
        <v>454.89999999880001</v>
      </c>
      <c r="CX3">
        <v>455.5999999993</v>
      </c>
      <c r="CY3">
        <v>455.5999999993</v>
      </c>
      <c r="CZ3">
        <v>455.7000000004</v>
      </c>
      <c r="DA3">
        <v>455.7000000004</v>
      </c>
      <c r="DB3">
        <v>455.7000000004</v>
      </c>
      <c r="DC3">
        <v>455.7000000004</v>
      </c>
      <c r="DD3">
        <v>455.7000000004</v>
      </c>
      <c r="DE3">
        <v>455.79999999969999</v>
      </c>
      <c r="DF3">
        <v>455.7000000004</v>
      </c>
      <c r="DG3">
        <v>3.8000000003999999</v>
      </c>
      <c r="DH3">
        <v>4.3000000004999999</v>
      </c>
      <c r="DI3">
        <v>4.3000000004999999</v>
      </c>
      <c r="DJ3">
        <v>4.3999999998000003</v>
      </c>
      <c r="DK3">
        <v>4.3000000004999999</v>
      </c>
      <c r="DL3">
        <v>4.3999999998000003</v>
      </c>
      <c r="DM3">
        <v>4.3000000004999999</v>
      </c>
      <c r="DN3">
        <v>4.3000000004999999</v>
      </c>
      <c r="DO3">
        <v>4.3000000004999999</v>
      </c>
      <c r="DP3">
        <v>4.1999999994000001</v>
      </c>
      <c r="DQ3">
        <v>3.4999999988999999</v>
      </c>
      <c r="DR3">
        <v>2.5000000005</v>
      </c>
      <c r="DS3">
        <v>2.0000000004</v>
      </c>
      <c r="DT3">
        <v>1.5000000003</v>
      </c>
      <c r="DU3">
        <v>1.0999999995</v>
      </c>
      <c r="DV3">
        <v>0.7000000005</v>
      </c>
      <c r="DW3">
        <v>2.0999999997000001</v>
      </c>
      <c r="DX3">
        <v>7.4000000004000004</v>
      </c>
      <c r="DY3">
        <v>14.299999998900001</v>
      </c>
      <c r="DZ3">
        <v>21.6</v>
      </c>
      <c r="EA3">
        <v>28.500000000299998</v>
      </c>
      <c r="EB3">
        <v>35.200000000300001</v>
      </c>
      <c r="EC3">
        <v>42.099999998800001</v>
      </c>
      <c r="ED3">
        <v>49.6000000003</v>
      </c>
      <c r="EE3">
        <v>57.199999999299997</v>
      </c>
      <c r="EF3">
        <v>64.899999999399995</v>
      </c>
      <c r="EG3">
        <v>72.899999999200006</v>
      </c>
      <c r="EH3">
        <v>80.5</v>
      </c>
      <c r="EI3">
        <v>87.7</v>
      </c>
      <c r="EJ3">
        <v>95.199999999699997</v>
      </c>
      <c r="EK3">
        <v>103.1999999996</v>
      </c>
      <c r="EL3">
        <v>111.6000000002</v>
      </c>
      <c r="EM3">
        <v>120.30000000050001</v>
      </c>
      <c r="EN3">
        <v>128.69999999929999</v>
      </c>
      <c r="EO3">
        <v>136.3000000001</v>
      </c>
      <c r="EP3">
        <v>143.8999999991</v>
      </c>
      <c r="EQ3">
        <v>151.8999999989</v>
      </c>
      <c r="ER3">
        <v>160.2999999996</v>
      </c>
      <c r="ES3">
        <v>168.70000000019999</v>
      </c>
      <c r="ET3">
        <v>177.2000000001</v>
      </c>
      <c r="EU3">
        <v>185.0999999988</v>
      </c>
      <c r="EV3">
        <v>192.9</v>
      </c>
      <c r="EW3">
        <v>200.8999999998</v>
      </c>
      <c r="EX3">
        <v>208.99999999889999</v>
      </c>
      <c r="EY3">
        <v>217.09999999979999</v>
      </c>
      <c r="EZ3">
        <v>225.50000000049999</v>
      </c>
      <c r="FA3">
        <v>233.50000000029999</v>
      </c>
      <c r="FB3">
        <v>240.8999999989</v>
      </c>
      <c r="FC3">
        <v>248.49999999970001</v>
      </c>
      <c r="FD3">
        <v>256.29999999910001</v>
      </c>
      <c r="FE3">
        <v>264.19999999959998</v>
      </c>
      <c r="FF3">
        <v>271.99999999900001</v>
      </c>
      <c r="FG3">
        <v>279.89999999949998</v>
      </c>
      <c r="FH3">
        <v>287.19999999880002</v>
      </c>
      <c r="FI3">
        <v>294.20000000030001</v>
      </c>
      <c r="FJ3">
        <v>301.2999999992</v>
      </c>
      <c r="FK3">
        <v>308.39999999989999</v>
      </c>
      <c r="FL3">
        <v>315.69999999919997</v>
      </c>
      <c r="FM3">
        <v>322.89999999920002</v>
      </c>
      <c r="FN3">
        <v>330.09999999920001</v>
      </c>
      <c r="FO3">
        <v>336.90000000020001</v>
      </c>
      <c r="FP3">
        <v>343.19999999930002</v>
      </c>
      <c r="FQ3">
        <v>349.69999999880002</v>
      </c>
      <c r="FR3">
        <v>356.09999999910002</v>
      </c>
      <c r="FS3">
        <v>362.60000000039997</v>
      </c>
      <c r="FT3">
        <v>368.89999999949998</v>
      </c>
      <c r="FU3">
        <v>375.39999999899999</v>
      </c>
      <c r="FV3">
        <v>381.6999999999</v>
      </c>
      <c r="FW3">
        <v>387.6</v>
      </c>
      <c r="FX3">
        <v>393.0999999993</v>
      </c>
      <c r="FY3">
        <v>398.79999999900002</v>
      </c>
      <c r="FZ3">
        <v>404.3000000001</v>
      </c>
      <c r="GA3">
        <v>409.79999999939997</v>
      </c>
      <c r="GB3">
        <v>415.19999999949999</v>
      </c>
      <c r="GC3">
        <v>420.59999999950003</v>
      </c>
      <c r="GD3">
        <v>425.99999999950001</v>
      </c>
      <c r="GE3">
        <v>431.30000000019999</v>
      </c>
      <c r="GF3">
        <v>436.20000000009998</v>
      </c>
      <c r="GG3">
        <v>440.89999999960003</v>
      </c>
      <c r="GH3">
        <v>444.99999999969998</v>
      </c>
      <c r="GI3">
        <v>448.8000000001</v>
      </c>
      <c r="GJ3">
        <v>452.10000000039997</v>
      </c>
      <c r="GK3">
        <v>454.59999999910002</v>
      </c>
      <c r="GL3">
        <v>455.5</v>
      </c>
      <c r="GM3">
        <v>455.5</v>
      </c>
      <c r="GN3">
        <v>455.5</v>
      </c>
      <c r="GO3">
        <v>455.5</v>
      </c>
      <c r="GP3">
        <v>455.5</v>
      </c>
      <c r="GQ3">
        <v>455.5</v>
      </c>
      <c r="GR3">
        <v>455.5999999993</v>
      </c>
      <c r="GS3">
        <v>455.5999999993</v>
      </c>
      <c r="GT3">
        <v>455.7000000004</v>
      </c>
      <c r="GU3">
        <v>455.7000000004</v>
      </c>
      <c r="GV3">
        <v>455.7000000004</v>
      </c>
      <c r="GW3">
        <v>1</v>
      </c>
      <c r="GX3">
        <v>108.2000000006</v>
      </c>
      <c r="GY3">
        <v>104.49999999950001</v>
      </c>
      <c r="GZ3">
        <v>104.49999999950001</v>
      </c>
      <c r="HA3">
        <v>120.30000000050001</v>
      </c>
      <c r="HB3">
        <v>108.3966977507</v>
      </c>
      <c r="HC3">
        <v>-15.800000001000001</v>
      </c>
      <c r="HD3">
        <v>455.7000000004</v>
      </c>
      <c r="HE3">
        <v>305.46122874370002</v>
      </c>
      <c r="HF3">
        <v>92.655732308599994</v>
      </c>
      <c r="HG3">
        <v>455.79999999969999</v>
      </c>
      <c r="HH3">
        <v>455.7000000004</v>
      </c>
      <c r="HI3">
        <v>455.79999999969999</v>
      </c>
      <c r="HJ3">
        <v>455.7000000004</v>
      </c>
      <c r="HK3">
        <v>119.6480938416</v>
      </c>
      <c r="HL3">
        <v>3.3056622149999999</v>
      </c>
      <c r="HM3">
        <v>3.1815935149999999</v>
      </c>
      <c r="HN3">
        <v>3.2230896824999999</v>
      </c>
      <c r="HO3">
        <v>3.1552520553000001</v>
      </c>
      <c r="HP3">
        <v>3.5000434101</v>
      </c>
      <c r="HQ3">
        <v>2.1726486533</v>
      </c>
      <c r="HR3">
        <v>15.7409654421</v>
      </c>
      <c r="HS3">
        <v>-28.152492668600001</v>
      </c>
      <c r="HT3">
        <v>-192</v>
      </c>
      <c r="HU3">
        <v>413.85792649429999</v>
      </c>
      <c r="HV3">
        <v>96.187683284499997</v>
      </c>
      <c r="HW3">
        <v>656</v>
      </c>
      <c r="HX3">
        <v>15.7409654421</v>
      </c>
      <c r="HY3">
        <v>-28.152492668600001</v>
      </c>
      <c r="HZ3">
        <v>-192</v>
      </c>
      <c r="IA3">
        <v>413.85792649429999</v>
      </c>
      <c r="IB3">
        <v>96.187683284499997</v>
      </c>
      <c r="IC3">
        <v>656</v>
      </c>
      <c r="ID3">
        <v>41.8420735061</v>
      </c>
      <c r="IE3">
        <v>4.8381787999999997E-3</v>
      </c>
      <c r="IF3">
        <v>-37.536656891500002</v>
      </c>
      <c r="IG3">
        <v>-256</v>
      </c>
      <c r="IH3">
        <v>435.51337356009998</v>
      </c>
      <c r="II3">
        <v>105.57184750730001</v>
      </c>
      <c r="IJ3">
        <v>720</v>
      </c>
      <c r="IK3">
        <v>398.1169610522</v>
      </c>
      <c r="IL3">
        <v>124.3401759531</v>
      </c>
      <c r="IM3">
        <v>422.06835984679998</v>
      </c>
      <c r="IN3">
        <v>133.724340176</v>
      </c>
      <c r="IO3">
        <v>6.8999999985000002</v>
      </c>
      <c r="IP3">
        <v>5.5000000011000001</v>
      </c>
      <c r="IQ3">
        <v>8.7000000002999993</v>
      </c>
      <c r="IR3">
        <v>6.2531817806000003</v>
      </c>
      <c r="IS3">
        <v>6.2531817806000003</v>
      </c>
      <c r="IT3">
        <v>13.300000000500001</v>
      </c>
      <c r="IU3">
        <v>-30.4985337243</v>
      </c>
      <c r="IV3">
        <v>15.800000001000001</v>
      </c>
      <c r="IW3">
        <v>0</v>
      </c>
      <c r="IX3">
        <v>12.700000001099999</v>
      </c>
      <c r="IY3">
        <v>103.22580645159999</v>
      </c>
      <c r="IZ3">
        <v>-33.257393495599999</v>
      </c>
      <c r="JA3">
        <v>0.33668302839999997</v>
      </c>
      <c r="JB3">
        <v>-3.5467540000000002E-4</v>
      </c>
      <c r="JC3">
        <v>7.1409999999999997E-7</v>
      </c>
      <c r="JD3">
        <v>0.30251124740000002</v>
      </c>
      <c r="JE3">
        <v>0.23416525260000001</v>
      </c>
      <c r="JF3">
        <v>0.1046361812</v>
      </c>
      <c r="JG3">
        <v>109.0478931817</v>
      </c>
      <c r="JH3">
        <v>3.5000434101</v>
      </c>
      <c r="JI3">
        <v>3.1748842999999999E-3</v>
      </c>
      <c r="JJ3">
        <v>-6.9828100000000003E-5</v>
      </c>
      <c r="JK3">
        <v>3.3056622149999999</v>
      </c>
      <c r="JL3">
        <v>1.1536748966999999</v>
      </c>
      <c r="JM3">
        <v>0.50670893459999999</v>
      </c>
      <c r="JN3" t="s">
        <v>558</v>
      </c>
      <c r="JQ3">
        <v>1</v>
      </c>
    </row>
    <row r="4" spans="1:277">
      <c r="A4" t="s">
        <v>561</v>
      </c>
      <c r="B4" t="s">
        <v>562</v>
      </c>
      <c r="C4" t="s">
        <v>212</v>
      </c>
      <c r="D4">
        <v>3</v>
      </c>
      <c r="E4" t="s">
        <v>213</v>
      </c>
      <c r="F4" t="s">
        <v>214</v>
      </c>
      <c r="G4" t="s">
        <v>557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1.2999999999</v>
      </c>
      <c r="R4">
        <v>0.20000000039999999</v>
      </c>
      <c r="S4">
        <v>0.20000000039999999</v>
      </c>
      <c r="T4">
        <v>9.9999999300000003E-2</v>
      </c>
      <c r="U4">
        <v>0.20000000039999999</v>
      </c>
      <c r="V4">
        <v>9.9999999300000003E-2</v>
      </c>
      <c r="W4">
        <v>9.9999999300000003E-2</v>
      </c>
      <c r="X4">
        <v>9.9999999300000003E-2</v>
      </c>
      <c r="Y4">
        <v>0</v>
      </c>
      <c r="Z4">
        <v>0</v>
      </c>
      <c r="AA4">
        <v>9.9999999300000003E-2</v>
      </c>
      <c r="AB4">
        <v>0</v>
      </c>
      <c r="AC4">
        <v>0</v>
      </c>
      <c r="AD4">
        <v>9.9999999300000003E-2</v>
      </c>
      <c r="AE4">
        <v>9.9999999300000003E-2</v>
      </c>
      <c r="AF4">
        <v>9.9999999300000003E-2</v>
      </c>
      <c r="AG4">
        <v>0.20000000039999999</v>
      </c>
      <c r="AH4">
        <v>0.20000000039999999</v>
      </c>
      <c r="AI4">
        <v>2.3000000000999998</v>
      </c>
      <c r="AJ4">
        <v>7.7999999993999998</v>
      </c>
      <c r="AK4">
        <v>15.299999999100001</v>
      </c>
      <c r="AL4">
        <v>22.600000000200001</v>
      </c>
      <c r="AM4">
        <v>29.0999999997</v>
      </c>
      <c r="AN4">
        <v>36.099999999399998</v>
      </c>
      <c r="AO4">
        <v>43.100000000800001</v>
      </c>
      <c r="AP4">
        <v>50.900000000200002</v>
      </c>
      <c r="AQ4">
        <v>58.699999999600003</v>
      </c>
      <c r="AR4">
        <v>67.100000000199998</v>
      </c>
      <c r="AS4">
        <v>75.199999999300005</v>
      </c>
      <c r="AT4">
        <v>82.500000000399993</v>
      </c>
      <c r="AU4">
        <v>90.099999999399998</v>
      </c>
      <c r="AV4">
        <v>98</v>
      </c>
      <c r="AW4">
        <v>106.4999999999</v>
      </c>
      <c r="AX4">
        <v>115.59999999919999</v>
      </c>
      <c r="AY4">
        <v>124.4999999999</v>
      </c>
      <c r="AZ4">
        <v>132.19999999999999</v>
      </c>
      <c r="BA4">
        <v>139.99999999939999</v>
      </c>
      <c r="BB4">
        <v>147.89999999989999</v>
      </c>
      <c r="BC4">
        <v>156.4999999991</v>
      </c>
      <c r="BD4">
        <v>165.30000000059999</v>
      </c>
      <c r="BE4">
        <v>174.30000000059999</v>
      </c>
      <c r="BF4">
        <v>182.1</v>
      </c>
      <c r="BG4">
        <v>190.09999999979999</v>
      </c>
      <c r="BH4">
        <v>197.89999999919999</v>
      </c>
      <c r="BI4">
        <v>206.20000000050001</v>
      </c>
      <c r="BJ4">
        <v>214.40000000079999</v>
      </c>
      <c r="BK4">
        <v>223.29999999969999</v>
      </c>
      <c r="BL4">
        <v>231.29999999949999</v>
      </c>
      <c r="BM4">
        <v>238.99999999959999</v>
      </c>
      <c r="BN4">
        <v>246.4999999993</v>
      </c>
      <c r="BO4">
        <v>254.10000000010001</v>
      </c>
      <c r="BP4">
        <v>262.09999999989998</v>
      </c>
      <c r="BQ4">
        <v>270.3000000001</v>
      </c>
      <c r="BR4">
        <v>278.39999999920002</v>
      </c>
      <c r="BS4">
        <v>285.5</v>
      </c>
      <c r="BT4">
        <v>292.79999999929998</v>
      </c>
      <c r="BU4">
        <v>299.49999999919999</v>
      </c>
      <c r="BV4">
        <v>306.80000000029997</v>
      </c>
      <c r="BW4">
        <v>314.20000000070002</v>
      </c>
      <c r="BX4">
        <v>321.79999999969999</v>
      </c>
      <c r="BY4">
        <v>329.20000000009998</v>
      </c>
      <c r="BZ4">
        <v>335.60000000029999</v>
      </c>
      <c r="CA4">
        <v>342.19999999909999</v>
      </c>
      <c r="CB4">
        <v>348.40000000079999</v>
      </c>
      <c r="CC4">
        <v>354.60000000060001</v>
      </c>
      <c r="CD4">
        <v>361.10000000010001</v>
      </c>
      <c r="CE4">
        <v>367.8</v>
      </c>
      <c r="CF4">
        <v>374.59999999920001</v>
      </c>
      <c r="CG4">
        <v>380.90000000010002</v>
      </c>
      <c r="CH4">
        <v>386.39999999939999</v>
      </c>
      <c r="CI4">
        <v>392.09999999910002</v>
      </c>
      <c r="CJ4">
        <v>397.69999999949999</v>
      </c>
      <c r="CK4">
        <v>403.09999999950003</v>
      </c>
      <c r="CL4">
        <v>408.90000000039998</v>
      </c>
      <c r="CM4">
        <v>414.60000000010001</v>
      </c>
      <c r="CN4">
        <v>420.29999999979998</v>
      </c>
      <c r="CO4">
        <v>426.4000000003</v>
      </c>
      <c r="CP4">
        <v>431.69999999919997</v>
      </c>
      <c r="CQ4">
        <v>436.60000000090002</v>
      </c>
      <c r="CR4">
        <v>441.19999999930002</v>
      </c>
      <c r="CS4">
        <v>444.99999999969998</v>
      </c>
      <c r="CT4">
        <v>448.3</v>
      </c>
      <c r="CU4">
        <v>451.49999999919999</v>
      </c>
      <c r="CV4">
        <v>454.99999999990001</v>
      </c>
      <c r="CW4">
        <v>457.20000000070002</v>
      </c>
      <c r="CX4">
        <v>457.39999999930001</v>
      </c>
      <c r="CY4">
        <v>457.39999999930001</v>
      </c>
      <c r="CZ4">
        <v>457.50000000040001</v>
      </c>
      <c r="DA4">
        <v>457.50000000040001</v>
      </c>
      <c r="DB4">
        <v>457.50000000040001</v>
      </c>
      <c r="DC4">
        <v>457.5999999997</v>
      </c>
      <c r="DD4">
        <v>457.5999999997</v>
      </c>
      <c r="DE4">
        <v>457.50000000040001</v>
      </c>
      <c r="DF4">
        <v>457.50000000040001</v>
      </c>
      <c r="DG4">
        <v>2.2000000007999998</v>
      </c>
      <c r="DH4">
        <v>1.0999999995</v>
      </c>
      <c r="DI4">
        <v>1.0999999995</v>
      </c>
      <c r="DJ4">
        <v>1.2000000006</v>
      </c>
      <c r="DK4">
        <v>1.2000000006</v>
      </c>
      <c r="DL4">
        <v>1.2000000006</v>
      </c>
      <c r="DM4">
        <v>1.0999999995</v>
      </c>
      <c r="DN4">
        <v>1.0999999995</v>
      </c>
      <c r="DO4">
        <v>1.0999999995</v>
      </c>
      <c r="DP4">
        <v>1.0999999995</v>
      </c>
      <c r="DQ4">
        <v>1.0999999995</v>
      </c>
      <c r="DR4">
        <v>1.0999999995</v>
      </c>
      <c r="DS4">
        <v>1.0000000002</v>
      </c>
      <c r="DT4">
        <v>1.0000000002</v>
      </c>
      <c r="DU4">
        <v>1.0999999995</v>
      </c>
      <c r="DV4">
        <v>1.0999999995</v>
      </c>
      <c r="DW4">
        <v>2.0999999997000001</v>
      </c>
      <c r="DX4">
        <v>7.1000000006999997</v>
      </c>
      <c r="DY4">
        <v>15.299999999100001</v>
      </c>
      <c r="DZ4">
        <v>22.300000000499999</v>
      </c>
      <c r="EA4">
        <v>28.8999999993</v>
      </c>
      <c r="EB4">
        <v>35.599999999200001</v>
      </c>
      <c r="EC4">
        <v>42.799999999299999</v>
      </c>
      <c r="ED4">
        <v>50.600000000500003</v>
      </c>
      <c r="EE4">
        <v>58.800000000700003</v>
      </c>
      <c r="EF4">
        <v>67.100000000199998</v>
      </c>
      <c r="EG4">
        <v>74.699999999200003</v>
      </c>
      <c r="EH4">
        <v>82.000000000300005</v>
      </c>
      <c r="EI4">
        <v>89.299999999600004</v>
      </c>
      <c r="EJ4">
        <v>97.200000000200006</v>
      </c>
      <c r="EK4">
        <v>105.60000000079999</v>
      </c>
      <c r="EL4">
        <v>114.7000000001</v>
      </c>
      <c r="EM4">
        <v>123.4000000004</v>
      </c>
      <c r="EN4">
        <v>131.40000000020001</v>
      </c>
      <c r="EO4">
        <v>139.10000000030001</v>
      </c>
      <c r="EP4">
        <v>147.10000000010001</v>
      </c>
      <c r="EQ4">
        <v>155.69999999929999</v>
      </c>
      <c r="ER4">
        <v>165.0000000009</v>
      </c>
      <c r="ES4">
        <v>173.69999999940001</v>
      </c>
      <c r="ET4">
        <v>181.59999999990001</v>
      </c>
      <c r="EU4">
        <v>189.20000000069999</v>
      </c>
      <c r="EV4">
        <v>197.20000000050001</v>
      </c>
      <c r="EW4">
        <v>205.7000000004</v>
      </c>
      <c r="EX4">
        <v>214.5</v>
      </c>
      <c r="EY4">
        <v>223.29999999969999</v>
      </c>
      <c r="EZ4">
        <v>231.20000000019999</v>
      </c>
      <c r="FA4">
        <v>238.60000000060001</v>
      </c>
      <c r="FB4">
        <v>246.30000000070001</v>
      </c>
      <c r="FC4">
        <v>254.3999999998</v>
      </c>
      <c r="FD4">
        <v>263.00000000080001</v>
      </c>
      <c r="FE4">
        <v>271.50000000070003</v>
      </c>
      <c r="FF4">
        <v>279.20000000089999</v>
      </c>
      <c r="FG4">
        <v>286.20000000049998</v>
      </c>
      <c r="FH4">
        <v>293.20000000009998</v>
      </c>
      <c r="FI4">
        <v>300.49999999940002</v>
      </c>
      <c r="FJ4">
        <v>308.0000000009</v>
      </c>
      <c r="FK4">
        <v>315.80000000029997</v>
      </c>
      <c r="FL4">
        <v>323.5999999997</v>
      </c>
      <c r="FM4">
        <v>330.7000000004</v>
      </c>
      <c r="FN4">
        <v>337.10000000060001</v>
      </c>
      <c r="FO4">
        <v>343.39999999970001</v>
      </c>
      <c r="FP4">
        <v>349.89999999930001</v>
      </c>
      <c r="FQ4">
        <v>356.70000000030001</v>
      </c>
      <c r="FR4">
        <v>363.49999999950001</v>
      </c>
      <c r="FS4">
        <v>370.30000000050001</v>
      </c>
      <c r="FT4">
        <v>377.00000000040001</v>
      </c>
      <c r="FU4">
        <v>383.10000000090002</v>
      </c>
      <c r="FV4">
        <v>388.69999999949999</v>
      </c>
      <c r="FW4">
        <v>394.29999999990002</v>
      </c>
      <c r="FX4">
        <v>399.7999999992</v>
      </c>
      <c r="FY4">
        <v>405.6</v>
      </c>
      <c r="FZ4">
        <v>411.29999999979998</v>
      </c>
      <c r="GA4">
        <v>417.2999999992</v>
      </c>
      <c r="GB4">
        <v>423.1</v>
      </c>
      <c r="GC4">
        <v>428.5</v>
      </c>
      <c r="GD4">
        <v>433.39999999989999</v>
      </c>
      <c r="GE4">
        <v>437.90000000079999</v>
      </c>
      <c r="GF4">
        <v>442.1000000002</v>
      </c>
      <c r="GG4">
        <v>445.40000000049997</v>
      </c>
      <c r="GH4">
        <v>448.5999999997</v>
      </c>
      <c r="GI4">
        <v>451.60000000029999</v>
      </c>
      <c r="GJ4">
        <v>454.59999999910002</v>
      </c>
      <c r="GK4">
        <v>456.79999999990002</v>
      </c>
      <c r="GL4">
        <v>457.20000000070002</v>
      </c>
      <c r="GM4">
        <v>457.39999999930001</v>
      </c>
      <c r="GN4">
        <v>457.39999999930001</v>
      </c>
      <c r="GO4">
        <v>457.39999999930001</v>
      </c>
      <c r="GP4">
        <v>457.39999999930001</v>
      </c>
      <c r="GQ4">
        <v>457.39999999930001</v>
      </c>
      <c r="GR4">
        <v>457.39999999930001</v>
      </c>
      <c r="GS4">
        <v>457.39999999930001</v>
      </c>
      <c r="GT4">
        <v>457.39999999930001</v>
      </c>
      <c r="GU4">
        <v>457.50000000040001</v>
      </c>
      <c r="GV4">
        <v>457.50000000040001</v>
      </c>
      <c r="GW4">
        <v>1</v>
      </c>
      <c r="GX4">
        <v>112.7000000015</v>
      </c>
      <c r="GY4">
        <v>106.4999999999</v>
      </c>
      <c r="GZ4">
        <v>106.4999999999</v>
      </c>
      <c r="HA4">
        <v>123.4000000004</v>
      </c>
      <c r="HB4">
        <v>110.7462404372</v>
      </c>
      <c r="HC4">
        <v>-16.9000000005</v>
      </c>
      <c r="HD4">
        <v>457.50000000040001</v>
      </c>
      <c r="HE4">
        <v>298.97824043690002</v>
      </c>
      <c r="HF4">
        <v>94.789278689400007</v>
      </c>
      <c r="HG4">
        <v>457.5999999997</v>
      </c>
      <c r="HH4">
        <v>457.50000000040001</v>
      </c>
      <c r="HI4">
        <v>457.5999999997</v>
      </c>
      <c r="HJ4">
        <v>457.50000000040001</v>
      </c>
      <c r="HK4">
        <v>117.3020527859</v>
      </c>
      <c r="HL4">
        <v>3.4023490735999999</v>
      </c>
      <c r="HM4">
        <v>3.2554982143000002</v>
      </c>
      <c r="HN4">
        <v>3.2974430294000001</v>
      </c>
      <c r="HO4">
        <v>3.2024515943999998</v>
      </c>
      <c r="HP4">
        <v>3.5972086857000001</v>
      </c>
      <c r="HQ4">
        <v>2.2287907105000002</v>
      </c>
      <c r="HR4">
        <v>15.956961747699999</v>
      </c>
      <c r="HS4">
        <v>-28.152492668600001</v>
      </c>
      <c r="HT4">
        <v>-192</v>
      </c>
      <c r="HU4">
        <v>409.72448087399999</v>
      </c>
      <c r="HV4">
        <v>91.495601172999997</v>
      </c>
      <c r="HW4">
        <v>624</v>
      </c>
      <c r="HX4">
        <v>15.956961747699999</v>
      </c>
      <c r="HY4">
        <v>-28.152492668600001</v>
      </c>
      <c r="HZ4">
        <v>-192</v>
      </c>
      <c r="IA4">
        <v>409.72448087399999</v>
      </c>
      <c r="IB4">
        <v>91.495601172999997</v>
      </c>
      <c r="IC4">
        <v>624</v>
      </c>
      <c r="ID4">
        <v>47.775519126399999</v>
      </c>
      <c r="IE4">
        <v>0.20477595670000001</v>
      </c>
      <c r="IF4">
        <v>-37.536656891500002</v>
      </c>
      <c r="IG4">
        <v>-256</v>
      </c>
      <c r="IH4">
        <v>432.52237158460002</v>
      </c>
      <c r="II4">
        <v>100.87976539589999</v>
      </c>
      <c r="IJ4">
        <v>688</v>
      </c>
      <c r="IK4">
        <v>393.76751912629999</v>
      </c>
      <c r="IL4">
        <v>119.6480938416</v>
      </c>
      <c r="IM4">
        <v>419.26185792339999</v>
      </c>
      <c r="IN4">
        <v>129.03225806450001</v>
      </c>
      <c r="IO4">
        <v>8.1999999983999992</v>
      </c>
      <c r="IP4">
        <v>6.1000000004999997</v>
      </c>
      <c r="IQ4">
        <v>9.3000000015000008</v>
      </c>
      <c r="IR4">
        <v>6.1221296683000004</v>
      </c>
      <c r="IS4">
        <v>6.1221296683000004</v>
      </c>
      <c r="IT4">
        <v>14.5000000011</v>
      </c>
      <c r="IU4">
        <v>-30.4985337243</v>
      </c>
      <c r="IV4">
        <v>17.400000000599999</v>
      </c>
      <c r="IW4">
        <v>42.228739002899999</v>
      </c>
      <c r="IX4">
        <v>13.1000000001</v>
      </c>
      <c r="IY4">
        <v>100.87976539589999</v>
      </c>
      <c r="IZ4">
        <v>-33.180914967100001</v>
      </c>
      <c r="JA4">
        <v>0.33115911260000003</v>
      </c>
      <c r="JB4">
        <v>-3.651956E-4</v>
      </c>
      <c r="JC4">
        <v>7.2839999999999998E-7</v>
      </c>
      <c r="JD4">
        <v>0.29391458030000001</v>
      </c>
      <c r="JE4">
        <v>0.2576597732</v>
      </c>
      <c r="JF4">
        <v>0.1206151278</v>
      </c>
      <c r="JG4">
        <v>111.29397924680001</v>
      </c>
      <c r="JH4">
        <v>3.5972086857000001</v>
      </c>
      <c r="JI4">
        <v>3.6018495E-3</v>
      </c>
      <c r="JJ4">
        <v>-8.0731799999999998E-5</v>
      </c>
      <c r="JK4">
        <v>3.4023490735999999</v>
      </c>
      <c r="JL4">
        <v>1.2773442433</v>
      </c>
      <c r="JM4">
        <v>0.54191717809999995</v>
      </c>
      <c r="JN4" t="s">
        <v>558</v>
      </c>
      <c r="JQ4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67.868268412500001</v>
      </c>
      <c r="D16" s="9">
        <f>AVERAGE(C18:C20)</f>
        <v>28.029120597000002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62.792339566999999</v>
      </c>
      <c r="D17" s="9">
        <f>AVERAGE(C21:C23)</f>
        <v>6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72.087361791000006</v>
      </c>
      <c r="D18" s="11">
        <f>AVERAGE(C24:C26)</f>
        <v>6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6</v>
      </c>
      <c r="D19" s="6">
        <f>AVERAGE('Summary(3pcs)'!E34:E35)</f>
        <v>149.73894920943792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6</v>
      </c>
      <c r="D20" s="9">
        <f>AVERAGE('Summary(3pcs)'!E36:E38)</f>
        <v>-76.276386478295422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6</v>
      </c>
      <c r="D21" s="9">
        <f>AVERAGE('Summary(3pcs)'!E39:E41)</f>
        <v>-185.50310559006209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6</v>
      </c>
      <c r="D22" s="11">
        <f>AVERAGE('Summary(3pcs)'!E42:E44)</f>
        <v>-185.50310559006209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6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1.388533837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-4.0802022558999997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0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0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0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0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0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0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-0.67291710472499999</v>
      </c>
      <c r="C39" s="5">
        <f>'Summary(3pcs)'!M34</f>
        <v>1.388533837</v>
      </c>
      <c r="D39" s="11">
        <f t="shared" si="0"/>
        <v>0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-4.0802022558999997</v>
      </c>
      <c r="D40" s="6">
        <f t="shared" si="0"/>
        <v>0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0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0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0</v>
      </c>
      <c r="C43" s="8">
        <f>'Summary(3pcs)'!M39</f>
        <v>0</v>
      </c>
      <c r="D43" s="6">
        <f t="shared" ref="D43:D54" si="2">C55</f>
        <v>6.3074558730000003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0</v>
      </c>
      <c r="D44" s="9">
        <f t="shared" si="2"/>
        <v>1.3843116305000001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0</v>
      </c>
      <c r="D45" s="11">
        <f t="shared" si="2"/>
        <v>4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0</v>
      </c>
      <c r="D46" s="6">
        <f t="shared" si="2"/>
        <v>4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0</v>
      </c>
      <c r="D47" s="9">
        <f t="shared" si="2"/>
        <v>4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0</v>
      </c>
      <c r="D48" s="11">
        <f t="shared" si="2"/>
        <v>4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4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4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4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4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3.9229418758749999</v>
      </c>
      <c r="C55" s="5">
        <f>'Summary(3pcs)'!N34</f>
        <v>6.3074558730000003</v>
      </c>
      <c r="D55" s="6">
        <f>AVERAGE(D31:D33)</f>
        <v>-0.89722280629999995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1.3843116305000001</v>
      </c>
      <c r="D56" s="9">
        <f>AVERAGE(D34:D36)</f>
        <v>0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4</v>
      </c>
      <c r="D57" s="9">
        <f>AVERAGE(D37:D39)</f>
        <v>0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4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4</v>
      </c>
      <c r="C59" s="8">
        <f>'Summary(3pcs)'!N39</f>
        <v>4</v>
      </c>
      <c r="D59" s="9">
        <f>AVERAGE(D43:D45)</f>
        <v>3.8972558344999997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4</v>
      </c>
      <c r="D60" s="9">
        <f>AVERAGE(D46:D48)</f>
        <v>4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4</v>
      </c>
      <c r="D61" s="9">
        <f>AVERAGE(D49:D51)</f>
        <v>4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4</v>
      </c>
      <c r="D63" s="6">
        <f>AVERAGE(C71:C73)</f>
        <v>6.7169170399999993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4</v>
      </c>
      <c r="D64" s="9">
        <f>AVERAGE(C74:C76)</f>
        <v>-7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-7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-7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-0.93044153833333343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-3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-3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-3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6.4220352199999997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6.2602672599999991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7.4684486400000001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-7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-7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-7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-7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-7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-7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-7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-7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-7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-4.6443796160000002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4.247480393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-2.394425392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-3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-3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-3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-3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-3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-3</v>
      </c>
    </row>
    <row r="96" spans="1:7">
      <c r="A96" s="1" t="s">
        <v>87</v>
      </c>
      <c r="C96" s="5">
        <f>'Summary(3pcs)'!W43</f>
        <v>-3</v>
      </c>
    </row>
    <row r="97" spans="1:3">
      <c r="A97" s="1" t="s">
        <v>87</v>
      </c>
      <c r="C97" s="8">
        <f>'Summary(3pcs)'!W44</f>
        <v>-3</v>
      </c>
    </row>
    <row r="98" spans="1:3" ht="17.25" thickBot="1">
      <c r="A98" s="1" t="s">
        <v>87</v>
      </c>
      <c r="C98" s="10">
        <f>'Summary(3pcs)'!W45</f>
        <v>-3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2022-09-23T04:26:49Z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