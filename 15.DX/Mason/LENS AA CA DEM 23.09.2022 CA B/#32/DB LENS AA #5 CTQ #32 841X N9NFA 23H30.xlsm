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<sst xmlns="http://schemas.openxmlformats.org/spreadsheetml/2006/main" count="1419" uniqueCount="671">
  <si>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</si>
  <si>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</si>
  <si>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</si>
  <si>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</si>
  <si>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</si>
  <si>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</si>
  <si>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</si>
  <si>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</si>
  <si>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</si>
  <si>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</si>
  <si>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</si>
  <si>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</si>
  <si>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</si>
  <si>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</si>
  <si>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</si>
  <si>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</si>
  <si>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</si>
  <si>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</si>
  <si>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</si>
  <si>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</si>
  <si>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</si>
  <si>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</si>
  <si>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</si>
  <si>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</si>
  <si>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</si>
  <si>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</si>
  <si>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</si>
  <si>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</si>
  <si>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</si>
  <si>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</si>
  <si>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</si>
  <si>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</si>
  <si>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</si>
  <si>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</si>
  <si>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</si>
  <si>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</si>
  <si>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</si>
  <si>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</si>
  <si>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</si>
  <si>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</si>
  <si>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</si>
  <si>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</si>
  <si>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</si>
  <si>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</si>
  <si>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</si>
  <si>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</si>
  <si>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</si>
  <si>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</si>
  <si>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</si>
  <si>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</si>
  <si>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</si>
  <si>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</si>
  <si>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</si>
  <si>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</si>
  <si>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</si>
  <si>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</si>
  <si>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</si>
  <si>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</si>
  <si>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</si>
  <si>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</si>
  <si>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</si>
  <si>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</si>
  <si>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</si>
  <si>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</si>
  <si>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</si>
  <si>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</si>
  <si>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</si>
  <si>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</si>
  <si>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</si>
  <si>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</si>
  <si>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</si>
  <si>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</si>
  <si>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</si>
  <si>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</si>
  <si>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</si>
  <si>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</si>
  <si>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</si>
  <si>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</si>
  <si>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</si>
  <si>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</si>
  <si>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</si>
  <si>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</si>
  <si>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</si>
  <si>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</si>
  <si>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</si>
  <si>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</si>
  <si>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</si>
  <si>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</si>
  <si>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</si>
  <si>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</si>
  <si>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</si>
  <si>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</si>
  <si>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</si>
  <si>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</si>
  <si>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</si>
  <si>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</si>
  <si>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</si>
  <si>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</si>
  <si>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</si>
  <si>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</si>
  <si>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</si>
  <si>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</si>
  <si>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</si>
  <si>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</si>
  <si>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</si>
  <si>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</si>
  <si>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</si>
  <si>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</si>
  <si>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</si>
  <si>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</si>
  <si>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</si>
  <si>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</si>
  <si>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</si>
  <si>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</si>
  <si>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</si>
  <si>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</si>
  <si>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</si>
  <si>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</si>
  <si>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</si>
  <si>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</si>
  <si>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</si>
  <si>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</si>
  <si>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</si>
  <si>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</si>
  <si>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</si>
  <si>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</si>
  <si>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</si>
  <si>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</si>
  <si>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</si>
  <si>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</si>
  <si>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</si>
  <si>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</si>
  <si>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</si>
  <si>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</si>
  <si>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</si>
  <si>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</si>
  <si>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</si>
  <si>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</si>
  <si>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</si>
  <si>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</si>
  <si>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</si>
  <si>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</si>
  <si>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</si>
  <si>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</si>
  <si>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</si>
  <si>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</si>
  <si>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</si>
  <si>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</si>
  <si>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</si>
  <si>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</si>
  <si>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</si>
  <si>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</si>
  <si>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</si>
  <si>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</si>
  <si>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</si>
  <si>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</si>
  <si>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</si>
  <si>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</si>
  <si>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</si>
  <si>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</si>
  <si>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</si>
  <si>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</si>
  <si>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</si>
  <si>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</si>
  <si>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</si>
  <si>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</si>
  <si>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</si>
  <si>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</si>
  <si>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</si>
  <si>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</si>
  <si>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</si>
  <si>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</si>
  <si>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</si>
  <si>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D:\EVMS\TP\LOG\VSY841XN9NFA_2022092310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</si>
  <si>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</si>
  <si>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</si>
  <si>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</si>
  <si>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</si>
  <si>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</si>
  <si>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</si>
  <si>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</si>
  <si>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</si>
  <si>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</si>
  <si>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</si>
  <si>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</si>
  <si>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</si>
  <si>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</si>
  <si>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</si>
  <si>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</si>
  <si>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</si>
  <si>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</si>
  <si>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</si>
  <si>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</si>
  <si>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</si>
  <si>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</si>
  <si>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</si>
  <si>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</si>
  <si>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</si>
  <si>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</si>
  <si>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</si>
  <si>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</si>
  <si>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</si>
  <si>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</si>
  <si>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</si>
  <si>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</si>
  <si>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</si>
  <si>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</si>
  <si>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</si>
  <si>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</si>
  <si>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</si>
  <si>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T220923102738496VCMLEBC050</t>
  </si>
  <si>
    <t>'2022-09-23 10:27:47:413</t>
  </si>
  <si>
    <t>VCMLEBC050A</t>
  </si>
  <si>
    <t>DB_C1001</t>
  </si>
  <si>
    <t>210615ADOE</t>
  </si>
  <si>
    <t>R13A_OC_MFG_C10_21091603_b1779c9</t>
  </si>
  <si>
    <t>VSY841XN9NFA</t>
  </si>
  <si>
    <t>22cc45140582</t>
  </si>
  <si>
    <t>0x52800562a5444a03</t>
  </si>
  <si>
    <t>MFCC355CA5KGB3B6B341004135</t>
  </si>
  <si>
    <t>MF4C3514ACC013A7A629</t>
  </si>
  <si>
    <t>DNA22301073590H09A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</si>
  <si>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</si>
  <si>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</si>
  <si>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</si>
  <si>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</si>
  <si>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</si>
  <si>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</si>
  <si>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T220923102854045VCMLEBC050</t>
  </si>
  <si>
    <t>'2022-09-23 10:29:03:022</t>
  </si>
  <si>
    <t>22cc45140054</t>
  </si>
  <si>
    <t>0x52800562a5442703</t>
  </si>
  <si>
    <t>MFCC355CA5MHB3B6C438019141</t>
  </si>
  <si>
    <t>MF4C3514AFJ213A7A646</t>
  </si>
  <si>
    <t>DNA22287021090H09A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</si>
  <si>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</si>
  <si>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</si>
  <si>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</si>
  <si>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</si>
  <si>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</si>
  <si>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</si>
  <si>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</si>
  <si>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</si>
  <si>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</si>
  <si>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</si>
  <si>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</si>
  <si>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</si>
  <si>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</si>
  <si>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</si>
  <si>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</si>
  <si>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</si>
  <si>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</si>
  <si>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</si>
  <si>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</si>
  <si>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</si>
  <si>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</si>
  <si>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</si>
  <si>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</si>
  <si>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</si>
  <si>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</si>
  <si>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</si>
  <si>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</si>
  <si>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</si>
  <si>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</si>
  <si>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</si>
  <si>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</si>
  <si>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T220923102804939VCMLEBC050</t>
  </si>
  <si>
    <t>'2022-09-23 10:28:33:450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</si>
  <si>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</si>
  <si>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</si>
  <si>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</si>
  <si>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</si>
  <si>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</si>
  <si>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</si>
  <si>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</si>
  <si>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</si>
  <si>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</si>
  <si>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</si>
  <si>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</si>
  <si>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</si>
  <si>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</si>
  <si>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</si>
  <si>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</si>
  <si>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</si>
  <si>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10:28:23:426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</si>
  <si>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</si>
  <si>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</si>
  <si>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</si>
  <si>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</si>
  <si>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</si>
  <si>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</si>
  <si>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</si>
  <si>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</si>
  <si>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</si>
  <si>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</si>
  <si>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</si>
  <si>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</si>
  <si>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</si>
  <si>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</si>
  <si>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</si>
  <si>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</si>
  <si>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</si>
  <si>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</si>
  <si>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</si>
  <si>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</si>
  <si>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</si>
  <si>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</si>
  <si>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</si>
  <si>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</si>
  <si>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</si>
  <si>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</si>
  <si>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</si>
  <si>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</si>
  <si>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</si>
  <si>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</si>
  <si>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</si>
  <si>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</si>
  <si>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</si>
  <si>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</si>
  <si>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</si>
  <si>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</si>
  <si>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</si>
  <si>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</si>
  <si>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</si>
  <si>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</si>
  <si>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</si>
  <si>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</si>
  <si>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</si>
  <si>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</si>
  <si>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</si>
  <si>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</si>
  <si>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</si>
  <si>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</si>
  <si>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</si>
  <si>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</si>
  <si>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</si>
  <si>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</si>
  <si>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</si>
  <si>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</si>
  <si>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</si>
  <si>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</si>
  <si>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</si>
  <si>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</si>
  <si>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</si>
  <si>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</si>
  <si>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</si>
  <si>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</si>
  <si>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</si>
  <si>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</si>
  <si>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</si>
  <si>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</si>
  <si>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</si>
  <si>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</si>
  <si>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</si>
  <si>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</si>
  <si>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</si>
  <si>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</si>
  <si>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</si>
  <si>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</si>
  <si>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</si>
  <si>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</si>
  <si>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</si>
  <si>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</si>
  <si>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</si>
  <si>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</si>
  <si>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</si>
  <si>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</si>
  <si>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</si>
  <si>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</si>
  <si>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</si>
  <si>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</si>
  <si>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</si>
  <si>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</si>
  <si>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</si>
  <si>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</si>
  <si>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</si>
  <si>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</si>
  <si>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</si>
  <si>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</si>
  <si>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</si>
  <si>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</si>
  <si>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</si>
  <si>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</si>
  <si>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</si>
  <si>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</si>
  <si>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</si>
  <si>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</si>
  <si>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</si>
  <si>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</si>
  <si>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</si>
  <si>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</si>
  <si>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</si>
  <si>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</si>
  <si>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</si>
  <si>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</si>
  <si>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</si>
  <si>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</si>
  <si>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</si>
  <si>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</si>
  <si>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</si>
  <si>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</si>
  <si>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</si>
  <si>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</si>
  <si>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</si>
  <si>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</si>
  <si>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</si>
  <si>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</si>
  <si>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</si>
  <si>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</si>
  <si>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</si>
  <si>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</si>
  <si>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</si>
  <si>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</si>
  <si>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</si>
  <si>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</si>
  <si>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</si>
  <si>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</si>
  <si>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</si>
  <si>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</si>
  <si>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</si>
  <si>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</si>
  <si>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</si>
  <si>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</si>
  <si>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</si>
  <si>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</si>
  <si>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</si>
  <si>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</si>
  <si>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</si>
  <si>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</si>
  <si>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</si>
  <si>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</si>
  <si>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</si>
  <si>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</si>
  <si>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</si>
  <si>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</si>
  <si>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</si>
  <si>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</si>
  <si>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</si>
  <si>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</si>
  <si>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</si>
  <si>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</si>
  <si>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</si>
  <si>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</si>
  <si>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</si>
  <si>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</si>
  <si>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</si>
  <si>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</si>
  <si>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</si>
  <si>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</si>
  <si>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</si>
  <si>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</si>
  <si>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</si>
  <si>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</si>
  <si>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</si>
  <si>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</si>
  <si>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</si>
  <si>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</si>
  <si>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</si>
  <si>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</si>
  <si>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</si>
  <si>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</si>
  <si>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</si>
  <si>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</si>
  <si>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</si>
  <si>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</si>
  <si>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</si>
  <si>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</si>
  <si>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</si>
  <si>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</si>
  <si>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</si>
  <si>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</si>
  <si>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</si>
  <si>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</si>
  <si>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</si>
  <si>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</si>
  <si>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</si>
  <si>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</si>
  <si>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</si>
  <si>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</si>
  <si>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</si>
  <si>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</si>
  <si>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</si>
  <si>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</si>
  <si>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</si>
  <si>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</si>
  <si>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</si>
  <si>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</si>
  <si>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</si>
  <si>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</si>
  <si>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</si>
  <si>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</si>
  <si>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</si>
  <si>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</si>
  <si>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</si>
  <si>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</si>
  <si>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</si>
  <si>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</si>
  <si>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</si>
  <si>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</si>
  <si>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</si>
  <si>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</si>
  <si>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</si>
  <si>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</si>
  <si>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</si>
  <si>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</si>
  <si>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</si>
  <si>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</si>
  <si>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</si>
  <si>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</si>
  <si>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</si>
  <si>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</si>
  <si>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</si>
  <si>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</si>
  <si>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</si>
  <si>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</si>
  <si>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</si>
  <si>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</si>
  <si>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</si>
  <si>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</si>
  <si>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</si>
  <si>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</si>
  <si>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</si>
  <si>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</si>
  <si>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</si>
  <si>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</si>
  <si>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</si>
  <si>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</si>
  <si>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</si>
  <si>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</si>
  <si>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</si>
  <si>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</si>
  <si>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</si>
  <si>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</si>
  <si>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</si>
  <si>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</si>
  <si>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</si>
  <si>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</si>
  <si>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</si>
  <si>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</si>
  <si>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</si>
  <si>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</si>
  <si>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</si>
  <si>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T220923102750091VCMLEBC050</t>
  </si>
  <si>
    <t>'2022-09-23 10:28:02:628</t>
  </si>
  <si>
    <t>R13A_IPQC_MFG_Laser_C10_21090805_b1779c9</t>
  </si>
  <si>
    <t>v9p4</t>
  </si>
  <si>
    <t>T220923102905661VCMLEBC050</t>
  </si>
  <si>
    <t>'2022-09-23 10:29:18:200</t>
  </si>
  <si>
    <t>T220923102920510VCMLEBC050</t>
  </si>
  <si>
    <t>'2022-09-23 10:29:48:952</t>
  </si>
  <si>
    <t>'2022-09-23 10:29:38:928</t>
  </si>
  <si>
    <t>T220923103000358VCMLEBC050</t>
  </si>
  <si>
    <t>'2022-09-23 10:30:09:628</t>
  </si>
  <si>
    <t>22cc45140198</t>
  </si>
  <si>
    <t>0x52801162a7f19801</t>
  </si>
  <si>
    <t>MFCC355CA5K3B3B6C242003128</t>
  </si>
  <si>
    <t>MF4C3514ACAD13A7A644</t>
  </si>
  <si>
    <t>DNA22303030350H03A</t>
  </si>
  <si>
    <t>T220923103027365VCMLEBC050</t>
  </si>
  <si>
    <t>'2022-09-23 10:30:45:403</t>
  </si>
  <si>
    <t>T220923103012535VCMLEBC050</t>
  </si>
  <si>
    <t>'2022-09-23 10:30:25:065</t>
  </si>
  <si>
    <t>'2022-09-23 10:30:55:429</t>
  </si>
  <si>
    <t>T220923103109330VCMLEBC050</t>
  </si>
  <si>
    <t>'2022-09-23 10:31:18:544</t>
  </si>
  <si>
    <t>22cc45140701</t>
  </si>
  <si>
    <t>0x52800662a540f608</t>
  </si>
  <si>
    <t>MFCC355CA5JFB3B6C043022017</t>
  </si>
  <si>
    <t>MF4C3514ACC413A7A633</t>
  </si>
  <si>
    <t>DNA22301073590L01A</t>
  </si>
  <si>
    <t>T220923103136016VCMLEBC050</t>
  </si>
  <si>
    <t>'2022-09-23 10:32:04:358</t>
  </si>
  <si>
    <t>'2022-09-23 10:31:54:332</t>
  </si>
  <si>
    <t>T220923103121186VCMLEBC050</t>
  </si>
  <si>
    <t>'2022-09-23 10:31:33:718</t>
  </si>
  <si>
    <t>T220923103217468VCMLEBC050</t>
  </si>
  <si>
    <t>'2022-09-23 10:32:26:235</t>
  </si>
  <si>
    <t>22cc45140035</t>
  </si>
  <si>
    <t>0x52800462a2a31b02</t>
  </si>
  <si>
    <t>MFCC355CA5MPB3B6B241103131</t>
  </si>
  <si>
    <t>MF4C3514AFJ513A7A650</t>
  </si>
  <si>
    <t>DNA22302064040K01A</t>
  </si>
  <si>
    <t>T220923103243784VCMLEBC050</t>
  </si>
  <si>
    <t>'2022-09-23 10:33:12:980</t>
  </si>
  <si>
    <t>'2022-09-23 10:33:02:953</t>
  </si>
  <si>
    <t>T220923103228950VCMLEBC050</t>
  </si>
  <si>
    <t>'2022-09-23 10:32:41:490</t>
  </si>
  <si>
    <t>T220923103326674VCMLEBC050</t>
  </si>
  <si>
    <t>'2022-09-23 10:33:35:529</t>
  </si>
  <si>
    <t>22cc45140417</t>
  </si>
  <si>
    <t>0x52800562a5442702</t>
  </si>
  <si>
    <t>MFCC355CA5K6B3B6B742101131</t>
  </si>
  <si>
    <t>MF4C3514AFJ913A7A647</t>
  </si>
  <si>
    <t>DNA22302064040L01A</t>
  </si>
  <si>
    <t>T220923103353382VCMLEBC050</t>
  </si>
  <si>
    <t>'2022-09-23 10:34:21:705</t>
  </si>
  <si>
    <t>'2022-09-23 10:34:11:678</t>
  </si>
  <si>
    <t>T220923103338534VCMLEBC050</t>
  </si>
  <si>
    <t>'2022-09-23 10:33:51:065</t>
  </si>
  <si>
    <t>T220923103551925VCMLEBC050</t>
  </si>
  <si>
    <t>'2022-09-23 10:36:00:789</t>
  </si>
  <si>
    <t>22cc45140729</t>
  </si>
  <si>
    <t>0x52800462a2a31404</t>
  </si>
  <si>
    <t>MFCC355CA5MLB3B6C134013120</t>
  </si>
  <si>
    <t>MF4C3514ACD813A7A633</t>
  </si>
  <si>
    <t>DNA22303103400E07A</t>
  </si>
  <si>
    <t>T220923103618264VCMLEBC050</t>
  </si>
  <si>
    <t>'2022-09-23 10:36:46:583</t>
  </si>
  <si>
    <t>'2022-09-23 10:36:36:560</t>
  </si>
  <si>
    <t>T220923103603429VCMLEBC050</t>
  </si>
  <si>
    <t>'2022-09-23 10:36:15:969</t>
  </si>
  <si>
    <t>T220923103719178VCMLEBC050</t>
  </si>
  <si>
    <t>'2022-09-23 10:37:28:423</t>
  </si>
  <si>
    <t>22cc45140975</t>
  </si>
  <si>
    <t>0x52800562a53e9708</t>
  </si>
  <si>
    <t>MFCC355CA5L4B3B6B838009140</t>
  </si>
  <si>
    <t>MF4C3514AFJ813A7A632</t>
  </si>
  <si>
    <t>DNA22302064040J10A</t>
  </si>
  <si>
    <t>T220923103745881VCMLEBC050</t>
  </si>
  <si>
    <t>'2022-09-23 10:38:14:156</t>
  </si>
  <si>
    <t>'2022-09-23 10:38:04:128</t>
  </si>
  <si>
    <t>T220923103731046VCMLEBC050</t>
  </si>
  <si>
    <t>'2022-09-23 10:37:43:578</t>
  </si>
  <si>
    <t>T220923103846888VCMLEBC050</t>
  </si>
  <si>
    <t>'2022-09-23 10:38:55:755</t>
  </si>
  <si>
    <t>22cc45140759</t>
  </si>
  <si>
    <t>0x52801862a69f8701</t>
  </si>
  <si>
    <t>MFCC355CA65BB3B6C035005126</t>
  </si>
  <si>
    <t>MF4C3514AFJ413A7A649</t>
  </si>
  <si>
    <t>DNA22287021070M14A</t>
  </si>
  <si>
    <t>T220923103913299VCMLEBC050</t>
  </si>
  <si>
    <t>'2022-09-23 10:39:41:745</t>
  </si>
  <si>
    <t>'2022-09-23 10:39:31:714</t>
  </si>
  <si>
    <t>T220923103858461VCMLEBC050</t>
  </si>
  <si>
    <t>'2022-09-23 10:39:10:996</t>
  </si>
  <si>
    <t>T220923104014819VCMLEBC050</t>
  </si>
  <si>
    <t>'2022-09-23 10:40:23:692</t>
  </si>
  <si>
    <t>22cc45140954</t>
  </si>
  <si>
    <t>0x52800562a46b2105</t>
  </si>
  <si>
    <t>MFCC355CA5N6B3B6C034000133</t>
  </si>
  <si>
    <t>MF4C3514ACAR13A7A657</t>
  </si>
  <si>
    <t>DNA22302012830H04A</t>
  </si>
  <si>
    <t>T220923104041165VCMLEBC050</t>
  </si>
  <si>
    <t>'2022-09-23 10:41:09:272</t>
  </si>
  <si>
    <t>'2022-09-23 10:40:59:242</t>
  </si>
  <si>
    <t>T220923104026332VCMLEBC050</t>
  </si>
  <si>
    <t>'2022-09-23 10:40:38:861</t>
  </si>
  <si>
    <t>T220923104120177VCMLEBC050</t>
  </si>
  <si>
    <t>'2022-09-23 10:41:29:304</t>
  </si>
  <si>
    <t>22cc45140939</t>
  </si>
  <si>
    <t>0x52800662a53f7901</t>
  </si>
  <si>
    <t>MFCC355CA5NBB3B6C039107126</t>
  </si>
  <si>
    <t>MF4C3514AFJ313A7A645</t>
  </si>
  <si>
    <t>DNA22287020710I09A</t>
  </si>
  <si>
    <t>T220923104146796VCMLEBC050</t>
  </si>
  <si>
    <t>'2022-09-23 10:42:15:324</t>
  </si>
  <si>
    <t>'2022-09-23 10:42:05:299</t>
  </si>
  <si>
    <t>T220923104131950VCMLEBC050</t>
  </si>
  <si>
    <t>'2022-09-23 10:41:44:478</t>
  </si>
  <si>
    <t>T220923104227946VCMLEBC050</t>
  </si>
  <si>
    <t>'2022-09-23 10:42:36:776</t>
  </si>
  <si>
    <t>22cc45140225</t>
  </si>
  <si>
    <t>0x52800662a540dc02</t>
  </si>
  <si>
    <t>MFCC355CA5K4B3B6B743008130</t>
  </si>
  <si>
    <t>MF4C3514ACC513A7A639</t>
  </si>
  <si>
    <t>DNA22301075320C01A</t>
  </si>
  <si>
    <t>T220923104254215VCMLEBC050</t>
  </si>
  <si>
    <t>'2022-09-23 10:43:22:380</t>
  </si>
  <si>
    <t>'2022-09-23 10:43:12:357</t>
  </si>
  <si>
    <t>T220923104239389VCMLEBC050</t>
  </si>
  <si>
    <t>'2022-09-23 10:42:51:926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</si>
</sst>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1.0564530388</c:v>
                </c:pt>
                <c:pt idx="1">
                  <c:v>-1.8947901498999999</c:v>
                </c:pt>
                <c:pt idx="2">
                  <c:v>0.37500017149999998</c:v>
                </c:pt>
                <c:pt idx="3">
                  <c:v>-7.2422305300999996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6.0391756275000006</c:v>
                </c:pt>
                <c:pt idx="1">
                  <c:v>-2.8704140784999996</c:v>
                </c:pt>
                <c:pt idx="2">
                  <c:v>-4.3064210310999993</c:v>
                </c:pt>
                <c:pt idx="3">
                  <c:v>2.6561749775000001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-0.15444564653333334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-0.3792198273666661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89216"/>
        <c:axId val="48490752"/>
      </c:scatterChart>
      <c:valAx>
        <c:axId val="484892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490752"/>
        <c:crosses val="autoZero"/>
        <c:crossBetween val="midCat"/>
        <c:majorUnit val="10"/>
      </c:valAx>
      <c:valAx>
        <c:axId val="484907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48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-2.6244992531000002</c:v>
                </c:pt>
                <c:pt idx="1">
                  <c:v>-7.9457538944000001</c:v>
                </c:pt>
                <c:pt idx="2">
                  <c:v>-7.1348401148000002</c:v>
                </c:pt>
                <c:pt idx="3">
                  <c:v>-11.196982519700001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1.2808461000000002</c:v>
                </c:pt>
                <c:pt idx="1">
                  <c:v>2.4086747784</c:v>
                </c:pt>
                <c:pt idx="2">
                  <c:v>17.8854275363</c:v>
                </c:pt>
                <c:pt idx="3">
                  <c:v>5.4278506076999999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-5.9374945592000001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2.1152319519666669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32416"/>
        <c:axId val="48742400"/>
      </c:scatterChart>
      <c:valAx>
        <c:axId val="487324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742400"/>
        <c:crosses val="autoZero"/>
        <c:crossBetween val="midCat"/>
        <c:majorUnit val="10"/>
      </c:valAx>
      <c:valAx>
        <c:axId val="4874240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73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-4.3440772500999998</c:v>
                </c:pt>
                <c:pt idx="1">
                  <c:v>-5.5790576902</c:v>
                </c:pt>
                <c:pt idx="2">
                  <c:v>-10.208228179500001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7.4725924515000006</c:v>
                </c:pt>
                <c:pt idx="1">
                  <c:v>7.9115062083000005</c:v>
                </c:pt>
                <c:pt idx="2">
                  <c:v>6.9964354489999998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-7.5586332948666666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10.261956865166667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18944"/>
        <c:axId val="49620480"/>
      </c:scatterChart>
      <c:valAx>
        <c:axId val="496189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620480"/>
        <c:crosses val="autoZero"/>
        <c:crossBetween val="midCat"/>
        <c:majorUnit val="10"/>
      </c:valAx>
      <c:valAx>
        <c:axId val="496204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618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-8.6202388790000004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4.7191007613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-8.1358415828999995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6.5423474728666662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81920"/>
        <c:axId val="49683456"/>
      </c:scatterChart>
      <c:valAx>
        <c:axId val="496819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683456"/>
        <c:crosses val="autoZero"/>
        <c:crossBetween val="midCat"/>
        <c:majorUnit val="10"/>
      </c:valAx>
      <c:valAx>
        <c:axId val="496834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68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87.964781081200002</c:v>
                </c:pt>
                <c:pt idx="1">
                  <c:v>86.071713337999995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87.997121744133324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4784"/>
        <c:axId val="49736320"/>
      </c:scatterChart>
      <c:valAx>
        <c:axId val="4973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736320"/>
        <c:crosses val="autoZero"/>
        <c:crossBetween val="midCat"/>
      </c:valAx>
      <c:valAx>
        <c:axId val="4973632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734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89.954870813200003</c:v>
                </c:pt>
                <c:pt idx="1">
                  <c:v>85.461377982000002</c:v>
                </c:pt>
                <c:pt idx="2">
                  <c:v>92.593460027600003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91.805422411433327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02880"/>
        <c:axId val="59404672"/>
      </c:scatterChart>
      <c:valAx>
        <c:axId val="5940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404672"/>
        <c:crosses val="autoZero"/>
        <c:crossBetween val="midCat"/>
      </c:valAx>
      <c:valAx>
        <c:axId val="5940467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402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97.361429224700004</c:v>
                </c:pt>
                <c:pt idx="1">
                  <c:v>93.920504816399998</c:v>
                </c:pt>
                <c:pt idx="2">
                  <c:v>92.059823755400004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92.555537182899982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57920"/>
        <c:axId val="59459456"/>
      </c:scatterChart>
      <c:valAx>
        <c:axId val="5945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459456"/>
        <c:crosses val="autoZero"/>
        <c:crossBetween val="midCat"/>
      </c:valAx>
      <c:valAx>
        <c:axId val="5945945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457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91.686282976900003</c:v>
                </c:pt>
                <c:pt idx="1">
                  <c:v>90.928429652800006</c:v>
                </c:pt>
                <c:pt idx="2">
                  <c:v>89.474204182600005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90.304978381433344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91840"/>
        <c:axId val="59493376"/>
      </c:scatterChart>
      <c:valAx>
        <c:axId val="5949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493376"/>
        <c:crosses val="autoZero"/>
        <c:crossBetween val="midCat"/>
      </c:valAx>
      <c:valAx>
        <c:axId val="5949337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491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-2.8715896605999998</c:v>
                </c:pt>
                <c:pt idx="1">
                  <c:v>4.6879434585999995</c:v>
                </c:pt>
                <c:pt idx="2">
                  <c:v>0.88800334929999991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7.1718883513999998</c:v>
                </c:pt>
                <c:pt idx="1">
                  <c:v>-1.2077445983999999</c:v>
                </c:pt>
                <c:pt idx="2">
                  <c:v>2.6857595443999998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0.90145238243333325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2.8833010991333334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71488"/>
        <c:axId val="60673024"/>
      </c:scatterChart>
      <c:valAx>
        <c:axId val="606714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673024"/>
        <c:crosses val="autoZero"/>
        <c:crossBetween val="midCat"/>
        <c:majorUnit val="10"/>
      </c:valAx>
      <c:valAx>
        <c:axId val="606730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67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6.0270309447999999</c:v>
                </c:pt>
                <c:pt idx="1">
                  <c:v>-4.4978058338000002</c:v>
                </c:pt>
                <c:pt idx="2">
                  <c:v>1.3436365127999998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-0.86010241510000007</c:v>
                </c:pt>
                <c:pt idx="1">
                  <c:v>-3.0317787826</c:v>
                </c:pt>
                <c:pt idx="2">
                  <c:v>-3.2070478201000001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0.95762054126666651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-2.3663096725999999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57664"/>
        <c:axId val="86675840"/>
      </c:scatterChart>
      <c:valAx>
        <c:axId val="866576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6675840"/>
        <c:crosses val="autoZero"/>
        <c:crossBetween val="midCat"/>
        <c:majorUnit val="10"/>
      </c:valAx>
      <c:valAx>
        <c:axId val="866758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8665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-4.9032349586000006</c:v>
                </c:pt>
                <c:pt idx="1">
                  <c:v>-7.4712831974</c:v>
                </c:pt>
                <c:pt idx="2">
                  <c:v>-4.1475634575000004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0.70989727969999983</c:v>
                </c:pt>
                <c:pt idx="1">
                  <c:v>-1.6431072950000001</c:v>
                </c:pt>
                <c:pt idx="2">
                  <c:v>-3.1635298132999998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-5.5073605378333328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-1.3655799428666668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064128"/>
        <c:axId val="124065664"/>
      </c:scatterChart>
      <c:valAx>
        <c:axId val="1240641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065664"/>
        <c:crosses val="autoZero"/>
        <c:crossBetween val="midCat"/>
        <c:majorUnit val="10"/>
      </c:valAx>
      <c:valAx>
        <c:axId val="1240656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0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-11.204435348499999</c:v>
                </c:pt>
                <c:pt idx="1">
                  <c:v>-5.4251943827</c:v>
                </c:pt>
                <c:pt idx="2">
                  <c:v>5.0439929962000001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-2.0291355848000001</c:v>
                </c:pt>
                <c:pt idx="1">
                  <c:v>-2.0356084108000001</c:v>
                </c:pt>
                <c:pt idx="2">
                  <c:v>-2.39853859000001E-2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-3.8618789116666661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-1.3629097938333334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23008"/>
        <c:axId val="124124544"/>
      </c:scatterChart>
      <c:valAx>
        <c:axId val="1241230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124544"/>
        <c:crosses val="autoZero"/>
        <c:crossBetween val="midCat"/>
        <c:majorUnit val="10"/>
      </c:valAx>
      <c:valAx>
        <c:axId val="1241245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123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D:\EVMS\TP\LOG\VSY841XN9NFA_2022092310_D50_ON_OC.csv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D:\EVMS\TP\LOG\VSY841XN9NFA_2022092310_FPDC_INFD_normal.csv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D:\EVMS\TP\LOG\VSY841XN9NFA_2022092310_INFDMargin_IPQC.csv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D:\EVMS\TP\LOG\VSY841XN9NFA_2022092310_VCM_MEASURE.csv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U49" sqref="U49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22cc45140582</v>
      </c>
      <c r="C34" s="44">
        <f>IPQC!S2+VLOOKUP($R$31,$AD$38:$AK$42,6,FALSE)+VLOOKUP('File location'!$B$1,'Tester offset'!$A$2:$D$4,2,FALSE)</f>
        <v>87.964781081200002</v>
      </c>
      <c r="D34" s="44">
        <f>IPQC!Z2+VLOOKUP($R$31,$AD$38:$AK$42,6,FALSE)</f>
        <v>69.123344860099991</v>
      </c>
      <c r="E34" s="44">
        <f>VCM!HU2-'Summary(3pcs)'!C34-'Summary(3pcs)'!$D$32</f>
        <v>138.55653129713789</v>
      </c>
      <c r="F34" s="90">
        <f>AVERAGEIF($A$34:$A$45,1,$C$34:$C$45)</f>
        <v>87.997121744133324</v>
      </c>
      <c r="G34" s="91">
        <f>AVERAGEIF($A$34:$A$45,1,$D$34:$D$45)</f>
        <v>68.781371362966681</v>
      </c>
      <c r="H34" s="91">
        <f>AVERAGEIF($A$34:$A$45,1,$E$34:$E$45)</f>
        <v>143.52040280320458</v>
      </c>
      <c r="I34" s="91">
        <f>85-F34</f>
        <v>-2.9971217441333238</v>
      </c>
      <c r="J34"/>
      <c r="K34" s="79">
        <f>T34</f>
        <v>1</v>
      </c>
      <c r="L34" s="80" t="str">
        <f>OC!J2</f>
        <v>22cc45140582</v>
      </c>
      <c r="M34" s="44">
        <f>OC!S2+VLOOKUP($R$31,$AD$38:$AK$42,4,FALSE)</f>
        <v>1.0564530388</v>
      </c>
      <c r="N34" s="44">
        <f>OC!T2+VLOOKUP($R$31,$AD$38:$AK$42,5,FALSE)</f>
        <v>6.0391756275000006</v>
      </c>
      <c r="O34" s="92">
        <f>AVERAGEIF($K$34:$K$45,1,$M$34:$M$45)</f>
        <v>-0.15444564653333334</v>
      </c>
      <c r="P34" s="92">
        <f>AVERAGEIF($K$34:$K$45,1,$N$34:$N$45)</f>
        <v>-0.3792198273666661</v>
      </c>
      <c r="Q34" s="90">
        <f>P34*0.001</f>
        <v>-3.7921982736666609E-4</v>
      </c>
      <c r="R34" s="90">
        <f>O34*0.001</f>
        <v>-1.5444564653333334E-4</v>
      </c>
      <c r="T34" s="79">
        <v>1</v>
      </c>
      <c r="U34" s="80" t="str">
        <f>FPDC!J2</f>
        <v>22cc45140582</v>
      </c>
      <c r="V34" s="75">
        <f>FPDC!R2+VLOOKUP($R$31,$AD$38:$AK$42,2,FALSE)+VLOOKUP($R$31,$AD$38:$AK$42,7,FALSE)+VLOOKUP('File location'!$B$1,'Tester offset'!$A$2:$D$4,3,FALSE)</f>
        <v>-11.204435348499999</v>
      </c>
      <c r="W34" s="76">
        <f>FPDC!S2+VLOOKUP($R$31,$AD$38:$AK$42,3,FALSE)+VLOOKUP($R$31,$AD$38:$AK$42,8,FALSE)+VLOOKUP('File location'!$B$1,'Tester offset'!$A$2:$D$4,4,FALSE)</f>
        <v>-2.0291355848000001</v>
      </c>
      <c r="X34" s="92">
        <f>AVERAGEIF($T$34:$T$45,1,$V$34:$V$45)</f>
        <v>-3.8618789116666661</v>
      </c>
      <c r="Y34" s="92">
        <f>AVERAGEIF($T$34:$T$45,1,$W$34:$W$45)</f>
        <v>-1.3629097938333334</v>
      </c>
      <c r="Z34" s="90">
        <f>(X34*-0.01)/4</f>
        <v>9.6546972791666658E-3</v>
      </c>
      <c r="AA34" s="90">
        <f>(Y34*-0.01)/4</f>
        <v>3.4072744845833336E-3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22cc45140054</v>
      </c>
      <c r="C35" s="44">
        <f>IPQC!S3+VLOOKUP($R$31,$AD$38:$AK$42,6,FALSE)+VLOOKUP('File location'!$B$1,'Tester offset'!$A$2:$D$4,2,FALSE)</f>
        <v>86.071713337999995</v>
      </c>
      <c r="D35" s="44">
        <f>IPQC!Z3+VLOOKUP($R$31,$AD$38:$AK$42,6,FALSE)</f>
        <v>63.383139416600002</v>
      </c>
      <c r="E35" s="44">
        <f>VCM!HU3-'Summary(3pcs)'!C35-'Summary(3pcs)'!$D$32</f>
        <v>147.00650466583789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22cc45140054</v>
      </c>
      <c r="M35" s="44">
        <f>OC!S3+VLOOKUP($R$31,$AD$38:$AK$42,4,FALSE)</f>
        <v>-1.8947901498999999</v>
      </c>
      <c r="N35" s="44">
        <f>OC!T3+VLOOKUP($R$31,$AD$38:$AK$42,5,FALSE)</f>
        <v>-2.8704140784999996</v>
      </c>
      <c r="O35" s="92"/>
      <c r="P35" s="92"/>
      <c r="Q35" s="90"/>
      <c r="R35" s="90"/>
      <c r="T35" s="79">
        <v>1</v>
      </c>
      <c r="U35" s="80" t="str">
        <f>FPDC!J3</f>
        <v>22cc45140054</v>
      </c>
      <c r="V35" s="75">
        <f>FPDC!R3+VLOOKUP($R$31,$AD$38:$AK$42,2,FALSE)+VLOOKUP($R$31,$AD$38:$AK$42,7,FALSE)+VLOOKUP('File location'!$B$1,'Tester offset'!$A$2:$D$4,3,FALSE)</f>
        <v>-5.4251943827</v>
      </c>
      <c r="W35" s="76">
        <f>FPDC!S3+VLOOKUP($R$31,$AD$38:$AK$42,3,FALSE)+VLOOKUP($R$31,$AD$38:$AK$42,8,FALSE)+VLOOKUP('File location'!$B$1,'Tester offset'!$A$2:$D$4,4,FALSE)</f>
        <v>-2.0356084108000001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22cc45140198</v>
      </c>
      <c r="C36" s="44">
        <f>IPQC!S4+VLOOKUP($R$31,$AD$38:$AK$42,6,FALSE)+VLOOKUP('File location'!$B$1,'Tester offset'!$A$2:$D$4,2,FALSE)</f>
        <v>89.954870813200003</v>
      </c>
      <c r="D36" s="44">
        <f>IPQC!Z4+VLOOKUP($R$31,$AD$38:$AK$42,6,FALSE)</f>
        <v>73.837629812200007</v>
      </c>
      <c r="E36" s="44">
        <f>VCM!HU4-'Summary(3pcs)'!C36-'Summary(3pcs)'!$D$32</f>
        <v>144.99817244663791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22cc45140198</v>
      </c>
      <c r="M36" s="44">
        <f>OC!S4+VLOOKUP($R$31,$AD$38:$AK$42,4,FALSE)</f>
        <v>0.37500017149999998</v>
      </c>
      <c r="N36" s="44">
        <f>OC!T4+VLOOKUP($R$31,$AD$38:$AK$42,5,FALSE)</f>
        <v>-4.3064210310999993</v>
      </c>
      <c r="O36" s="92"/>
      <c r="P36" s="92"/>
      <c r="Q36" s="90"/>
      <c r="R36" s="90"/>
      <c r="T36" s="79">
        <v>1</v>
      </c>
      <c r="U36" s="80" t="str">
        <f>FPDC!J4</f>
        <v>22cc45140198</v>
      </c>
      <c r="V36" s="75">
        <f>FPDC!R4+VLOOKUP($R$31,$AD$38:$AK$42,2,FALSE)+VLOOKUP($R$31,$AD$38:$AK$42,7,FALSE)+VLOOKUP('File location'!$B$1,'Tester offset'!$A$2:$D$4,3,FALSE)</f>
        <v>5.0439929962000001</v>
      </c>
      <c r="W36" s="76">
        <f>FPDC!S4+VLOOKUP($R$31,$AD$38:$AK$42,3,FALSE)+VLOOKUP($R$31,$AD$38:$AK$42,8,FALSE)+VLOOKUP('File location'!$B$1,'Tester offset'!$A$2:$D$4,4,FALSE)</f>
        <v>-2.39853859000001E-2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22cc45140701</v>
      </c>
      <c r="C37" s="44">
        <f>IPQC!S5+VLOOKUP($R$31,$AD$38:$AK$42,6,FALSE)+VLOOKUP('File location'!$B$1,'Tester offset'!$A$2:$D$4,2,FALSE)</f>
        <v>85.461377982000002</v>
      </c>
      <c r="D37" s="44">
        <f>IPQC!Z5+VLOOKUP($R$31,$AD$38:$AK$42,6,FALSE)</f>
        <v>68.2360358902</v>
      </c>
      <c r="E37" s="44">
        <f>VCM!HU5-'Summary(3pcs)'!C37-'Summary(3pcs)'!$D$32</f>
        <v>153.31226519653791</v>
      </c>
      <c r="F37" s="90">
        <f>AVERAGEIF($A$34:$A$45,2,$C$34:$C$45)</f>
        <v>91.805422411433327</v>
      </c>
      <c r="G37" s="91">
        <f>AVERAGEIF($A$34:$A$45,2,$D$34:$D$45)</f>
        <v>72.908627756999991</v>
      </c>
      <c r="H37" s="91">
        <f>AVERAGEIF($A$34:$A$45,2,$E$34:$E$45)</f>
        <v>147.2963870599379</v>
      </c>
      <c r="I37" s="91">
        <f>85-F37</f>
        <v>-6.8054224114333266</v>
      </c>
      <c r="J37"/>
      <c r="K37" s="79">
        <f t="shared" si="1"/>
        <v>2</v>
      </c>
      <c r="L37" s="80" t="str">
        <f>OC!J5</f>
        <v>22cc45140701</v>
      </c>
      <c r="M37" s="44">
        <f>OC!S5+VLOOKUP($R$31,$AD$38:$AK$42,4,FALSE)</f>
        <v>-7.2422305300999996</v>
      </c>
      <c r="N37" s="44">
        <f>OC!T5+VLOOKUP($R$31,$AD$38:$AK$42,5,FALSE)</f>
        <v>2.6561749775000001</v>
      </c>
      <c r="O37" s="92">
        <f>AVERAGEIF($K$34:$K$45,2,$M$34:$M$45)</f>
        <v>-5.9374945592000001</v>
      </c>
      <c r="P37" s="92">
        <f>AVERAGEIF($K$34:$K$45,2,$N$34:$N$45)</f>
        <v>2.1152319519666669</v>
      </c>
      <c r="Q37" s="90">
        <f>P37*0.001</f>
        <v>2.1152319519666669E-3</v>
      </c>
      <c r="R37" s="90">
        <f>O37*0.001</f>
        <v>-5.9374945592000003E-3</v>
      </c>
      <c r="T37" s="79">
        <v>2</v>
      </c>
      <c r="U37" s="80" t="str">
        <f>FPDC!J5</f>
        <v>22cc45140701</v>
      </c>
      <c r="V37" s="75">
        <f>FPDC!R5+VLOOKUP($R$31,$AD$38:$AK$42,2,FALSE)+VLOOKUP($R$31,$AD$38:$AK$42,7,FALSE)+VLOOKUP('File location'!$B$1,'Tester offset'!$A$2:$D$4,3,FALSE)</f>
        <v>-2.8715896605999998</v>
      </c>
      <c r="W37" s="76">
        <f>FPDC!S5+VLOOKUP($R$31,$AD$38:$AK$42,3,FALSE)+VLOOKUP($R$31,$AD$38:$AK$42,8,FALSE)+VLOOKUP('File location'!$B$1,'Tester offset'!$A$2:$D$4,4,FALSE)</f>
        <v>7.1718883513999998</v>
      </c>
      <c r="X37" s="92">
        <f>AVERAGEIF($T$34:$T$45,2,$V$34:$V$45)</f>
        <v>0.90145238243333325</v>
      </c>
      <c r="Y37" s="92">
        <f>AVERAGEIF($T$34:$T$45,2,$W$34:$W$45)</f>
        <v>2.8833010991333334</v>
      </c>
      <c r="Z37" s="90">
        <f>(X37*-0.01)/4</f>
        <v>-2.2536309560833331E-3</v>
      </c>
      <c r="AA37" s="90">
        <f>(Y37*-0.01)/4</f>
        <v>-7.2082527478333335E-3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22cc45140035</v>
      </c>
      <c r="C38" s="44">
        <f>IPQC!S6+VLOOKUP($R$31,$AD$38:$AK$42,6,FALSE)+VLOOKUP('File location'!$B$1,'Tester offset'!$A$2:$D$4,2,FALSE)</f>
        <v>92.593460027600003</v>
      </c>
      <c r="D38" s="44">
        <f>IPQC!Z6+VLOOKUP($R$31,$AD$38:$AK$42,6,FALSE)</f>
        <v>74.267484735899998</v>
      </c>
      <c r="E38" s="44">
        <f>VCM!HU6-'Summary(3pcs)'!C38-'Summary(3pcs)'!$D$32</f>
        <v>144.07390468893789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22cc45140035</v>
      </c>
      <c r="M38" s="44">
        <f>OC!S6+VLOOKUP($R$31,$AD$38:$AK$42,4,FALSE)</f>
        <v>-2.6244992531000002</v>
      </c>
      <c r="N38" s="44">
        <f>OC!T6+VLOOKUP($R$31,$AD$38:$AK$42,5,FALSE)</f>
        <v>1.2808461000000002</v>
      </c>
      <c r="O38" s="92"/>
      <c r="P38" s="92"/>
      <c r="Q38" s="90"/>
      <c r="R38" s="90"/>
      <c r="T38" s="79">
        <v>2</v>
      </c>
      <c r="U38" s="80" t="str">
        <f>FPDC!J6</f>
        <v>22cc45140035</v>
      </c>
      <c r="V38" s="75">
        <f>FPDC!R6+VLOOKUP($R$31,$AD$38:$AK$42,2,FALSE)+VLOOKUP($R$31,$AD$38:$AK$42,7,FALSE)+VLOOKUP('File location'!$B$1,'Tester offset'!$A$2:$D$4,3,FALSE)</f>
        <v>4.6879434585999995</v>
      </c>
      <c r="W38" s="76">
        <f>FPDC!S6+VLOOKUP($R$31,$AD$38:$AK$42,3,FALSE)+VLOOKUP($R$31,$AD$38:$AK$42,8,FALSE)+VLOOKUP('File location'!$B$1,'Tester offset'!$A$2:$D$4,4,FALSE)</f>
        <v>-1.2077445983999999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22cc45140417</v>
      </c>
      <c r="C39" s="44">
        <f>IPQC!S7+VLOOKUP($R$31,$AD$38:$AK$42,6,FALSE)+VLOOKUP('File location'!$B$1,'Tester offset'!$A$2:$D$4,2,FALSE)</f>
        <v>97.361429224700004</v>
      </c>
      <c r="D39" s="44">
        <f>IPQC!Z7+VLOOKUP($R$31,$AD$38:$AK$42,6,FALSE)</f>
        <v>76.222362644900002</v>
      </c>
      <c r="E39" s="44">
        <f>VCM!HU7-'Summary(3pcs)'!C39-'Summary(3pcs)'!$D$32</f>
        <v>144.5029912943379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22cc45140417</v>
      </c>
      <c r="M39" s="44">
        <f>OC!S7+VLOOKUP($R$31,$AD$38:$AK$42,4,FALSE)</f>
        <v>-7.9457538944000001</v>
      </c>
      <c r="N39" s="44">
        <f>OC!T7+VLOOKUP($R$31,$AD$38:$AK$42,5,FALSE)</f>
        <v>2.4086747784</v>
      </c>
      <c r="O39" s="92"/>
      <c r="P39" s="92"/>
      <c r="Q39" s="90"/>
      <c r="R39" s="90"/>
      <c r="T39" s="79">
        <v>2</v>
      </c>
      <c r="U39" s="80" t="str">
        <f>FPDC!J7</f>
        <v>22cc45140417</v>
      </c>
      <c r="V39" s="75">
        <f>FPDC!R7+VLOOKUP($R$31,$AD$38:$AK$42,2,FALSE)+VLOOKUP($R$31,$AD$38:$AK$42,7,FALSE)+VLOOKUP('File location'!$B$1,'Tester offset'!$A$2:$D$4,3,FALSE)</f>
        <v>0.88800334929999991</v>
      </c>
      <c r="W39" s="76">
        <f>FPDC!S7+VLOOKUP($R$31,$AD$38:$AK$42,3,FALSE)+VLOOKUP($R$31,$AD$38:$AK$42,8,FALSE)+VLOOKUP('File location'!$B$1,'Tester offset'!$A$2:$D$4,4,FALSE)</f>
        <v>2.6857595443999998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22cc45140729</v>
      </c>
      <c r="C40" s="44">
        <f>IPQC!S8+VLOOKUP($R$31,$AD$38:$AK$42,6,FALSE)+VLOOKUP('File location'!$B$1,'Tester offset'!$A$2:$D$4,2,FALSE)</f>
        <v>93.920504816399998</v>
      </c>
      <c r="D40" s="44">
        <f>IPQC!Z8+VLOOKUP($R$31,$AD$38:$AK$42,6,FALSE)</f>
        <v>72.549776310699997</v>
      </c>
      <c r="E40" s="44">
        <f>VCM!HU8-'Summary(3pcs)'!C40-'Summary(3pcs)'!$D$32</f>
        <v>142.8335871439379</v>
      </c>
      <c r="F40" s="90">
        <f>AVERAGEIF($A$34:$A$45,3,$C$34:$C$45)</f>
        <v>92.555537182899982</v>
      </c>
      <c r="G40" s="91">
        <f>AVERAGEIF($A$34:$A$45,3,$D$34:$D$45)</f>
        <v>72.951677868166669</v>
      </c>
      <c r="H40" s="91">
        <f>AVERAGEIF($A$34:$A$45,3,$E$34:$E$45)</f>
        <v>145.00021728220457</v>
      </c>
      <c r="I40" s="91">
        <f>85-F40</f>
        <v>-7.5555371828999824</v>
      </c>
      <c r="J40"/>
      <c r="K40" s="79">
        <f t="shared" si="1"/>
        <v>3</v>
      </c>
      <c r="L40" s="80" t="str">
        <f>OC!J8</f>
        <v>22cc45140729</v>
      </c>
      <c r="M40" s="44">
        <f>OC!S8+VLOOKUP($R$31,$AD$38:$AK$42,4,FALSE)</f>
        <v>-7.1348401148000002</v>
      </c>
      <c r="N40" s="44">
        <f>OC!T8+VLOOKUP($R$31,$AD$38:$AK$42,5,FALSE)</f>
        <v>17.8854275363</v>
      </c>
      <c r="O40" s="92">
        <f>AVERAGEIF($K$34:$K$45,3,$M$34:$M$45)</f>
        <v>-7.5586332948666666</v>
      </c>
      <c r="P40" s="92">
        <f>AVERAGEIF($K$34:$K$45,3,$N$34:$N$45)</f>
        <v>10.261956865166667</v>
      </c>
      <c r="Q40" s="90">
        <f>P40*0.001</f>
        <v>1.0261956865166667E-2</v>
      </c>
      <c r="R40" s="90">
        <f>O40*0.001</f>
        <v>-7.558633294866667E-3</v>
      </c>
      <c r="T40" s="79">
        <v>3</v>
      </c>
      <c r="U40" s="80" t="str">
        <f>FPDC!J8</f>
        <v>22cc45140729</v>
      </c>
      <c r="V40" s="75">
        <f>FPDC!R8+VLOOKUP($R$31,$AD$38:$AK$42,2,FALSE)+VLOOKUP($R$31,$AD$38:$AK$42,7,FALSE)+VLOOKUP('File location'!$B$1,'Tester offset'!$A$2:$D$4,3,FALSE)</f>
        <v>6.0270309447999999</v>
      </c>
      <c r="W40" s="76">
        <f>FPDC!S8+VLOOKUP($R$31,$AD$38:$AK$42,3,FALSE)+VLOOKUP($R$31,$AD$38:$AK$42,8,FALSE)+VLOOKUP('File location'!$B$1,'Tester offset'!$A$2:$D$4,4,FALSE)</f>
        <v>-0.86010241510000007</v>
      </c>
      <c r="X40" s="92">
        <f>AVERAGEIF($T$34:$T$45,3,$V$34:$V$45)</f>
        <v>0.95762054126666651</v>
      </c>
      <c r="Y40" s="92">
        <f>AVERAGEIF($T$34:$T$45,3,$W$34:$W$45)</f>
        <v>-2.3663096725999999</v>
      </c>
      <c r="Z40" s="90">
        <f>(X40*-0.01)/4</f>
        <v>-2.3940513531666664E-3</v>
      </c>
      <c r="AA40" s="90">
        <f>(Y40*-0.01)/4</f>
        <v>5.9157741815000003E-3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22cc45140975</v>
      </c>
      <c r="C41" s="44">
        <f>IPQC!S9+VLOOKUP($R$31,$AD$38:$AK$42,6,FALSE)+VLOOKUP('File location'!$B$1,'Tester offset'!$A$2:$D$4,2,FALSE)</f>
        <v>92.059823755400004</v>
      </c>
      <c r="D41" s="44">
        <f>IPQC!Z9+VLOOKUP($R$31,$AD$38:$AK$42,6,FALSE)</f>
        <v>72.167527899899994</v>
      </c>
      <c r="E41" s="44">
        <f>VCM!HU9-'Summary(3pcs)'!C41-'Summary(3pcs)'!$D$32</f>
        <v>144.29209867823795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22cc45140975</v>
      </c>
      <c r="M41" s="44">
        <f>OC!S9+VLOOKUP($R$31,$AD$38:$AK$42,4,FALSE)</f>
        <v>-11.196982519700001</v>
      </c>
      <c r="N41" s="44">
        <f>OC!T9+VLOOKUP($R$31,$AD$38:$AK$42,5,FALSE)</f>
        <v>5.4278506076999999</v>
      </c>
      <c r="O41" s="92"/>
      <c r="P41" s="92"/>
      <c r="Q41" s="90"/>
      <c r="R41" s="90"/>
      <c r="T41" s="79">
        <v>3</v>
      </c>
      <c r="U41" s="80" t="str">
        <f>FPDC!J9</f>
        <v>22cc45140975</v>
      </c>
      <c r="V41" s="75">
        <f>FPDC!R9+VLOOKUP($R$31,$AD$38:$AK$42,2,FALSE)+VLOOKUP($R$31,$AD$38:$AK$42,7,FALSE)+VLOOKUP('File location'!$B$1,'Tester offset'!$A$2:$D$4,3,FALSE)</f>
        <v>-4.4978058338000002</v>
      </c>
      <c r="W41" s="76">
        <f>FPDC!S9+VLOOKUP($R$31,$AD$38:$AK$42,3,FALSE)+VLOOKUP($R$31,$AD$38:$AK$42,8,FALSE)+VLOOKUP('File location'!$B$1,'Tester offset'!$A$2:$D$4,4,FALSE)</f>
        <v>-3.0317787826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22cc45140759</v>
      </c>
      <c r="C42" s="44">
        <f>IPQC!S10+VLOOKUP($R$31,$AD$38:$AK$42,6,FALSE)+VLOOKUP('File location'!$B$1,'Tester offset'!$A$2:$D$4,2,FALSE)</f>
        <v>91.686282976900003</v>
      </c>
      <c r="D42" s="44">
        <f>IPQC!Z10+VLOOKUP($R$31,$AD$38:$AK$42,6,FALSE)</f>
        <v>74.137729393900003</v>
      </c>
      <c r="E42" s="44">
        <f>VCM!HU10-'Summary(3pcs)'!C42-'Summary(3pcs)'!$D$32</f>
        <v>147.87496602443787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22cc45140759</v>
      </c>
      <c r="M42" s="44">
        <f>OC!S10+VLOOKUP($R$31,$AD$38:$AK$42,4,FALSE)</f>
        <v>-4.3440772500999998</v>
      </c>
      <c r="N42" s="44">
        <f>OC!T10+VLOOKUP($R$31,$AD$38:$AK$42,5,FALSE)</f>
        <v>7.4725924515000006</v>
      </c>
      <c r="O42" s="92"/>
      <c r="P42" s="92"/>
      <c r="Q42" s="90"/>
      <c r="R42" s="90"/>
      <c r="T42" s="79">
        <v>3</v>
      </c>
      <c r="U42" s="80" t="str">
        <f>FPDC!J10</f>
        <v>22cc45140759</v>
      </c>
      <c r="V42" s="75">
        <f>FPDC!R10+VLOOKUP($R$31,$AD$38:$AK$42,2,FALSE)+VLOOKUP($R$31,$AD$38:$AK$42,7,FALSE)+VLOOKUP('File location'!$B$1,'Tester offset'!$A$2:$D$4,3,FALSE)</f>
        <v>1.3436365127999998</v>
      </c>
      <c r="W42" s="76">
        <f>FPDC!S10+VLOOKUP($R$31,$AD$38:$AK$42,3,FALSE)+VLOOKUP($R$31,$AD$38:$AK$42,8,FALSE)+VLOOKUP('File location'!$B$1,'Tester offset'!$A$2:$D$4,4,FALSE)</f>
        <v>-3.2070478201000001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22cc45140954</v>
      </c>
      <c r="C43" s="44">
        <f>IPQC!S11+VLOOKUP($R$31,$AD$38:$AK$42,6,FALSE)+VLOOKUP('File location'!$B$1,'Tester offset'!$A$2:$D$4,2,FALSE)</f>
        <v>90.928429652800006</v>
      </c>
      <c r="D43" s="44">
        <f>IPQC!Z11+VLOOKUP($R$31,$AD$38:$AK$42,6,FALSE)</f>
        <v>67.813985449599997</v>
      </c>
      <c r="E43" s="44">
        <f>VCM!HU11-'Summary(3pcs)'!C43-'Summary(3pcs)'!$D$32</f>
        <v>150.25496682393793</v>
      </c>
      <c r="F43" s="90">
        <f>AVERAGEIF($A$34:$A$45,4,$C$34:$C$45)</f>
        <v>90.304978381433344</v>
      </c>
      <c r="G43" s="91">
        <f>AVERAGEIF($A$34:$A$45,4,$D$34:$D$45)</f>
        <v>68.854901834333319</v>
      </c>
      <c r="H43" s="91">
        <f>AVERAGEIF($A$34:$A$45,4,$E$34:$E$45)</f>
        <v>144.13291801783791</v>
      </c>
      <c r="I43" s="91">
        <f>85-F43</f>
        <v>-5.3049783814333438</v>
      </c>
      <c r="J43"/>
      <c r="K43" s="79">
        <f t="shared" si="1"/>
        <v>4</v>
      </c>
      <c r="L43" s="80" t="str">
        <f>OC!J11</f>
        <v>22cc45140954</v>
      </c>
      <c r="M43" s="44">
        <f>OC!S11+VLOOKUP($R$31,$AD$38:$AK$42,4,FALSE)</f>
        <v>-5.5790576902</v>
      </c>
      <c r="N43" s="44">
        <f>OC!T11+VLOOKUP($R$31,$AD$38:$AK$42,5,FALSE)</f>
        <v>7.9115062083000005</v>
      </c>
      <c r="O43" s="92">
        <f>AVERAGEIF($K$34:$K$45,4,$M$34:$M$45)</f>
        <v>-8.1358415828999995</v>
      </c>
      <c r="P43" s="92">
        <f>AVERAGEIF($K$34:$K$45,4,$N$34:$N$45)</f>
        <v>6.5423474728666662</v>
      </c>
      <c r="Q43" s="90">
        <f>P43*0.001</f>
        <v>6.5423474728666664E-3</v>
      </c>
      <c r="R43" s="90">
        <f>O43*0.001</f>
        <v>-8.1358415829000004E-3</v>
      </c>
      <c r="T43" s="79">
        <v>4</v>
      </c>
      <c r="U43" s="80" t="str">
        <f>FPDC!J11</f>
        <v>22cc45140954</v>
      </c>
      <c r="V43" s="75">
        <f>FPDC!R11+VLOOKUP($R$31,$AD$38:$AK$42,2,FALSE)+VLOOKUP($R$31,$AD$38:$AK$42,7,FALSE)+VLOOKUP('File location'!$B$1,'Tester offset'!$A$2:$D$4,3,FALSE)</f>
        <v>-4.9032349586000006</v>
      </c>
      <c r="W43" s="76">
        <f>FPDC!S11+VLOOKUP($R$31,$AD$38:$AK$42,3,FALSE)+VLOOKUP($R$31,$AD$38:$AK$42,8,FALSE)+VLOOKUP('File location'!$B$1,'Tester offset'!$A$2:$D$4,4,FALSE)</f>
        <v>0.70989727969999983</v>
      </c>
      <c r="X43" s="92">
        <f>AVERAGEIF($T$34:$T$45,4,$V$34:$V$45)</f>
        <v>-5.5073605378333328</v>
      </c>
      <c r="Y43" s="92">
        <f>AVERAGEIF($T$34:$T$45,4,$W$34:$W$45)</f>
        <v>-1.3655799428666668</v>
      </c>
      <c r="Z43" s="90">
        <f>(X43*-0.01)/4</f>
        <v>1.3768401344583332E-2</v>
      </c>
      <c r="AA43" s="90">
        <f>(Y43*-0.01)/4</f>
        <v>3.413949857166667E-3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22cc45140939</v>
      </c>
      <c r="C44" s="44">
        <f>IPQC!S12+VLOOKUP($R$31,$AD$38:$AK$42,6,FALSE)+VLOOKUP('File location'!$B$1,'Tester offset'!$A$2:$D$4,2,FALSE)</f>
        <v>89.474204182600005</v>
      </c>
      <c r="D44" s="44">
        <f>IPQC!Z12+VLOOKUP($R$31,$AD$38:$AK$42,6,FALSE)</f>
        <v>67.735961876000005</v>
      </c>
      <c r="E44" s="44">
        <f>VCM!HU12-'Summary(3pcs)'!C44-'Summary(3pcs)'!$D$32</f>
        <v>143.19265121583794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22cc45140939</v>
      </c>
      <c r="M44" s="44">
        <f>OC!S12+VLOOKUP($R$31,$AD$38:$AK$42,4,FALSE)</f>
        <v>-10.208228179500001</v>
      </c>
      <c r="N44" s="44">
        <f>OC!T12+VLOOKUP($R$31,$AD$38:$AK$42,5,FALSE)</f>
        <v>6.9964354489999998</v>
      </c>
      <c r="O44" s="92"/>
      <c r="P44" s="92"/>
      <c r="Q44" s="90"/>
      <c r="R44" s="90"/>
      <c r="T44" s="79">
        <v>4</v>
      </c>
      <c r="U44" s="80" t="str">
        <f>FPDC!J12</f>
        <v>22cc45140939</v>
      </c>
      <c r="V44" s="75">
        <f>FPDC!R12+VLOOKUP($R$31,$AD$38:$AK$42,2,FALSE)+VLOOKUP($R$31,$AD$38:$AK$42,7,FALSE)+VLOOKUP('File location'!$B$1,'Tester offset'!$A$2:$D$4,3,FALSE)</f>
        <v>-7.4712831974</v>
      </c>
      <c r="W44" s="76">
        <f>FPDC!S12+VLOOKUP($R$31,$AD$38:$AK$42,3,FALSE)+VLOOKUP($R$31,$AD$38:$AK$42,8,FALSE)+VLOOKUP('File location'!$B$1,'Tester offset'!$A$2:$D$4,4,FALSE)</f>
        <v>-1.6431072950000001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22cc45140225</v>
      </c>
      <c r="C45" s="44">
        <f>IPQC!S13+VLOOKUP($R$31,$AD$38:$AK$42,6,FALSE)+VLOOKUP('File location'!$B$1,'Tester offset'!$A$2:$D$4,2,FALSE)</f>
        <v>90.512301308900007</v>
      </c>
      <c r="D45" s="44">
        <f>IPQC!Z13+VLOOKUP($R$31,$AD$38:$AK$42,6,FALSE)</f>
        <v>71.014758177399997</v>
      </c>
      <c r="E45" s="44">
        <f>VCM!HU13-'Summary(3pcs)'!C45-'Summary(3pcs)'!$D$32</f>
        <v>138.95113601373788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22cc45140225</v>
      </c>
      <c r="M45" s="44">
        <f>OC!S13+VLOOKUP($R$31,$AD$38:$AK$42,4,FALSE)</f>
        <v>-8.6202388790000004</v>
      </c>
      <c r="N45" s="44">
        <f>OC!T13+VLOOKUP($R$31,$AD$38:$AK$42,5,FALSE)</f>
        <v>4.7191007613</v>
      </c>
      <c r="O45" s="92"/>
      <c r="P45" s="92"/>
      <c r="Q45" s="90"/>
      <c r="R45" s="90"/>
      <c r="T45" s="79">
        <v>4</v>
      </c>
      <c r="U45" s="80" t="str">
        <f>FPDC!J13</f>
        <v>22cc45140225</v>
      </c>
      <c r="V45" s="75">
        <f>FPDC!R13+VLOOKUP($R$31,$AD$38:$AK$42,2,FALSE)+VLOOKUP($R$31,$AD$38:$AK$42,7,FALSE)+VLOOKUP('File location'!$B$1,'Tester offset'!$A$2:$D$4,3,FALSE)</f>
        <v>-4.1475634575000004</v>
      </c>
      <c r="W45" s="76">
        <f>FPDC!S13+VLOOKUP($R$31,$AD$38:$AK$42,3,FALSE)+VLOOKUP($R$31,$AD$38:$AK$42,8,FALSE)+VLOOKUP('File location'!$B$1,'Tester offset'!$A$2:$D$4,4,FALSE)</f>
        <v>-3.1635298132999998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87.964781081200002</v>
      </c>
      <c r="L54" s="49">
        <f t="shared" ref="L54:L65" si="4">D34</f>
        <v>69.123344860099991</v>
      </c>
      <c r="M54" s="49">
        <f t="shared" ref="M54:M65" si="5">E34</f>
        <v>138.55653129713789</v>
      </c>
      <c r="N54" s="49">
        <f t="shared" ref="N54:O65" si="6">M34</f>
        <v>1.0564530388</v>
      </c>
      <c r="O54" s="49">
        <f t="shared" si="6"/>
        <v>6.0391756275000006</v>
      </c>
      <c r="P54" s="49">
        <f t="shared" ref="P54:P65" si="7">V34</f>
        <v>-11.204435348499999</v>
      </c>
      <c r="Q54" s="50">
        <f t="shared" ref="Q54:Q65" si="8">W34</f>
        <v>-2.0291355848000001</v>
      </c>
    </row>
    <row r="55" spans="6:27" ht="19.5">
      <c r="I55" s="47">
        <f t="shared" si="2"/>
        <v>1</v>
      </c>
      <c r="J55" s="46"/>
      <c r="K55" s="51">
        <f t="shared" si="3"/>
        <v>86.071713337999995</v>
      </c>
      <c r="L55" s="52">
        <f t="shared" si="4"/>
        <v>63.383139416600002</v>
      </c>
      <c r="M55" s="52">
        <f t="shared" si="5"/>
        <v>147.00650466583789</v>
      </c>
      <c r="N55" s="52">
        <f t="shared" si="6"/>
        <v>-1.8947901498999999</v>
      </c>
      <c r="O55" s="52">
        <f t="shared" si="6"/>
        <v>-2.8704140784999996</v>
      </c>
      <c r="P55" s="52">
        <f t="shared" si="7"/>
        <v>-5.4251943827</v>
      </c>
      <c r="Q55" s="53">
        <f t="shared" si="8"/>
        <v>-2.0356084108000001</v>
      </c>
    </row>
    <row r="56" spans="6:27" ht="19.5">
      <c r="I56" s="47">
        <f t="shared" si="2"/>
        <v>1</v>
      </c>
      <c r="J56" s="46"/>
      <c r="K56" s="54">
        <f t="shared" si="3"/>
        <v>89.954870813200003</v>
      </c>
      <c r="L56" s="55">
        <f t="shared" si="4"/>
        <v>73.837629812200007</v>
      </c>
      <c r="M56" s="55">
        <f t="shared" si="5"/>
        <v>144.99817244663791</v>
      </c>
      <c r="N56" s="55">
        <f t="shared" si="6"/>
        <v>0.37500017149999998</v>
      </c>
      <c r="O56" s="55">
        <f t="shared" si="6"/>
        <v>-4.3064210310999993</v>
      </c>
      <c r="P56" s="55">
        <f t="shared" si="7"/>
        <v>5.0439929962000001</v>
      </c>
      <c r="Q56" s="56">
        <f t="shared" si="8"/>
        <v>-2.39853859000001E-2</v>
      </c>
    </row>
    <row r="57" spans="6:27" ht="19.5">
      <c r="I57" s="47">
        <f t="shared" si="2"/>
        <v>2</v>
      </c>
      <c r="J57" s="46"/>
      <c r="K57" s="57">
        <f t="shared" si="3"/>
        <v>85.461377982000002</v>
      </c>
      <c r="L57" s="58">
        <f t="shared" si="4"/>
        <v>68.2360358902</v>
      </c>
      <c r="M57" s="58">
        <f t="shared" si="5"/>
        <v>153.31226519653791</v>
      </c>
      <c r="N57" s="58">
        <f t="shared" si="6"/>
        <v>-7.2422305300999996</v>
      </c>
      <c r="O57" s="58">
        <f t="shared" si="6"/>
        <v>2.6561749775000001</v>
      </c>
      <c r="P57" s="58">
        <f t="shared" si="7"/>
        <v>-2.8715896605999998</v>
      </c>
      <c r="Q57" s="59">
        <f t="shared" si="8"/>
        <v>7.1718883513999998</v>
      </c>
    </row>
    <row r="58" spans="6:27" ht="19.5">
      <c r="I58" s="47">
        <f t="shared" si="2"/>
        <v>2</v>
      </c>
      <c r="J58" s="46"/>
      <c r="K58" s="57">
        <f t="shared" si="3"/>
        <v>92.593460027600003</v>
      </c>
      <c r="L58" s="58">
        <f t="shared" si="4"/>
        <v>74.267484735899998</v>
      </c>
      <c r="M58" s="58">
        <f t="shared" si="5"/>
        <v>144.07390468893789</v>
      </c>
      <c r="N58" s="58">
        <f t="shared" si="6"/>
        <v>-2.6244992531000002</v>
      </c>
      <c r="O58" s="58">
        <f t="shared" si="6"/>
        <v>1.2808461000000002</v>
      </c>
      <c r="P58" s="58">
        <f t="shared" si="7"/>
        <v>4.6879434585999995</v>
      </c>
      <c r="Q58" s="59">
        <f t="shared" si="8"/>
        <v>-1.2077445983999999</v>
      </c>
    </row>
    <row r="59" spans="6:27" ht="19.5">
      <c r="I59" s="47">
        <f t="shared" si="2"/>
        <v>2</v>
      </c>
      <c r="J59" s="46"/>
      <c r="K59" s="57">
        <f t="shared" si="3"/>
        <v>97.361429224700004</v>
      </c>
      <c r="L59" s="58">
        <f t="shared" si="4"/>
        <v>76.222362644900002</v>
      </c>
      <c r="M59" s="58">
        <f t="shared" si="5"/>
        <v>144.5029912943379</v>
      </c>
      <c r="N59" s="58">
        <f t="shared" si="6"/>
        <v>-7.9457538944000001</v>
      </c>
      <c r="O59" s="58">
        <f t="shared" si="6"/>
        <v>2.4086747784</v>
      </c>
      <c r="P59" s="58">
        <f t="shared" si="7"/>
        <v>0.88800334929999991</v>
      </c>
      <c r="Q59" s="59">
        <f t="shared" si="8"/>
        <v>2.6857595443999998</v>
      </c>
    </row>
    <row r="60" spans="6:27" ht="19.5">
      <c r="I60" s="47">
        <f t="shared" si="2"/>
        <v>3</v>
      </c>
      <c r="J60" s="46"/>
      <c r="K60" s="60">
        <f t="shared" si="3"/>
        <v>93.920504816399998</v>
      </c>
      <c r="L60" s="61">
        <f t="shared" si="4"/>
        <v>72.549776310699997</v>
      </c>
      <c r="M60" s="61">
        <f t="shared" si="5"/>
        <v>142.8335871439379</v>
      </c>
      <c r="N60" s="61">
        <f t="shared" si="6"/>
        <v>-7.1348401148000002</v>
      </c>
      <c r="O60" s="61">
        <f t="shared" si="6"/>
        <v>17.8854275363</v>
      </c>
      <c r="P60" s="61">
        <f t="shared" si="7"/>
        <v>6.0270309447999999</v>
      </c>
      <c r="Q60" s="62">
        <f t="shared" si="8"/>
        <v>-0.86010241510000007</v>
      </c>
    </row>
    <row r="61" spans="6:27" ht="19.5">
      <c r="I61" s="47">
        <f t="shared" si="2"/>
        <v>3</v>
      </c>
      <c r="J61" s="46"/>
      <c r="K61" s="63">
        <f t="shared" si="3"/>
        <v>92.059823755400004</v>
      </c>
      <c r="L61" s="64">
        <f t="shared" si="4"/>
        <v>72.167527899899994</v>
      </c>
      <c r="M61" s="64">
        <f t="shared" si="5"/>
        <v>144.29209867823795</v>
      </c>
      <c r="N61" s="64">
        <f t="shared" si="6"/>
        <v>-11.196982519700001</v>
      </c>
      <c r="O61" s="64">
        <f t="shared" si="6"/>
        <v>5.4278506076999999</v>
      </c>
      <c r="P61" s="64">
        <f t="shared" si="7"/>
        <v>-4.4978058338000002</v>
      </c>
      <c r="Q61" s="65">
        <f t="shared" si="8"/>
        <v>-3.0317787826</v>
      </c>
    </row>
    <row r="62" spans="6:27" ht="19.5">
      <c r="I62" s="47">
        <f t="shared" si="2"/>
        <v>3</v>
      </c>
      <c r="J62" s="46"/>
      <c r="K62" s="66">
        <f t="shared" si="3"/>
        <v>91.686282976900003</v>
      </c>
      <c r="L62" s="67">
        <f t="shared" si="4"/>
        <v>74.137729393900003</v>
      </c>
      <c r="M62" s="67">
        <f t="shared" si="5"/>
        <v>147.87496602443787</v>
      </c>
      <c r="N62" s="67">
        <f t="shared" si="6"/>
        <v>-4.3440772500999998</v>
      </c>
      <c r="O62" s="67">
        <f t="shared" si="6"/>
        <v>7.4725924515000006</v>
      </c>
      <c r="P62" s="67">
        <f t="shared" si="7"/>
        <v>1.3436365127999998</v>
      </c>
      <c r="Q62" s="68">
        <f t="shared" si="8"/>
        <v>-3.2070478201000001</v>
      </c>
    </row>
    <row r="63" spans="6:27" ht="19.5">
      <c r="I63" s="47">
        <f t="shared" si="2"/>
        <v>4</v>
      </c>
      <c r="J63" s="46"/>
      <c r="K63" s="57">
        <f t="shared" si="3"/>
        <v>90.928429652800006</v>
      </c>
      <c r="L63" s="58">
        <f t="shared" si="4"/>
        <v>67.813985449599997</v>
      </c>
      <c r="M63" s="58">
        <f t="shared" si="5"/>
        <v>150.25496682393793</v>
      </c>
      <c r="N63" s="58">
        <f t="shared" si="6"/>
        <v>-5.5790576902</v>
      </c>
      <c r="O63" s="58">
        <f t="shared" si="6"/>
        <v>7.9115062083000005</v>
      </c>
      <c r="P63" s="58">
        <f t="shared" si="7"/>
        <v>-4.9032349586000006</v>
      </c>
      <c r="Q63" s="59">
        <f t="shared" si="8"/>
        <v>0.70989727969999983</v>
      </c>
    </row>
    <row r="64" spans="6:27" ht="19.5">
      <c r="I64" s="47">
        <f t="shared" si="2"/>
        <v>4</v>
      </c>
      <c r="J64" s="46"/>
      <c r="K64" s="57">
        <f t="shared" si="3"/>
        <v>89.474204182600005</v>
      </c>
      <c r="L64" s="58">
        <f t="shared" si="4"/>
        <v>67.735961876000005</v>
      </c>
      <c r="M64" s="58">
        <f t="shared" si="5"/>
        <v>143.19265121583794</v>
      </c>
      <c r="N64" s="58">
        <f t="shared" si="6"/>
        <v>-10.208228179500001</v>
      </c>
      <c r="O64" s="58">
        <f t="shared" si="6"/>
        <v>6.9964354489999998</v>
      </c>
      <c r="P64" s="58">
        <f t="shared" si="7"/>
        <v>-7.4712831974</v>
      </c>
      <c r="Q64" s="59">
        <f t="shared" si="8"/>
        <v>-1.6431072950000001</v>
      </c>
    </row>
    <row r="65" spans="9:17" ht="20.25" thickBot="1">
      <c r="I65" s="47">
        <f t="shared" si="2"/>
        <v>4</v>
      </c>
      <c r="J65" s="46"/>
      <c r="K65" s="69">
        <f t="shared" si="3"/>
        <v>90.512301308900007</v>
      </c>
      <c r="L65" s="70">
        <f t="shared" si="4"/>
        <v>71.014758177399997</v>
      </c>
      <c r="M65" s="70">
        <f t="shared" si="5"/>
        <v>138.95113601373788</v>
      </c>
      <c r="N65" s="70">
        <f t="shared" si="6"/>
        <v>-8.6202388790000004</v>
      </c>
      <c r="O65" s="70">
        <f t="shared" si="6"/>
        <v>4.7191007613</v>
      </c>
      <c r="P65" s="70">
        <f t="shared" si="7"/>
        <v>-4.1475634575000004</v>
      </c>
      <c r="Q65" s="71">
        <f t="shared" si="8"/>
        <v>-3.1635298132999998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2113.5564530388001</v>
      </c>
      <c r="R2">
        <v>1510.4608243724999</v>
      </c>
      <c r="S2">
        <v>1.0564530388</v>
      </c>
      <c r="T2">
        <v>2.0391756275000001</v>
      </c>
      <c r="U2">
        <v>2.2965910091000001</v>
      </c>
      <c r="V2">
        <v>746.86360000000002</v>
      </c>
      <c r="W2">
        <v>398.88470000000001</v>
      </c>
      <c r="X2">
        <v>398.50909999999999</v>
      </c>
      <c r="Y2">
        <v>397.7808</v>
      </c>
      <c r="Z2">
        <v>395.9366</v>
      </c>
      <c r="AA2">
        <v>572.32069999999999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2110.6052098501</v>
      </c>
      <c r="R3">
        <v>1519.3704140785001</v>
      </c>
      <c r="S3">
        <v>-1.8947901498999999</v>
      </c>
      <c r="T3">
        <v>-6.8704140784999996</v>
      </c>
      <c r="U3">
        <v>7.1269081180000002</v>
      </c>
      <c r="V3">
        <v>720.66880000000003</v>
      </c>
      <c r="W3">
        <v>388.6026</v>
      </c>
      <c r="X3">
        <v>387.0206</v>
      </c>
      <c r="Y3">
        <v>387.85809999999998</v>
      </c>
      <c r="Z3">
        <v>384.30529999999999</v>
      </c>
      <c r="AA3">
        <v>553.807725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551</v>
      </c>
      <c r="B4" t="s">
        <v>552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2112.8750001714998</v>
      </c>
      <c r="R4">
        <v>1520.8064210310999</v>
      </c>
      <c r="S4">
        <v>0.37500017149999998</v>
      </c>
      <c r="T4">
        <v>-8.3064210310999993</v>
      </c>
      <c r="U4">
        <v>8.3148815671000005</v>
      </c>
      <c r="V4">
        <v>734.71810000000005</v>
      </c>
      <c r="W4">
        <v>397.95249999999999</v>
      </c>
      <c r="X4">
        <v>396.6499</v>
      </c>
      <c r="Y4">
        <v>394.767</v>
      </c>
      <c r="Z4">
        <v>394.19049999999999</v>
      </c>
      <c r="AA4">
        <v>565.30403750000005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563</v>
      </c>
      <c r="B5" t="s">
        <v>564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2105.2577694698998</v>
      </c>
      <c r="R5">
        <v>1513.8438250224999</v>
      </c>
      <c r="S5">
        <v>-7.2422305300999996</v>
      </c>
      <c r="T5">
        <v>-1.3438250224999999</v>
      </c>
      <c r="U5">
        <v>7.3658515287000004</v>
      </c>
      <c r="V5">
        <v>734.96519999999998</v>
      </c>
      <c r="W5">
        <v>394.08569999999997</v>
      </c>
      <c r="X5">
        <v>394.49259999999998</v>
      </c>
      <c r="Y5">
        <v>397.3519</v>
      </c>
      <c r="Z5">
        <v>387.61529999999999</v>
      </c>
      <c r="AA5">
        <v>564.17578749999996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575</v>
      </c>
      <c r="B6" t="s">
        <v>576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2109.8755007468999</v>
      </c>
      <c r="R6">
        <v>1515.2191539</v>
      </c>
      <c r="S6">
        <v>-2.6244992531000002</v>
      </c>
      <c r="T6">
        <v>-2.7191538999999998</v>
      </c>
      <c r="U6">
        <v>3.7791261240999998</v>
      </c>
      <c r="V6">
        <v>715.17139999999995</v>
      </c>
      <c r="W6">
        <v>382.92430000000002</v>
      </c>
      <c r="X6">
        <v>383.32850000000002</v>
      </c>
      <c r="Y6">
        <v>381.92779999999999</v>
      </c>
      <c r="Z6">
        <v>378.94439999999997</v>
      </c>
      <c r="AA6">
        <v>548.47632499999997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587</v>
      </c>
      <c r="B7" t="s">
        <v>588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2104.5542461056002</v>
      </c>
      <c r="R7">
        <v>1514.0913252216001</v>
      </c>
      <c r="S7">
        <v>-7.9457538944000001</v>
      </c>
      <c r="T7">
        <v>-1.5913252216</v>
      </c>
      <c r="U7">
        <v>8.1035375554000009</v>
      </c>
      <c r="V7">
        <v>751.49189999999999</v>
      </c>
      <c r="W7">
        <v>400.91829999999999</v>
      </c>
      <c r="X7">
        <v>401.95209999999997</v>
      </c>
      <c r="Y7">
        <v>402.0881</v>
      </c>
      <c r="Z7">
        <v>396.536</v>
      </c>
      <c r="AA7">
        <v>575.93276249999997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599</v>
      </c>
      <c r="B8" t="s">
        <v>600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2105.3651598851998</v>
      </c>
      <c r="R8">
        <v>1498.6145724636999</v>
      </c>
      <c r="S8">
        <v>-7.1348401148000002</v>
      </c>
      <c r="T8">
        <v>13.8854275363</v>
      </c>
      <c r="U8">
        <v>15.6112472702</v>
      </c>
      <c r="V8">
        <v>728.4434</v>
      </c>
      <c r="W8">
        <v>391.7989</v>
      </c>
      <c r="X8">
        <v>387.72989999999999</v>
      </c>
      <c r="Y8">
        <v>392.23880000000003</v>
      </c>
      <c r="Z8">
        <v>387.51179999999999</v>
      </c>
      <c r="AA8">
        <v>559.13162499999999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611</v>
      </c>
      <c r="B9" t="s">
        <v>612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2101.3030174802998</v>
      </c>
      <c r="R9">
        <v>1511.0721493922999</v>
      </c>
      <c r="S9">
        <v>-11.196982519700001</v>
      </c>
      <c r="T9">
        <v>1.4278506076999999</v>
      </c>
      <c r="U9">
        <v>11.2876558641</v>
      </c>
      <c r="V9">
        <v>734.2414</v>
      </c>
      <c r="W9">
        <v>397.90730000000002</v>
      </c>
      <c r="X9">
        <v>396.61649999999997</v>
      </c>
      <c r="Y9">
        <v>396.40960000000001</v>
      </c>
      <c r="Z9">
        <v>387.46800000000002</v>
      </c>
      <c r="AA9">
        <v>564.42087500000002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623</v>
      </c>
      <c r="B10" t="s">
        <v>624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2108.1559227499001</v>
      </c>
      <c r="R10">
        <v>1509.0274075484999</v>
      </c>
      <c r="S10">
        <v>-4.3440772500999998</v>
      </c>
      <c r="T10">
        <v>3.4725924515000002</v>
      </c>
      <c r="U10">
        <v>5.5614661277000002</v>
      </c>
      <c r="V10">
        <v>749.45249999999999</v>
      </c>
      <c r="W10">
        <v>402.3152</v>
      </c>
      <c r="X10">
        <v>402.78730000000002</v>
      </c>
      <c r="Y10">
        <v>402.50529999999998</v>
      </c>
      <c r="Z10">
        <v>399.76400000000001</v>
      </c>
      <c r="AA10">
        <v>575.64772500000004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635</v>
      </c>
      <c r="B11" t="s">
        <v>636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2106.9209423098</v>
      </c>
      <c r="R11">
        <v>1508.5884937917001</v>
      </c>
      <c r="S11">
        <v>-5.5790576902</v>
      </c>
      <c r="T11">
        <v>3.9115062083000001</v>
      </c>
      <c r="U11">
        <v>6.8136455388000003</v>
      </c>
      <c r="V11">
        <v>747.98220000000003</v>
      </c>
      <c r="W11">
        <v>402.108</v>
      </c>
      <c r="X11">
        <v>401.10120000000001</v>
      </c>
      <c r="Y11">
        <v>405.93770000000001</v>
      </c>
      <c r="Z11">
        <v>395.04520000000002</v>
      </c>
      <c r="AA11">
        <v>574.51511249999999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647</v>
      </c>
      <c r="B12" t="s">
        <v>648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2102.2917718204999</v>
      </c>
      <c r="R12">
        <v>1509.503564551</v>
      </c>
      <c r="S12">
        <v>-10.208228179500001</v>
      </c>
      <c r="T12">
        <v>2.9964354489999998</v>
      </c>
      <c r="U12">
        <v>10.638916672600001</v>
      </c>
      <c r="V12">
        <v>734.83190000000002</v>
      </c>
      <c r="W12">
        <v>393.73759999999999</v>
      </c>
      <c r="X12">
        <v>390.60250000000002</v>
      </c>
      <c r="Y12">
        <v>396.4196</v>
      </c>
      <c r="Z12">
        <v>387.73540000000003</v>
      </c>
      <c r="AA12">
        <v>563.47783749999996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659</v>
      </c>
      <c r="B13" t="s">
        <v>660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2103.8797611209998</v>
      </c>
      <c r="R13">
        <v>1511.7808992386999</v>
      </c>
      <c r="S13">
        <v>-8.6202388790000004</v>
      </c>
      <c r="T13">
        <v>0.7191007613</v>
      </c>
      <c r="U13">
        <v>8.6501805897999997</v>
      </c>
      <c r="V13">
        <v>752.03250000000003</v>
      </c>
      <c r="W13">
        <v>404.73450000000003</v>
      </c>
      <c r="X13">
        <v>398.53030000000001</v>
      </c>
      <c r="Y13">
        <v>404.16910000000001</v>
      </c>
      <c r="Z13">
        <v>396.85129999999998</v>
      </c>
      <c r="AA13">
        <v>576.55190000000005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245</v>
      </c>
      <c r="AB1" t="s">
        <v>246</v>
      </c>
      <c r="AC1" t="s">
        <v>247</v>
      </c>
      <c r="AD1" t="s">
        <v>248</v>
      </c>
      <c r="AE1" t="s">
        <v>249</v>
      </c>
      <c r="AF1" t="s">
        <v>250</v>
      </c>
      <c r="AG1" t="s">
        <v>251</v>
      </c>
      <c r="AH1" t="s">
        <v>252</v>
      </c>
      <c r="AI1" t="s">
        <v>253</v>
      </c>
      <c r="AJ1" t="s">
        <v>254</v>
      </c>
      <c r="AK1" t="s">
        <v>255</v>
      </c>
      <c r="AL1" t="s">
        <v>256</v>
      </c>
      <c r="AM1" t="s">
        <v>257</v>
      </c>
      <c r="AN1" t="s">
        <v>258</v>
      </c>
      <c r="AO1" t="s">
        <v>259</v>
      </c>
      <c r="AP1" t="s">
        <v>260</v>
      </c>
      <c r="AQ1" t="s">
        <v>261</v>
      </c>
      <c r="AR1" t="s">
        <v>262</v>
      </c>
      <c r="AS1" t="s">
        <v>263</v>
      </c>
      <c r="AT1" t="s">
        <v>264</v>
      </c>
      <c r="AU1" t="s">
        <v>265</v>
      </c>
      <c r="AV1" t="s">
        <v>207</v>
      </c>
      <c r="AW1" t="s">
        <v>208</v>
      </c>
      <c r="AX1" t="s">
        <v>209</v>
      </c>
    </row>
    <row r="2" spans="1:50">
      <c r="A2" t="s">
        <v>266</v>
      </c>
      <c r="B2" t="s">
        <v>267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-7.1525999999999999E-6</v>
      </c>
      <c r="R2">
        <v>-4.2044353484999997</v>
      </c>
      <c r="S2">
        <v>0.9708644152</v>
      </c>
      <c r="T2">
        <v>4.9406709671</v>
      </c>
      <c r="U2">
        <v>7.9589099884000003</v>
      </c>
      <c r="V2">
        <v>-7.2661552429</v>
      </c>
      <c r="W2">
        <v>1.2285039424999999</v>
      </c>
      <c r="X2">
        <v>-0.38107132910000002</v>
      </c>
      <c r="Y2">
        <v>-0.99909746649999998</v>
      </c>
      <c r="Z2">
        <v>-0.74690967799999997</v>
      </c>
      <c r="AA2">
        <v>9.0225100500000002E-2</v>
      </c>
      <c r="AB2">
        <v>-2.4125871658000002</v>
      </c>
      <c r="AC2">
        <v>1.7131211758</v>
      </c>
      <c r="AD2">
        <v>-1.3610498904999999</v>
      </c>
      <c r="AE2">
        <v>-0.42404669519999999</v>
      </c>
      <c r="AF2">
        <v>0.14902308580000001</v>
      </c>
      <c r="AG2">
        <v>0.16059467199999999</v>
      </c>
      <c r="AH2">
        <v>-0.55831664800000003</v>
      </c>
      <c r="AI2">
        <v>0.32864844799999998</v>
      </c>
      <c r="AJ2">
        <v>0.45933076740000001</v>
      </c>
      <c r="AK2">
        <v>2.692498E-4</v>
      </c>
      <c r="AL2">
        <v>5.3307313500000002E-2</v>
      </c>
      <c r="AM2">
        <v>0.12893186509999999</v>
      </c>
      <c r="AN2">
        <v>0.1230728701</v>
      </c>
      <c r="AO2">
        <v>0.2089836299</v>
      </c>
      <c r="AP2">
        <v>0.2089836299</v>
      </c>
      <c r="AQ2">
        <v>4.3150729208999996</v>
      </c>
      <c r="AR2" t="s">
        <v>269</v>
      </c>
      <c r="AS2" t="s">
        <v>270</v>
      </c>
      <c r="AT2">
        <v>4</v>
      </c>
      <c r="AU2">
        <v>2.9</v>
      </c>
      <c r="AX2">
        <v>1</v>
      </c>
    </row>
    <row r="3" spans="1:50">
      <c r="A3" t="s">
        <v>548</v>
      </c>
      <c r="B3" t="s">
        <v>549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-2.7358499999999999E-5</v>
      </c>
      <c r="R3">
        <v>1.5748056173</v>
      </c>
      <c r="S3">
        <v>0.96439158920000001</v>
      </c>
      <c r="T3">
        <v>2.5622203350000001</v>
      </c>
      <c r="U3">
        <v>5.8822898864999997</v>
      </c>
      <c r="V3">
        <v>-6.8521003722999998</v>
      </c>
      <c r="W3">
        <v>1.3146334887</v>
      </c>
      <c r="X3">
        <v>1.0493532419</v>
      </c>
      <c r="Y3">
        <v>-0.44118148089999998</v>
      </c>
      <c r="Z3">
        <v>-1.5764729977</v>
      </c>
      <c r="AA3">
        <v>0.155090332</v>
      </c>
      <c r="AB3">
        <v>-1.1364583968999999</v>
      </c>
      <c r="AC3">
        <v>2.0022506714000001</v>
      </c>
      <c r="AD3">
        <v>-1.2791835069999999</v>
      </c>
      <c r="AE3">
        <v>-1.0483664274</v>
      </c>
      <c r="AF3">
        <v>0.46247035260000002</v>
      </c>
      <c r="AG3">
        <v>0.11884126070000001</v>
      </c>
      <c r="AH3">
        <v>7.12964237E-2</v>
      </c>
      <c r="AI3">
        <v>0.3372825384</v>
      </c>
      <c r="AJ3">
        <v>0.20944720510000001</v>
      </c>
      <c r="AK3">
        <v>2.1656210000000001E-4</v>
      </c>
      <c r="AL3">
        <v>4.8205338399999999E-2</v>
      </c>
      <c r="AM3">
        <v>0.1199615151</v>
      </c>
      <c r="AN3">
        <v>0.11199147249999999</v>
      </c>
      <c r="AO3">
        <v>0.1199615151</v>
      </c>
      <c r="AP3">
        <v>0.13522695000000001</v>
      </c>
      <c r="AQ3">
        <v>1.8466358248999999</v>
      </c>
      <c r="AR3" t="s">
        <v>269</v>
      </c>
      <c r="AS3" t="s">
        <v>270</v>
      </c>
      <c r="AT3">
        <v>4</v>
      </c>
      <c r="AU3">
        <v>2.9</v>
      </c>
      <c r="AX3">
        <v>1</v>
      </c>
    </row>
    <row r="4" spans="1:50">
      <c r="A4" t="s">
        <v>558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-1.5974E-5</v>
      </c>
      <c r="R4">
        <v>12.0439929962</v>
      </c>
      <c r="S4">
        <v>2.9760146140999999</v>
      </c>
      <c r="T4">
        <v>4.7970595359999999</v>
      </c>
      <c r="U4">
        <v>9.8916282653999996</v>
      </c>
      <c r="V4">
        <v>-4.4001131058</v>
      </c>
      <c r="W4">
        <v>-1.397559762</v>
      </c>
      <c r="X4">
        <v>1.0176311731000001</v>
      </c>
      <c r="Y4">
        <v>-0.1210302711</v>
      </c>
      <c r="Z4">
        <v>6.2132478000000001E-3</v>
      </c>
      <c r="AA4">
        <v>1.0959804058</v>
      </c>
      <c r="AB4">
        <v>-3.6741876601999999</v>
      </c>
      <c r="AC4">
        <v>1.1403981447</v>
      </c>
      <c r="AD4">
        <v>-0.62883460520000001</v>
      </c>
      <c r="AE4">
        <v>-0.8425937295</v>
      </c>
      <c r="AF4">
        <v>-0.37965649369999999</v>
      </c>
      <c r="AG4">
        <v>0.1182436347</v>
      </c>
      <c r="AH4">
        <v>-3.87322903E-2</v>
      </c>
      <c r="AI4">
        <v>-0.3156154156</v>
      </c>
      <c r="AJ4">
        <v>-0.25940874219999999</v>
      </c>
      <c r="AK4">
        <v>1.8216439999999999E-4</v>
      </c>
      <c r="AL4">
        <v>4.3494969600000002E-2</v>
      </c>
      <c r="AM4">
        <v>0.19953987000000001</v>
      </c>
      <c r="AN4">
        <v>0.1123303026</v>
      </c>
      <c r="AO4">
        <v>0.30165183540000001</v>
      </c>
      <c r="AP4">
        <v>0.30165183540000001</v>
      </c>
      <c r="AQ4">
        <v>12.4062254645</v>
      </c>
      <c r="AR4" t="s">
        <v>269</v>
      </c>
      <c r="AS4" t="s">
        <v>270</v>
      </c>
      <c r="AT4">
        <v>3</v>
      </c>
      <c r="AU4">
        <v>2.9</v>
      </c>
      <c r="AX4">
        <v>1</v>
      </c>
    </row>
    <row r="5" spans="1:50">
      <c r="A5" t="s">
        <v>570</v>
      </c>
      <c r="B5" t="s">
        <v>571</v>
      </c>
      <c r="C5" t="s">
        <v>212</v>
      </c>
      <c r="D5">
        <v>3</v>
      </c>
      <c r="E5" t="s">
        <v>213</v>
      </c>
      <c r="F5" t="s">
        <v>214</v>
      </c>
      <c r="G5" t="s">
        <v>268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7.1525999999999999E-6</v>
      </c>
      <c r="R5">
        <v>4.1284103394000002</v>
      </c>
      <c r="S5">
        <v>10.1718883514</v>
      </c>
      <c r="T5">
        <v>8.6925067901999995</v>
      </c>
      <c r="U5">
        <v>8.9277305603000006</v>
      </c>
      <c r="V5">
        <v>-10.623046875</v>
      </c>
      <c r="W5">
        <v>0.3593391776</v>
      </c>
      <c r="X5">
        <v>-1.9343981743000001</v>
      </c>
      <c r="Y5">
        <v>-2.5010452271000001</v>
      </c>
      <c r="Z5">
        <v>-0.27212858200000001</v>
      </c>
      <c r="AA5">
        <v>0.23272848130000001</v>
      </c>
      <c r="AB5">
        <v>-2.8761010169999999</v>
      </c>
      <c r="AC5">
        <v>2.7320976256999998</v>
      </c>
      <c r="AD5">
        <v>-0.83884727950000004</v>
      </c>
      <c r="AE5">
        <v>-0.19552826879999999</v>
      </c>
      <c r="AF5">
        <v>0.89745885130000003</v>
      </c>
      <c r="AG5">
        <v>-0.51052701469999995</v>
      </c>
      <c r="AH5">
        <v>-0.65522241589999997</v>
      </c>
      <c r="AI5">
        <v>9.9929928799999998E-2</v>
      </c>
      <c r="AJ5">
        <v>0.2066755891</v>
      </c>
      <c r="AK5">
        <v>1.532518E-4</v>
      </c>
      <c r="AL5">
        <v>3.9841212299999998E-2</v>
      </c>
      <c r="AM5">
        <v>0.2001213282</v>
      </c>
      <c r="AN5">
        <v>0.29187038539999999</v>
      </c>
      <c r="AO5">
        <v>0.30490446090000001</v>
      </c>
      <c r="AP5">
        <v>0.30490446090000001</v>
      </c>
      <c r="AQ5">
        <v>10.9777540765</v>
      </c>
      <c r="AR5" t="s">
        <v>269</v>
      </c>
      <c r="AS5" t="s">
        <v>270</v>
      </c>
      <c r="AT5">
        <v>3</v>
      </c>
      <c r="AU5">
        <v>2.9</v>
      </c>
      <c r="AX5">
        <v>1</v>
      </c>
    </row>
    <row r="6" spans="1:50">
      <c r="A6" t="s">
        <v>582</v>
      </c>
      <c r="B6" t="s">
        <v>583</v>
      </c>
      <c r="C6" t="s">
        <v>212</v>
      </c>
      <c r="D6">
        <v>3</v>
      </c>
      <c r="E6" t="s">
        <v>213</v>
      </c>
      <c r="F6" t="s">
        <v>214</v>
      </c>
      <c r="G6" t="s">
        <v>268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1.1921E-6</v>
      </c>
      <c r="R6">
        <v>11.6879434586</v>
      </c>
      <c r="S6">
        <v>1.7922554016000001</v>
      </c>
      <c r="T6">
        <v>3.3131227493000002</v>
      </c>
      <c r="U6">
        <v>6.9877719879000004</v>
      </c>
      <c r="V6">
        <v>-3.2437667847</v>
      </c>
      <c r="W6">
        <v>-1.1904431580999999</v>
      </c>
      <c r="X6">
        <v>-0.45819938180000003</v>
      </c>
      <c r="Y6">
        <v>-0.19447958470000001</v>
      </c>
      <c r="Z6">
        <v>0.35236555339999998</v>
      </c>
      <c r="AA6">
        <v>0.2909817696</v>
      </c>
      <c r="AB6">
        <v>-2.4232237339</v>
      </c>
      <c r="AC6">
        <v>0.96518975500000004</v>
      </c>
      <c r="AD6">
        <v>-5.9017360200000001E-2</v>
      </c>
      <c r="AE6">
        <v>0.2103075683</v>
      </c>
      <c r="AF6">
        <v>-0.1286014318</v>
      </c>
      <c r="AG6">
        <v>-0.16579604149999999</v>
      </c>
      <c r="AH6">
        <v>-0.28071609139999998</v>
      </c>
      <c r="AI6">
        <v>-0.64535117149999999</v>
      </c>
      <c r="AJ6">
        <v>0.27146413920000001</v>
      </c>
      <c r="AK6">
        <v>1.8397460000000001E-4</v>
      </c>
      <c r="AL6">
        <v>4.4854868200000002E-2</v>
      </c>
      <c r="AM6">
        <v>0.18137320879999999</v>
      </c>
      <c r="AN6">
        <v>7.0175796700000001E-2</v>
      </c>
      <c r="AO6">
        <v>0.25178742409999999</v>
      </c>
      <c r="AP6">
        <v>0.25178742409999999</v>
      </c>
      <c r="AQ6">
        <v>11.824559260899999</v>
      </c>
      <c r="AR6" t="s">
        <v>269</v>
      </c>
      <c r="AS6" t="s">
        <v>270</v>
      </c>
      <c r="AT6">
        <v>3</v>
      </c>
      <c r="AU6">
        <v>2.9</v>
      </c>
      <c r="AX6">
        <v>1</v>
      </c>
    </row>
    <row r="7" spans="1:50">
      <c r="A7" t="s">
        <v>594</v>
      </c>
      <c r="B7" t="s">
        <v>595</v>
      </c>
      <c r="C7" t="s">
        <v>212</v>
      </c>
      <c r="D7">
        <v>3</v>
      </c>
      <c r="E7" t="s">
        <v>213</v>
      </c>
      <c r="F7" t="s">
        <v>214</v>
      </c>
      <c r="G7" t="s">
        <v>268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-1.1921E-6</v>
      </c>
      <c r="R7">
        <v>7.8880033492999999</v>
      </c>
      <c r="S7">
        <v>5.6857595443999998</v>
      </c>
      <c r="T7">
        <v>2.4616723061000001</v>
      </c>
      <c r="U7">
        <v>4.3140649796000003</v>
      </c>
      <c r="V7">
        <v>-10.556982040399999</v>
      </c>
      <c r="W7">
        <v>0.20571854710000001</v>
      </c>
      <c r="X7">
        <v>-2.5280995369000001</v>
      </c>
      <c r="Y7">
        <v>-0.6839821935</v>
      </c>
      <c r="Z7">
        <v>0.458408922</v>
      </c>
      <c r="AA7">
        <v>-0.78309941289999996</v>
      </c>
      <c r="AB7">
        <v>-1.7047920227</v>
      </c>
      <c r="AC7">
        <v>2.9352962970999998</v>
      </c>
      <c r="AD7">
        <v>-1.1553725003999999</v>
      </c>
      <c r="AE7">
        <v>0.26050698760000002</v>
      </c>
      <c r="AF7">
        <v>0.3239194453</v>
      </c>
      <c r="AG7">
        <v>-0.2777690887</v>
      </c>
      <c r="AH7">
        <v>-0.65629249810000001</v>
      </c>
      <c r="AI7">
        <v>-0.93317818640000005</v>
      </c>
      <c r="AJ7">
        <v>0.81206238269999997</v>
      </c>
      <c r="AK7">
        <v>2.031487E-4</v>
      </c>
      <c r="AL7">
        <v>4.6628780699999997E-2</v>
      </c>
      <c r="AM7">
        <v>0.2330015302</v>
      </c>
      <c r="AN7">
        <v>0.2346040308</v>
      </c>
      <c r="AO7">
        <v>0.2346040308</v>
      </c>
      <c r="AP7">
        <v>0.2346040308</v>
      </c>
      <c r="AQ7">
        <v>9.7236031610999998</v>
      </c>
      <c r="AR7" t="s">
        <v>269</v>
      </c>
      <c r="AS7" t="s">
        <v>270</v>
      </c>
      <c r="AT7">
        <v>3</v>
      </c>
      <c r="AU7">
        <v>2.9</v>
      </c>
      <c r="AX7">
        <v>1</v>
      </c>
    </row>
    <row r="8" spans="1:50">
      <c r="A8" t="s">
        <v>606</v>
      </c>
      <c r="B8" t="s">
        <v>607</v>
      </c>
      <c r="C8" t="s">
        <v>212</v>
      </c>
      <c r="D8">
        <v>3</v>
      </c>
      <c r="E8" t="s">
        <v>213</v>
      </c>
      <c r="F8" t="s">
        <v>214</v>
      </c>
      <c r="G8" t="s">
        <v>268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-3.0993999999999999E-6</v>
      </c>
      <c r="R8">
        <v>13.0270309448</v>
      </c>
      <c r="S8">
        <v>2.1398975848999999</v>
      </c>
      <c r="T8">
        <v>-0.75705194470000003</v>
      </c>
      <c r="U8">
        <v>2.6422719954999998</v>
      </c>
      <c r="V8">
        <v>-2.2439887524</v>
      </c>
      <c r="W8">
        <v>-1.4499585629</v>
      </c>
      <c r="X8">
        <v>0.3725209236</v>
      </c>
      <c r="Y8">
        <v>0.87070775030000003</v>
      </c>
      <c r="Z8">
        <v>-1.3694167137</v>
      </c>
      <c r="AA8">
        <v>0.79294019940000005</v>
      </c>
      <c r="AB8">
        <v>-0.89837968349999997</v>
      </c>
      <c r="AC8">
        <v>1.6840372085999999</v>
      </c>
      <c r="AD8">
        <v>0.1729414463</v>
      </c>
      <c r="AE8">
        <v>-0.27629116180000002</v>
      </c>
      <c r="AF8">
        <v>-0.1793664992</v>
      </c>
      <c r="AG8">
        <v>-0.55337440969999996</v>
      </c>
      <c r="AH8">
        <v>0.174718231</v>
      </c>
      <c r="AI8">
        <v>0.1795068383</v>
      </c>
      <c r="AJ8">
        <v>-0.12647548319999999</v>
      </c>
      <c r="AK8">
        <v>1.931398E-4</v>
      </c>
      <c r="AL8">
        <v>4.5170430099999999E-2</v>
      </c>
      <c r="AM8">
        <v>0.19610583779999999</v>
      </c>
      <c r="AN8">
        <v>7.8524068000000002E-2</v>
      </c>
      <c r="AO8">
        <v>0.19610583779999999</v>
      </c>
      <c r="AP8">
        <v>0.19610583779999999</v>
      </c>
      <c r="AQ8">
        <v>13.2016172082</v>
      </c>
      <c r="AR8" t="s">
        <v>269</v>
      </c>
      <c r="AS8" t="s">
        <v>270</v>
      </c>
      <c r="AT8">
        <v>4</v>
      </c>
      <c r="AU8">
        <v>2.9</v>
      </c>
      <c r="AX8">
        <v>1</v>
      </c>
    </row>
    <row r="9" spans="1:50">
      <c r="A9" t="s">
        <v>618</v>
      </c>
      <c r="B9" t="s">
        <v>619</v>
      </c>
      <c r="C9" t="s">
        <v>212</v>
      </c>
      <c r="D9">
        <v>3</v>
      </c>
      <c r="E9" t="s">
        <v>213</v>
      </c>
      <c r="F9" t="s">
        <v>214</v>
      </c>
      <c r="G9" t="s">
        <v>268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1.00136E-5</v>
      </c>
      <c r="R9">
        <v>2.5021941661999998</v>
      </c>
      <c r="S9">
        <v>-3.17787826E-2</v>
      </c>
      <c r="T9">
        <v>4.9283542633000001</v>
      </c>
      <c r="U9">
        <v>8.6520347594999993</v>
      </c>
      <c r="V9">
        <v>-1.3314023018000001</v>
      </c>
      <c r="W9">
        <v>-0.1178609729</v>
      </c>
      <c r="X9">
        <v>0.29166960720000001</v>
      </c>
      <c r="Y9">
        <v>-1.6963756083999999</v>
      </c>
      <c r="Z9">
        <v>0.40299409629999999</v>
      </c>
      <c r="AA9">
        <v>-0.4332019091</v>
      </c>
      <c r="AB9">
        <v>-2.3165194988</v>
      </c>
      <c r="AC9">
        <v>0.58899855609999996</v>
      </c>
      <c r="AD9">
        <v>-0.3463141918</v>
      </c>
      <c r="AE9">
        <v>-0.5719627142</v>
      </c>
      <c r="AF9">
        <v>0.2632329464</v>
      </c>
      <c r="AG9">
        <v>-0.10900729889999999</v>
      </c>
      <c r="AH9">
        <v>-0.20367468890000001</v>
      </c>
      <c r="AI9">
        <v>-0.1002025604</v>
      </c>
      <c r="AJ9">
        <v>1.5295028687000001</v>
      </c>
      <c r="AK9">
        <v>1.707752E-4</v>
      </c>
      <c r="AL9">
        <v>4.3155811699999998E-2</v>
      </c>
      <c r="AM9">
        <v>4.9798566799999999E-2</v>
      </c>
      <c r="AN9">
        <v>3.66758555E-2</v>
      </c>
      <c r="AO9">
        <v>0.21722689270000001</v>
      </c>
      <c r="AP9">
        <v>0.21722689270000001</v>
      </c>
      <c r="AQ9">
        <v>2.5023959590999998</v>
      </c>
      <c r="AR9" t="s">
        <v>269</v>
      </c>
      <c r="AS9" t="s">
        <v>270</v>
      </c>
      <c r="AT9">
        <v>3</v>
      </c>
      <c r="AU9">
        <v>2.9</v>
      </c>
      <c r="AX9">
        <v>1</v>
      </c>
    </row>
    <row r="10" spans="1:50">
      <c r="A10" t="s">
        <v>630</v>
      </c>
      <c r="B10" t="s">
        <v>631</v>
      </c>
      <c r="C10" t="s">
        <v>212</v>
      </c>
      <c r="D10">
        <v>3</v>
      </c>
      <c r="E10" t="s">
        <v>213</v>
      </c>
      <c r="F10" t="s">
        <v>214</v>
      </c>
      <c r="G10" t="s">
        <v>268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2.24113E-5</v>
      </c>
      <c r="R10">
        <v>8.3436365127999998</v>
      </c>
      <c r="S10">
        <v>-0.2070478201</v>
      </c>
      <c r="T10">
        <v>5.1081953048999997</v>
      </c>
      <c r="U10">
        <v>8.1822967528999992</v>
      </c>
      <c r="V10">
        <v>-5.5842132568</v>
      </c>
      <c r="W10">
        <v>0.31584063169999999</v>
      </c>
      <c r="X10">
        <v>-1.4341764450000001</v>
      </c>
      <c r="Y10">
        <v>0.50332450870000001</v>
      </c>
      <c r="Z10">
        <v>-1.3637180328</v>
      </c>
      <c r="AA10">
        <v>-1.0998859405999999</v>
      </c>
      <c r="AB10">
        <v>-2.8403143882999999</v>
      </c>
      <c r="AC10">
        <v>1.8223736286000001</v>
      </c>
      <c r="AD10">
        <v>-1.1080994606000001</v>
      </c>
      <c r="AE10">
        <v>0.27727663520000001</v>
      </c>
      <c r="AF10">
        <v>-0.66648125650000001</v>
      </c>
      <c r="AG10">
        <v>-0.18500438329999999</v>
      </c>
      <c r="AH10">
        <v>4.8050582000000001E-3</v>
      </c>
      <c r="AI10">
        <v>-5.1028251599999998E-2</v>
      </c>
      <c r="AJ10">
        <v>0.71174097059999997</v>
      </c>
      <c r="AK10">
        <v>1.777386E-4</v>
      </c>
      <c r="AL10">
        <v>4.5037332899999998E-2</v>
      </c>
      <c r="AM10">
        <v>0.18801945449999999</v>
      </c>
      <c r="AN10">
        <v>8.4309160699999997E-2</v>
      </c>
      <c r="AO10">
        <v>0.2334306538</v>
      </c>
      <c r="AP10">
        <v>0.2334306538</v>
      </c>
      <c r="AQ10">
        <v>8.3462050691999998</v>
      </c>
      <c r="AR10" t="s">
        <v>269</v>
      </c>
      <c r="AS10" t="s">
        <v>270</v>
      </c>
      <c r="AT10">
        <v>3</v>
      </c>
      <c r="AU10">
        <v>2.9</v>
      </c>
      <c r="AX10">
        <v>1</v>
      </c>
    </row>
    <row r="11" spans="1:50">
      <c r="A11" t="s">
        <v>642</v>
      </c>
      <c r="B11" t="s">
        <v>643</v>
      </c>
      <c r="C11" t="s">
        <v>212</v>
      </c>
      <c r="D11">
        <v>3</v>
      </c>
      <c r="E11" t="s">
        <v>213</v>
      </c>
      <c r="F11" t="s">
        <v>214</v>
      </c>
      <c r="G11" t="s">
        <v>268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6.7352999999999997E-6</v>
      </c>
      <c r="R11">
        <v>2.0967650413999999</v>
      </c>
      <c r="S11">
        <v>3.7098972796999998</v>
      </c>
      <c r="T11">
        <v>4.5832989999999998E-4</v>
      </c>
      <c r="U11">
        <v>0.38668626550000001</v>
      </c>
      <c r="V11">
        <v>-5.3783073425000003</v>
      </c>
      <c r="W11">
        <v>1.424643755</v>
      </c>
      <c r="X11">
        <v>0.2727800608</v>
      </c>
      <c r="Y11">
        <v>-0.56396633389999995</v>
      </c>
      <c r="Z11">
        <v>-2.2922368049999999</v>
      </c>
      <c r="AA11">
        <v>0.17338985200000001</v>
      </c>
      <c r="AB11">
        <v>-0.27226686480000001</v>
      </c>
      <c r="AC11">
        <v>1.7803894280999999</v>
      </c>
      <c r="AD11">
        <v>-1.8662626742999999</v>
      </c>
      <c r="AE11">
        <v>-0.59865301849999997</v>
      </c>
      <c r="AF11">
        <v>1.1069632769</v>
      </c>
      <c r="AG11">
        <v>-0.25116074090000001</v>
      </c>
      <c r="AH11">
        <v>0.74790501590000003</v>
      </c>
      <c r="AI11">
        <v>0.91569393870000004</v>
      </c>
      <c r="AJ11">
        <v>0.45709860320000001</v>
      </c>
      <c r="AK11">
        <v>1.924222E-4</v>
      </c>
      <c r="AL11">
        <v>4.4131591900000003E-2</v>
      </c>
      <c r="AM11">
        <v>0.1413266957</v>
      </c>
      <c r="AN11">
        <v>0.1348507404</v>
      </c>
      <c r="AO11">
        <v>0.1413266957</v>
      </c>
      <c r="AP11">
        <v>0.1413266957</v>
      </c>
      <c r="AQ11">
        <v>4.2614271628999996</v>
      </c>
      <c r="AR11" t="s">
        <v>269</v>
      </c>
      <c r="AS11" t="s">
        <v>270</v>
      </c>
      <c r="AT11">
        <v>3</v>
      </c>
      <c r="AU11">
        <v>2.9</v>
      </c>
      <c r="AX11">
        <v>1</v>
      </c>
    </row>
    <row r="12" spans="1:50">
      <c r="A12" t="s">
        <v>654</v>
      </c>
      <c r="B12" t="s">
        <v>655</v>
      </c>
      <c r="C12" t="s">
        <v>212</v>
      </c>
      <c r="D12">
        <v>3</v>
      </c>
      <c r="E12" t="s">
        <v>213</v>
      </c>
      <c r="F12" t="s">
        <v>214</v>
      </c>
      <c r="G12" t="s">
        <v>268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6.8545000000000002E-6</v>
      </c>
      <c r="R12">
        <v>-0.47128319740000002</v>
      </c>
      <c r="S12">
        <v>1.3568927049999999</v>
      </c>
      <c r="T12">
        <v>3.9339342117</v>
      </c>
      <c r="U12">
        <v>5.5748610497</v>
      </c>
      <c r="V12">
        <v>-6.1989455222999998</v>
      </c>
      <c r="W12">
        <v>1.9897806644</v>
      </c>
      <c r="X12">
        <v>1.9111247063000001</v>
      </c>
      <c r="Y12">
        <v>-0.79862511160000005</v>
      </c>
      <c r="Z12">
        <v>0.27159547810000001</v>
      </c>
      <c r="AA12">
        <v>0.657766819</v>
      </c>
      <c r="AB12">
        <v>-1.7118496894999999</v>
      </c>
      <c r="AC12">
        <v>0.77281308169999996</v>
      </c>
      <c r="AD12">
        <v>-1.1052603722000001</v>
      </c>
      <c r="AE12">
        <v>-0.86753106120000001</v>
      </c>
      <c r="AF12">
        <v>0.54414010049999995</v>
      </c>
      <c r="AG12">
        <v>-0.36962151529999998</v>
      </c>
      <c r="AH12">
        <v>-5.7023554999999997E-2</v>
      </c>
      <c r="AI12">
        <v>-0.30798965690000002</v>
      </c>
      <c r="AJ12">
        <v>0.30420887470000002</v>
      </c>
      <c r="AK12">
        <v>1.6052500000000001E-4</v>
      </c>
      <c r="AL12">
        <v>4.1516654200000003E-2</v>
      </c>
      <c r="AM12">
        <v>8.7211795199999997E-2</v>
      </c>
      <c r="AN12">
        <v>9.1984592399999995E-2</v>
      </c>
      <c r="AO12">
        <v>0.12655699249999999</v>
      </c>
      <c r="AP12">
        <v>0.12655699249999999</v>
      </c>
      <c r="AQ12">
        <v>1.4364072072</v>
      </c>
      <c r="AR12" t="s">
        <v>269</v>
      </c>
      <c r="AS12" t="s">
        <v>270</v>
      </c>
      <c r="AT12">
        <v>3</v>
      </c>
      <c r="AU12">
        <v>2.9</v>
      </c>
      <c r="AX12">
        <v>1</v>
      </c>
    </row>
    <row r="13" spans="1:50">
      <c r="A13" t="s">
        <v>666</v>
      </c>
      <c r="B13" t="s">
        <v>667</v>
      </c>
      <c r="C13" t="s">
        <v>212</v>
      </c>
      <c r="D13">
        <v>3</v>
      </c>
      <c r="E13" t="s">
        <v>213</v>
      </c>
      <c r="F13" t="s">
        <v>214</v>
      </c>
      <c r="G13" t="s">
        <v>268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-9.5370000000000008E-7</v>
      </c>
      <c r="R13">
        <v>2.8524365425</v>
      </c>
      <c r="S13">
        <v>-0.16352981329999999</v>
      </c>
      <c r="T13">
        <v>5.9543695449999996</v>
      </c>
      <c r="U13">
        <v>6.4434447289000003</v>
      </c>
      <c r="V13">
        <v>-4.2063813210000003</v>
      </c>
      <c r="W13">
        <v>-0.68017548319999999</v>
      </c>
      <c r="X13">
        <v>1.5189490318000001</v>
      </c>
      <c r="Y13">
        <v>-1.1405277251999999</v>
      </c>
      <c r="Z13">
        <v>0.69126927849999997</v>
      </c>
      <c r="AA13">
        <v>0.52151286600000002</v>
      </c>
      <c r="AB13">
        <v>-2.1139349937</v>
      </c>
      <c r="AC13">
        <v>1.0833334923</v>
      </c>
      <c r="AD13">
        <v>-0.2338248342</v>
      </c>
      <c r="AE13">
        <v>-0.88802540299999999</v>
      </c>
      <c r="AF13">
        <v>-0.11983142049999999</v>
      </c>
      <c r="AG13">
        <v>-0.5394904613</v>
      </c>
      <c r="AH13">
        <v>-0.1212617755</v>
      </c>
      <c r="AI13">
        <v>-0.29908943180000003</v>
      </c>
      <c r="AJ13">
        <v>0.33324670789999999</v>
      </c>
      <c r="AK13">
        <v>1.8410519999999999E-4</v>
      </c>
      <c r="AL13">
        <v>4.48236391E-2</v>
      </c>
      <c r="AM13">
        <v>8.6227022099999995E-2</v>
      </c>
      <c r="AN13">
        <v>6.1313185800000003E-2</v>
      </c>
      <c r="AO13">
        <v>0.1819376647</v>
      </c>
      <c r="AP13">
        <v>0.1819376647</v>
      </c>
      <c r="AQ13">
        <v>2.8571202685000001</v>
      </c>
      <c r="AR13" t="s">
        <v>269</v>
      </c>
      <c r="AS13" t="s">
        <v>270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271</v>
      </c>
      <c r="R1" t="s">
        <v>272</v>
      </c>
      <c r="S1" t="s">
        <v>273</v>
      </c>
      <c r="T1" t="s">
        <v>274</v>
      </c>
      <c r="U1" t="s">
        <v>275</v>
      </c>
      <c r="V1" t="s">
        <v>276</v>
      </c>
      <c r="W1" t="s">
        <v>277</v>
      </c>
      <c r="X1" t="s">
        <v>278</v>
      </c>
      <c r="Y1" t="s">
        <v>279</v>
      </c>
      <c r="Z1" t="s">
        <v>280</v>
      </c>
      <c r="AA1" t="s">
        <v>281</v>
      </c>
      <c r="AB1" t="s">
        <v>282</v>
      </c>
      <c r="AC1" t="s">
        <v>283</v>
      </c>
      <c r="AD1" t="s">
        <v>207</v>
      </c>
      <c r="AE1" t="s">
        <v>208</v>
      </c>
      <c r="AF1" t="s">
        <v>209</v>
      </c>
    </row>
    <row r="2" spans="1:32">
      <c r="A2" t="s">
        <v>266</v>
      </c>
      <c r="B2" t="s">
        <v>284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-7.0381231672000002</v>
      </c>
      <c r="R2">
        <v>-48</v>
      </c>
      <c r="S2">
        <v>81.964781081200002</v>
      </c>
      <c r="T2">
        <v>107.06728672680001</v>
      </c>
      <c r="U2">
        <v>3.5914372733</v>
      </c>
      <c r="V2">
        <v>3.0050158E-3</v>
      </c>
      <c r="W2">
        <v>-7.3481599999999998E-5</v>
      </c>
      <c r="X2">
        <v>3.3933765676999998</v>
      </c>
      <c r="Y2">
        <v>81.225968097500001</v>
      </c>
      <c r="Z2">
        <v>63.123344860099998</v>
      </c>
      <c r="AA2">
        <v>324.05963688719999</v>
      </c>
      <c r="AB2">
        <v>345.91736997330003</v>
      </c>
      <c r="AC2">
        <v>1</v>
      </c>
      <c r="AF2">
        <v>1</v>
      </c>
    </row>
    <row r="3" spans="1:32">
      <c r="A3" t="s">
        <v>548</v>
      </c>
      <c r="B3" t="s">
        <v>550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-10.557184750699999</v>
      </c>
      <c r="R3">
        <v>-72</v>
      </c>
      <c r="S3">
        <v>80.071713337999995</v>
      </c>
      <c r="T3">
        <v>116.75052300439999</v>
      </c>
      <c r="U3">
        <v>3.5049587600000001</v>
      </c>
      <c r="V3">
        <v>2.2174693999999998E-3</v>
      </c>
      <c r="W3">
        <v>-6.5050700000000004E-5</v>
      </c>
      <c r="X3">
        <v>3.2893672949999999</v>
      </c>
      <c r="Y3">
        <v>78.105871644800004</v>
      </c>
      <c r="Z3">
        <v>57.383139416600002</v>
      </c>
      <c r="AA3">
        <v>332.5096102558</v>
      </c>
      <c r="AB3">
        <v>354.18772844149998</v>
      </c>
      <c r="AC3">
        <v>1</v>
      </c>
      <c r="AF3">
        <v>1</v>
      </c>
    </row>
    <row r="4" spans="1:32">
      <c r="A4" t="s">
        <v>558</v>
      </c>
      <c r="B4" t="s">
        <v>559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-9.3841642229000009</v>
      </c>
      <c r="R4">
        <v>-64</v>
      </c>
      <c r="S4">
        <v>83.954870813200003</v>
      </c>
      <c r="T4">
        <v>116.33375922739999</v>
      </c>
      <c r="U4">
        <v>3.4887470708000001</v>
      </c>
      <c r="V4">
        <v>3.4040454000000002E-3</v>
      </c>
      <c r="W4">
        <v>-7.2989600000000003E-5</v>
      </c>
      <c r="X4">
        <v>3.3091495485000002</v>
      </c>
      <c r="Y4">
        <v>83.938972982099997</v>
      </c>
      <c r="Z4">
        <v>67.837629812200007</v>
      </c>
      <c r="AA4">
        <v>330.5012780367</v>
      </c>
      <c r="AB4">
        <v>351.96538681070001</v>
      </c>
      <c r="AC4">
        <v>1</v>
      </c>
      <c r="AF4">
        <v>1</v>
      </c>
    </row>
    <row r="5" spans="1:32">
      <c r="A5" t="s">
        <v>570</v>
      </c>
      <c r="B5" t="s">
        <v>572</v>
      </c>
      <c r="C5" t="s">
        <v>212</v>
      </c>
      <c r="D5">
        <v>3</v>
      </c>
      <c r="E5" t="s">
        <v>213</v>
      </c>
      <c r="F5" t="s">
        <v>214</v>
      </c>
      <c r="G5" t="s">
        <v>268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-9.3841642229000009</v>
      </c>
      <c r="R5">
        <v>-64</v>
      </c>
      <c r="S5">
        <v>79.461377982000002</v>
      </c>
      <c r="T5">
        <v>112.770475658</v>
      </c>
      <c r="U5">
        <v>3.5854773032999998</v>
      </c>
      <c r="V5">
        <v>3.1509610999999999E-3</v>
      </c>
      <c r="W5">
        <v>-7.2760200000000002E-5</v>
      </c>
      <c r="X5">
        <v>3.3883917352999999</v>
      </c>
      <c r="Y5">
        <v>79.453397686399995</v>
      </c>
      <c r="Z5">
        <v>62.2360358902</v>
      </c>
      <c r="AA5">
        <v>338.8153707866</v>
      </c>
      <c r="AB5">
        <v>360.11122191020002</v>
      </c>
      <c r="AC5">
        <v>1</v>
      </c>
      <c r="AF5">
        <v>1</v>
      </c>
    </row>
    <row r="6" spans="1:32">
      <c r="A6" t="s">
        <v>582</v>
      </c>
      <c r="B6" t="s">
        <v>584</v>
      </c>
      <c r="C6" t="s">
        <v>212</v>
      </c>
      <c r="D6">
        <v>3</v>
      </c>
      <c r="E6" t="s">
        <v>213</v>
      </c>
      <c r="F6" t="s">
        <v>214</v>
      </c>
      <c r="G6" t="s">
        <v>268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-5.8651026392999999</v>
      </c>
      <c r="R6">
        <v>-40</v>
      </c>
      <c r="S6">
        <v>86.593460027600003</v>
      </c>
      <c r="T6">
        <v>107.8302224446</v>
      </c>
      <c r="U6">
        <v>3.6408755339000001</v>
      </c>
      <c r="V6">
        <v>2.9809647999999998E-3</v>
      </c>
      <c r="W6">
        <v>-7.3369700000000003E-5</v>
      </c>
      <c r="X6">
        <v>3.4253281523000001</v>
      </c>
      <c r="Y6">
        <v>85.857536752000001</v>
      </c>
      <c r="Z6">
        <v>68.267484735899998</v>
      </c>
      <c r="AA6">
        <v>329.57701027889999</v>
      </c>
      <c r="AB6">
        <v>351.18499684109997</v>
      </c>
      <c r="AC6">
        <v>1</v>
      </c>
      <c r="AF6">
        <v>1</v>
      </c>
    </row>
    <row r="7" spans="1:32">
      <c r="A7" t="s">
        <v>594</v>
      </c>
      <c r="B7" t="s">
        <v>596</v>
      </c>
      <c r="C7" t="s">
        <v>212</v>
      </c>
      <c r="D7">
        <v>3</v>
      </c>
      <c r="E7" t="s">
        <v>213</v>
      </c>
      <c r="F7" t="s">
        <v>214</v>
      </c>
      <c r="G7" t="s">
        <v>268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-7.0381231672000002</v>
      </c>
      <c r="R7">
        <v>-48</v>
      </c>
      <c r="S7">
        <v>91.361429224700004</v>
      </c>
      <c r="T7">
        <v>116.1392413952</v>
      </c>
      <c r="U7">
        <v>3.5427936606000001</v>
      </c>
      <c r="V7">
        <v>2.6822845999999998E-3</v>
      </c>
      <c r="W7">
        <v>-6.8663600000000004E-5</v>
      </c>
      <c r="X7">
        <v>3.3217421592999998</v>
      </c>
      <c r="Y7">
        <v>89.5037595119</v>
      </c>
      <c r="Z7">
        <v>70.222362644900002</v>
      </c>
      <c r="AA7">
        <v>330.00609688449998</v>
      </c>
      <c r="AB7">
        <v>352.41768304610002</v>
      </c>
      <c r="AC7">
        <v>1</v>
      </c>
      <c r="AF7">
        <v>1</v>
      </c>
    </row>
    <row r="8" spans="1:32">
      <c r="A8" t="s">
        <v>606</v>
      </c>
      <c r="B8" t="s">
        <v>608</v>
      </c>
      <c r="C8" t="s">
        <v>212</v>
      </c>
      <c r="D8">
        <v>3</v>
      </c>
      <c r="E8" t="s">
        <v>213</v>
      </c>
      <c r="F8" t="s">
        <v>214</v>
      </c>
      <c r="G8" t="s">
        <v>268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-8.2111436950000005</v>
      </c>
      <c r="R8">
        <v>-56</v>
      </c>
      <c r="S8">
        <v>87.920504816399998</v>
      </c>
      <c r="T8">
        <v>117.3834823688</v>
      </c>
      <c r="U8">
        <v>3.6191155442</v>
      </c>
      <c r="V8">
        <v>3.1282114999999998E-3</v>
      </c>
      <c r="W8">
        <v>-7.8008899999999998E-5</v>
      </c>
      <c r="X8">
        <v>3.4085214115000002</v>
      </c>
      <c r="Y8">
        <v>87.463974515800004</v>
      </c>
      <c r="Z8">
        <v>66.549776310699997</v>
      </c>
      <c r="AA8">
        <v>328.336692734</v>
      </c>
      <c r="AB8">
        <v>349.84444814710002</v>
      </c>
      <c r="AC8">
        <v>1</v>
      </c>
      <c r="AF8">
        <v>1</v>
      </c>
    </row>
    <row r="9" spans="1:32">
      <c r="A9" t="s">
        <v>618</v>
      </c>
      <c r="B9" t="s">
        <v>620</v>
      </c>
      <c r="C9" t="s">
        <v>212</v>
      </c>
      <c r="D9">
        <v>3</v>
      </c>
      <c r="E9" t="s">
        <v>213</v>
      </c>
      <c r="F9" t="s">
        <v>214</v>
      </c>
      <c r="G9" t="s">
        <v>268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-8.2111436950000005</v>
      </c>
      <c r="R9">
        <v>-56</v>
      </c>
      <c r="S9">
        <v>86.059823755400004</v>
      </c>
      <c r="T9">
        <v>115.4978982251</v>
      </c>
      <c r="U9">
        <v>3.6164748776</v>
      </c>
      <c r="V9">
        <v>3.1886839999999998E-3</v>
      </c>
      <c r="W9">
        <v>-7.6460799999999998E-5</v>
      </c>
      <c r="X9">
        <v>3.4178227056999999</v>
      </c>
      <c r="Y9">
        <v>85.910499654500001</v>
      </c>
      <c r="Z9">
        <v>66.167527899899994</v>
      </c>
      <c r="AA9">
        <v>329.79520426840003</v>
      </c>
      <c r="AB9">
        <v>351.78877499079999</v>
      </c>
      <c r="AC9">
        <v>1</v>
      </c>
      <c r="AF9">
        <v>1</v>
      </c>
    </row>
    <row r="10" spans="1:32">
      <c r="A10" t="s">
        <v>630</v>
      </c>
      <c r="B10" t="s">
        <v>632</v>
      </c>
      <c r="C10" t="s">
        <v>212</v>
      </c>
      <c r="D10">
        <v>3</v>
      </c>
      <c r="E10" t="s">
        <v>213</v>
      </c>
      <c r="F10" t="s">
        <v>214</v>
      </c>
      <c r="G10" t="s">
        <v>268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-9.3841642229000009</v>
      </c>
      <c r="R10">
        <v>-64</v>
      </c>
      <c r="S10">
        <v>85.686282976900003</v>
      </c>
      <c r="T10">
        <v>118.4038728677</v>
      </c>
      <c r="U10">
        <v>3.5237833089000001</v>
      </c>
      <c r="V10">
        <v>3.2918544E-3</v>
      </c>
      <c r="W10">
        <v>-7.2946299999999996E-5</v>
      </c>
      <c r="X10">
        <v>3.3373141153999999</v>
      </c>
      <c r="Y10">
        <v>85.577078506899994</v>
      </c>
      <c r="Z10">
        <v>68.137729393900003</v>
      </c>
      <c r="AA10">
        <v>333.37807161450002</v>
      </c>
      <c r="AB10">
        <v>355.73380249370001</v>
      </c>
      <c r="AC10">
        <v>1</v>
      </c>
      <c r="AF10">
        <v>1</v>
      </c>
    </row>
    <row r="11" spans="1:32">
      <c r="A11" t="s">
        <v>642</v>
      </c>
      <c r="B11" t="s">
        <v>644</v>
      </c>
      <c r="C11" t="s">
        <v>212</v>
      </c>
      <c r="D11">
        <v>3</v>
      </c>
      <c r="E11" t="s">
        <v>213</v>
      </c>
      <c r="F11" t="s">
        <v>214</v>
      </c>
      <c r="G11" t="s">
        <v>268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-9.3841642229000009</v>
      </c>
      <c r="R11">
        <v>-64</v>
      </c>
      <c r="S11">
        <v>84.928429652800006</v>
      </c>
      <c r="T11">
        <v>118.0128247143</v>
      </c>
      <c r="U11">
        <v>3.5616113018000002</v>
      </c>
      <c r="V11">
        <v>3.1543711E-3</v>
      </c>
      <c r="W11">
        <v>-7.3292400000000003E-5</v>
      </c>
      <c r="X11">
        <v>3.3617939199000002</v>
      </c>
      <c r="Y11">
        <v>83.158438353400001</v>
      </c>
      <c r="Z11">
        <v>61.813985449599997</v>
      </c>
      <c r="AA11">
        <v>335.75807241389998</v>
      </c>
      <c r="AB11">
        <v>357.8712005415</v>
      </c>
      <c r="AC11">
        <v>1</v>
      </c>
      <c r="AF11">
        <v>1</v>
      </c>
    </row>
    <row r="12" spans="1:32">
      <c r="A12" t="s">
        <v>654</v>
      </c>
      <c r="B12" t="s">
        <v>656</v>
      </c>
      <c r="C12" t="s">
        <v>212</v>
      </c>
      <c r="D12">
        <v>3</v>
      </c>
      <c r="E12" t="s">
        <v>213</v>
      </c>
      <c r="F12" t="s">
        <v>214</v>
      </c>
      <c r="G12" t="s">
        <v>268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-9.3841642229000009</v>
      </c>
      <c r="R12">
        <v>-64</v>
      </c>
      <c r="S12">
        <v>83.474204182600005</v>
      </c>
      <c r="T12">
        <v>116.4807662572</v>
      </c>
      <c r="U12">
        <v>3.5538612731999999</v>
      </c>
      <c r="V12">
        <v>3.1941195999999998E-3</v>
      </c>
      <c r="W12">
        <v>-7.52347E-5</v>
      </c>
      <c r="X12">
        <v>3.3619778841999999</v>
      </c>
      <c r="Y12">
        <v>81.711406175899995</v>
      </c>
      <c r="Z12">
        <v>61.735961875999998</v>
      </c>
      <c r="AA12">
        <v>328.69575680579999</v>
      </c>
      <c r="AB12">
        <v>350.35008060249999</v>
      </c>
      <c r="AC12">
        <v>1</v>
      </c>
      <c r="AF12">
        <v>1</v>
      </c>
    </row>
    <row r="13" spans="1:32">
      <c r="A13" t="s">
        <v>666</v>
      </c>
      <c r="B13" t="s">
        <v>668</v>
      </c>
      <c r="C13" t="s">
        <v>212</v>
      </c>
      <c r="D13">
        <v>3</v>
      </c>
      <c r="E13" t="s">
        <v>213</v>
      </c>
      <c r="F13" t="s">
        <v>214</v>
      </c>
      <c r="G13" t="s">
        <v>268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-8.2111436950000005</v>
      </c>
      <c r="R13">
        <v>-56</v>
      </c>
      <c r="S13">
        <v>84.512301308900007</v>
      </c>
      <c r="T13">
        <v>113.2832752006</v>
      </c>
      <c r="U13">
        <v>3.5390890524</v>
      </c>
      <c r="V13">
        <v>3.6459028000000002E-3</v>
      </c>
      <c r="W13">
        <v>-7.79915E-5</v>
      </c>
      <c r="X13">
        <v>3.3613779243000002</v>
      </c>
      <c r="Y13">
        <v>84.283943588400007</v>
      </c>
      <c r="Z13">
        <v>65.014758177399997</v>
      </c>
      <c r="AA13">
        <v>324.45424160380003</v>
      </c>
      <c r="AB13">
        <v>346.91824029439999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297</v>
      </c>
      <c r="AD1" t="s">
        <v>298</v>
      </c>
      <c r="AE1" t="s">
        <v>299</v>
      </c>
      <c r="AF1" t="s">
        <v>300</v>
      </c>
      <c r="AG1" t="s">
        <v>301</v>
      </c>
      <c r="AH1" t="s">
        <v>302</v>
      </c>
      <c r="AI1" t="s">
        <v>303</v>
      </c>
      <c r="AJ1" t="s">
        <v>304</v>
      </c>
      <c r="AK1" t="s">
        <v>305</v>
      </c>
      <c r="AL1" t="s">
        <v>306</v>
      </c>
      <c r="AM1" t="s">
        <v>307</v>
      </c>
      <c r="AN1" t="s">
        <v>308</v>
      </c>
      <c r="AO1" t="s">
        <v>309</v>
      </c>
      <c r="AP1" t="s">
        <v>310</v>
      </c>
      <c r="AQ1" t="s">
        <v>311</v>
      </c>
      <c r="AR1" t="s">
        <v>312</v>
      </c>
      <c r="AS1" t="s">
        <v>313</v>
      </c>
      <c r="AT1" t="s">
        <v>314</v>
      </c>
      <c r="AU1" t="s">
        <v>315</v>
      </c>
      <c r="AV1" t="s">
        <v>316</v>
      </c>
      <c r="AW1" t="s">
        <v>317</v>
      </c>
      <c r="AX1" t="s">
        <v>318</v>
      </c>
      <c r="AY1" t="s">
        <v>319</v>
      </c>
      <c r="AZ1" t="s">
        <v>320</v>
      </c>
      <c r="BA1" t="s">
        <v>321</v>
      </c>
      <c r="BB1" t="s">
        <v>322</v>
      </c>
      <c r="BC1" t="s">
        <v>323</v>
      </c>
      <c r="BD1" t="s">
        <v>324</v>
      </c>
      <c r="BE1" t="s">
        <v>325</v>
      </c>
      <c r="BF1" t="s">
        <v>326</v>
      </c>
      <c r="BG1" t="s">
        <v>327</v>
      </c>
      <c r="BH1" t="s">
        <v>328</v>
      </c>
      <c r="BI1" t="s">
        <v>329</v>
      </c>
      <c r="BJ1" t="s">
        <v>330</v>
      </c>
      <c r="BK1" t="s">
        <v>331</v>
      </c>
      <c r="BL1" t="s">
        <v>332</v>
      </c>
      <c r="BM1" t="s">
        <v>333</v>
      </c>
      <c r="BN1" t="s">
        <v>334</v>
      </c>
      <c r="BO1" t="s">
        <v>335</v>
      </c>
      <c r="BP1" t="s">
        <v>336</v>
      </c>
      <c r="BQ1" t="s">
        <v>337</v>
      </c>
      <c r="BR1" t="s">
        <v>338</v>
      </c>
      <c r="BS1" t="s">
        <v>339</v>
      </c>
      <c r="BT1" t="s">
        <v>340</v>
      </c>
      <c r="BU1" t="s">
        <v>341</v>
      </c>
      <c r="BV1" t="s">
        <v>342</v>
      </c>
      <c r="BW1" t="s">
        <v>343</v>
      </c>
      <c r="BX1" t="s">
        <v>344</v>
      </c>
      <c r="BY1" t="s">
        <v>345</v>
      </c>
      <c r="BZ1" t="s">
        <v>346</v>
      </c>
      <c r="CA1" t="s">
        <v>347</v>
      </c>
      <c r="CB1" t="s">
        <v>348</v>
      </c>
      <c r="CC1" t="s">
        <v>349</v>
      </c>
      <c r="CD1" t="s">
        <v>350</v>
      </c>
      <c r="CE1" t="s">
        <v>351</v>
      </c>
      <c r="CF1" t="s">
        <v>352</v>
      </c>
      <c r="CG1" t="s">
        <v>353</v>
      </c>
      <c r="CH1" t="s">
        <v>354</v>
      </c>
      <c r="CI1" t="s">
        <v>355</v>
      </c>
      <c r="CJ1" t="s">
        <v>356</v>
      </c>
      <c r="CK1" t="s">
        <v>357</v>
      </c>
      <c r="CL1" t="s">
        <v>358</v>
      </c>
      <c r="CM1" t="s">
        <v>359</v>
      </c>
      <c r="CN1" t="s">
        <v>360</v>
      </c>
      <c r="CO1" t="s">
        <v>361</v>
      </c>
      <c r="CP1" t="s">
        <v>362</v>
      </c>
      <c r="CQ1" t="s">
        <v>363</v>
      </c>
      <c r="CR1" t="s">
        <v>364</v>
      </c>
      <c r="CS1" t="s">
        <v>365</v>
      </c>
      <c r="CT1" t="s">
        <v>366</v>
      </c>
      <c r="CU1" t="s">
        <v>367</v>
      </c>
      <c r="CV1" t="s">
        <v>368</v>
      </c>
      <c r="CW1" t="s">
        <v>369</v>
      </c>
      <c r="CX1" t="s">
        <v>370</v>
      </c>
      <c r="CY1" t="s">
        <v>371</v>
      </c>
      <c r="CZ1" t="s">
        <v>372</v>
      </c>
      <c r="DA1" t="s">
        <v>373</v>
      </c>
      <c r="DB1" t="s">
        <v>374</v>
      </c>
      <c r="DC1" t="s">
        <v>375</v>
      </c>
      <c r="DD1" t="s">
        <v>376</v>
      </c>
      <c r="DE1" t="s">
        <v>377</v>
      </c>
      <c r="DF1" t="s">
        <v>378</v>
      </c>
      <c r="DG1" t="s">
        <v>379</v>
      </c>
      <c r="DH1" t="s">
        <v>380</v>
      </c>
      <c r="DI1" t="s">
        <v>381</v>
      </c>
      <c r="DJ1" t="s">
        <v>382</v>
      </c>
      <c r="DK1" t="s">
        <v>383</v>
      </c>
      <c r="DL1" t="s">
        <v>384</v>
      </c>
      <c r="DM1" t="s">
        <v>385</v>
      </c>
      <c r="DN1" t="s">
        <v>386</v>
      </c>
      <c r="DO1" t="s">
        <v>387</v>
      </c>
      <c r="DP1" t="s">
        <v>388</v>
      </c>
      <c r="DQ1" t="s">
        <v>389</v>
      </c>
      <c r="DR1" t="s">
        <v>390</v>
      </c>
      <c r="DS1" t="s">
        <v>391</v>
      </c>
      <c r="DT1" t="s">
        <v>392</v>
      </c>
      <c r="DU1" t="s">
        <v>393</v>
      </c>
      <c r="DV1" t="s">
        <v>394</v>
      </c>
      <c r="DW1" t="s">
        <v>395</v>
      </c>
      <c r="DX1" t="s">
        <v>396</v>
      </c>
      <c r="DY1" t="s">
        <v>397</v>
      </c>
      <c r="DZ1" t="s">
        <v>398</v>
      </c>
      <c r="EA1" t="s">
        <v>399</v>
      </c>
      <c r="EB1" t="s">
        <v>400</v>
      </c>
      <c r="EC1" t="s">
        <v>401</v>
      </c>
      <c r="ED1" t="s">
        <v>402</v>
      </c>
      <c r="EE1" t="s">
        <v>403</v>
      </c>
      <c r="EF1" t="s">
        <v>404</v>
      </c>
      <c r="EG1" t="s">
        <v>405</v>
      </c>
      <c r="EH1" t="s">
        <v>406</v>
      </c>
      <c r="EI1" t="s">
        <v>407</v>
      </c>
      <c r="EJ1" t="s">
        <v>408</v>
      </c>
      <c r="EK1" t="s">
        <v>409</v>
      </c>
      <c r="EL1" t="s">
        <v>410</v>
      </c>
      <c r="EM1" t="s">
        <v>411</v>
      </c>
      <c r="EN1" t="s">
        <v>412</v>
      </c>
      <c r="EO1" t="s">
        <v>413</v>
      </c>
      <c r="EP1" t="s">
        <v>414</v>
      </c>
      <c r="EQ1" t="s">
        <v>415</v>
      </c>
      <c r="ER1" t="s">
        <v>416</v>
      </c>
      <c r="ES1" t="s">
        <v>417</v>
      </c>
      <c r="ET1" t="s">
        <v>418</v>
      </c>
      <c r="EU1" t="s">
        <v>419</v>
      </c>
      <c r="EV1" t="s">
        <v>420</v>
      </c>
      <c r="EW1" t="s">
        <v>421</v>
      </c>
      <c r="EX1" t="s">
        <v>422</v>
      </c>
      <c r="EY1" t="s">
        <v>423</v>
      </c>
      <c r="EZ1" t="s">
        <v>424</v>
      </c>
      <c r="FA1" t="s">
        <v>425</v>
      </c>
      <c r="FB1" t="s">
        <v>426</v>
      </c>
      <c r="FC1" t="s">
        <v>427</v>
      </c>
      <c r="FD1" t="s">
        <v>428</v>
      </c>
      <c r="FE1" t="s">
        <v>429</v>
      </c>
      <c r="FF1" t="s">
        <v>430</v>
      </c>
      <c r="FG1" t="s">
        <v>431</v>
      </c>
      <c r="FH1" t="s">
        <v>432</v>
      </c>
      <c r="FI1" t="s">
        <v>433</v>
      </c>
      <c r="FJ1" t="s">
        <v>434</v>
      </c>
      <c r="FK1" t="s">
        <v>435</v>
      </c>
      <c r="FL1" t="s">
        <v>436</v>
      </c>
      <c r="FM1" t="s">
        <v>437</v>
      </c>
      <c r="FN1" t="s">
        <v>438</v>
      </c>
      <c r="FO1" t="s">
        <v>439</v>
      </c>
      <c r="FP1" t="s">
        <v>440</v>
      </c>
      <c r="FQ1" t="s">
        <v>441</v>
      </c>
      <c r="FR1" t="s">
        <v>442</v>
      </c>
      <c r="FS1" t="s">
        <v>443</v>
      </c>
      <c r="FT1" t="s">
        <v>444</v>
      </c>
      <c r="FU1" t="s">
        <v>445</v>
      </c>
      <c r="FV1" t="s">
        <v>446</v>
      </c>
      <c r="FW1" t="s">
        <v>447</v>
      </c>
      <c r="FX1" t="s">
        <v>448</v>
      </c>
      <c r="FY1" t="s">
        <v>449</v>
      </c>
      <c r="FZ1" t="s">
        <v>450</v>
      </c>
      <c r="GA1" t="s">
        <v>451</v>
      </c>
      <c r="GB1" t="s">
        <v>452</v>
      </c>
      <c r="GC1" t="s">
        <v>453</v>
      </c>
      <c r="GD1" t="s">
        <v>454</v>
      </c>
      <c r="GE1" t="s">
        <v>455</v>
      </c>
      <c r="GF1" t="s">
        <v>456</v>
      </c>
      <c r="GG1" t="s">
        <v>457</v>
      </c>
      <c r="GH1" t="s">
        <v>458</v>
      </c>
      <c r="GI1" t="s">
        <v>459</v>
      </c>
      <c r="GJ1" t="s">
        <v>460</v>
      </c>
      <c r="GK1" t="s">
        <v>461</v>
      </c>
      <c r="GL1" t="s">
        <v>462</v>
      </c>
      <c r="GM1" t="s">
        <v>463</v>
      </c>
      <c r="GN1" t="s">
        <v>464</v>
      </c>
      <c r="GO1" t="s">
        <v>465</v>
      </c>
      <c r="GP1" t="s">
        <v>466</v>
      </c>
      <c r="GQ1" t="s">
        <v>467</v>
      </c>
      <c r="GR1" t="s">
        <v>468</v>
      </c>
      <c r="GS1" t="s">
        <v>469</v>
      </c>
      <c r="GT1" t="s">
        <v>470</v>
      </c>
      <c r="GU1" t="s">
        <v>471</v>
      </c>
      <c r="GV1" t="s">
        <v>472</v>
      </c>
      <c r="GW1" t="s">
        <v>473</v>
      </c>
      <c r="GX1" t="s">
        <v>474</v>
      </c>
      <c r="GY1" t="s">
        <v>475</v>
      </c>
      <c r="GZ1" t="s">
        <v>476</v>
      </c>
      <c r="HA1" t="s">
        <v>477</v>
      </c>
      <c r="HB1" t="s">
        <v>478</v>
      </c>
      <c r="HC1" t="s">
        <v>479</v>
      </c>
      <c r="HD1" t="s">
        <v>480</v>
      </c>
      <c r="HE1" t="s">
        <v>481</v>
      </c>
      <c r="HF1" t="s">
        <v>482</v>
      </c>
      <c r="HG1" t="s">
        <v>483</v>
      </c>
      <c r="HH1" t="s">
        <v>484</v>
      </c>
      <c r="HI1" t="s">
        <v>485</v>
      </c>
      <c r="HJ1" t="s">
        <v>486</v>
      </c>
      <c r="HK1" t="s">
        <v>487</v>
      </c>
      <c r="HL1" t="s">
        <v>488</v>
      </c>
      <c r="HM1" t="s">
        <v>489</v>
      </c>
      <c r="HN1" t="s">
        <v>490</v>
      </c>
      <c r="HO1" t="s">
        <v>491</v>
      </c>
      <c r="HP1" t="s">
        <v>492</v>
      </c>
      <c r="HQ1" t="s">
        <v>493</v>
      </c>
      <c r="HR1" t="s">
        <v>494</v>
      </c>
      <c r="HS1" t="s">
        <v>495</v>
      </c>
      <c r="HT1" t="s">
        <v>496</v>
      </c>
      <c r="HU1" t="s">
        <v>497</v>
      </c>
      <c r="HV1" t="s">
        <v>498</v>
      </c>
      <c r="HW1" t="s">
        <v>499</v>
      </c>
      <c r="HX1" t="s">
        <v>500</v>
      </c>
      <c r="HY1" t="s">
        <v>501</v>
      </c>
      <c r="HZ1" t="s">
        <v>502</v>
      </c>
      <c r="IA1" t="s">
        <v>503</v>
      </c>
      <c r="IB1" t="s">
        <v>504</v>
      </c>
      <c r="IC1" t="s">
        <v>505</v>
      </c>
      <c r="ID1" t="s">
        <v>506</v>
      </c>
      <c r="IE1" t="s">
        <v>507</v>
      </c>
      <c r="IF1" t="s">
        <v>508</v>
      </c>
      <c r="IG1" t="s">
        <v>509</v>
      </c>
      <c r="IH1" t="s">
        <v>510</v>
      </c>
      <c r="II1" t="s">
        <v>511</v>
      </c>
      <c r="IJ1" t="s">
        <v>512</v>
      </c>
      <c r="IK1" t="s">
        <v>513</v>
      </c>
      <c r="IL1" t="s">
        <v>514</v>
      </c>
      <c r="IM1" t="s">
        <v>515</v>
      </c>
      <c r="IN1" t="s">
        <v>516</v>
      </c>
      <c r="IO1" t="s">
        <v>517</v>
      </c>
      <c r="IP1" t="s">
        <v>518</v>
      </c>
      <c r="IQ1" t="s">
        <v>519</v>
      </c>
      <c r="IR1" t="s">
        <v>520</v>
      </c>
      <c r="IS1" t="s">
        <v>521</v>
      </c>
      <c r="IT1" t="s">
        <v>522</v>
      </c>
      <c r="IU1" t="s">
        <v>523</v>
      </c>
      <c r="IV1" t="s">
        <v>524</v>
      </c>
      <c r="IW1" t="s">
        <v>525</v>
      </c>
      <c r="IX1" t="s">
        <v>526</v>
      </c>
      <c r="IY1" t="s">
        <v>527</v>
      </c>
      <c r="IZ1" t="s">
        <v>528</v>
      </c>
      <c r="JA1" t="s">
        <v>529</v>
      </c>
      <c r="JB1" t="s">
        <v>530</v>
      </c>
      <c r="JC1" t="s">
        <v>531</v>
      </c>
      <c r="JD1" t="s">
        <v>532</v>
      </c>
      <c r="JE1" t="s">
        <v>533</v>
      </c>
      <c r="JF1" t="s">
        <v>534</v>
      </c>
      <c r="JG1" t="s">
        <v>535</v>
      </c>
      <c r="JH1" t="s">
        <v>536</v>
      </c>
      <c r="JI1" t="s">
        <v>537</v>
      </c>
      <c r="JJ1" t="s">
        <v>538</v>
      </c>
      <c r="JK1" t="s">
        <v>278</v>
      </c>
      <c r="JL1" t="s">
        <v>539</v>
      </c>
      <c r="JM1" t="s">
        <v>540</v>
      </c>
      <c r="JN1" t="s">
        <v>541</v>
      </c>
      <c r="JO1" t="s">
        <v>207</v>
      </c>
      <c r="JP1" t="s">
        <v>208</v>
      </c>
      <c r="JQ1" t="s">
        <v>209</v>
      </c>
    </row>
    <row r="2" spans="1:277">
      <c r="A2" t="s">
        <v>542</v>
      </c>
      <c r="B2" t="s">
        <v>543</v>
      </c>
      <c r="C2" t="s">
        <v>212</v>
      </c>
      <c r="D2">
        <v>3</v>
      </c>
      <c r="E2" t="s">
        <v>213</v>
      </c>
      <c r="F2" t="s">
        <v>214</v>
      </c>
      <c r="G2" t="s">
        <v>544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1.6999999989000001</v>
      </c>
      <c r="R2">
        <v>0.50000000010000001</v>
      </c>
      <c r="S2">
        <v>0.59999999940000004</v>
      </c>
      <c r="T2">
        <v>0.69999999869999996</v>
      </c>
      <c r="U2">
        <v>0.59999999940000004</v>
      </c>
      <c r="V2">
        <v>0.29999999970000002</v>
      </c>
      <c r="W2">
        <v>0.39999999899999999</v>
      </c>
      <c r="X2">
        <v>0.29999999970000002</v>
      </c>
      <c r="Y2">
        <v>0.29999999970000002</v>
      </c>
      <c r="Z2">
        <v>0.19999999860000001</v>
      </c>
      <c r="AA2">
        <v>0.19999999860000001</v>
      </c>
      <c r="AB2">
        <v>9.9999999300000003E-2</v>
      </c>
      <c r="AC2">
        <v>0</v>
      </c>
      <c r="AD2">
        <v>9.9999999300000003E-2</v>
      </c>
      <c r="AE2">
        <v>0</v>
      </c>
      <c r="AF2">
        <v>0</v>
      </c>
      <c r="AG2">
        <v>9.9999999300000003E-2</v>
      </c>
      <c r="AH2">
        <v>0.69999999869999996</v>
      </c>
      <c r="AI2">
        <v>3.2999999985000001</v>
      </c>
      <c r="AJ2">
        <v>7.3999999986000002</v>
      </c>
      <c r="AK2">
        <v>11.9999999988</v>
      </c>
      <c r="AL2">
        <v>18.199999998599999</v>
      </c>
      <c r="AM2">
        <v>24.799999999200001</v>
      </c>
      <c r="AN2">
        <v>32.099999998500003</v>
      </c>
      <c r="AO2">
        <v>39.899999999800002</v>
      </c>
      <c r="AP2">
        <v>47.799999998499999</v>
      </c>
      <c r="AQ2">
        <v>55.699999998999999</v>
      </c>
      <c r="AR2">
        <v>63.199999998700001</v>
      </c>
      <c r="AS2">
        <v>70.599999999100007</v>
      </c>
      <c r="AT2">
        <v>78.199999999900001</v>
      </c>
      <c r="AU2">
        <v>85.999999999300002</v>
      </c>
      <c r="AV2">
        <v>94.4</v>
      </c>
      <c r="AW2">
        <v>103.4</v>
      </c>
      <c r="AX2">
        <v>111.8999999999</v>
      </c>
      <c r="AY2">
        <v>119.8999999997</v>
      </c>
      <c r="AZ2">
        <v>127.99999999880001</v>
      </c>
      <c r="BA2">
        <v>135.9999999986</v>
      </c>
      <c r="BB2">
        <v>144.59999999959999</v>
      </c>
      <c r="BC2">
        <v>153.39999999919999</v>
      </c>
      <c r="BD2">
        <v>161.89999999919999</v>
      </c>
      <c r="BE2">
        <v>169.5999999993</v>
      </c>
      <c r="BF2">
        <v>177.4999999998</v>
      </c>
      <c r="BG2">
        <v>185.59999999889999</v>
      </c>
      <c r="BH2">
        <v>194.1999999999</v>
      </c>
      <c r="BI2">
        <v>202.69999999980001</v>
      </c>
      <c r="BJ2">
        <v>211.0999999986</v>
      </c>
      <c r="BK2">
        <v>218.8999999998</v>
      </c>
      <c r="BL2">
        <v>226.3999999996</v>
      </c>
      <c r="BM2">
        <v>233.9999999986</v>
      </c>
      <c r="BN2">
        <v>241.79999999980001</v>
      </c>
      <c r="BO2">
        <v>250.19999999859999</v>
      </c>
      <c r="BP2">
        <v>258.6999999985</v>
      </c>
      <c r="BQ2">
        <v>266.09999999889999</v>
      </c>
      <c r="BR2">
        <v>273.59999999860003</v>
      </c>
      <c r="BS2">
        <v>280.79999999860001</v>
      </c>
      <c r="BT2">
        <v>288.09999999979999</v>
      </c>
      <c r="BU2">
        <v>295.69999999880002</v>
      </c>
      <c r="BV2">
        <v>303.3999999989</v>
      </c>
      <c r="BW2">
        <v>310.89999999859998</v>
      </c>
      <c r="BX2">
        <v>317.69999999959998</v>
      </c>
      <c r="BY2">
        <v>324.39999999949998</v>
      </c>
      <c r="BZ2">
        <v>331.00000000009999</v>
      </c>
      <c r="CA2">
        <v>337.59999999889999</v>
      </c>
      <c r="CB2">
        <v>344.19999999949999</v>
      </c>
      <c r="CC2">
        <v>350.99999999869999</v>
      </c>
      <c r="CD2">
        <v>357.50000000009999</v>
      </c>
      <c r="CE2">
        <v>364.09999999889999</v>
      </c>
      <c r="CF2">
        <v>369.89999999970001</v>
      </c>
      <c r="CG2">
        <v>376.00000000019998</v>
      </c>
      <c r="CH2">
        <v>381.7999999992</v>
      </c>
      <c r="CI2">
        <v>387.69999999930002</v>
      </c>
      <c r="CJ2">
        <v>393.50000000009999</v>
      </c>
      <c r="CK2">
        <v>399.5999999988</v>
      </c>
      <c r="CL2">
        <v>405.79999999860001</v>
      </c>
      <c r="CM2">
        <v>411.50000000019998</v>
      </c>
      <c r="CN2">
        <v>416.69999999980001</v>
      </c>
      <c r="CO2">
        <v>421.8000000001</v>
      </c>
      <c r="CP2">
        <v>427.39999999870003</v>
      </c>
      <c r="CQ2">
        <v>432.29999999860001</v>
      </c>
      <c r="CR2">
        <v>437.3999999989</v>
      </c>
      <c r="CS2">
        <v>442.59999999849998</v>
      </c>
      <c r="CT2">
        <v>447.39999999909998</v>
      </c>
      <c r="CU2">
        <v>451.9</v>
      </c>
      <c r="CV2">
        <v>455.79999999969999</v>
      </c>
      <c r="CW2">
        <v>457.3</v>
      </c>
      <c r="CX2">
        <v>457.39999999930001</v>
      </c>
      <c r="CY2">
        <v>457.39999999930001</v>
      </c>
      <c r="CZ2">
        <v>457.39999999930001</v>
      </c>
      <c r="DA2">
        <v>457.39999999930001</v>
      </c>
      <c r="DB2">
        <v>457.4999999986</v>
      </c>
      <c r="DC2">
        <v>457.4999999986</v>
      </c>
      <c r="DD2">
        <v>457.4999999986</v>
      </c>
      <c r="DE2">
        <v>457.4999999986</v>
      </c>
      <c r="DF2">
        <v>457.4999999986</v>
      </c>
      <c r="DG2">
        <v>2.8000000001999998</v>
      </c>
      <c r="DH2">
        <v>1.1999999988000001</v>
      </c>
      <c r="DI2">
        <v>1.0999999995</v>
      </c>
      <c r="DJ2">
        <v>1.0999999995</v>
      </c>
      <c r="DK2">
        <v>1.0000000002</v>
      </c>
      <c r="DL2">
        <v>1.0000000002</v>
      </c>
      <c r="DM2">
        <v>1.0000000002</v>
      </c>
      <c r="DN2">
        <v>1.0000000002</v>
      </c>
      <c r="DO2">
        <v>1.1999999988000001</v>
      </c>
      <c r="DP2">
        <v>1.0999999995</v>
      </c>
      <c r="DQ2">
        <v>1.0999999995</v>
      </c>
      <c r="DR2">
        <v>1.0999999995</v>
      </c>
      <c r="DS2">
        <v>1.0999999995</v>
      </c>
      <c r="DT2">
        <v>1.1999999988000001</v>
      </c>
      <c r="DU2">
        <v>1.0999999995</v>
      </c>
      <c r="DV2">
        <v>1.0999999995</v>
      </c>
      <c r="DW2">
        <v>2.4999999986999999</v>
      </c>
      <c r="DX2">
        <v>5.9999999994</v>
      </c>
      <c r="DY2">
        <v>10.199999998799999</v>
      </c>
      <c r="DZ2">
        <v>16.499999999700002</v>
      </c>
      <c r="EA2">
        <v>23.299999998899999</v>
      </c>
      <c r="EB2">
        <v>30.299999998499999</v>
      </c>
      <c r="EC2">
        <v>38.199999999100001</v>
      </c>
      <c r="ED2">
        <v>46.099999999600001</v>
      </c>
      <c r="EE2">
        <v>53.799999999699999</v>
      </c>
      <c r="EF2">
        <v>61.399999998699997</v>
      </c>
      <c r="EG2">
        <v>68.5999999987</v>
      </c>
      <c r="EH2">
        <v>76.299999998800004</v>
      </c>
      <c r="EI2">
        <v>84.299999998600001</v>
      </c>
      <c r="EJ2">
        <v>92.599999999900007</v>
      </c>
      <c r="EK2">
        <v>101.09999999990001</v>
      </c>
      <c r="EL2">
        <v>109.8000000002</v>
      </c>
      <c r="EM2">
        <v>117.8</v>
      </c>
      <c r="EN2">
        <v>125.8999999991</v>
      </c>
      <c r="EO2">
        <v>134.0999999993</v>
      </c>
      <c r="EP2">
        <v>142.6999999985</v>
      </c>
      <c r="EQ2">
        <v>151.29999999949999</v>
      </c>
      <c r="ER2">
        <v>159.99999999990001</v>
      </c>
      <c r="ES2">
        <v>167.89999999860001</v>
      </c>
      <c r="ET2">
        <v>175.69999999980001</v>
      </c>
      <c r="EU2">
        <v>183.79999999890001</v>
      </c>
      <c r="EV2">
        <v>192.49999999920001</v>
      </c>
      <c r="EW2">
        <v>201.29999999879999</v>
      </c>
      <c r="EX2">
        <v>209.69999999940001</v>
      </c>
      <c r="EY2">
        <v>217.59999999990001</v>
      </c>
      <c r="EZ2">
        <v>225.19999999890001</v>
      </c>
      <c r="FA2">
        <v>233.0999999995</v>
      </c>
      <c r="FB2">
        <v>241.29999999969999</v>
      </c>
      <c r="FC2">
        <v>249.6999999985</v>
      </c>
      <c r="FD2">
        <v>257.99999999980002</v>
      </c>
      <c r="FE2">
        <v>265.7999999992</v>
      </c>
      <c r="FF2">
        <v>273.09999999849998</v>
      </c>
      <c r="FG2">
        <v>280.49999999890002</v>
      </c>
      <c r="FH2">
        <v>287.9999999986</v>
      </c>
      <c r="FI2">
        <v>295.79999999990002</v>
      </c>
      <c r="FJ2">
        <v>303.5999999993</v>
      </c>
      <c r="FK2">
        <v>311.09999999899998</v>
      </c>
      <c r="FL2">
        <v>318.09999999860003</v>
      </c>
      <c r="FM2">
        <v>324.79999999850003</v>
      </c>
      <c r="FN2">
        <v>331.49999999840003</v>
      </c>
      <c r="FO2">
        <v>338.29999999939997</v>
      </c>
      <c r="FP2">
        <v>345.19999999970003</v>
      </c>
      <c r="FQ2">
        <v>352.3999999998</v>
      </c>
      <c r="FR2">
        <v>359.0999999997</v>
      </c>
      <c r="FS2">
        <v>365.29999999950002</v>
      </c>
      <c r="FT2">
        <v>371.4</v>
      </c>
      <c r="FU2">
        <v>377.69999999909999</v>
      </c>
      <c r="FV2">
        <v>383.49999999990001</v>
      </c>
      <c r="FW2">
        <v>389.49999999929997</v>
      </c>
      <c r="FX2">
        <v>395.39999999939999</v>
      </c>
      <c r="FY2">
        <v>401.39999999880001</v>
      </c>
      <c r="FZ2">
        <v>407.79999999900002</v>
      </c>
      <c r="GA2">
        <v>413.39999999949998</v>
      </c>
      <c r="GB2">
        <v>418.49999999980002</v>
      </c>
      <c r="GC2">
        <v>423.69999999940001</v>
      </c>
      <c r="GD2">
        <v>428.79999999969999</v>
      </c>
      <c r="GE2">
        <v>433.69999999959998</v>
      </c>
      <c r="GF2">
        <v>438.59999999950003</v>
      </c>
      <c r="GG2">
        <v>443.40000000010002</v>
      </c>
      <c r="GH2">
        <v>447.59999999950003</v>
      </c>
      <c r="GI2">
        <v>451.49999999919999</v>
      </c>
      <c r="GJ2">
        <v>455.1999999985</v>
      </c>
      <c r="GK2">
        <v>457.19999999890001</v>
      </c>
      <c r="GL2">
        <v>457.3</v>
      </c>
      <c r="GM2">
        <v>457.3</v>
      </c>
      <c r="GN2">
        <v>457.19999999890001</v>
      </c>
      <c r="GO2">
        <v>457.3</v>
      </c>
      <c r="GP2">
        <v>457.39999999930001</v>
      </c>
      <c r="GQ2">
        <v>457.39999999930001</v>
      </c>
      <c r="GR2">
        <v>457.39999999930001</v>
      </c>
      <c r="GS2">
        <v>457.39999999930001</v>
      </c>
      <c r="GT2">
        <v>457.39999999930001</v>
      </c>
      <c r="GU2">
        <v>457.39999999930001</v>
      </c>
      <c r="GV2">
        <v>457.39999999930001</v>
      </c>
      <c r="GW2">
        <v>1</v>
      </c>
      <c r="GX2">
        <v>108.0999999995</v>
      </c>
      <c r="GY2">
        <v>103.4</v>
      </c>
      <c r="GZ2">
        <v>103.4</v>
      </c>
      <c r="HA2">
        <v>117.8</v>
      </c>
      <c r="HB2">
        <v>106.8815608263</v>
      </c>
      <c r="HC2">
        <v>-14.4</v>
      </c>
      <c r="HD2">
        <v>457.39999999930001</v>
      </c>
      <c r="HE2">
        <v>299.14285714210001</v>
      </c>
      <c r="HF2">
        <v>88.040124605200006</v>
      </c>
      <c r="HG2">
        <v>457.4999999986</v>
      </c>
      <c r="HH2">
        <v>457.39999999930001</v>
      </c>
      <c r="HI2">
        <v>457.4999999986</v>
      </c>
      <c r="HJ2">
        <v>457.39999999930001</v>
      </c>
      <c r="HK2">
        <v>117.3020527859</v>
      </c>
      <c r="HL2">
        <v>3.3933765676999998</v>
      </c>
      <c r="HM2">
        <v>3.2753358597000002</v>
      </c>
      <c r="HN2">
        <v>3.3118159163000001</v>
      </c>
      <c r="HO2">
        <v>3.2895293749999999</v>
      </c>
      <c r="HP2">
        <v>3.5914372733</v>
      </c>
      <c r="HQ2">
        <v>2.2958867180000002</v>
      </c>
      <c r="HR2">
        <v>18.8414362211</v>
      </c>
      <c r="HS2">
        <v>-25.806451612899998</v>
      </c>
      <c r="HT2">
        <v>-176</v>
      </c>
      <c r="HU2">
        <v>406.02441796839997</v>
      </c>
      <c r="HV2">
        <v>91.495601172999997</v>
      </c>
      <c r="HW2">
        <v>624</v>
      </c>
      <c r="HX2">
        <v>18.8414362211</v>
      </c>
      <c r="HY2">
        <v>-25.806451612899998</v>
      </c>
      <c r="HZ2">
        <v>-176</v>
      </c>
      <c r="IA2">
        <v>406.02441796839997</v>
      </c>
      <c r="IB2">
        <v>91.495601172999997</v>
      </c>
      <c r="IC2">
        <v>624</v>
      </c>
      <c r="ID2">
        <v>51.375582031</v>
      </c>
      <c r="IE2">
        <v>0.73881298370000004</v>
      </c>
      <c r="IF2">
        <v>-35.190615835800003</v>
      </c>
      <c r="IG2">
        <v>-240</v>
      </c>
      <c r="IH2">
        <v>427.88215105450001</v>
      </c>
      <c r="II2">
        <v>100.87976539589999</v>
      </c>
      <c r="IJ2">
        <v>688</v>
      </c>
      <c r="IK2">
        <v>387.1829817473</v>
      </c>
      <c r="IL2">
        <v>117.3020527859</v>
      </c>
      <c r="IM2">
        <v>409.6046343873</v>
      </c>
      <c r="IN2">
        <v>126.6862170088</v>
      </c>
      <c r="IO2">
        <v>6.7999999991999998</v>
      </c>
      <c r="IP2">
        <v>5.7000000015000003</v>
      </c>
      <c r="IQ2">
        <v>9</v>
      </c>
      <c r="IR2">
        <v>5.7645779912000004</v>
      </c>
      <c r="IS2">
        <v>5.7645779912000004</v>
      </c>
      <c r="IT2">
        <v>12.0999999999</v>
      </c>
      <c r="IU2">
        <v>-25.806451612899998</v>
      </c>
      <c r="IV2">
        <v>16.2</v>
      </c>
      <c r="IW2">
        <v>39.8826979472</v>
      </c>
      <c r="IX2">
        <v>12.700000001099999</v>
      </c>
      <c r="IY2">
        <v>96.187683284499997</v>
      </c>
      <c r="IZ2">
        <v>-31.6666908272</v>
      </c>
      <c r="JA2">
        <v>0.3242660409</v>
      </c>
      <c r="JB2">
        <v>-3.2623219999999999E-4</v>
      </c>
      <c r="JC2">
        <v>6.7769999999999999E-7</v>
      </c>
      <c r="JD2">
        <v>0.29469172669999999</v>
      </c>
      <c r="JE2">
        <v>0.19638552679999999</v>
      </c>
      <c r="JF2">
        <v>9.5785055899999999E-2</v>
      </c>
      <c r="JG2">
        <v>107.06728672680001</v>
      </c>
      <c r="JH2">
        <v>3.5914372733</v>
      </c>
      <c r="JI2">
        <v>3.0050158E-3</v>
      </c>
      <c r="JJ2">
        <v>-7.3481599999999998E-5</v>
      </c>
      <c r="JK2">
        <v>3.3933765676999998</v>
      </c>
      <c r="JL2">
        <v>1.4833697269999999</v>
      </c>
      <c r="JM2">
        <v>0.4871771721</v>
      </c>
      <c r="JN2" t="s">
        <v>545</v>
      </c>
      <c r="JQ2">
        <v>1</v>
      </c>
    </row>
    <row r="3" spans="1:277">
      <c r="A3" t="s">
        <v>546</v>
      </c>
      <c r="B3" t="s">
        <v>547</v>
      </c>
      <c r="C3" t="s">
        <v>212</v>
      </c>
      <c r="D3">
        <v>3</v>
      </c>
      <c r="E3" t="s">
        <v>213</v>
      </c>
      <c r="F3" t="s">
        <v>214</v>
      </c>
      <c r="G3" t="s">
        <v>544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3.3000000002999998</v>
      </c>
      <c r="R3">
        <v>1.5000000003</v>
      </c>
      <c r="S3">
        <v>1.400000001</v>
      </c>
      <c r="T3">
        <v>1.2999999999</v>
      </c>
      <c r="U3">
        <v>1.2000000006</v>
      </c>
      <c r="V3">
        <v>1.0999999995</v>
      </c>
      <c r="W3">
        <v>0.60000000119999997</v>
      </c>
      <c r="X3">
        <v>0.60000000119999997</v>
      </c>
      <c r="Y3">
        <v>0.7000000005</v>
      </c>
      <c r="Z3">
        <v>0.50000000010000001</v>
      </c>
      <c r="AA3">
        <v>0.20000000039999999</v>
      </c>
      <c r="AB3">
        <v>0.29999999970000002</v>
      </c>
      <c r="AC3">
        <v>0.29999999970000002</v>
      </c>
      <c r="AD3">
        <v>0.1000000011</v>
      </c>
      <c r="AE3">
        <v>0</v>
      </c>
      <c r="AF3">
        <v>0.20000000039999999</v>
      </c>
      <c r="AG3">
        <v>1.9000000011</v>
      </c>
      <c r="AH3">
        <v>5.0000000010000001</v>
      </c>
      <c r="AI3">
        <v>9.4000000008000004</v>
      </c>
      <c r="AJ3">
        <v>15.4000000002</v>
      </c>
      <c r="AK3">
        <v>22.0000000008</v>
      </c>
      <c r="AL3">
        <v>28.900000001199999</v>
      </c>
      <c r="AM3">
        <v>35.6000000011</v>
      </c>
      <c r="AN3">
        <v>42.6000000007</v>
      </c>
      <c r="AO3">
        <v>50.199999999699997</v>
      </c>
      <c r="AP3">
        <v>58.199999999500001</v>
      </c>
      <c r="AQ3">
        <v>66.200000001099994</v>
      </c>
      <c r="AR3">
        <v>73.500000000399993</v>
      </c>
      <c r="AS3">
        <v>81.000000000100002</v>
      </c>
      <c r="AT3">
        <v>88.299999999400001</v>
      </c>
      <c r="AU3">
        <v>95.800000001000001</v>
      </c>
      <c r="AV3">
        <v>103.90000000009999</v>
      </c>
      <c r="AW3">
        <v>112.6999999997</v>
      </c>
      <c r="AX3">
        <v>121.50000000110001</v>
      </c>
      <c r="AY3">
        <v>129.6000000002</v>
      </c>
      <c r="AZ3">
        <v>137.20000000100001</v>
      </c>
      <c r="BA3">
        <v>144.90000000110001</v>
      </c>
      <c r="BB3">
        <v>153.20000000069999</v>
      </c>
      <c r="BC3">
        <v>161.40000000090001</v>
      </c>
      <c r="BD3">
        <v>170.00000000009999</v>
      </c>
      <c r="BE3">
        <v>178.20000000030001</v>
      </c>
      <c r="BF3">
        <v>185.80000000109999</v>
      </c>
      <c r="BG3">
        <v>193.40000000009999</v>
      </c>
      <c r="BH3">
        <v>201.50000000099999</v>
      </c>
      <c r="BI3">
        <v>209.50000000079999</v>
      </c>
      <c r="BJ3">
        <v>217.59999999990001</v>
      </c>
      <c r="BK3">
        <v>225.50000000049999</v>
      </c>
      <c r="BL3">
        <v>233.8</v>
      </c>
      <c r="BM3">
        <v>241.1000000011</v>
      </c>
      <c r="BN3">
        <v>248.60000000080001</v>
      </c>
      <c r="BO3">
        <v>256.40000000020001</v>
      </c>
      <c r="BP3">
        <v>264.10000000029999</v>
      </c>
      <c r="BQ3">
        <v>271.60000000000002</v>
      </c>
      <c r="BR3">
        <v>278.9000000012</v>
      </c>
      <c r="BS3">
        <v>285.90000000079999</v>
      </c>
      <c r="BT3">
        <v>293.10000000079998</v>
      </c>
      <c r="BU3">
        <v>300.30000000080003</v>
      </c>
      <c r="BV3">
        <v>307.60000000010001</v>
      </c>
      <c r="BW3">
        <v>314.7000000008</v>
      </c>
      <c r="BX3">
        <v>321.79999999969999</v>
      </c>
      <c r="BY3">
        <v>328.49999999959999</v>
      </c>
      <c r="BZ3">
        <v>335.1000000002</v>
      </c>
      <c r="CA3">
        <v>341.50000000049999</v>
      </c>
      <c r="CB3">
        <v>348</v>
      </c>
      <c r="CC3">
        <v>354.60000000060001</v>
      </c>
      <c r="CD3">
        <v>361.00000000080001</v>
      </c>
      <c r="CE3">
        <v>367.40000000100002</v>
      </c>
      <c r="CF3">
        <v>373.60000000079998</v>
      </c>
      <c r="CG3">
        <v>379.6000000002</v>
      </c>
      <c r="CH3">
        <v>385.40000000100002</v>
      </c>
      <c r="CI3">
        <v>391.10000000069999</v>
      </c>
      <c r="CJ3">
        <v>396.80000000040002</v>
      </c>
      <c r="CK3">
        <v>402.70000000060003</v>
      </c>
      <c r="CL3">
        <v>408.300000001</v>
      </c>
      <c r="CM3">
        <v>413.70000000099998</v>
      </c>
      <c r="CN3">
        <v>419.20000000030001</v>
      </c>
      <c r="CO3">
        <v>424.69999999959998</v>
      </c>
      <c r="CP3">
        <v>429.90000000100002</v>
      </c>
      <c r="CQ3">
        <v>435.10000000060001</v>
      </c>
      <c r="CR3">
        <v>440.00000000049999</v>
      </c>
      <c r="CS3">
        <v>444.99999999969998</v>
      </c>
      <c r="CT3">
        <v>449.89999999960003</v>
      </c>
      <c r="CU3">
        <v>453.99999999969998</v>
      </c>
      <c r="CV3">
        <v>456.79999999990002</v>
      </c>
      <c r="CW3">
        <v>458.09999999979999</v>
      </c>
      <c r="CX3">
        <v>458.09999999979999</v>
      </c>
      <c r="CY3">
        <v>458.20000000089999</v>
      </c>
      <c r="CZ3">
        <v>458.20000000089999</v>
      </c>
      <c r="DA3">
        <v>458.20000000089999</v>
      </c>
      <c r="DB3">
        <v>458.30000000019999</v>
      </c>
      <c r="DC3">
        <v>458.30000000019999</v>
      </c>
      <c r="DD3">
        <v>458.30000000019999</v>
      </c>
      <c r="DE3">
        <v>458.30000000019999</v>
      </c>
      <c r="DF3">
        <v>458.30000000019999</v>
      </c>
      <c r="DG3">
        <v>4.6999999995000001</v>
      </c>
      <c r="DH3">
        <v>2.8999999994999999</v>
      </c>
      <c r="DI3">
        <v>2.8000000001999998</v>
      </c>
      <c r="DJ3">
        <v>2.7000000008999998</v>
      </c>
      <c r="DK3">
        <v>2.5999999998000001</v>
      </c>
      <c r="DL3">
        <v>2.5000000005</v>
      </c>
      <c r="DM3">
        <v>2.4000000012</v>
      </c>
      <c r="DN3">
        <v>2.3000000000999998</v>
      </c>
      <c r="DO3">
        <v>2.2000000007999998</v>
      </c>
      <c r="DP3">
        <v>2.0999999997000001</v>
      </c>
      <c r="DQ3">
        <v>2.0000000004</v>
      </c>
      <c r="DR3">
        <v>1.9000000011</v>
      </c>
      <c r="DS3">
        <v>1.8</v>
      </c>
      <c r="DT3">
        <v>1.5999999996000001</v>
      </c>
      <c r="DU3">
        <v>2.2000000007999998</v>
      </c>
      <c r="DV3">
        <v>4.5000000009000001</v>
      </c>
      <c r="DW3">
        <v>7.9999999998</v>
      </c>
      <c r="DX3">
        <v>13.300000000500001</v>
      </c>
      <c r="DY3">
        <v>20.0999999997</v>
      </c>
      <c r="DZ3">
        <v>26.799999999600001</v>
      </c>
      <c r="EA3">
        <v>33.400000000299997</v>
      </c>
      <c r="EB3">
        <v>40.300000000600001</v>
      </c>
      <c r="EC3">
        <v>47.899999999599999</v>
      </c>
      <c r="ED3">
        <v>55.900000001199999</v>
      </c>
      <c r="EE3">
        <v>63.799999999900002</v>
      </c>
      <c r="EF3">
        <v>71.200000000299994</v>
      </c>
      <c r="EG3">
        <v>78.600000000700007</v>
      </c>
      <c r="EH3">
        <v>85.6000000003</v>
      </c>
      <c r="EI3">
        <v>93.300000000500006</v>
      </c>
      <c r="EJ3">
        <v>101.3999999996</v>
      </c>
      <c r="EK3">
        <v>109.8999999995</v>
      </c>
      <c r="EL3">
        <v>118.50000000049999</v>
      </c>
      <c r="EM3">
        <v>126.9000000011</v>
      </c>
      <c r="EN3">
        <v>134.59999999940001</v>
      </c>
      <c r="EO3">
        <v>142.40000000059999</v>
      </c>
      <c r="EP3">
        <v>150.60000000080001</v>
      </c>
      <c r="EQ3">
        <v>159.2000000001</v>
      </c>
      <c r="ER3">
        <v>167.80000000109999</v>
      </c>
      <c r="ES3">
        <v>175.80000000090001</v>
      </c>
      <c r="ET3">
        <v>183.30000000059999</v>
      </c>
      <c r="EU3">
        <v>191.0000000007</v>
      </c>
      <c r="EV3">
        <v>199.30000000019999</v>
      </c>
      <c r="EW3">
        <v>207.50000000040001</v>
      </c>
      <c r="EX3">
        <v>215.5999999995</v>
      </c>
      <c r="EY3">
        <v>223.60000000119999</v>
      </c>
      <c r="EZ3">
        <v>231.20000000019999</v>
      </c>
      <c r="FA3">
        <v>238.9000000003</v>
      </c>
      <c r="FB3">
        <v>246.6000000004</v>
      </c>
      <c r="FC3">
        <v>254.6000000002</v>
      </c>
      <c r="FD3">
        <v>262.39999999960003</v>
      </c>
      <c r="FE3">
        <v>270.2000000008</v>
      </c>
      <c r="FF3">
        <v>277.70000000060003</v>
      </c>
      <c r="FG3">
        <v>284.99999999990001</v>
      </c>
      <c r="FH3">
        <v>292.10000000060001</v>
      </c>
      <c r="FI3">
        <v>299.39999999989999</v>
      </c>
      <c r="FJ3">
        <v>306.70000000099998</v>
      </c>
      <c r="FK3">
        <v>313.79999999990002</v>
      </c>
      <c r="FL3">
        <v>320.90000000060002</v>
      </c>
      <c r="FM3">
        <v>327.90000000020001</v>
      </c>
      <c r="FN3">
        <v>334.50000000080001</v>
      </c>
      <c r="FO3">
        <v>340.90000000110001</v>
      </c>
      <c r="FP3">
        <v>347.49999999990001</v>
      </c>
      <c r="FQ3">
        <v>354.10000000050002</v>
      </c>
      <c r="FR3">
        <v>360.70000000110002</v>
      </c>
      <c r="FS3">
        <v>366.90000000089998</v>
      </c>
      <c r="FT3">
        <v>373.30000000109999</v>
      </c>
      <c r="FU3">
        <v>379.30000000050001</v>
      </c>
      <c r="FV3">
        <v>385.20000000060003</v>
      </c>
      <c r="FW3">
        <v>390.9000000003</v>
      </c>
      <c r="FX3">
        <v>396.70000000110002</v>
      </c>
      <c r="FY3">
        <v>402.59999999939998</v>
      </c>
      <c r="FZ3">
        <v>408.4000000003</v>
      </c>
      <c r="GA3">
        <v>413.80000000029997</v>
      </c>
      <c r="GB3">
        <v>419.2999999996</v>
      </c>
      <c r="GC3">
        <v>424.69999999959998</v>
      </c>
      <c r="GD3">
        <v>429.90000000100002</v>
      </c>
      <c r="GE3">
        <v>434.90000000020001</v>
      </c>
      <c r="GF3">
        <v>439.8000000001</v>
      </c>
      <c r="GG3">
        <v>444.4000000003</v>
      </c>
      <c r="GH3">
        <v>448.89999999939999</v>
      </c>
      <c r="GI3">
        <v>453.1999999999</v>
      </c>
      <c r="GJ3">
        <v>456.59999999950003</v>
      </c>
      <c r="GK3">
        <v>458.39999999949998</v>
      </c>
      <c r="GL3">
        <v>458.80000000029997</v>
      </c>
      <c r="GM3">
        <v>458.80000000029997</v>
      </c>
      <c r="GN3">
        <v>458.89999999960003</v>
      </c>
      <c r="GO3">
        <v>458.89999999960003</v>
      </c>
      <c r="GP3">
        <v>458.89999999960003</v>
      </c>
      <c r="GQ3">
        <v>458.89999999960003</v>
      </c>
      <c r="GR3">
        <v>458.89999999960003</v>
      </c>
      <c r="GS3">
        <v>458.89999999960003</v>
      </c>
      <c r="GT3">
        <v>458.80000000029997</v>
      </c>
      <c r="GU3">
        <v>458.59999999989998</v>
      </c>
      <c r="GV3">
        <v>458.30000000019999</v>
      </c>
      <c r="GW3">
        <v>1</v>
      </c>
      <c r="GX3">
        <v>116.2000000004</v>
      </c>
      <c r="GY3">
        <v>112.6999999997</v>
      </c>
      <c r="GZ3">
        <v>112.6999999997</v>
      </c>
      <c r="HA3">
        <v>126.9000000011</v>
      </c>
      <c r="HB3">
        <v>116.4094635849</v>
      </c>
      <c r="HC3">
        <v>-14.200000001399999</v>
      </c>
      <c r="HD3">
        <v>458.30000000019999</v>
      </c>
      <c r="HE3">
        <v>296.171860009</v>
      </c>
      <c r="HF3">
        <v>93.720889663400001</v>
      </c>
      <c r="HG3">
        <v>458.89999999960003</v>
      </c>
      <c r="HH3">
        <v>458.89999999960003</v>
      </c>
      <c r="HI3">
        <v>458.30000000019999</v>
      </c>
      <c r="HJ3">
        <v>458.89999999960003</v>
      </c>
      <c r="HK3">
        <v>117.3020527859</v>
      </c>
      <c r="HL3">
        <v>3.2893672949999999</v>
      </c>
      <c r="HM3">
        <v>3.1945158805</v>
      </c>
      <c r="HN3">
        <v>3.2169372641999998</v>
      </c>
      <c r="HO3">
        <v>3.2254339832999999</v>
      </c>
      <c r="HP3">
        <v>3.5049587600000001</v>
      </c>
      <c r="HQ3">
        <v>2.2025830219000002</v>
      </c>
      <c r="HR3">
        <v>22.688573921500002</v>
      </c>
      <c r="HS3">
        <v>-28.152492668600001</v>
      </c>
      <c r="HT3">
        <v>-192</v>
      </c>
      <c r="HU3">
        <v>412.58132359389998</v>
      </c>
      <c r="HV3">
        <v>93.841642228699996</v>
      </c>
      <c r="HW3">
        <v>640</v>
      </c>
      <c r="HX3">
        <v>22.688573921500002</v>
      </c>
      <c r="HY3">
        <v>-28.152492668600001</v>
      </c>
      <c r="HZ3">
        <v>-192</v>
      </c>
      <c r="IA3">
        <v>412.58132359389998</v>
      </c>
      <c r="IB3">
        <v>93.841642228699996</v>
      </c>
      <c r="IC3">
        <v>640</v>
      </c>
      <c r="ID3">
        <v>46.318676405799998</v>
      </c>
      <c r="IE3">
        <v>1.9658416932</v>
      </c>
      <c r="IF3">
        <v>-37.536656891500002</v>
      </c>
      <c r="IG3">
        <v>-256</v>
      </c>
      <c r="IH3">
        <v>434.25944177949998</v>
      </c>
      <c r="II3">
        <v>103.22580645159999</v>
      </c>
      <c r="IJ3">
        <v>704</v>
      </c>
      <c r="IK3">
        <v>389.89274967239999</v>
      </c>
      <c r="IL3">
        <v>121.9941348974</v>
      </c>
      <c r="IM3">
        <v>414.0108046217</v>
      </c>
      <c r="IN3">
        <v>131.37829912020001</v>
      </c>
      <c r="IO3">
        <v>6.7999999991999998</v>
      </c>
      <c r="IP3">
        <v>5.4999999992999999</v>
      </c>
      <c r="IQ3">
        <v>8.8000000014000008</v>
      </c>
      <c r="IR3">
        <v>6.4046116091999998</v>
      </c>
      <c r="IS3">
        <v>6.4046116091999998</v>
      </c>
      <c r="IT3">
        <v>11.3999999994</v>
      </c>
      <c r="IU3">
        <v>-30.4985337243</v>
      </c>
      <c r="IV3">
        <v>14.6000000004</v>
      </c>
      <c r="IW3">
        <v>-2.3460410557000002</v>
      </c>
      <c r="IX3">
        <v>10.9999999986</v>
      </c>
      <c r="IY3">
        <v>98.533724340199996</v>
      </c>
      <c r="IZ3">
        <v>-35.393987936000002</v>
      </c>
      <c r="JA3">
        <v>0.3343844674</v>
      </c>
      <c r="JB3">
        <v>-3.3692370000000001E-4</v>
      </c>
      <c r="JC3">
        <v>6.9129999999999995E-7</v>
      </c>
      <c r="JD3">
        <v>0.30400983240000001</v>
      </c>
      <c r="JE3">
        <v>0.24015023899999999</v>
      </c>
      <c r="JF3">
        <v>9.0125620000000004E-2</v>
      </c>
      <c r="JG3">
        <v>116.75052300439999</v>
      </c>
      <c r="JH3">
        <v>3.5049587600000001</v>
      </c>
      <c r="JI3">
        <v>2.2174693999999998E-3</v>
      </c>
      <c r="JJ3">
        <v>-6.5050700000000004E-5</v>
      </c>
      <c r="JK3">
        <v>3.2893672949999999</v>
      </c>
      <c r="JL3">
        <v>1.4024423382</v>
      </c>
      <c r="JM3">
        <v>0.54256976459999995</v>
      </c>
      <c r="JN3" t="s">
        <v>545</v>
      </c>
      <c r="JQ3">
        <v>1</v>
      </c>
    </row>
    <row r="4" spans="1:277">
      <c r="A4" t="s">
        <v>560</v>
      </c>
      <c r="B4" t="s">
        <v>561</v>
      </c>
      <c r="C4" t="s">
        <v>212</v>
      </c>
      <c r="D4">
        <v>3</v>
      </c>
      <c r="E4" t="s">
        <v>213</v>
      </c>
      <c r="F4" t="s">
        <v>214</v>
      </c>
      <c r="G4" t="s">
        <v>544</v>
      </c>
      <c r="H4" t="s">
        <v>216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>
        <v>0</v>
      </c>
      <c r="P4">
        <v>0</v>
      </c>
      <c r="Q4">
        <v>0.90000000089999999</v>
      </c>
      <c r="R4">
        <v>0.1000000011</v>
      </c>
      <c r="S4">
        <v>0.1000000011</v>
      </c>
      <c r="T4">
        <v>0.20000000039999999</v>
      </c>
      <c r="U4">
        <v>0.1000000011</v>
      </c>
      <c r="V4">
        <v>0.1000000011</v>
      </c>
      <c r="W4">
        <v>0.1000000011</v>
      </c>
      <c r="X4">
        <v>0.1000000011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1.5999999996000001</v>
      </c>
      <c r="AH4">
        <v>5.0000000010000001</v>
      </c>
      <c r="AI4">
        <v>9.6000000011999997</v>
      </c>
      <c r="AJ4">
        <v>15.5000000013</v>
      </c>
      <c r="AK4">
        <v>22.200000001199999</v>
      </c>
      <c r="AL4">
        <v>29.0999999997</v>
      </c>
      <c r="AM4">
        <v>36.299999999800001</v>
      </c>
      <c r="AN4">
        <v>43.800000001299999</v>
      </c>
      <c r="AO4">
        <v>51.000000001300002</v>
      </c>
      <c r="AP4">
        <v>57.700000001200003</v>
      </c>
      <c r="AQ4">
        <v>65.000000000499995</v>
      </c>
      <c r="AR4">
        <v>72.700000000599999</v>
      </c>
      <c r="AS4">
        <v>80.5</v>
      </c>
      <c r="AT4">
        <v>88.4000000005</v>
      </c>
      <c r="AU4">
        <v>96.400000000399999</v>
      </c>
      <c r="AV4">
        <v>104.00000000119999</v>
      </c>
      <c r="AW4">
        <v>111.6000000002</v>
      </c>
      <c r="AX4">
        <v>119.8999999997</v>
      </c>
      <c r="AY4">
        <v>128.3000000003</v>
      </c>
      <c r="AZ4">
        <v>136.50000000049999</v>
      </c>
      <c r="BA4">
        <v>145.00000000040001</v>
      </c>
      <c r="BB4">
        <v>152.900000001</v>
      </c>
      <c r="BC4">
        <v>160.6000000011</v>
      </c>
      <c r="BD4">
        <v>168.4999999998</v>
      </c>
      <c r="BE4">
        <v>176.60000000069999</v>
      </c>
      <c r="BF4">
        <v>184.90000000020001</v>
      </c>
      <c r="BG4">
        <v>193.3000000008</v>
      </c>
      <c r="BH4">
        <v>201.50000000099999</v>
      </c>
      <c r="BI4">
        <v>209.1</v>
      </c>
      <c r="BJ4">
        <v>216.8000000001</v>
      </c>
      <c r="BK4">
        <v>224.8</v>
      </c>
      <c r="BL4">
        <v>232.90000000090001</v>
      </c>
      <c r="BM4">
        <v>240.7999999996</v>
      </c>
      <c r="BN4">
        <v>248.9000000005</v>
      </c>
      <c r="BO4">
        <v>256.50000000130001</v>
      </c>
      <c r="BP4">
        <v>263.80000000059999</v>
      </c>
      <c r="BQ4">
        <v>271.20000000099998</v>
      </c>
      <c r="BR4">
        <v>278.7000000008</v>
      </c>
      <c r="BS4">
        <v>286.29999999979998</v>
      </c>
      <c r="BT4">
        <v>293.80000000130002</v>
      </c>
      <c r="BU4">
        <v>301.300000001</v>
      </c>
      <c r="BV4">
        <v>308.2000000013</v>
      </c>
      <c r="BW4">
        <v>314.9000000012</v>
      </c>
      <c r="BX4">
        <v>321.79999999969999</v>
      </c>
      <c r="BY4">
        <v>328.7</v>
      </c>
      <c r="BZ4">
        <v>335.50000000099999</v>
      </c>
      <c r="CA4">
        <v>342.30000000029997</v>
      </c>
      <c r="CB4">
        <v>349.10000000129997</v>
      </c>
      <c r="CC4">
        <v>355.40000000039998</v>
      </c>
      <c r="CD4">
        <v>361.6000000002</v>
      </c>
      <c r="CE4">
        <v>367.59999999960002</v>
      </c>
      <c r="CF4">
        <v>373.80000000119998</v>
      </c>
      <c r="CG4">
        <v>379.89999999989999</v>
      </c>
      <c r="CH4">
        <v>386.00000000040001</v>
      </c>
      <c r="CI4">
        <v>391.90000000049997</v>
      </c>
      <c r="CJ4">
        <v>397.89999999989999</v>
      </c>
      <c r="CK4">
        <v>403.9000000012</v>
      </c>
      <c r="CL4">
        <v>409.30000000119998</v>
      </c>
      <c r="CM4">
        <v>414.60000000010001</v>
      </c>
      <c r="CN4">
        <v>419.90000000079999</v>
      </c>
      <c r="CO4">
        <v>425.19999999970003</v>
      </c>
      <c r="CP4">
        <v>430.50000000040001</v>
      </c>
      <c r="CQ4">
        <v>435.90000000039998</v>
      </c>
      <c r="CR4">
        <v>441.1</v>
      </c>
      <c r="CS4">
        <v>446.20000000030001</v>
      </c>
      <c r="CT4">
        <v>451.50000000099999</v>
      </c>
      <c r="CU4">
        <v>454.10000000079998</v>
      </c>
      <c r="CV4">
        <v>454.20000000009998</v>
      </c>
      <c r="CW4">
        <v>454.30000000119998</v>
      </c>
      <c r="CX4">
        <v>454.20000000009998</v>
      </c>
      <c r="CY4">
        <v>454.10000000079998</v>
      </c>
      <c r="CZ4">
        <v>453.99999999969998</v>
      </c>
      <c r="DA4">
        <v>453.90000000039998</v>
      </c>
      <c r="DB4">
        <v>453.90000000039998</v>
      </c>
      <c r="DC4">
        <v>453.90000000039998</v>
      </c>
      <c r="DD4">
        <v>453.90000000039998</v>
      </c>
      <c r="DE4">
        <v>453.90000000039998</v>
      </c>
      <c r="DF4">
        <v>453.80000000109999</v>
      </c>
      <c r="DG4">
        <v>1.8</v>
      </c>
      <c r="DH4">
        <v>1.1000000013</v>
      </c>
      <c r="DI4">
        <v>1.1000000013</v>
      </c>
      <c r="DJ4">
        <v>1.1000000013</v>
      </c>
      <c r="DK4">
        <v>1.0000000002</v>
      </c>
      <c r="DL4">
        <v>0.90000000089999999</v>
      </c>
      <c r="DM4">
        <v>0.90000000089999999</v>
      </c>
      <c r="DN4">
        <v>0.90000000089999999</v>
      </c>
      <c r="DO4">
        <v>0.90000000089999999</v>
      </c>
      <c r="DP4">
        <v>0.90000000089999999</v>
      </c>
      <c r="DQ4">
        <v>0.90000000089999999</v>
      </c>
      <c r="DR4">
        <v>0.79999999980000003</v>
      </c>
      <c r="DS4">
        <v>0.79999999980000003</v>
      </c>
      <c r="DT4">
        <v>0.79999999980000003</v>
      </c>
      <c r="DU4">
        <v>1.2999999999</v>
      </c>
      <c r="DV4">
        <v>3.8000000003999999</v>
      </c>
      <c r="DW4">
        <v>8.4000000006000004</v>
      </c>
      <c r="DX4">
        <v>14.300000000700001</v>
      </c>
      <c r="DY4">
        <v>21.200000000999999</v>
      </c>
      <c r="DZ4">
        <v>28.299999999899999</v>
      </c>
      <c r="EA4">
        <v>35.400000000699997</v>
      </c>
      <c r="EB4">
        <v>42.800000001100003</v>
      </c>
      <c r="EC4">
        <v>50.000000001099998</v>
      </c>
      <c r="ED4">
        <v>56.800000000300003</v>
      </c>
      <c r="EE4">
        <v>63.900000001000002</v>
      </c>
      <c r="EF4">
        <v>71.400000000700004</v>
      </c>
      <c r="EG4">
        <v>79.100000000799994</v>
      </c>
      <c r="EH4">
        <v>86.900000000199995</v>
      </c>
      <c r="EI4">
        <v>95.000000001199993</v>
      </c>
      <c r="EJ4">
        <v>102.5000000009</v>
      </c>
      <c r="EK4">
        <v>109.9000000013</v>
      </c>
      <c r="EL4">
        <v>117.9000000011</v>
      </c>
      <c r="EM4">
        <v>126.400000001</v>
      </c>
      <c r="EN4">
        <v>134.79999999980001</v>
      </c>
      <c r="EO4">
        <v>143.29999999969999</v>
      </c>
      <c r="EP4">
        <v>151.40000000059999</v>
      </c>
      <c r="EQ4">
        <v>159.10000000080001</v>
      </c>
      <c r="ER4">
        <v>166.90000000020001</v>
      </c>
      <c r="ES4">
        <v>175.1000000004</v>
      </c>
      <c r="ET4">
        <v>183.30000000059999</v>
      </c>
      <c r="EU4">
        <v>191.70000000120001</v>
      </c>
      <c r="EV4">
        <v>200.1</v>
      </c>
      <c r="EW4">
        <v>207.8000000001</v>
      </c>
      <c r="EX4">
        <v>215.5000000002</v>
      </c>
      <c r="EY4">
        <v>223.50000000009999</v>
      </c>
      <c r="EZ4">
        <v>231.60000000100001</v>
      </c>
      <c r="FA4">
        <v>239.7000000001</v>
      </c>
      <c r="FB4">
        <v>247.9000000003</v>
      </c>
      <c r="FC4">
        <v>255.6999999997</v>
      </c>
      <c r="FD4">
        <v>262.89999999970001</v>
      </c>
      <c r="FE4">
        <v>270.50000000049999</v>
      </c>
      <c r="FF4">
        <v>278.00000000019998</v>
      </c>
      <c r="FG4">
        <v>285.6000000011</v>
      </c>
      <c r="FH4">
        <v>293.30000000119998</v>
      </c>
      <c r="FI4">
        <v>300.90000000020001</v>
      </c>
      <c r="FJ4">
        <v>308.0000000009</v>
      </c>
      <c r="FK4">
        <v>314.8000000001</v>
      </c>
      <c r="FL4">
        <v>321.79999999969999</v>
      </c>
      <c r="FM4">
        <v>328.80000000109999</v>
      </c>
      <c r="FN4">
        <v>335.80000000069998</v>
      </c>
      <c r="FO4">
        <v>342.59999999989998</v>
      </c>
      <c r="FP4">
        <v>349.50000000030002</v>
      </c>
      <c r="FQ4">
        <v>355.99999999980002</v>
      </c>
      <c r="FR4">
        <v>362.30000000069998</v>
      </c>
      <c r="FS4">
        <v>368.50000000049999</v>
      </c>
      <c r="FT4">
        <v>374.7999999996</v>
      </c>
      <c r="FU4">
        <v>381.00000000120002</v>
      </c>
      <c r="FV4">
        <v>387.00000000059998</v>
      </c>
      <c r="FW4">
        <v>393</v>
      </c>
      <c r="FX4">
        <v>399.00000000130001</v>
      </c>
      <c r="FY4">
        <v>404.90000000139997</v>
      </c>
      <c r="FZ4">
        <v>410.30000000140001</v>
      </c>
      <c r="GA4">
        <v>415.60000000029999</v>
      </c>
      <c r="GB4">
        <v>420.90000000100002</v>
      </c>
      <c r="GC4">
        <v>426.1999999999</v>
      </c>
      <c r="GD4">
        <v>431.30000000019999</v>
      </c>
      <c r="GE4">
        <v>436.49999999980002</v>
      </c>
      <c r="GF4">
        <v>441.39999999970001</v>
      </c>
      <c r="GG4">
        <v>446.4000000007</v>
      </c>
      <c r="GH4">
        <v>451.30000000059999</v>
      </c>
      <c r="GI4">
        <v>453.99999999969998</v>
      </c>
      <c r="GJ4">
        <v>453.99999999969998</v>
      </c>
      <c r="GK4">
        <v>453.99999999969998</v>
      </c>
      <c r="GL4">
        <v>453.99999999969998</v>
      </c>
      <c r="GM4">
        <v>453.99999999969998</v>
      </c>
      <c r="GN4">
        <v>453.99999999969998</v>
      </c>
      <c r="GO4">
        <v>453.90000000039998</v>
      </c>
      <c r="GP4">
        <v>453.99999999969998</v>
      </c>
      <c r="GQ4">
        <v>453.99999999969998</v>
      </c>
      <c r="GR4">
        <v>453.90000000039998</v>
      </c>
      <c r="GS4">
        <v>453.80000000109999</v>
      </c>
      <c r="GT4">
        <v>453.80000000109999</v>
      </c>
      <c r="GU4">
        <v>453.7</v>
      </c>
      <c r="GV4">
        <v>453.7</v>
      </c>
      <c r="GW4">
        <v>1</v>
      </c>
      <c r="GX4">
        <v>117.0999999995</v>
      </c>
      <c r="GY4">
        <v>111.6000000002</v>
      </c>
      <c r="GZ4">
        <v>111.6000000002</v>
      </c>
      <c r="HA4">
        <v>126.400000001</v>
      </c>
      <c r="HB4">
        <v>115.4780138725</v>
      </c>
      <c r="HC4">
        <v>-14.800000000800001</v>
      </c>
      <c r="HD4">
        <v>453.70008807670001</v>
      </c>
      <c r="HE4">
        <v>298.97813497739998</v>
      </c>
      <c r="HF4">
        <v>99.360772871500004</v>
      </c>
      <c r="HG4">
        <v>454.30000000119998</v>
      </c>
      <c r="HH4">
        <v>454.00002201889998</v>
      </c>
      <c r="HI4">
        <v>454.30000000119998</v>
      </c>
      <c r="HJ4">
        <v>453.99999999969998</v>
      </c>
      <c r="HK4">
        <v>112.6099706745</v>
      </c>
      <c r="HL4">
        <v>3.3091495485000002</v>
      </c>
      <c r="HM4">
        <v>3.1908410714</v>
      </c>
      <c r="HN4">
        <v>3.2494493511</v>
      </c>
      <c r="HO4">
        <v>3.0774340194000001</v>
      </c>
      <c r="HP4">
        <v>3.4887470708000001</v>
      </c>
      <c r="HQ4">
        <v>2.1993334712000001</v>
      </c>
      <c r="HR4">
        <v>16.117241001</v>
      </c>
      <c r="HS4">
        <v>-30.4985337243</v>
      </c>
      <c r="HT4">
        <v>-208</v>
      </c>
      <c r="HU4">
        <v>414.45614884989999</v>
      </c>
      <c r="HV4">
        <v>93.841642228699996</v>
      </c>
      <c r="HW4">
        <v>640</v>
      </c>
      <c r="HX4">
        <v>16.117241001</v>
      </c>
      <c r="HY4">
        <v>-30.4985337243</v>
      </c>
      <c r="HZ4">
        <v>-208</v>
      </c>
      <c r="IA4">
        <v>414.45614884989999</v>
      </c>
      <c r="IB4">
        <v>93.841642228699996</v>
      </c>
      <c r="IC4">
        <v>640</v>
      </c>
      <c r="ID4">
        <v>39.543873169000001</v>
      </c>
      <c r="IE4">
        <v>1.5897831099999999E-2</v>
      </c>
      <c r="IF4">
        <v>-39.8826979472</v>
      </c>
      <c r="IG4">
        <v>-272</v>
      </c>
      <c r="IH4">
        <v>435.9202576239</v>
      </c>
      <c r="II4">
        <v>103.22580645159999</v>
      </c>
      <c r="IJ4">
        <v>704</v>
      </c>
      <c r="IK4">
        <v>398.33890784890002</v>
      </c>
      <c r="IL4">
        <v>124.3401759531</v>
      </c>
      <c r="IM4">
        <v>420.14033909390002</v>
      </c>
      <c r="IN4">
        <v>133.724340176</v>
      </c>
      <c r="IO4">
        <v>6.9000000003000004</v>
      </c>
      <c r="IP4">
        <v>5.4</v>
      </c>
      <c r="IQ4">
        <v>8.4999999999</v>
      </c>
      <c r="IR4">
        <v>6.3336661565999997</v>
      </c>
      <c r="IS4">
        <v>6.3336661565999997</v>
      </c>
      <c r="IT4">
        <v>12.799999998600001</v>
      </c>
      <c r="IU4">
        <v>-30.4985337243</v>
      </c>
      <c r="IV4">
        <v>15.199999999799999</v>
      </c>
      <c r="IW4">
        <v>21.114369501500001</v>
      </c>
      <c r="IX4">
        <v>11.3999999994</v>
      </c>
      <c r="IY4">
        <v>100.87976539589999</v>
      </c>
      <c r="IZ4">
        <v>-35.849063429399997</v>
      </c>
      <c r="JA4">
        <v>0.3432216219</v>
      </c>
      <c r="JB4">
        <v>-3.7499819999999999E-4</v>
      </c>
      <c r="JC4">
        <v>7.2640000000000005E-7</v>
      </c>
      <c r="JD4">
        <v>0.30219244709999998</v>
      </c>
      <c r="JE4">
        <v>0.18586727550000001</v>
      </c>
      <c r="JF4">
        <v>7.4343304999999998E-2</v>
      </c>
      <c r="JG4">
        <v>116.33375922739999</v>
      </c>
      <c r="JH4">
        <v>3.4887470708000001</v>
      </c>
      <c r="JI4">
        <v>3.4040454000000002E-3</v>
      </c>
      <c r="JJ4">
        <v>-7.2989600000000003E-5</v>
      </c>
      <c r="JK4">
        <v>3.3091495485000002</v>
      </c>
      <c r="JL4">
        <v>1.0739025768999999</v>
      </c>
      <c r="JM4">
        <v>0.5195873231</v>
      </c>
      <c r="JN4" t="s">
        <v>545</v>
      </c>
      <c r="JQ4">
        <v>1</v>
      </c>
    </row>
    <row r="5" spans="1:277">
      <c r="A5" t="s">
        <v>573</v>
      </c>
      <c r="B5" t="s">
        <v>574</v>
      </c>
      <c r="C5" t="s">
        <v>212</v>
      </c>
      <c r="D5">
        <v>3</v>
      </c>
      <c r="E5" t="s">
        <v>213</v>
      </c>
      <c r="F5" t="s">
        <v>214</v>
      </c>
      <c r="G5" t="s">
        <v>544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2.4000000012</v>
      </c>
      <c r="R5">
        <v>1.1000000013</v>
      </c>
      <c r="S5">
        <v>1.0000000002</v>
      </c>
      <c r="T5">
        <v>1.0000000002</v>
      </c>
      <c r="U5">
        <v>0.90000000089999999</v>
      </c>
      <c r="V5">
        <v>0.90000000089999999</v>
      </c>
      <c r="W5">
        <v>0.80000000159999995</v>
      </c>
      <c r="X5">
        <v>0.80000000159999995</v>
      </c>
      <c r="Y5">
        <v>0.7000000005</v>
      </c>
      <c r="Z5">
        <v>0.60000000119999997</v>
      </c>
      <c r="AA5">
        <v>0.50000000010000001</v>
      </c>
      <c r="AB5">
        <v>0.40000000079999998</v>
      </c>
      <c r="AC5">
        <v>0.3000000015</v>
      </c>
      <c r="AD5">
        <v>0.3000000015</v>
      </c>
      <c r="AE5">
        <v>0.20000000039999999</v>
      </c>
      <c r="AF5">
        <v>0.1000000011</v>
      </c>
      <c r="AG5">
        <v>0</v>
      </c>
      <c r="AH5">
        <v>0.7000000005</v>
      </c>
      <c r="AI5">
        <v>3.8000000003999999</v>
      </c>
      <c r="AJ5">
        <v>9.7000000004999993</v>
      </c>
      <c r="AK5">
        <v>16.600000000800001</v>
      </c>
      <c r="AL5">
        <v>23.4</v>
      </c>
      <c r="AM5">
        <v>30.5000000008</v>
      </c>
      <c r="AN5">
        <v>37.6000000015</v>
      </c>
      <c r="AO5">
        <v>45.200000000499998</v>
      </c>
      <c r="AP5">
        <v>53.200000000300001</v>
      </c>
      <c r="AQ5">
        <v>61.000000001499998</v>
      </c>
      <c r="AR5">
        <v>68.700000001600003</v>
      </c>
      <c r="AS5">
        <v>76.399999999900004</v>
      </c>
      <c r="AT5">
        <v>84.000000000699998</v>
      </c>
      <c r="AU5">
        <v>91.700000000900005</v>
      </c>
      <c r="AV5">
        <v>100.2000000008</v>
      </c>
      <c r="AW5">
        <v>108.8</v>
      </c>
      <c r="AX5">
        <v>117.2999999999</v>
      </c>
      <c r="AY5">
        <v>125.40000000080001</v>
      </c>
      <c r="AZ5">
        <v>133.49999999990001</v>
      </c>
      <c r="BA5">
        <v>141.60000000080001</v>
      </c>
      <c r="BB5">
        <v>149.9000000003</v>
      </c>
      <c r="BC5">
        <v>158.80000000109999</v>
      </c>
      <c r="BD5">
        <v>167.1999999999</v>
      </c>
      <c r="BE5">
        <v>175.1000000004</v>
      </c>
      <c r="BF5">
        <v>183.30000000059999</v>
      </c>
      <c r="BG5">
        <v>191.30000000039999</v>
      </c>
      <c r="BH5">
        <v>199.59999999990001</v>
      </c>
      <c r="BI5">
        <v>208.40000000129999</v>
      </c>
      <c r="BJ5">
        <v>216.70000000089999</v>
      </c>
      <c r="BK5">
        <v>224.50000000029999</v>
      </c>
      <c r="BL5">
        <v>232.50000000009999</v>
      </c>
      <c r="BM5">
        <v>240.40000000059999</v>
      </c>
      <c r="BN5">
        <v>248.0000000014</v>
      </c>
      <c r="BO5">
        <v>256.20000000160002</v>
      </c>
      <c r="BP5">
        <v>264.60000000039997</v>
      </c>
      <c r="BQ5">
        <v>272.20000000120001</v>
      </c>
      <c r="BR5">
        <v>279.50000000059998</v>
      </c>
      <c r="BS5">
        <v>287.00000000030002</v>
      </c>
      <c r="BT5">
        <v>294.4000000007</v>
      </c>
      <c r="BU5">
        <v>301.80000000109999</v>
      </c>
      <c r="BV5">
        <v>309.60000000050002</v>
      </c>
      <c r="BW5">
        <v>317.1000000002</v>
      </c>
      <c r="BX5">
        <v>324.10000000159999</v>
      </c>
      <c r="BY5">
        <v>330.6000000011</v>
      </c>
      <c r="BZ5">
        <v>337.50000000149998</v>
      </c>
      <c r="CA5">
        <v>344.30000000069998</v>
      </c>
      <c r="CB5">
        <v>350.70000000089999</v>
      </c>
      <c r="CC5">
        <v>357.60000000119999</v>
      </c>
      <c r="CD5">
        <v>364.60000000079998</v>
      </c>
      <c r="CE5">
        <v>371.00000000099999</v>
      </c>
      <c r="CF5">
        <v>376.90000000110001</v>
      </c>
      <c r="CG5">
        <v>382.80000000119998</v>
      </c>
      <c r="CH5">
        <v>389.00000000099999</v>
      </c>
      <c r="CI5">
        <v>395.00000000040001</v>
      </c>
      <c r="CJ5">
        <v>400.60000000079998</v>
      </c>
      <c r="CK5">
        <v>406.70000000139999</v>
      </c>
      <c r="CL5">
        <v>412.9000000012</v>
      </c>
      <c r="CM5">
        <v>418.60000000090002</v>
      </c>
      <c r="CN5">
        <v>424.2000000013</v>
      </c>
      <c r="CO5">
        <v>429.20000000049998</v>
      </c>
      <c r="CP5">
        <v>434.40000000010002</v>
      </c>
      <c r="CQ5">
        <v>439.8000000001</v>
      </c>
      <c r="CR5">
        <v>444.80000000109999</v>
      </c>
      <c r="CS5">
        <v>449.10000000159999</v>
      </c>
      <c r="CT5">
        <v>453.5000000014</v>
      </c>
      <c r="CU5">
        <v>456.10000000119999</v>
      </c>
      <c r="CV5">
        <v>456.50000000019998</v>
      </c>
      <c r="CW5">
        <v>456.50000000019998</v>
      </c>
      <c r="CX5">
        <v>456.60000000129997</v>
      </c>
      <c r="CY5">
        <v>456.60000000129997</v>
      </c>
      <c r="CZ5">
        <v>456.70000000060003</v>
      </c>
      <c r="DA5">
        <v>456.70000000060003</v>
      </c>
      <c r="DB5">
        <v>456.60000000129997</v>
      </c>
      <c r="DC5">
        <v>456.70000000060003</v>
      </c>
      <c r="DD5">
        <v>456.70000000060003</v>
      </c>
      <c r="DE5">
        <v>456.79999999990002</v>
      </c>
      <c r="DF5">
        <v>456.70000000060003</v>
      </c>
      <c r="DG5">
        <v>2.9000000013</v>
      </c>
      <c r="DH5">
        <v>1.8</v>
      </c>
      <c r="DI5">
        <v>1.8</v>
      </c>
      <c r="DJ5">
        <v>1.7000000007</v>
      </c>
      <c r="DK5">
        <v>1.7000000007</v>
      </c>
      <c r="DL5">
        <v>1.6000000014</v>
      </c>
      <c r="DM5">
        <v>1.6000000014</v>
      </c>
      <c r="DN5">
        <v>1.5000000003</v>
      </c>
      <c r="DO5">
        <v>1.5000000003</v>
      </c>
      <c r="DP5">
        <v>1.400000001</v>
      </c>
      <c r="DQ5">
        <v>1.2999999999</v>
      </c>
      <c r="DR5">
        <v>1.2000000006</v>
      </c>
      <c r="DS5">
        <v>1.1000000013</v>
      </c>
      <c r="DT5">
        <v>1.0000000002</v>
      </c>
      <c r="DU5">
        <v>1.0000000002</v>
      </c>
      <c r="DV5">
        <v>0.90000000089999999</v>
      </c>
      <c r="DW5">
        <v>2.7000000008999998</v>
      </c>
      <c r="DX5">
        <v>8.1000000008999997</v>
      </c>
      <c r="DY5">
        <v>15.0000000012</v>
      </c>
      <c r="DZ5">
        <v>21.900000001599999</v>
      </c>
      <c r="EA5">
        <v>29.100000001600002</v>
      </c>
      <c r="EB5">
        <v>36.100000001200002</v>
      </c>
      <c r="EC5">
        <v>43.5000000016</v>
      </c>
      <c r="ED5">
        <v>51.6000000007</v>
      </c>
      <c r="EE5">
        <v>59.4000000001</v>
      </c>
      <c r="EF5">
        <v>67.000000000900002</v>
      </c>
      <c r="EG5">
        <v>74.500000000599996</v>
      </c>
      <c r="EH5">
        <v>82.500000000399993</v>
      </c>
      <c r="EI5">
        <v>90.100000001300003</v>
      </c>
      <c r="EJ5">
        <v>98.1000000011</v>
      </c>
      <c r="EK5">
        <v>106.80000000139999</v>
      </c>
      <c r="EL5">
        <v>115.0000000016</v>
      </c>
      <c r="EM5">
        <v>123.0000000014</v>
      </c>
      <c r="EN5">
        <v>131.40000000020001</v>
      </c>
      <c r="EO5">
        <v>139.4</v>
      </c>
      <c r="EP5">
        <v>147.6000000002</v>
      </c>
      <c r="EQ5">
        <v>156.50000000099999</v>
      </c>
      <c r="ER5">
        <v>164.90000000160001</v>
      </c>
      <c r="ES5">
        <v>172.8000000003</v>
      </c>
      <c r="ET5">
        <v>181.30000000019999</v>
      </c>
      <c r="EU5">
        <v>189.40000000110001</v>
      </c>
      <c r="EV5">
        <v>197.7000000006</v>
      </c>
      <c r="EW5">
        <v>206.40000000090001</v>
      </c>
      <c r="EX5">
        <v>215.00000000009999</v>
      </c>
      <c r="EY5">
        <v>222.80000000140001</v>
      </c>
      <c r="EZ5">
        <v>230.8000000012</v>
      </c>
      <c r="FA5">
        <v>239.0000000014</v>
      </c>
      <c r="FB5">
        <v>247.00000000119999</v>
      </c>
      <c r="FC5">
        <v>255.20000000140001</v>
      </c>
      <c r="FD5">
        <v>263.5000000009</v>
      </c>
      <c r="FE5">
        <v>271.09999999989998</v>
      </c>
      <c r="FF5">
        <v>278.50000000030002</v>
      </c>
      <c r="FG5">
        <v>286.20000000049998</v>
      </c>
      <c r="FH5">
        <v>293.70000000020002</v>
      </c>
      <c r="FI5">
        <v>301.1999999999</v>
      </c>
      <c r="FJ5">
        <v>309.10000000039997</v>
      </c>
      <c r="FK5">
        <v>316.60000000010001</v>
      </c>
      <c r="FL5">
        <v>323.50000000040001</v>
      </c>
      <c r="FM5">
        <v>330.4000000007</v>
      </c>
      <c r="FN5">
        <v>337.4000000003</v>
      </c>
      <c r="FO5">
        <v>344.30000000069998</v>
      </c>
      <c r="FP5">
        <v>350.90000000129999</v>
      </c>
      <c r="FQ5">
        <v>358.00000000019998</v>
      </c>
      <c r="FR5">
        <v>364.80000000119998</v>
      </c>
      <c r="FS5">
        <v>371.10000000029999</v>
      </c>
      <c r="FT5">
        <v>377.00000000040001</v>
      </c>
      <c r="FU5">
        <v>383.49999999990001</v>
      </c>
      <c r="FV5">
        <v>389.80000000080003</v>
      </c>
      <c r="FW5">
        <v>395.70000000089999</v>
      </c>
      <c r="FX5">
        <v>401.6000000011</v>
      </c>
      <c r="FY5">
        <v>407.80000000090001</v>
      </c>
      <c r="FZ5">
        <v>413.90000000139997</v>
      </c>
      <c r="GA5">
        <v>419.5</v>
      </c>
      <c r="GB5">
        <v>424.60000000029999</v>
      </c>
      <c r="GC5">
        <v>429.60000000129997</v>
      </c>
      <c r="GD5">
        <v>435.00000000130001</v>
      </c>
      <c r="GE5">
        <v>440.10000000159999</v>
      </c>
      <c r="GF5">
        <v>444.90000000039998</v>
      </c>
      <c r="GG5">
        <v>449.00000000049999</v>
      </c>
      <c r="GH5">
        <v>452.90000000020001</v>
      </c>
      <c r="GI5">
        <v>455.6000000011</v>
      </c>
      <c r="GJ5">
        <v>456.29999999979998</v>
      </c>
      <c r="GK5">
        <v>456.29999999979998</v>
      </c>
      <c r="GL5">
        <v>456.40000000089998</v>
      </c>
      <c r="GM5">
        <v>456.40000000089998</v>
      </c>
      <c r="GN5">
        <v>456.50000000019998</v>
      </c>
      <c r="GO5">
        <v>456.40000000089998</v>
      </c>
      <c r="GP5">
        <v>456.50000000019998</v>
      </c>
      <c r="GQ5">
        <v>456.50000000019998</v>
      </c>
      <c r="GR5">
        <v>456.60000000129997</v>
      </c>
      <c r="GS5">
        <v>456.60000000129997</v>
      </c>
      <c r="GT5">
        <v>456.70000000060003</v>
      </c>
      <c r="GU5">
        <v>456.70000000060003</v>
      </c>
      <c r="GV5">
        <v>456.79999999990002</v>
      </c>
      <c r="GW5">
        <v>1</v>
      </c>
      <c r="GX5">
        <v>112.90000000009999</v>
      </c>
      <c r="GY5">
        <v>108.8</v>
      </c>
      <c r="GZ5">
        <v>108.8</v>
      </c>
      <c r="HA5">
        <v>123.0000000014</v>
      </c>
      <c r="HB5">
        <v>112.403240285</v>
      </c>
      <c r="HC5">
        <v>-14.200000001399999</v>
      </c>
      <c r="HD5">
        <v>456.79999999990002</v>
      </c>
      <c r="HE5">
        <v>305.87350848360001</v>
      </c>
      <c r="HF5">
        <v>95.177898193199994</v>
      </c>
      <c r="HG5">
        <v>456.79999999990002</v>
      </c>
      <c r="HH5">
        <v>456.79999999990002</v>
      </c>
      <c r="HI5">
        <v>456.79999999990002</v>
      </c>
      <c r="HJ5">
        <v>456.79999999990002</v>
      </c>
      <c r="HK5">
        <v>114.9560117302</v>
      </c>
      <c r="HL5">
        <v>3.3883917352999999</v>
      </c>
      <c r="HM5">
        <v>3.2948416989</v>
      </c>
      <c r="HN5">
        <v>3.3181751230000001</v>
      </c>
      <c r="HO5">
        <v>3.235061457</v>
      </c>
      <c r="HP5">
        <v>3.5854773032999998</v>
      </c>
      <c r="HQ5">
        <v>2.2546264196000001</v>
      </c>
      <c r="HR5">
        <v>17.225342091800002</v>
      </c>
      <c r="HS5">
        <v>-28.152492668600001</v>
      </c>
      <c r="HT5">
        <v>-192</v>
      </c>
      <c r="HU5">
        <v>418.27674876859999</v>
      </c>
      <c r="HV5">
        <v>93.841642228699996</v>
      </c>
      <c r="HW5">
        <v>640</v>
      </c>
      <c r="HX5">
        <v>17.225342091800002</v>
      </c>
      <c r="HY5">
        <v>-28.152492668600001</v>
      </c>
      <c r="HZ5">
        <v>-192</v>
      </c>
      <c r="IA5">
        <v>418.27674876859999</v>
      </c>
      <c r="IB5">
        <v>93.841642228699996</v>
      </c>
      <c r="IC5">
        <v>640</v>
      </c>
      <c r="ID5">
        <v>38.523251231300002</v>
      </c>
      <c r="IE5">
        <v>7.9802955999999994E-3</v>
      </c>
      <c r="IF5">
        <v>-37.536656891500002</v>
      </c>
      <c r="IG5">
        <v>-256</v>
      </c>
      <c r="IH5">
        <v>439.57259989210002</v>
      </c>
      <c r="II5">
        <v>103.22580645159999</v>
      </c>
      <c r="IJ5">
        <v>704</v>
      </c>
      <c r="IK5">
        <v>401.05140667680001</v>
      </c>
      <c r="IL5">
        <v>121.9941348974</v>
      </c>
      <c r="IM5">
        <v>424.78318555089999</v>
      </c>
      <c r="IN5">
        <v>131.37829912020001</v>
      </c>
      <c r="IO5">
        <v>6.9000000003000004</v>
      </c>
      <c r="IP5">
        <v>5.6999999997000002</v>
      </c>
      <c r="IQ5">
        <v>8.9000000007000004</v>
      </c>
      <c r="IR5">
        <v>6.3510371418</v>
      </c>
      <c r="IS5">
        <v>6.3510371418</v>
      </c>
      <c r="IT5">
        <v>12.200000000999999</v>
      </c>
      <c r="IU5">
        <v>-30.4985337243</v>
      </c>
      <c r="IV5">
        <v>15.4999999995</v>
      </c>
      <c r="IW5">
        <v>39.8826979472</v>
      </c>
      <c r="IX5">
        <v>11.699999999099999</v>
      </c>
      <c r="IY5">
        <v>96.187683284499997</v>
      </c>
      <c r="IZ5">
        <v>-33.562130959699999</v>
      </c>
      <c r="JA5">
        <v>0.3285848683</v>
      </c>
      <c r="JB5">
        <v>-3.3823309999999999E-4</v>
      </c>
      <c r="JC5">
        <v>6.7150000000000005E-7</v>
      </c>
      <c r="JD5">
        <v>0.29512526239999998</v>
      </c>
      <c r="JE5">
        <v>0.1534225001</v>
      </c>
      <c r="JF5">
        <v>6.3095140499999994E-2</v>
      </c>
      <c r="JG5">
        <v>112.770475658</v>
      </c>
      <c r="JH5">
        <v>3.5854773032999998</v>
      </c>
      <c r="JI5">
        <v>3.1509610999999999E-3</v>
      </c>
      <c r="JJ5">
        <v>-7.2760200000000002E-5</v>
      </c>
      <c r="JK5">
        <v>3.3883917352999999</v>
      </c>
      <c r="JL5">
        <v>1.4195511145999999</v>
      </c>
      <c r="JM5">
        <v>0.52079547329999998</v>
      </c>
      <c r="JN5" t="s">
        <v>545</v>
      </c>
      <c r="JQ5">
        <v>1</v>
      </c>
    </row>
    <row r="6" spans="1:277">
      <c r="A6" t="s">
        <v>585</v>
      </c>
      <c r="B6" t="s">
        <v>586</v>
      </c>
      <c r="C6" t="s">
        <v>212</v>
      </c>
      <c r="D6">
        <v>3</v>
      </c>
      <c r="E6" t="s">
        <v>213</v>
      </c>
      <c r="F6" t="s">
        <v>214</v>
      </c>
      <c r="G6" t="s">
        <v>544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1.1999999988000001</v>
      </c>
      <c r="R6">
        <v>9.9999999300000003E-2</v>
      </c>
      <c r="S6">
        <v>9.9999999300000003E-2</v>
      </c>
      <c r="T6">
        <v>9.9999999300000003E-2</v>
      </c>
      <c r="U6">
        <v>0</v>
      </c>
      <c r="V6">
        <v>9.9999999300000003E-2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0.69999999869999996</v>
      </c>
      <c r="AI6">
        <v>2.9999999987999999</v>
      </c>
      <c r="AJ6">
        <v>6.1999999998000002</v>
      </c>
      <c r="AK6">
        <v>10.8</v>
      </c>
      <c r="AL6">
        <v>17.599999999200001</v>
      </c>
      <c r="AM6">
        <v>24.599999998800001</v>
      </c>
      <c r="AN6">
        <v>32.199999999600003</v>
      </c>
      <c r="AO6">
        <v>40.100000000199998</v>
      </c>
      <c r="AP6">
        <v>47.4999999988</v>
      </c>
      <c r="AQ6">
        <v>54.999999998500002</v>
      </c>
      <c r="AR6">
        <v>62.799999999699999</v>
      </c>
      <c r="AS6">
        <v>70.499999999799996</v>
      </c>
      <c r="AT6">
        <v>78.399999998499993</v>
      </c>
      <c r="AU6">
        <v>87.099999998800001</v>
      </c>
      <c r="AV6">
        <v>95.099999998599998</v>
      </c>
      <c r="AW6">
        <v>103.4</v>
      </c>
      <c r="AX6">
        <v>112.1999999996</v>
      </c>
      <c r="AY6">
        <v>120.6000000002</v>
      </c>
      <c r="AZ6">
        <v>128.89999999969999</v>
      </c>
      <c r="BA6">
        <v>137.69999999929999</v>
      </c>
      <c r="BB6">
        <v>146.1999999992</v>
      </c>
      <c r="BC6">
        <v>154.3000000001</v>
      </c>
      <c r="BD6">
        <v>162.8000000001</v>
      </c>
      <c r="BE6">
        <v>171.09999999959999</v>
      </c>
      <c r="BF6">
        <v>179.19999999870001</v>
      </c>
      <c r="BG6">
        <v>188.00000000009999</v>
      </c>
      <c r="BH6">
        <v>196.3999999989</v>
      </c>
      <c r="BI6">
        <v>204.4999999998</v>
      </c>
      <c r="BJ6">
        <v>212.89999999860001</v>
      </c>
      <c r="BK6">
        <v>220.99999999950001</v>
      </c>
      <c r="BL6">
        <v>228.99999999939999</v>
      </c>
      <c r="BM6">
        <v>237.29999999890001</v>
      </c>
      <c r="BN6">
        <v>245.79999999879999</v>
      </c>
      <c r="BO6">
        <v>253.49999999889999</v>
      </c>
      <c r="BP6">
        <v>261.3000000001</v>
      </c>
      <c r="BQ6">
        <v>268.99999999840003</v>
      </c>
      <c r="BR6">
        <v>276.59999999920001</v>
      </c>
      <c r="BS6">
        <v>283.89999999849999</v>
      </c>
      <c r="BT6">
        <v>291.90000000020001</v>
      </c>
      <c r="BU6">
        <v>299.49999999919999</v>
      </c>
      <c r="BV6">
        <v>306.69999999919997</v>
      </c>
      <c r="BW6">
        <v>313.89999999920002</v>
      </c>
      <c r="BX6">
        <v>320.99999999990001</v>
      </c>
      <c r="BY6">
        <v>327.89999999840001</v>
      </c>
      <c r="BZ6">
        <v>334.69999999940001</v>
      </c>
      <c r="CA6">
        <v>341.89999999939999</v>
      </c>
      <c r="CB6">
        <v>348.79999999979998</v>
      </c>
      <c r="CC6">
        <v>355.39999999859998</v>
      </c>
      <c r="CD6">
        <v>361.79999999879999</v>
      </c>
      <c r="CE6">
        <v>368.199999999</v>
      </c>
      <c r="CF6">
        <v>374.39999999880001</v>
      </c>
      <c r="CG6">
        <v>380.49999999929997</v>
      </c>
      <c r="CH6">
        <v>386.3000000001</v>
      </c>
      <c r="CI6">
        <v>392.6999999985</v>
      </c>
      <c r="CJ6">
        <v>398.69999999970003</v>
      </c>
      <c r="CK6">
        <v>404.49999999869999</v>
      </c>
      <c r="CL6">
        <v>410.19999999840002</v>
      </c>
      <c r="CM6">
        <v>415.9</v>
      </c>
      <c r="CN6">
        <v>421.39999999930001</v>
      </c>
      <c r="CO6">
        <v>426.89999999859998</v>
      </c>
      <c r="CP6">
        <v>432.19999999930002</v>
      </c>
      <c r="CQ6">
        <v>437.2999999996</v>
      </c>
      <c r="CR6">
        <v>442.79999999889998</v>
      </c>
      <c r="CS6">
        <v>448.09999999960002</v>
      </c>
      <c r="CT6">
        <v>452.99999999950001</v>
      </c>
      <c r="CU6">
        <v>457.8000000001</v>
      </c>
      <c r="CV6">
        <v>460.59999999849998</v>
      </c>
      <c r="CW6">
        <v>461.29999999900002</v>
      </c>
      <c r="CX6">
        <v>461.29999999900002</v>
      </c>
      <c r="CY6">
        <v>461.40000000010002</v>
      </c>
      <c r="CZ6">
        <v>461.40000000010002</v>
      </c>
      <c r="DA6">
        <v>461.40000000010002</v>
      </c>
      <c r="DB6">
        <v>461.40000000010002</v>
      </c>
      <c r="DC6">
        <v>461.49999999940002</v>
      </c>
      <c r="DD6">
        <v>461.40000000010002</v>
      </c>
      <c r="DE6">
        <v>461.40000000010002</v>
      </c>
      <c r="DF6">
        <v>461.40000000010002</v>
      </c>
      <c r="DG6">
        <v>2.0999999997000001</v>
      </c>
      <c r="DH6">
        <v>1.1999999988000001</v>
      </c>
      <c r="DI6">
        <v>1.1999999988000001</v>
      </c>
      <c r="DJ6">
        <v>1.1999999988000001</v>
      </c>
      <c r="DK6">
        <v>1.0999999995</v>
      </c>
      <c r="DL6">
        <v>1.0999999995</v>
      </c>
      <c r="DM6">
        <v>1.0999999995</v>
      </c>
      <c r="DN6">
        <v>1.0999999995</v>
      </c>
      <c r="DO6">
        <v>0.99999999839999998</v>
      </c>
      <c r="DP6">
        <v>0.99999999839999998</v>
      </c>
      <c r="DQ6">
        <v>0.99999999839999998</v>
      </c>
      <c r="DR6">
        <v>0.99999999839999998</v>
      </c>
      <c r="DS6">
        <v>0.99999999839999998</v>
      </c>
      <c r="DT6">
        <v>1.0999999995</v>
      </c>
      <c r="DU6">
        <v>0.89999999909999995</v>
      </c>
      <c r="DV6">
        <v>0.99999999839999998</v>
      </c>
      <c r="DW6">
        <v>2.3999999993999999</v>
      </c>
      <c r="DX6">
        <v>5.7999999989999997</v>
      </c>
      <c r="DY6">
        <v>10.0999999995</v>
      </c>
      <c r="DZ6">
        <v>16.599999999000001</v>
      </c>
      <c r="EA6">
        <v>23.699999999700001</v>
      </c>
      <c r="EB6">
        <v>31.299999998699999</v>
      </c>
      <c r="EC6">
        <v>39.199999999299997</v>
      </c>
      <c r="ED6">
        <v>46.499999998600003</v>
      </c>
      <c r="EE6">
        <v>54.000000000100002</v>
      </c>
      <c r="EF6">
        <v>61.5999999991</v>
      </c>
      <c r="EG6">
        <v>69.299999999199997</v>
      </c>
      <c r="EH6">
        <v>77.299999998999994</v>
      </c>
      <c r="EI6">
        <v>85.699999999599996</v>
      </c>
      <c r="EJ6">
        <v>93.600000000199998</v>
      </c>
      <c r="EK6">
        <v>101.6</v>
      </c>
      <c r="EL6">
        <v>110.1999999992</v>
      </c>
      <c r="EM6">
        <v>118.8000000002</v>
      </c>
      <c r="EN6">
        <v>127.199999999</v>
      </c>
      <c r="EO6">
        <v>135.80000000000001</v>
      </c>
      <c r="EP6">
        <v>144.2999999999</v>
      </c>
      <c r="EQ6">
        <v>152.50000000009999</v>
      </c>
      <c r="ER6">
        <v>161.00000000009999</v>
      </c>
      <c r="ES6">
        <v>169.3999999989</v>
      </c>
      <c r="ET6">
        <v>177.59999999909999</v>
      </c>
      <c r="EU6">
        <v>186.2000000001</v>
      </c>
      <c r="EV6">
        <v>194.89999999860001</v>
      </c>
      <c r="EW6">
        <v>202.99999999950001</v>
      </c>
      <c r="EX6">
        <v>211.40000000009999</v>
      </c>
      <c r="EY6">
        <v>219.59999999850001</v>
      </c>
      <c r="EZ6">
        <v>227.69999999949999</v>
      </c>
      <c r="FA6">
        <v>236.10000000010001</v>
      </c>
      <c r="FB6">
        <v>244.6</v>
      </c>
      <c r="FC6">
        <v>252.39999999939999</v>
      </c>
      <c r="FD6">
        <v>260.39999999920002</v>
      </c>
      <c r="FE6">
        <v>268.39999999899999</v>
      </c>
      <c r="FF6">
        <v>275.99999999980002</v>
      </c>
      <c r="FG6">
        <v>283.5999999988</v>
      </c>
      <c r="FH6">
        <v>291.59999999870001</v>
      </c>
      <c r="FI6">
        <v>299.39999999989999</v>
      </c>
      <c r="FJ6">
        <v>306.69999999919997</v>
      </c>
      <c r="FK6">
        <v>313.99999999850002</v>
      </c>
      <c r="FL6">
        <v>321.2999999996</v>
      </c>
      <c r="FM6">
        <v>328.2999999992</v>
      </c>
      <c r="FN6">
        <v>335.29999999879999</v>
      </c>
      <c r="FO6">
        <v>342.49999999879998</v>
      </c>
      <c r="FP6">
        <v>349.69999999880002</v>
      </c>
      <c r="FQ6">
        <v>356.29999999950002</v>
      </c>
      <c r="FR6">
        <v>362.99999999940002</v>
      </c>
      <c r="FS6">
        <v>369.39999999960003</v>
      </c>
      <c r="FT6">
        <v>375.79999999979998</v>
      </c>
      <c r="FU6">
        <v>381.99999999959999</v>
      </c>
      <c r="FV6">
        <v>388.19999999940001</v>
      </c>
      <c r="FW6">
        <v>394.39999999920002</v>
      </c>
      <c r="FX6">
        <v>400.59999999899998</v>
      </c>
      <c r="FY6">
        <v>406.2999999987</v>
      </c>
      <c r="FZ6">
        <v>412.09999999960002</v>
      </c>
      <c r="GA6">
        <v>417.59999999889999</v>
      </c>
      <c r="GB6">
        <v>422.99999999890002</v>
      </c>
      <c r="GC6">
        <v>428.3999999989</v>
      </c>
      <c r="GD6">
        <v>433.49999999919999</v>
      </c>
      <c r="GE6">
        <v>438.49999999840003</v>
      </c>
      <c r="GF6">
        <v>443.79999999910001</v>
      </c>
      <c r="GG6">
        <v>448.99999999869999</v>
      </c>
      <c r="GH6">
        <v>453.39999999849999</v>
      </c>
      <c r="GI6">
        <v>457.4999999986</v>
      </c>
      <c r="GJ6">
        <v>460.19999999949999</v>
      </c>
      <c r="GK6">
        <v>461.09999999860003</v>
      </c>
      <c r="GL6">
        <v>461.09999999860003</v>
      </c>
      <c r="GM6">
        <v>461.19999999970003</v>
      </c>
      <c r="GN6">
        <v>461.19999999970003</v>
      </c>
      <c r="GO6">
        <v>461.19999999970003</v>
      </c>
      <c r="GP6">
        <v>461.19999999970003</v>
      </c>
      <c r="GQ6">
        <v>461.29999999900002</v>
      </c>
      <c r="GR6">
        <v>461.29999999900002</v>
      </c>
      <c r="GS6">
        <v>461.29999999900002</v>
      </c>
      <c r="GT6">
        <v>461.29999999900002</v>
      </c>
      <c r="GU6">
        <v>461.29999999900002</v>
      </c>
      <c r="GV6">
        <v>461.40000000010002</v>
      </c>
      <c r="GW6">
        <v>1</v>
      </c>
      <c r="GX6">
        <v>108.89999999929999</v>
      </c>
      <c r="GY6">
        <v>103.4</v>
      </c>
      <c r="GZ6">
        <v>103.4</v>
      </c>
      <c r="HA6">
        <v>118.8000000002</v>
      </c>
      <c r="HB6">
        <v>107.1081491114</v>
      </c>
      <c r="HC6">
        <v>-15.4000000002</v>
      </c>
      <c r="HD6">
        <v>461.40000000010002</v>
      </c>
      <c r="HE6">
        <v>309.06232119510003</v>
      </c>
      <c r="HF6">
        <v>88.782173819700006</v>
      </c>
      <c r="HG6">
        <v>461.49999999940002</v>
      </c>
      <c r="HH6">
        <v>461.40000000010002</v>
      </c>
      <c r="HI6">
        <v>461.49999999940002</v>
      </c>
      <c r="HJ6">
        <v>461.40000000010002</v>
      </c>
      <c r="HK6">
        <v>117.3020527859</v>
      </c>
      <c r="HL6">
        <v>3.4253281523000001</v>
      </c>
      <c r="HM6">
        <v>3.2969669811000002</v>
      </c>
      <c r="HN6">
        <v>3.3376470375</v>
      </c>
      <c r="HO6">
        <v>3.3404324955</v>
      </c>
      <c r="HP6">
        <v>3.6408755339000001</v>
      </c>
      <c r="HQ6">
        <v>2.2620150823</v>
      </c>
      <c r="HR6">
        <v>18.325975291799999</v>
      </c>
      <c r="HS6">
        <v>-25.806451612899998</v>
      </c>
      <c r="HT6">
        <v>-176</v>
      </c>
      <c r="HU6">
        <v>416.17047030660001</v>
      </c>
      <c r="HV6">
        <v>93.841642228699996</v>
      </c>
      <c r="HW6">
        <v>640</v>
      </c>
      <c r="HX6">
        <v>18.325975291799999</v>
      </c>
      <c r="HY6">
        <v>-25.806451612899998</v>
      </c>
      <c r="HZ6">
        <v>-176</v>
      </c>
      <c r="IA6">
        <v>416.17047030660001</v>
      </c>
      <c r="IB6">
        <v>93.841642228699996</v>
      </c>
      <c r="IC6">
        <v>640</v>
      </c>
      <c r="ID6">
        <v>45.2295296936</v>
      </c>
      <c r="IE6">
        <v>0.73592327570000005</v>
      </c>
      <c r="IF6">
        <v>-35.190615835800003</v>
      </c>
      <c r="IG6">
        <v>-240</v>
      </c>
      <c r="IH6">
        <v>437.7784568687</v>
      </c>
      <c r="II6">
        <v>103.22580645159999</v>
      </c>
      <c r="IJ6">
        <v>704</v>
      </c>
      <c r="IK6">
        <v>397.84449501479997</v>
      </c>
      <c r="IL6">
        <v>119.6480938416</v>
      </c>
      <c r="IM6">
        <v>420.87970307680001</v>
      </c>
      <c r="IN6">
        <v>129.03225806450001</v>
      </c>
      <c r="IO6">
        <v>7.1000000006999997</v>
      </c>
      <c r="IP6">
        <v>5.4999999992999999</v>
      </c>
      <c r="IQ6">
        <v>8.8000000014000008</v>
      </c>
      <c r="IR6">
        <v>6.6008357209000001</v>
      </c>
      <c r="IS6">
        <v>6.6008357209000001</v>
      </c>
      <c r="IT6">
        <v>12.8999999997</v>
      </c>
      <c r="IU6">
        <v>-28.152492668600001</v>
      </c>
      <c r="IV6">
        <v>15.699999999899999</v>
      </c>
      <c r="IW6">
        <v>21.114369501500001</v>
      </c>
      <c r="IX6">
        <v>12.0999999999</v>
      </c>
      <c r="IY6">
        <v>100.87976539589999</v>
      </c>
      <c r="IZ6">
        <v>-31.4800083505</v>
      </c>
      <c r="JA6">
        <v>0.32069136250000002</v>
      </c>
      <c r="JB6">
        <v>-3.2396470000000001E-4</v>
      </c>
      <c r="JC6">
        <v>6.6339999999999997E-7</v>
      </c>
      <c r="JD6">
        <v>0.29194283160000001</v>
      </c>
      <c r="JE6">
        <v>0.1732983582</v>
      </c>
      <c r="JF6">
        <v>7.1656940200000005E-2</v>
      </c>
      <c r="JG6">
        <v>107.8302224446</v>
      </c>
      <c r="JH6">
        <v>3.6408755339000001</v>
      </c>
      <c r="JI6">
        <v>2.9809647999999998E-3</v>
      </c>
      <c r="JJ6">
        <v>-7.3369700000000003E-5</v>
      </c>
      <c r="JK6">
        <v>3.4253281523000001</v>
      </c>
      <c r="JL6">
        <v>1.2076275925</v>
      </c>
      <c r="JM6">
        <v>0.5202368933</v>
      </c>
      <c r="JN6" t="s">
        <v>545</v>
      </c>
      <c r="JQ6">
        <v>1</v>
      </c>
    </row>
    <row r="7" spans="1:277">
      <c r="A7" t="s">
        <v>597</v>
      </c>
      <c r="B7" t="s">
        <v>598</v>
      </c>
      <c r="C7" t="s">
        <v>212</v>
      </c>
      <c r="D7">
        <v>3</v>
      </c>
      <c r="E7" t="s">
        <v>213</v>
      </c>
      <c r="F7" t="s">
        <v>214</v>
      </c>
      <c r="G7" t="s">
        <v>544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9.9999999300000003E-2</v>
      </c>
      <c r="R7">
        <v>0</v>
      </c>
      <c r="S7">
        <v>9.9999999300000003E-2</v>
      </c>
      <c r="T7">
        <v>9.9999999300000003E-2</v>
      </c>
      <c r="U7">
        <v>9.9999999300000003E-2</v>
      </c>
      <c r="V7">
        <v>9.9999999300000003E-2</v>
      </c>
      <c r="W7">
        <v>9.9999999300000003E-2</v>
      </c>
      <c r="X7">
        <v>9.9999999300000003E-2</v>
      </c>
      <c r="Y7">
        <v>9.9999999300000003E-2</v>
      </c>
      <c r="Z7">
        <v>9.9999999300000003E-2</v>
      </c>
      <c r="AA7">
        <v>9.9999999300000003E-2</v>
      </c>
      <c r="AB7">
        <v>0.20000000039999999</v>
      </c>
      <c r="AC7">
        <v>0.29999999970000002</v>
      </c>
      <c r="AD7">
        <v>0.29999999970000002</v>
      </c>
      <c r="AE7">
        <v>0.39999999899999999</v>
      </c>
      <c r="AF7">
        <v>0.39999999899999999</v>
      </c>
      <c r="AG7">
        <v>1.8</v>
      </c>
      <c r="AH7">
        <v>4.8999999999000003</v>
      </c>
      <c r="AI7">
        <v>8.2999999995000007</v>
      </c>
      <c r="AJ7">
        <v>13.3999999998</v>
      </c>
      <c r="AK7">
        <v>20.300000000099999</v>
      </c>
      <c r="AL7">
        <v>27.700000000599999</v>
      </c>
      <c r="AM7">
        <v>35.0999999991</v>
      </c>
      <c r="AN7">
        <v>42.100000000599998</v>
      </c>
      <c r="AO7">
        <v>48.999999999099998</v>
      </c>
      <c r="AP7">
        <v>56.300000000200001</v>
      </c>
      <c r="AQ7">
        <v>63.799999999900002</v>
      </c>
      <c r="AR7">
        <v>71.700000000399996</v>
      </c>
      <c r="AS7">
        <v>80.099999999199994</v>
      </c>
      <c r="AT7">
        <v>88.099999999000005</v>
      </c>
      <c r="AU7">
        <v>95.699999999900001</v>
      </c>
      <c r="AV7">
        <v>103.3000000007</v>
      </c>
      <c r="AW7">
        <v>111.1000000001</v>
      </c>
      <c r="AX7">
        <v>119.6999999993</v>
      </c>
      <c r="AY7">
        <v>128.5000000007</v>
      </c>
      <c r="AZ7">
        <v>137.3000000003</v>
      </c>
      <c r="BA7">
        <v>145.00000000040001</v>
      </c>
      <c r="BB7">
        <v>153.0000000002</v>
      </c>
      <c r="BC7">
        <v>160.7000000004</v>
      </c>
      <c r="BD7">
        <v>168.59999999909999</v>
      </c>
      <c r="BE7">
        <v>177.2999999994</v>
      </c>
      <c r="BF7">
        <v>186.2000000001</v>
      </c>
      <c r="BG7">
        <v>194.10000000060001</v>
      </c>
      <c r="BH7">
        <v>201.9</v>
      </c>
      <c r="BI7">
        <v>209.8999999998</v>
      </c>
      <c r="BJ7">
        <v>217.39999999950001</v>
      </c>
      <c r="BK7">
        <v>225.3000000001</v>
      </c>
      <c r="BL7">
        <v>234.199999999</v>
      </c>
      <c r="BM7">
        <v>242.2999999999</v>
      </c>
      <c r="BN7">
        <v>249.49999999990001</v>
      </c>
      <c r="BO7">
        <v>257.40000000039998</v>
      </c>
      <c r="BP7">
        <v>264.69999999970003</v>
      </c>
      <c r="BQ7">
        <v>271.89999999970001</v>
      </c>
      <c r="BR7">
        <v>280.00000000070003</v>
      </c>
      <c r="BS7">
        <v>288.19999999909999</v>
      </c>
      <c r="BT7">
        <v>295.29999999979998</v>
      </c>
      <c r="BU7">
        <v>302.20000000009998</v>
      </c>
      <c r="BV7">
        <v>309.29999999900002</v>
      </c>
      <c r="BW7">
        <v>316.10000000000002</v>
      </c>
      <c r="BX7">
        <v>322.70000000060003</v>
      </c>
      <c r="BY7">
        <v>330.20000000030001</v>
      </c>
      <c r="BZ7">
        <v>337.79999999929998</v>
      </c>
      <c r="CA7">
        <v>344.49999999919999</v>
      </c>
      <c r="CB7">
        <v>350.69999999909999</v>
      </c>
      <c r="CC7">
        <v>357</v>
      </c>
      <c r="CD7">
        <v>363.49999999950001</v>
      </c>
      <c r="CE7">
        <v>369.50000000070003</v>
      </c>
      <c r="CF7">
        <v>375.39999999899999</v>
      </c>
      <c r="CG7">
        <v>381.99999999959999</v>
      </c>
      <c r="CH7">
        <v>388.6000000002</v>
      </c>
      <c r="CI7">
        <v>394.59999999960002</v>
      </c>
      <c r="CJ7">
        <v>399.99999999959999</v>
      </c>
      <c r="CK7">
        <v>405.49999999890002</v>
      </c>
      <c r="CL7">
        <v>411.29999999979998</v>
      </c>
      <c r="CM7">
        <v>416.79999999910001</v>
      </c>
      <c r="CN7">
        <v>421.89999999939999</v>
      </c>
      <c r="CO7">
        <v>426.90000000039998</v>
      </c>
      <c r="CP7">
        <v>432.8999999998</v>
      </c>
      <c r="CQ7">
        <v>438.79999999990002</v>
      </c>
      <c r="CR7">
        <v>444.10000000060001</v>
      </c>
      <c r="CS7">
        <v>449.00000000049999</v>
      </c>
      <c r="CT7">
        <v>453.60000000069999</v>
      </c>
      <c r="CU7">
        <v>457.89999999939999</v>
      </c>
      <c r="CV7">
        <v>459.69999999940001</v>
      </c>
      <c r="CW7">
        <v>459.69999999940001</v>
      </c>
      <c r="CX7">
        <v>459.60000000010001</v>
      </c>
      <c r="CY7">
        <v>459.69999999940001</v>
      </c>
      <c r="CZ7">
        <v>459.69999999940001</v>
      </c>
      <c r="DA7">
        <v>459.69999999940001</v>
      </c>
      <c r="DB7">
        <v>459.60000000010001</v>
      </c>
      <c r="DC7">
        <v>459.60000000010001</v>
      </c>
      <c r="DD7">
        <v>459.60000000010001</v>
      </c>
      <c r="DE7">
        <v>459.60000000010001</v>
      </c>
      <c r="DF7">
        <v>459.60000000010001</v>
      </c>
      <c r="DG7">
        <v>0.7000000005</v>
      </c>
      <c r="DH7">
        <v>0.89999999909999995</v>
      </c>
      <c r="DI7">
        <v>1.0000000002</v>
      </c>
      <c r="DJ7">
        <v>0.89999999909999995</v>
      </c>
      <c r="DK7">
        <v>1.0000000002</v>
      </c>
      <c r="DL7">
        <v>0.89999999909999995</v>
      </c>
      <c r="DM7">
        <v>1.0000000002</v>
      </c>
      <c r="DN7">
        <v>1.0000000002</v>
      </c>
      <c r="DO7">
        <v>1.0000000002</v>
      </c>
      <c r="DP7">
        <v>1.0000000002</v>
      </c>
      <c r="DQ7">
        <v>1.0000000002</v>
      </c>
      <c r="DR7">
        <v>1.0000000002</v>
      </c>
      <c r="DS7">
        <v>1.0000000002</v>
      </c>
      <c r="DT7">
        <v>1.0999999995</v>
      </c>
      <c r="DU7">
        <v>1.2000000006</v>
      </c>
      <c r="DV7">
        <v>3.8000000003999999</v>
      </c>
      <c r="DW7">
        <v>7.4999999997</v>
      </c>
      <c r="DX7">
        <v>12.3999999996</v>
      </c>
      <c r="DY7">
        <v>19.0999999995</v>
      </c>
      <c r="DZ7">
        <v>26.700000000300001</v>
      </c>
      <c r="EA7">
        <v>34.4000000005</v>
      </c>
      <c r="EB7">
        <v>41.100000000400001</v>
      </c>
      <c r="EC7">
        <v>47.899999999599999</v>
      </c>
      <c r="ED7">
        <v>55.000000000299998</v>
      </c>
      <c r="EE7">
        <v>62.400000000699997</v>
      </c>
      <c r="EF7">
        <v>70.299999999400001</v>
      </c>
      <c r="EG7">
        <v>78.600000000700007</v>
      </c>
      <c r="EH7">
        <v>86.900000000199995</v>
      </c>
      <c r="EI7">
        <v>94.199999999499994</v>
      </c>
      <c r="EJ7">
        <v>101.6999999993</v>
      </c>
      <c r="EK7">
        <v>109.199999999</v>
      </c>
      <c r="EL7">
        <v>117.50000000030001</v>
      </c>
      <c r="EM7">
        <v>126.5999999996</v>
      </c>
      <c r="EN7">
        <v>135.59999999959999</v>
      </c>
      <c r="EO7">
        <v>143.50000000009999</v>
      </c>
      <c r="EP7">
        <v>151.40000000059999</v>
      </c>
      <c r="EQ7">
        <v>159.2000000001</v>
      </c>
      <c r="ER7">
        <v>166.99999999950001</v>
      </c>
      <c r="ES7">
        <v>175.79999999910001</v>
      </c>
      <c r="ET7">
        <v>184.69999999980001</v>
      </c>
      <c r="EU7">
        <v>192.80000000070001</v>
      </c>
      <c r="EV7">
        <v>200.69999999940001</v>
      </c>
      <c r="EW7">
        <v>208.8000000003</v>
      </c>
      <c r="EX7">
        <v>216.39999999930001</v>
      </c>
      <c r="EY7">
        <v>224.39999999919999</v>
      </c>
      <c r="EZ7">
        <v>233.2000000006</v>
      </c>
      <c r="FA7">
        <v>241.50000000009999</v>
      </c>
      <c r="FB7">
        <v>248.7999999994</v>
      </c>
      <c r="FC7">
        <v>256.49999999950001</v>
      </c>
      <c r="FD7">
        <v>263.99999999919999</v>
      </c>
      <c r="FE7">
        <v>271.30000000029997</v>
      </c>
      <c r="FF7">
        <v>279.50000000059998</v>
      </c>
      <c r="FG7">
        <v>287.8000000001</v>
      </c>
      <c r="FH7">
        <v>295.09999999939998</v>
      </c>
      <c r="FI7">
        <v>301.99999999969998</v>
      </c>
      <c r="FJ7">
        <v>309.29999999900002</v>
      </c>
      <c r="FK7">
        <v>316.10000000000002</v>
      </c>
      <c r="FL7">
        <v>322.79999999990002</v>
      </c>
      <c r="FM7">
        <v>330.4000000007</v>
      </c>
      <c r="FN7">
        <v>337.90000000039998</v>
      </c>
      <c r="FO7">
        <v>344.69999999959998</v>
      </c>
      <c r="FP7">
        <v>350.89999999949998</v>
      </c>
      <c r="FQ7">
        <v>357.39999999899999</v>
      </c>
      <c r="FR7">
        <v>363.99999999959999</v>
      </c>
      <c r="FS7">
        <v>369.89999999970001</v>
      </c>
      <c r="FT7">
        <v>376.09999999950003</v>
      </c>
      <c r="FU7">
        <v>382.79999999939997</v>
      </c>
      <c r="FV7">
        <v>389.4</v>
      </c>
      <c r="FW7">
        <v>395.199999999</v>
      </c>
      <c r="FX7">
        <v>400.70000000009998</v>
      </c>
      <c r="FY7">
        <v>406.19999999940001</v>
      </c>
      <c r="FZ7">
        <v>412.09999999960002</v>
      </c>
      <c r="GA7">
        <v>417.49999999959999</v>
      </c>
      <c r="GB7">
        <v>422.39999999949998</v>
      </c>
      <c r="GC7">
        <v>428.09999999920001</v>
      </c>
      <c r="GD7">
        <v>433.99999999929997</v>
      </c>
      <c r="GE7">
        <v>439.20000000070002</v>
      </c>
      <c r="GF7">
        <v>444.2999999992</v>
      </c>
      <c r="GG7">
        <v>449.00000000049999</v>
      </c>
      <c r="GH7">
        <v>453.2999999992</v>
      </c>
      <c r="GI7">
        <v>457.3</v>
      </c>
      <c r="GJ7">
        <v>459.49999999900001</v>
      </c>
      <c r="GK7">
        <v>459.49999999900001</v>
      </c>
      <c r="GL7">
        <v>459.49999999900001</v>
      </c>
      <c r="GM7">
        <v>459.49999999900001</v>
      </c>
      <c r="GN7">
        <v>459.49999999900001</v>
      </c>
      <c r="GO7">
        <v>459.49999999900001</v>
      </c>
      <c r="GP7">
        <v>459.49999999900001</v>
      </c>
      <c r="GQ7">
        <v>459.49999999900001</v>
      </c>
      <c r="GR7">
        <v>459.49999999900001</v>
      </c>
      <c r="GS7">
        <v>459.49999999900001</v>
      </c>
      <c r="GT7">
        <v>459.49999999900001</v>
      </c>
      <c r="GU7">
        <v>459.60000000010001</v>
      </c>
      <c r="GV7">
        <v>459.49999999900001</v>
      </c>
      <c r="GW7">
        <v>1</v>
      </c>
      <c r="GX7">
        <v>117.5999999996</v>
      </c>
      <c r="GY7">
        <v>111.1000000001</v>
      </c>
      <c r="GZ7">
        <v>111.1000000001</v>
      </c>
      <c r="HA7">
        <v>126.5999999996</v>
      </c>
      <c r="HB7">
        <v>115.108213664</v>
      </c>
      <c r="HC7">
        <v>-15.4999999995</v>
      </c>
      <c r="HD7">
        <v>459.5000108781</v>
      </c>
      <c r="HE7">
        <v>306.25931244510002</v>
      </c>
      <c r="HF7">
        <v>93.969147084200003</v>
      </c>
      <c r="HG7">
        <v>459.69999999940001</v>
      </c>
      <c r="HH7">
        <v>459.60000000010001</v>
      </c>
      <c r="HI7">
        <v>459.69999999940001</v>
      </c>
      <c r="HJ7">
        <v>459.60000000010001</v>
      </c>
      <c r="HK7">
        <v>114.9560117302</v>
      </c>
      <c r="HL7">
        <v>3.3217421592999998</v>
      </c>
      <c r="HM7">
        <v>3.1924876199000001</v>
      </c>
      <c r="HN7">
        <v>3.2273010337999999</v>
      </c>
      <c r="HO7">
        <v>3.2285069264000001</v>
      </c>
      <c r="HP7">
        <v>3.5427936606000001</v>
      </c>
      <c r="HQ7">
        <v>2.1529567583000002</v>
      </c>
      <c r="HR7">
        <v>21.139066579800001</v>
      </c>
      <c r="HS7">
        <v>-28.152492668600001</v>
      </c>
      <c r="HT7">
        <v>-192</v>
      </c>
      <c r="HU7">
        <v>421.36752610910003</v>
      </c>
      <c r="HV7">
        <v>96.187683284499997</v>
      </c>
      <c r="HW7">
        <v>656</v>
      </c>
      <c r="HX7">
        <v>21.139066579800001</v>
      </c>
      <c r="HY7">
        <v>-28.152492668600001</v>
      </c>
      <c r="HZ7">
        <v>-192</v>
      </c>
      <c r="IA7">
        <v>421.36752610910003</v>
      </c>
      <c r="IB7">
        <v>96.187683284499997</v>
      </c>
      <c r="IC7">
        <v>656</v>
      </c>
      <c r="ID7">
        <v>38.232473890999998</v>
      </c>
      <c r="IE7">
        <v>1.8576697127999999</v>
      </c>
      <c r="IF7">
        <v>-37.536656891500002</v>
      </c>
      <c r="IG7">
        <v>-256</v>
      </c>
      <c r="IH7">
        <v>443.7791122708</v>
      </c>
      <c r="II7">
        <v>105.57184750730001</v>
      </c>
      <c r="IJ7">
        <v>720</v>
      </c>
      <c r="IK7">
        <v>400.22845952929998</v>
      </c>
      <c r="IL7">
        <v>124.3401759531</v>
      </c>
      <c r="IM7">
        <v>424.54481070470001</v>
      </c>
      <c r="IN7">
        <v>133.724340176</v>
      </c>
      <c r="IO7">
        <v>6.9000000003000004</v>
      </c>
      <c r="IP7">
        <v>5.9000000001000004</v>
      </c>
      <c r="IQ7">
        <v>9.0999999992999996</v>
      </c>
      <c r="IR7">
        <v>6.7001811448000002</v>
      </c>
      <c r="IS7">
        <v>6.7001811448000002</v>
      </c>
      <c r="IT7">
        <v>13.300000000500001</v>
      </c>
      <c r="IU7">
        <v>-30.4985337243</v>
      </c>
      <c r="IV7">
        <v>16.2</v>
      </c>
      <c r="IW7">
        <v>32.844574780099997</v>
      </c>
      <c r="IX7">
        <v>11.3999999994</v>
      </c>
      <c r="IY7">
        <v>105.57184750730001</v>
      </c>
      <c r="IZ7">
        <v>-35.036180032499999</v>
      </c>
      <c r="JA7">
        <v>0.33486680759999998</v>
      </c>
      <c r="JB7">
        <v>-3.5443790000000002E-4</v>
      </c>
      <c r="JC7">
        <v>7.046E-7</v>
      </c>
      <c r="JD7">
        <v>0.30104684590000003</v>
      </c>
      <c r="JE7">
        <v>0.33731215050000002</v>
      </c>
      <c r="JF7">
        <v>0.117263047</v>
      </c>
      <c r="JG7">
        <v>116.1392413952</v>
      </c>
      <c r="JH7">
        <v>3.5427936606000001</v>
      </c>
      <c r="JI7">
        <v>2.6822845999999998E-3</v>
      </c>
      <c r="JJ7">
        <v>-6.8663600000000004E-5</v>
      </c>
      <c r="JK7">
        <v>3.3217421592999998</v>
      </c>
      <c r="JL7">
        <v>1.1323856187000001</v>
      </c>
      <c r="JM7">
        <v>0.57843269600000002</v>
      </c>
      <c r="JN7" t="s">
        <v>545</v>
      </c>
      <c r="JQ7">
        <v>1</v>
      </c>
    </row>
    <row r="8" spans="1:277">
      <c r="A8" t="s">
        <v>609</v>
      </c>
      <c r="B8" t="s">
        <v>610</v>
      </c>
      <c r="C8" t="s">
        <v>212</v>
      </c>
      <c r="D8">
        <v>3</v>
      </c>
      <c r="E8" t="s">
        <v>213</v>
      </c>
      <c r="F8" t="s">
        <v>214</v>
      </c>
      <c r="G8" t="s">
        <v>544</v>
      </c>
      <c r="H8" t="s">
        <v>216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3.8999999996999999</v>
      </c>
      <c r="R8">
        <v>1.0999999995</v>
      </c>
      <c r="S8">
        <v>1.0000000002</v>
      </c>
      <c r="T8">
        <v>0.89999999909999995</v>
      </c>
      <c r="U8">
        <v>0.89999999909999995</v>
      </c>
      <c r="V8">
        <v>0.79999999980000003</v>
      </c>
      <c r="W8">
        <v>0.59999999940000004</v>
      </c>
      <c r="X8">
        <v>0.59999999940000004</v>
      </c>
      <c r="Y8">
        <v>0.50000000010000001</v>
      </c>
      <c r="Z8">
        <v>0.29999999970000002</v>
      </c>
      <c r="AA8">
        <v>0.20000000039999999</v>
      </c>
      <c r="AB8">
        <v>9.9999999300000003E-2</v>
      </c>
      <c r="AC8">
        <v>0</v>
      </c>
      <c r="AD8">
        <v>0</v>
      </c>
      <c r="AE8">
        <v>0</v>
      </c>
      <c r="AF8">
        <v>0</v>
      </c>
      <c r="AG8">
        <v>0.40000000079999998</v>
      </c>
      <c r="AH8">
        <v>3.1999999992000001</v>
      </c>
      <c r="AI8">
        <v>8.2000000001999993</v>
      </c>
      <c r="AJ8">
        <v>13.9999999992</v>
      </c>
      <c r="AK8">
        <v>20.599999999800001</v>
      </c>
      <c r="AL8">
        <v>27.200000000399999</v>
      </c>
      <c r="AM8">
        <v>34.200000000099998</v>
      </c>
      <c r="AN8">
        <v>41.4000000001</v>
      </c>
      <c r="AO8">
        <v>49.100000000199998</v>
      </c>
      <c r="AP8">
        <v>56.800000000300003</v>
      </c>
      <c r="AQ8">
        <v>64.800000000099999</v>
      </c>
      <c r="AR8">
        <v>72.399999999100004</v>
      </c>
      <c r="AS8">
        <v>79.900000000600002</v>
      </c>
      <c r="AT8">
        <v>87.600000000700007</v>
      </c>
      <c r="AU8">
        <v>95.699999999900001</v>
      </c>
      <c r="AV8">
        <v>104.1000000005</v>
      </c>
      <c r="AW8">
        <v>112.8000000008</v>
      </c>
      <c r="AX8">
        <v>121.6999999997</v>
      </c>
      <c r="AY8">
        <v>130.10000000030001</v>
      </c>
      <c r="AZ8">
        <v>138.19999999940001</v>
      </c>
      <c r="BA8">
        <v>146.5000000007</v>
      </c>
      <c r="BB8">
        <v>155.0000000007</v>
      </c>
      <c r="BC8">
        <v>163.50000000060001</v>
      </c>
      <c r="BD8">
        <v>172.09999999979999</v>
      </c>
      <c r="BE8">
        <v>180.09999999959999</v>
      </c>
      <c r="BF8">
        <v>188.09999999940001</v>
      </c>
      <c r="BG8">
        <v>196.5</v>
      </c>
      <c r="BH8">
        <v>204.90000000059999</v>
      </c>
      <c r="BI8">
        <v>213.4000000005</v>
      </c>
      <c r="BJ8">
        <v>221.60000000080001</v>
      </c>
      <c r="BK8">
        <v>229.60000000060001</v>
      </c>
      <c r="BL8">
        <v>237.30000000070001</v>
      </c>
      <c r="BM8">
        <v>245.19999999940001</v>
      </c>
      <c r="BN8">
        <v>253.3000000003</v>
      </c>
      <c r="BO8">
        <v>261.39999999939999</v>
      </c>
      <c r="BP8">
        <v>269.39999999920002</v>
      </c>
      <c r="BQ8">
        <v>277.0999999993</v>
      </c>
      <c r="BR8">
        <v>284.49999999980002</v>
      </c>
      <c r="BS8">
        <v>291.69999999980001</v>
      </c>
      <c r="BT8">
        <v>299.1000000002</v>
      </c>
      <c r="BU8">
        <v>306.39999999949998</v>
      </c>
      <c r="BV8">
        <v>313.89999999920002</v>
      </c>
      <c r="BW8">
        <v>321.09999999920001</v>
      </c>
      <c r="BX8">
        <v>328.1999999999</v>
      </c>
      <c r="BY8">
        <v>334.8999999998</v>
      </c>
      <c r="BZ8">
        <v>341.50000000049999</v>
      </c>
      <c r="CA8">
        <v>348.2000000004</v>
      </c>
      <c r="CB8">
        <v>355.2</v>
      </c>
      <c r="CC8">
        <v>361.69999999949999</v>
      </c>
      <c r="CD8">
        <v>368.0999999997</v>
      </c>
      <c r="CE8">
        <v>374.49999999990001</v>
      </c>
      <c r="CF8">
        <v>380.60000000039997</v>
      </c>
      <c r="CG8">
        <v>386.59999999979999</v>
      </c>
      <c r="CH8">
        <v>392.29999999950002</v>
      </c>
      <c r="CI8">
        <v>398.19999999959998</v>
      </c>
      <c r="CJ8">
        <v>404.3000000001</v>
      </c>
      <c r="CK8">
        <v>409.99999999990001</v>
      </c>
      <c r="CL8">
        <v>415.39999999989999</v>
      </c>
      <c r="CM8">
        <v>421.09999999960002</v>
      </c>
      <c r="CN8">
        <v>426.60000000069999</v>
      </c>
      <c r="CO8">
        <v>431.89999999960003</v>
      </c>
      <c r="CP8">
        <v>437.09999999920001</v>
      </c>
      <c r="CQ8">
        <v>442.1000000002</v>
      </c>
      <c r="CR8">
        <v>447.20000000049998</v>
      </c>
      <c r="CS8">
        <v>451.80000000069998</v>
      </c>
      <c r="CT8">
        <v>455.7000000004</v>
      </c>
      <c r="CU8">
        <v>457.20000000070002</v>
      </c>
      <c r="CV8">
        <v>457.20000000070002</v>
      </c>
      <c r="CW8">
        <v>457.20000000070002</v>
      </c>
      <c r="CX8">
        <v>457.20000000070002</v>
      </c>
      <c r="CY8">
        <v>457.09999999960002</v>
      </c>
      <c r="CZ8">
        <v>457.09999999960002</v>
      </c>
      <c r="DA8">
        <v>457.00000000030002</v>
      </c>
      <c r="DB8">
        <v>457.00000000030002</v>
      </c>
      <c r="DC8">
        <v>456.89999999920002</v>
      </c>
      <c r="DD8">
        <v>456.89999999920002</v>
      </c>
      <c r="DE8">
        <v>456.79999999990002</v>
      </c>
      <c r="DF8">
        <v>456.79999999990002</v>
      </c>
      <c r="DG8">
        <v>4.8000000005999999</v>
      </c>
      <c r="DH8">
        <v>2.0000000004</v>
      </c>
      <c r="DI8">
        <v>1.8999999993000001</v>
      </c>
      <c r="DJ8">
        <v>1.8</v>
      </c>
      <c r="DK8">
        <v>1.7000000007</v>
      </c>
      <c r="DL8">
        <v>1.5999999996000001</v>
      </c>
      <c r="DM8">
        <v>1.5999999996000001</v>
      </c>
      <c r="DN8">
        <v>1.5000000003</v>
      </c>
      <c r="DO8">
        <v>1.2999999999</v>
      </c>
      <c r="DP8">
        <v>1.2000000006</v>
      </c>
      <c r="DQ8">
        <v>1.0999999995</v>
      </c>
      <c r="DR8">
        <v>0.89999999909999995</v>
      </c>
      <c r="DS8">
        <v>0.79999999980000003</v>
      </c>
      <c r="DT8">
        <v>0.79999999980000003</v>
      </c>
      <c r="DU8">
        <v>0.59999999940000004</v>
      </c>
      <c r="DV8">
        <v>2.5999999998000001</v>
      </c>
      <c r="DW8">
        <v>7.2</v>
      </c>
      <c r="DX8">
        <v>13.300000000500001</v>
      </c>
      <c r="DY8">
        <v>20.300000000099999</v>
      </c>
      <c r="DZ8">
        <v>27</v>
      </c>
      <c r="EA8">
        <v>33.6000000007</v>
      </c>
      <c r="EB8">
        <v>40.9</v>
      </c>
      <c r="EC8">
        <v>48.3999999997</v>
      </c>
      <c r="ED8">
        <v>56.099999999799998</v>
      </c>
      <c r="EE8">
        <v>63.700000000599999</v>
      </c>
      <c r="EF8">
        <v>71.5</v>
      </c>
      <c r="EG8">
        <v>78.900000000399999</v>
      </c>
      <c r="EH8">
        <v>86.499999999400004</v>
      </c>
      <c r="EI8">
        <v>94.4999999992</v>
      </c>
      <c r="EJ8">
        <v>102.6000000002</v>
      </c>
      <c r="EK8">
        <v>111.1000000001</v>
      </c>
      <c r="EL8">
        <v>119.6999999993</v>
      </c>
      <c r="EM8">
        <v>128.3000000003</v>
      </c>
      <c r="EN8">
        <v>136.59999999979999</v>
      </c>
      <c r="EO8">
        <v>145.00000000040001</v>
      </c>
      <c r="EP8">
        <v>153.39999999919999</v>
      </c>
      <c r="EQ8">
        <v>161.89999999919999</v>
      </c>
      <c r="ER8">
        <v>170.5000000002</v>
      </c>
      <c r="ES8">
        <v>178.7000000004</v>
      </c>
      <c r="ET8">
        <v>186.70000000019999</v>
      </c>
      <c r="EU8">
        <v>195.10000000080001</v>
      </c>
      <c r="EV8">
        <v>203.49999999959999</v>
      </c>
      <c r="EW8">
        <v>212.10000000060001</v>
      </c>
      <c r="EX8">
        <v>220.40000000020001</v>
      </c>
      <c r="EY8">
        <v>228.6000000004</v>
      </c>
      <c r="EZ8">
        <v>236.3999999998</v>
      </c>
      <c r="FA8">
        <v>244.5000000007</v>
      </c>
      <c r="FB8">
        <v>252.50000000049999</v>
      </c>
      <c r="FC8">
        <v>260.8</v>
      </c>
      <c r="FD8">
        <v>268.89999999909998</v>
      </c>
      <c r="FE8">
        <v>276.7999999996</v>
      </c>
      <c r="FF8">
        <v>284.20000000009998</v>
      </c>
      <c r="FG8">
        <v>291.69999999980001</v>
      </c>
      <c r="FH8">
        <v>299.30000000059999</v>
      </c>
      <c r="FI8">
        <v>306.80000000029997</v>
      </c>
      <c r="FJ8">
        <v>314.39999999930001</v>
      </c>
      <c r="FK8">
        <v>321.90000000079999</v>
      </c>
      <c r="FL8">
        <v>329.09999999899998</v>
      </c>
      <c r="FM8">
        <v>335.80000000069998</v>
      </c>
      <c r="FN8">
        <v>342.59999999989998</v>
      </c>
      <c r="FO8">
        <v>349.39999999920002</v>
      </c>
      <c r="FP8">
        <v>356.20000000020002</v>
      </c>
      <c r="FQ8">
        <v>362.99999999940002</v>
      </c>
      <c r="FR8">
        <v>369.69999999930002</v>
      </c>
      <c r="FS8">
        <v>376.09999999950003</v>
      </c>
      <c r="FT8">
        <v>382.49999999969998</v>
      </c>
      <c r="FU8">
        <v>388.3999999998</v>
      </c>
      <c r="FV8">
        <v>394.20000000060003</v>
      </c>
      <c r="FW8">
        <v>399.99999999959999</v>
      </c>
      <c r="FX8">
        <v>406.1000000002</v>
      </c>
      <c r="FY8">
        <v>412.00000000030002</v>
      </c>
      <c r="FZ8">
        <v>417.60000000069999</v>
      </c>
      <c r="GA8">
        <v>423.1</v>
      </c>
      <c r="GB8">
        <v>428.4000000007</v>
      </c>
      <c r="GC8">
        <v>433.60000000029999</v>
      </c>
      <c r="GD8">
        <v>438.39999999909998</v>
      </c>
      <c r="GE8">
        <v>443.19999999970003</v>
      </c>
      <c r="GF8">
        <v>447.79999999990002</v>
      </c>
      <c r="GG8">
        <v>451.9</v>
      </c>
      <c r="GH8">
        <v>455.2999999996</v>
      </c>
      <c r="GI8">
        <v>456.89999999920002</v>
      </c>
      <c r="GJ8">
        <v>456.89999999920002</v>
      </c>
      <c r="GK8">
        <v>457.00000000030002</v>
      </c>
      <c r="GL8">
        <v>457.00000000030002</v>
      </c>
      <c r="GM8">
        <v>457.00000000030002</v>
      </c>
      <c r="GN8">
        <v>456.89999999920002</v>
      </c>
      <c r="GO8">
        <v>456.89999999920002</v>
      </c>
      <c r="GP8">
        <v>456.89999999920002</v>
      </c>
      <c r="GQ8">
        <v>456.79999999990002</v>
      </c>
      <c r="GR8">
        <v>456.89999999920002</v>
      </c>
      <c r="GS8">
        <v>456.79999999990002</v>
      </c>
      <c r="GT8">
        <v>456.79999999990002</v>
      </c>
      <c r="GU8">
        <v>456.70000000060003</v>
      </c>
      <c r="GV8">
        <v>456.79999999990002</v>
      </c>
      <c r="GW8">
        <v>1</v>
      </c>
      <c r="GX8">
        <v>115.6999999985</v>
      </c>
      <c r="GY8">
        <v>112.8000000008</v>
      </c>
      <c r="GZ8">
        <v>112.8000000008</v>
      </c>
      <c r="HA8">
        <v>128.3000000003</v>
      </c>
      <c r="HB8">
        <v>116.8877816677</v>
      </c>
      <c r="HC8">
        <v>-15.4999999995</v>
      </c>
      <c r="HD8">
        <v>456.79999999990002</v>
      </c>
      <c r="HE8">
        <v>299.36941588270003</v>
      </c>
      <c r="HF8">
        <v>95.517053161999996</v>
      </c>
      <c r="HG8">
        <v>457.20000000070002</v>
      </c>
      <c r="HH8">
        <v>457.00000000030002</v>
      </c>
      <c r="HI8">
        <v>457.20000000070002</v>
      </c>
      <c r="HJ8">
        <v>457.00000000030002</v>
      </c>
      <c r="HK8">
        <v>112.6099706745</v>
      </c>
      <c r="HL8">
        <v>3.4085214115000002</v>
      </c>
      <c r="HM8">
        <v>3.2787081760999999</v>
      </c>
      <c r="HN8">
        <v>3.3338168648000002</v>
      </c>
      <c r="HO8">
        <v>3.2575008167999999</v>
      </c>
      <c r="HP8">
        <v>3.6191155442</v>
      </c>
      <c r="HQ8">
        <v>2.2324095468</v>
      </c>
      <c r="HR8">
        <v>21.370728505700001</v>
      </c>
      <c r="HS8">
        <v>-28.152492668600001</v>
      </c>
      <c r="HT8">
        <v>-192</v>
      </c>
      <c r="HU8">
        <v>416.25719755040001</v>
      </c>
      <c r="HV8">
        <v>91.495601172999997</v>
      </c>
      <c r="HW8">
        <v>624</v>
      </c>
      <c r="HX8">
        <v>21.370728505700001</v>
      </c>
      <c r="HY8">
        <v>-28.152492668600001</v>
      </c>
      <c r="HZ8">
        <v>-192</v>
      </c>
      <c r="IA8">
        <v>416.25719755040001</v>
      </c>
      <c r="IB8">
        <v>91.495601172999997</v>
      </c>
      <c r="IC8">
        <v>624</v>
      </c>
      <c r="ID8">
        <v>40.742802449899997</v>
      </c>
      <c r="IE8">
        <v>0.45653030049999999</v>
      </c>
      <c r="IF8">
        <v>-37.536656891500002</v>
      </c>
      <c r="IG8">
        <v>-256</v>
      </c>
      <c r="IH8">
        <v>437.76495296349998</v>
      </c>
      <c r="II8">
        <v>100.87976539589999</v>
      </c>
      <c r="IJ8">
        <v>688</v>
      </c>
      <c r="IK8">
        <v>394.88646904469999</v>
      </c>
      <c r="IL8">
        <v>119.6480938416</v>
      </c>
      <c r="IM8">
        <v>418.8216910964</v>
      </c>
      <c r="IN8">
        <v>129.03225806450001</v>
      </c>
      <c r="IO8">
        <v>6.9999999996</v>
      </c>
      <c r="IP8">
        <v>5.6000000003999997</v>
      </c>
      <c r="IQ8">
        <v>8.8999999989000003</v>
      </c>
      <c r="IR8">
        <v>6.0936504788999999</v>
      </c>
      <c r="IS8">
        <v>6.0936504788999999</v>
      </c>
      <c r="IT8">
        <v>13.0000000008</v>
      </c>
      <c r="IU8">
        <v>-30.4985337243</v>
      </c>
      <c r="IV8">
        <v>15.6000000006</v>
      </c>
      <c r="IW8">
        <v>23.460410557199999</v>
      </c>
      <c r="IX8">
        <v>12.5000000007</v>
      </c>
      <c r="IY8">
        <v>98.533724340199996</v>
      </c>
      <c r="IZ8">
        <v>-34.795383342699999</v>
      </c>
      <c r="JA8">
        <v>0.33027835169999997</v>
      </c>
      <c r="JB8">
        <v>-3.6000069999999999E-4</v>
      </c>
      <c r="JC8">
        <v>7.0869999999999999E-7</v>
      </c>
      <c r="JD8">
        <v>0.29338234359999998</v>
      </c>
      <c r="JE8">
        <v>0.25790039529999997</v>
      </c>
      <c r="JF8">
        <v>9.9067513199999999E-2</v>
      </c>
      <c r="JG8">
        <v>117.3834823688</v>
      </c>
      <c r="JH8">
        <v>3.6191155442</v>
      </c>
      <c r="JI8">
        <v>3.1282114999999998E-3</v>
      </c>
      <c r="JJ8">
        <v>-7.8008899999999998E-5</v>
      </c>
      <c r="JK8">
        <v>3.4085214115000002</v>
      </c>
      <c r="JL8">
        <v>1.6544832303000001</v>
      </c>
      <c r="JM8">
        <v>0.59898313390000002</v>
      </c>
      <c r="JN8" t="s">
        <v>545</v>
      </c>
      <c r="JQ8">
        <v>1</v>
      </c>
    </row>
    <row r="9" spans="1:277">
      <c r="A9" t="s">
        <v>621</v>
      </c>
      <c r="B9" t="s">
        <v>622</v>
      </c>
      <c r="C9" t="s">
        <v>212</v>
      </c>
      <c r="D9">
        <v>3</v>
      </c>
      <c r="E9" t="s">
        <v>213</v>
      </c>
      <c r="F9" t="s">
        <v>214</v>
      </c>
      <c r="G9" t="s">
        <v>544</v>
      </c>
      <c r="H9" t="s">
        <v>216</v>
      </c>
      <c r="J9" t="s">
        <v>613</v>
      </c>
      <c r="K9" t="s">
        <v>614</v>
      </c>
      <c r="L9" t="s">
        <v>615</v>
      </c>
      <c r="M9" t="s">
        <v>616</v>
      </c>
      <c r="N9" t="s">
        <v>617</v>
      </c>
      <c r="O9">
        <v>0</v>
      </c>
      <c r="P9">
        <v>0</v>
      </c>
      <c r="Q9">
        <v>4.3999999998000003</v>
      </c>
      <c r="R9">
        <v>1.6999999989000001</v>
      </c>
      <c r="S9">
        <v>1.6999999989000001</v>
      </c>
      <c r="T9">
        <v>1.5999999996000001</v>
      </c>
      <c r="U9">
        <v>1.4999999985000001</v>
      </c>
      <c r="V9">
        <v>1.3999999992000001</v>
      </c>
      <c r="W9">
        <v>1.2999999999</v>
      </c>
      <c r="X9">
        <v>1.2999999999</v>
      </c>
      <c r="Y9">
        <v>1.1999999988000001</v>
      </c>
      <c r="Z9">
        <v>0.69999999869999996</v>
      </c>
      <c r="AA9">
        <v>0.29999999970000002</v>
      </c>
      <c r="AB9">
        <v>0.19999999860000001</v>
      </c>
      <c r="AC9">
        <v>0.19999999860000001</v>
      </c>
      <c r="AD9">
        <v>9.9999999300000003E-2</v>
      </c>
      <c r="AE9">
        <v>9.9999999300000003E-2</v>
      </c>
      <c r="AF9">
        <v>0</v>
      </c>
      <c r="AG9">
        <v>9.9999999300000003E-2</v>
      </c>
      <c r="AH9">
        <v>2.9999999987999999</v>
      </c>
      <c r="AI9">
        <v>8.1999999983999992</v>
      </c>
      <c r="AJ9">
        <v>13.0999999983</v>
      </c>
      <c r="AK9">
        <v>19.199999998799999</v>
      </c>
      <c r="AL9">
        <v>25.699999998300001</v>
      </c>
      <c r="AM9">
        <v>32.499999999300002</v>
      </c>
      <c r="AN9">
        <v>39.799999998600001</v>
      </c>
      <c r="AO9">
        <v>46.999999998699998</v>
      </c>
      <c r="AP9">
        <v>54.399999999099997</v>
      </c>
      <c r="AQ9">
        <v>62.699999998599999</v>
      </c>
      <c r="AR9">
        <v>70.899999998799998</v>
      </c>
      <c r="AS9">
        <v>78.399999998499993</v>
      </c>
      <c r="AT9">
        <v>86.199999999699997</v>
      </c>
      <c r="AU9">
        <v>94.099999998399994</v>
      </c>
      <c r="AV9">
        <v>101.7999999985</v>
      </c>
      <c r="AW9">
        <v>110.6</v>
      </c>
      <c r="AX9">
        <v>120.2999999987</v>
      </c>
      <c r="AY9">
        <v>128.6</v>
      </c>
      <c r="AZ9">
        <v>136.79999999840001</v>
      </c>
      <c r="BA9">
        <v>144.9999999986</v>
      </c>
      <c r="BB9">
        <v>152.79999999980001</v>
      </c>
      <c r="BC9">
        <v>161.49999999830001</v>
      </c>
      <c r="BD9">
        <v>170.5999999995</v>
      </c>
      <c r="BE9">
        <v>178.5999999993</v>
      </c>
      <c r="BF9">
        <v>186.69999999839999</v>
      </c>
      <c r="BG9">
        <v>194.99999999970001</v>
      </c>
      <c r="BH9">
        <v>202.99999999950001</v>
      </c>
      <c r="BI9">
        <v>210.9999999993</v>
      </c>
      <c r="BJ9">
        <v>219.9999999993</v>
      </c>
      <c r="BK9">
        <v>228.09999999839999</v>
      </c>
      <c r="BL9">
        <v>236.10000000010001</v>
      </c>
      <c r="BM9">
        <v>244.09999999990001</v>
      </c>
      <c r="BN9">
        <v>251.69999999890001</v>
      </c>
      <c r="BO9">
        <v>259.19999999859999</v>
      </c>
      <c r="BP9">
        <v>267.7999999996</v>
      </c>
      <c r="BQ9">
        <v>275.89999999870003</v>
      </c>
      <c r="BR9">
        <v>283.29999999910001</v>
      </c>
      <c r="BS9">
        <v>290.79999999889998</v>
      </c>
      <c r="BT9">
        <v>298.19999999930002</v>
      </c>
      <c r="BU9">
        <v>305.19999999890001</v>
      </c>
      <c r="BV9">
        <v>312.2999999996</v>
      </c>
      <c r="BW9">
        <v>320.29999999939997</v>
      </c>
      <c r="BX9">
        <v>327.49999999940002</v>
      </c>
      <c r="BY9">
        <v>334.1</v>
      </c>
      <c r="BZ9">
        <v>340.89999999920002</v>
      </c>
      <c r="CA9">
        <v>347.69999999840002</v>
      </c>
      <c r="CB9">
        <v>354.49999999950001</v>
      </c>
      <c r="CC9">
        <v>360.6</v>
      </c>
      <c r="CD9">
        <v>367.29999999990002</v>
      </c>
      <c r="CE9">
        <v>374.19999999840002</v>
      </c>
      <c r="CF9">
        <v>380.49999999929997</v>
      </c>
      <c r="CG9">
        <v>386.3000000001</v>
      </c>
      <c r="CH9">
        <v>392.29999999950002</v>
      </c>
      <c r="CI9">
        <v>398.29999999889998</v>
      </c>
      <c r="CJ9">
        <v>404.2999999983</v>
      </c>
      <c r="CK9">
        <v>410.09999999910002</v>
      </c>
      <c r="CL9">
        <v>415.9</v>
      </c>
      <c r="CM9">
        <v>421.4999999986</v>
      </c>
      <c r="CN9">
        <v>427.09999999899998</v>
      </c>
      <c r="CO9">
        <v>432.39999999970001</v>
      </c>
      <c r="CP9">
        <v>437.5999999993</v>
      </c>
      <c r="CQ9">
        <v>442.69999999959998</v>
      </c>
      <c r="CR9">
        <v>447.49999999840003</v>
      </c>
      <c r="CS9">
        <v>450.29999999860001</v>
      </c>
      <c r="CT9">
        <v>451.99999999929997</v>
      </c>
      <c r="CU9">
        <v>453.79999999929998</v>
      </c>
      <c r="CV9">
        <v>454.69999999840002</v>
      </c>
      <c r="CW9">
        <v>454.89999999880001</v>
      </c>
      <c r="CX9">
        <v>454.99999999990001</v>
      </c>
      <c r="CY9">
        <v>454.89999999880001</v>
      </c>
      <c r="CZ9">
        <v>454.99999999990001</v>
      </c>
      <c r="DA9">
        <v>454.99999999990001</v>
      </c>
      <c r="DB9">
        <v>454.99999999990001</v>
      </c>
      <c r="DC9">
        <v>454.99999999990001</v>
      </c>
      <c r="DD9">
        <v>454.99999999990001</v>
      </c>
      <c r="DE9">
        <v>454.89999999880001</v>
      </c>
      <c r="DF9">
        <v>454.89999999880001</v>
      </c>
      <c r="DG9">
        <v>5.1999999996000001</v>
      </c>
      <c r="DH9">
        <v>1.6999999989000001</v>
      </c>
      <c r="DI9">
        <v>1.4999999985000001</v>
      </c>
      <c r="DJ9">
        <v>1.4999999985000001</v>
      </c>
      <c r="DK9">
        <v>1.2999999999</v>
      </c>
      <c r="DL9">
        <v>1.2999999999</v>
      </c>
      <c r="DM9">
        <v>1.1999999988000001</v>
      </c>
      <c r="DN9">
        <v>1.1999999988000001</v>
      </c>
      <c r="DO9">
        <v>1.0999999995</v>
      </c>
      <c r="DP9">
        <v>0.99999999839999998</v>
      </c>
      <c r="DQ9">
        <v>0.89999999909999995</v>
      </c>
      <c r="DR9">
        <v>0.69999999869999996</v>
      </c>
      <c r="DS9">
        <v>0.69999999869999996</v>
      </c>
      <c r="DT9">
        <v>0.69999999869999996</v>
      </c>
      <c r="DU9">
        <v>0.59999999940000004</v>
      </c>
      <c r="DV9">
        <v>2.0999999997000001</v>
      </c>
      <c r="DW9">
        <v>6.6999999999000002</v>
      </c>
      <c r="DX9">
        <v>11.4999999987</v>
      </c>
      <c r="DY9">
        <v>17.799999999600001</v>
      </c>
      <c r="DZ9">
        <v>24.599999998800001</v>
      </c>
      <c r="EA9">
        <v>31.599999998400001</v>
      </c>
      <c r="EB9">
        <v>38.699999999200003</v>
      </c>
      <c r="EC9">
        <v>45.699999998800003</v>
      </c>
      <c r="ED9">
        <v>53.3999999989</v>
      </c>
      <c r="EE9">
        <v>61.699999998400003</v>
      </c>
      <c r="EF9">
        <v>69.499999999600007</v>
      </c>
      <c r="EG9">
        <v>77.099999998599998</v>
      </c>
      <c r="EH9">
        <v>84.899999999800002</v>
      </c>
      <c r="EI9">
        <v>92.299999998399997</v>
      </c>
      <c r="EJ9">
        <v>99.899999999299993</v>
      </c>
      <c r="EK9">
        <v>108.6999999989</v>
      </c>
      <c r="EL9">
        <v>117.8</v>
      </c>
      <c r="EM9">
        <v>126.4999999985</v>
      </c>
      <c r="EN9">
        <v>134.8999999991</v>
      </c>
      <c r="EO9">
        <v>142.7999999996</v>
      </c>
      <c r="EP9">
        <v>150.599999999</v>
      </c>
      <c r="EQ9">
        <v>159.39999999860001</v>
      </c>
      <c r="ER9">
        <v>168.4999999998</v>
      </c>
      <c r="ES9">
        <v>176.79999999930001</v>
      </c>
      <c r="ET9">
        <v>184.89999999840001</v>
      </c>
      <c r="EU9">
        <v>193.1999999997</v>
      </c>
      <c r="EV9">
        <v>201.19999999949999</v>
      </c>
      <c r="EW9">
        <v>209.59999999830001</v>
      </c>
      <c r="EX9">
        <v>218.49999999900001</v>
      </c>
      <c r="EY9">
        <v>226.69999999929999</v>
      </c>
      <c r="EZ9">
        <v>234.69999999909999</v>
      </c>
      <c r="FA9">
        <v>242.8</v>
      </c>
      <c r="FB9">
        <v>250.39999999899999</v>
      </c>
      <c r="FC9">
        <v>258.39999999880001</v>
      </c>
      <c r="FD9">
        <v>266.99999999980002</v>
      </c>
      <c r="FE9">
        <v>274.89999999849999</v>
      </c>
      <c r="FF9">
        <v>282.40000000010002</v>
      </c>
      <c r="FG9">
        <v>290.09999999830001</v>
      </c>
      <c r="FH9">
        <v>297.59999999989998</v>
      </c>
      <c r="FI9">
        <v>304.69999999880002</v>
      </c>
      <c r="FJ9">
        <v>312.1999999985</v>
      </c>
      <c r="FK9">
        <v>320.09999999899998</v>
      </c>
      <c r="FL9">
        <v>327.29999999900002</v>
      </c>
      <c r="FM9">
        <v>334.29999999860001</v>
      </c>
      <c r="FN9">
        <v>341.09999999960002</v>
      </c>
      <c r="FO9">
        <v>348</v>
      </c>
      <c r="FP9">
        <v>354.39999999830002</v>
      </c>
      <c r="FQ9">
        <v>361.19999999940001</v>
      </c>
      <c r="FR9">
        <v>368.3000000001</v>
      </c>
      <c r="FS9">
        <v>374.8999999989</v>
      </c>
      <c r="FT9">
        <v>381.19999999980001</v>
      </c>
      <c r="FU9">
        <v>387.29999999850003</v>
      </c>
      <c r="FV9">
        <v>393.39999999899999</v>
      </c>
      <c r="FW9">
        <v>399.39999999840001</v>
      </c>
      <c r="FX9">
        <v>405.29999999850003</v>
      </c>
      <c r="FY9">
        <v>411.29999999979998</v>
      </c>
      <c r="FZ9">
        <v>417.0999999988</v>
      </c>
      <c r="GA9">
        <v>422.79999999850003</v>
      </c>
      <c r="GB9">
        <v>428.09999999920001</v>
      </c>
      <c r="GC9">
        <v>433.29999999879999</v>
      </c>
      <c r="GD9">
        <v>438.39999999909998</v>
      </c>
      <c r="GE9">
        <v>443.19999999970003</v>
      </c>
      <c r="GF9">
        <v>447.59999999950003</v>
      </c>
      <c r="GG9">
        <v>450.29999999860001</v>
      </c>
      <c r="GH9">
        <v>451.39999999989999</v>
      </c>
      <c r="GI9">
        <v>452.79999999910001</v>
      </c>
      <c r="GJ9">
        <v>454.29999999939997</v>
      </c>
      <c r="GK9">
        <v>454.79999999950002</v>
      </c>
      <c r="GL9">
        <v>454.69999999840002</v>
      </c>
      <c r="GM9">
        <v>454.79999999950002</v>
      </c>
      <c r="GN9">
        <v>454.79999999950002</v>
      </c>
      <c r="GO9">
        <v>454.79999999950002</v>
      </c>
      <c r="GP9">
        <v>454.79999999950002</v>
      </c>
      <c r="GQ9">
        <v>454.79999999950002</v>
      </c>
      <c r="GR9">
        <v>454.89999999880001</v>
      </c>
      <c r="GS9">
        <v>454.79999999950002</v>
      </c>
      <c r="GT9">
        <v>454.89999999880001</v>
      </c>
      <c r="GU9">
        <v>454.89999999880001</v>
      </c>
      <c r="GV9">
        <v>454.89999999880001</v>
      </c>
      <c r="GW9">
        <v>1</v>
      </c>
      <c r="GX9">
        <v>113.6999999999</v>
      </c>
      <c r="GY9">
        <v>110.6</v>
      </c>
      <c r="GZ9">
        <v>110.6</v>
      </c>
      <c r="HA9">
        <v>126.4999999985</v>
      </c>
      <c r="HB9">
        <v>114.7431915591</v>
      </c>
      <c r="HC9">
        <v>-15.8999999985</v>
      </c>
      <c r="HD9">
        <v>454.89999999880001</v>
      </c>
      <c r="HE9">
        <v>301.11183646469999</v>
      </c>
      <c r="HF9">
        <v>94.850895703600003</v>
      </c>
      <c r="HG9">
        <v>454.99999999990001</v>
      </c>
      <c r="HH9">
        <v>454.89999999880001</v>
      </c>
      <c r="HI9">
        <v>454.99999999990001</v>
      </c>
      <c r="HJ9">
        <v>454.89999999880001</v>
      </c>
      <c r="HK9">
        <v>114.9560117302</v>
      </c>
      <c r="HL9">
        <v>3.4178227056999999</v>
      </c>
      <c r="HM9">
        <v>3.2920130927</v>
      </c>
      <c r="HN9">
        <v>3.3301795653999999</v>
      </c>
      <c r="HO9">
        <v>3.2551360710999999</v>
      </c>
      <c r="HP9">
        <v>3.6164748776</v>
      </c>
      <c r="HQ9">
        <v>2.2797135157000001</v>
      </c>
      <c r="HR9">
        <v>19.8922958554</v>
      </c>
      <c r="HS9">
        <v>-28.152492668600001</v>
      </c>
      <c r="HT9">
        <v>-192</v>
      </c>
      <c r="HU9">
        <v>415.85502802370002</v>
      </c>
      <c r="HV9">
        <v>91.495601172999997</v>
      </c>
      <c r="HW9">
        <v>624</v>
      </c>
      <c r="HX9">
        <v>19.8922958554</v>
      </c>
      <c r="HY9">
        <v>-28.152492668600001</v>
      </c>
      <c r="HZ9">
        <v>-192</v>
      </c>
      <c r="IA9">
        <v>415.85502802370002</v>
      </c>
      <c r="IB9">
        <v>91.495601172999997</v>
      </c>
      <c r="IC9">
        <v>624</v>
      </c>
      <c r="ID9">
        <v>39.044971975099998</v>
      </c>
      <c r="IE9">
        <v>0.1493241008</v>
      </c>
      <c r="IF9">
        <v>-37.536656891500002</v>
      </c>
      <c r="IG9">
        <v>-256</v>
      </c>
      <c r="IH9">
        <v>437.84859874620003</v>
      </c>
      <c r="II9">
        <v>100.87976539589999</v>
      </c>
      <c r="IJ9">
        <v>688</v>
      </c>
      <c r="IK9">
        <v>395.96273216830002</v>
      </c>
      <c r="IL9">
        <v>119.6480938416</v>
      </c>
      <c r="IM9">
        <v>418.7420925385</v>
      </c>
      <c r="IN9">
        <v>129.03225806450001</v>
      </c>
      <c r="IO9">
        <v>6.7999999991999998</v>
      </c>
      <c r="IP9">
        <v>5.6999999997000002</v>
      </c>
      <c r="IQ9">
        <v>9.6999999986999992</v>
      </c>
      <c r="IR9">
        <v>5.9651225539999997</v>
      </c>
      <c r="IS9">
        <v>5.9651225539999997</v>
      </c>
      <c r="IT9">
        <v>12.3999999996</v>
      </c>
      <c r="IU9">
        <v>-28.152492668600001</v>
      </c>
      <c r="IV9">
        <v>16.0000000014</v>
      </c>
      <c r="IW9">
        <v>-2.3460410557000002</v>
      </c>
      <c r="IX9">
        <v>11.800000000200001</v>
      </c>
      <c r="IY9">
        <v>98.533724340199996</v>
      </c>
      <c r="IZ9">
        <v>-34.161423696299998</v>
      </c>
      <c r="JA9">
        <v>0.32777507610000001</v>
      </c>
      <c r="JB9">
        <v>-3.444492E-4</v>
      </c>
      <c r="JC9">
        <v>6.7990000000000005E-7</v>
      </c>
      <c r="JD9">
        <v>0.29258393020000001</v>
      </c>
      <c r="JE9">
        <v>0.38031999420000001</v>
      </c>
      <c r="JF9">
        <v>0.1154302963</v>
      </c>
      <c r="JG9">
        <v>115.4978982251</v>
      </c>
      <c r="JH9">
        <v>3.6164748776</v>
      </c>
      <c r="JI9">
        <v>3.1886839999999998E-3</v>
      </c>
      <c r="JJ9">
        <v>-7.6460799999999998E-5</v>
      </c>
      <c r="JK9">
        <v>3.4178227056999999</v>
      </c>
      <c r="JL9">
        <v>1.9739065792999999</v>
      </c>
      <c r="JM9">
        <v>0.66088243670000002</v>
      </c>
      <c r="JN9" t="s">
        <v>545</v>
      </c>
      <c r="JQ9">
        <v>1</v>
      </c>
    </row>
    <row r="10" spans="1:277">
      <c r="A10" t="s">
        <v>633</v>
      </c>
      <c r="B10" t="s">
        <v>634</v>
      </c>
      <c r="C10" t="s">
        <v>212</v>
      </c>
      <c r="D10">
        <v>3</v>
      </c>
      <c r="E10" t="s">
        <v>213</v>
      </c>
      <c r="F10" t="s">
        <v>214</v>
      </c>
      <c r="G10" t="s">
        <v>544</v>
      </c>
      <c r="H10" t="s">
        <v>216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0.7000000005</v>
      </c>
      <c r="R10">
        <v>0.20000000039999999</v>
      </c>
      <c r="S10">
        <v>0.20000000039999999</v>
      </c>
      <c r="T10">
        <v>9.9999999300000003E-2</v>
      </c>
      <c r="U10">
        <v>0.20000000039999999</v>
      </c>
      <c r="V10">
        <v>9.9999999300000003E-2</v>
      </c>
      <c r="W10">
        <v>9.9999999300000003E-2</v>
      </c>
      <c r="X10">
        <v>9.9999999300000003E-2</v>
      </c>
      <c r="Y10">
        <v>9.9999999300000003E-2</v>
      </c>
      <c r="Z10">
        <v>9.9999999300000003E-2</v>
      </c>
      <c r="AA10">
        <v>9.9999999300000003E-2</v>
      </c>
      <c r="AB10">
        <v>9.9999999300000003E-2</v>
      </c>
      <c r="AC10">
        <v>0</v>
      </c>
      <c r="AD10">
        <v>9.9999999300000003E-2</v>
      </c>
      <c r="AE10">
        <v>0</v>
      </c>
      <c r="AF10">
        <v>9.9999999300000003E-2</v>
      </c>
      <c r="AG10">
        <v>1.2000000006</v>
      </c>
      <c r="AH10">
        <v>4.8999999999000003</v>
      </c>
      <c r="AI10">
        <v>10.3999999992</v>
      </c>
      <c r="AJ10">
        <v>16.9999999998</v>
      </c>
      <c r="AK10">
        <v>23.9000000001</v>
      </c>
      <c r="AL10">
        <v>30.6</v>
      </c>
      <c r="AM10">
        <v>37.599999999700003</v>
      </c>
      <c r="AN10">
        <v>44.5</v>
      </c>
      <c r="AO10">
        <v>51.6000000007</v>
      </c>
      <c r="AP10">
        <v>58.999999999300002</v>
      </c>
      <c r="AQ10">
        <v>66.999999999099998</v>
      </c>
      <c r="AR10">
        <v>74.800000000300003</v>
      </c>
      <c r="AS10">
        <v>82.3</v>
      </c>
      <c r="AT10">
        <v>90.099999999399998</v>
      </c>
      <c r="AU10">
        <v>97.499999999899998</v>
      </c>
      <c r="AV10">
        <v>105.2999999993</v>
      </c>
      <c r="AW10">
        <v>113.99999999960001</v>
      </c>
      <c r="AX10">
        <v>123.4000000004</v>
      </c>
      <c r="AY10">
        <v>131.60000000060001</v>
      </c>
      <c r="AZ10">
        <v>139.6999999997</v>
      </c>
      <c r="BA10">
        <v>147.4999999991</v>
      </c>
      <c r="BB10">
        <v>155.30000000039999</v>
      </c>
      <c r="BC10">
        <v>163.50000000060001</v>
      </c>
      <c r="BD10">
        <v>172.19999999909999</v>
      </c>
      <c r="BE10">
        <v>180.20000000069999</v>
      </c>
      <c r="BF10">
        <v>188.20000000050001</v>
      </c>
      <c r="BG10">
        <v>196.4000000007</v>
      </c>
      <c r="BH10">
        <v>204.2999999994</v>
      </c>
      <c r="BI10">
        <v>212.2999999992</v>
      </c>
      <c r="BJ10">
        <v>220.79999999910001</v>
      </c>
      <c r="BK10">
        <v>228.99999999939999</v>
      </c>
      <c r="BL10">
        <v>236.69999999949999</v>
      </c>
      <c r="BM10">
        <v>244.69999999929999</v>
      </c>
      <c r="BN10">
        <v>252.0999999997</v>
      </c>
      <c r="BO10">
        <v>259.79999999979998</v>
      </c>
      <c r="BP10">
        <v>267.7999999996</v>
      </c>
      <c r="BQ10">
        <v>275.90000000049997</v>
      </c>
      <c r="BR10">
        <v>283.1999999999</v>
      </c>
      <c r="BS10">
        <v>290.69999999959998</v>
      </c>
      <c r="BT10">
        <v>298.00000000070003</v>
      </c>
      <c r="BU10">
        <v>305.09999999960002</v>
      </c>
      <c r="BV10">
        <v>312.2999999996</v>
      </c>
      <c r="BW10">
        <v>319.7</v>
      </c>
      <c r="BX10">
        <v>327.29999999900002</v>
      </c>
      <c r="BY10">
        <v>333.89999999960003</v>
      </c>
      <c r="BZ10">
        <v>340.59999999950003</v>
      </c>
      <c r="CA10">
        <v>347.49999999990001</v>
      </c>
      <c r="CB10">
        <v>353.90000000010002</v>
      </c>
      <c r="CC10">
        <v>360.39999999960003</v>
      </c>
      <c r="CD10">
        <v>366.59999999939998</v>
      </c>
      <c r="CE10">
        <v>373.49999999969998</v>
      </c>
      <c r="CF10">
        <v>380.19999999959998</v>
      </c>
      <c r="CG10">
        <v>386.00000000040001</v>
      </c>
      <c r="CH10">
        <v>391.99999999980002</v>
      </c>
      <c r="CI10">
        <v>398.10000000029999</v>
      </c>
      <c r="CJ10">
        <v>403.8</v>
      </c>
      <c r="CK10">
        <v>409.70000000020002</v>
      </c>
      <c r="CL10">
        <v>415.19999999949999</v>
      </c>
      <c r="CM10">
        <v>421.00000000030002</v>
      </c>
      <c r="CN10">
        <v>427.20000000009998</v>
      </c>
      <c r="CO10">
        <v>432.69999999940001</v>
      </c>
      <c r="CP10">
        <v>438.00000000009999</v>
      </c>
      <c r="CQ10">
        <v>443.40000000010002</v>
      </c>
      <c r="CR10">
        <v>448.8000000001</v>
      </c>
      <c r="CS10">
        <v>453.90000000039998</v>
      </c>
      <c r="CT10">
        <v>456.20000000049998</v>
      </c>
      <c r="CU10">
        <v>456.29999999979998</v>
      </c>
      <c r="CV10">
        <v>456.20000000049998</v>
      </c>
      <c r="CW10">
        <v>456.29999999979998</v>
      </c>
      <c r="CX10">
        <v>456.29999999979998</v>
      </c>
      <c r="CY10">
        <v>456.29999999979998</v>
      </c>
      <c r="CZ10">
        <v>456.39999999909998</v>
      </c>
      <c r="DA10">
        <v>456.39999999909998</v>
      </c>
      <c r="DB10">
        <v>456.39999999909998</v>
      </c>
      <c r="DC10">
        <v>456.29999999979998</v>
      </c>
      <c r="DD10">
        <v>456.29999999979998</v>
      </c>
      <c r="DE10">
        <v>456.29999999979998</v>
      </c>
      <c r="DF10">
        <v>456.29999999979998</v>
      </c>
      <c r="DG10">
        <v>1.7000000007</v>
      </c>
      <c r="DH10">
        <v>1.2999999999</v>
      </c>
      <c r="DI10">
        <v>1.2999999999</v>
      </c>
      <c r="DJ10">
        <v>1.2000000006</v>
      </c>
      <c r="DK10">
        <v>1.2000000006</v>
      </c>
      <c r="DL10">
        <v>1.0999999995</v>
      </c>
      <c r="DM10">
        <v>1.0999999995</v>
      </c>
      <c r="DN10">
        <v>1.2000000006</v>
      </c>
      <c r="DO10">
        <v>1.0999999995</v>
      </c>
      <c r="DP10">
        <v>1.0999999995</v>
      </c>
      <c r="DQ10">
        <v>1.0000000002</v>
      </c>
      <c r="DR10">
        <v>1.0000000002</v>
      </c>
      <c r="DS10">
        <v>0.89999999909999995</v>
      </c>
      <c r="DT10">
        <v>0.89999999909999995</v>
      </c>
      <c r="DU10">
        <v>0.89999999909999995</v>
      </c>
      <c r="DV10">
        <v>2.8999999994999999</v>
      </c>
      <c r="DW10">
        <v>7.4000000004000004</v>
      </c>
      <c r="DX10">
        <v>13.9999999992</v>
      </c>
      <c r="DY10">
        <v>21.300000000299999</v>
      </c>
      <c r="DZ10">
        <v>28.0999999995</v>
      </c>
      <c r="EA10">
        <v>35.0999999991</v>
      </c>
      <c r="EB10">
        <v>42.100000000599998</v>
      </c>
      <c r="EC10">
        <v>49.100000000199998</v>
      </c>
      <c r="ED10">
        <v>56.399999999499997</v>
      </c>
      <c r="EE10">
        <v>64.099999999600001</v>
      </c>
      <c r="EF10">
        <v>72.200000000499998</v>
      </c>
      <c r="EG10">
        <v>79.700000000200006</v>
      </c>
      <c r="EH10">
        <v>87.400000000299997</v>
      </c>
      <c r="EI10">
        <v>94.900000000099993</v>
      </c>
      <c r="EJ10">
        <v>102.3999999998</v>
      </c>
      <c r="EK10">
        <v>110.3999999996</v>
      </c>
      <c r="EL10">
        <v>119.3000000003</v>
      </c>
      <c r="EM10">
        <v>128.3999999996</v>
      </c>
      <c r="EN10">
        <v>136.69999999909999</v>
      </c>
      <c r="EO10">
        <v>144.80000000000001</v>
      </c>
      <c r="EP10">
        <v>152.59999999940001</v>
      </c>
      <c r="EQ10">
        <v>160.7000000004</v>
      </c>
      <c r="ER10">
        <v>169.09999999920001</v>
      </c>
      <c r="ES10">
        <v>177.70000000019999</v>
      </c>
      <c r="ET10">
        <v>185.49999999959999</v>
      </c>
      <c r="EU10">
        <v>193.90000000020001</v>
      </c>
      <c r="EV10">
        <v>201.69999999960001</v>
      </c>
      <c r="EW10">
        <v>209.69999999940001</v>
      </c>
      <c r="EX10">
        <v>217.8999999996</v>
      </c>
      <c r="EY10">
        <v>226.6</v>
      </c>
      <c r="EZ10">
        <v>234.3000000001</v>
      </c>
      <c r="FA10">
        <v>242.39999999919999</v>
      </c>
      <c r="FB10">
        <v>250</v>
      </c>
      <c r="FC10">
        <v>257.59999999899998</v>
      </c>
      <c r="FD10">
        <v>265.29999999910001</v>
      </c>
      <c r="FE10">
        <v>273.60000000039997</v>
      </c>
      <c r="FF10">
        <v>281.30000000059999</v>
      </c>
      <c r="FG10">
        <v>288.59999999989998</v>
      </c>
      <c r="FH10">
        <v>296.20000000070002</v>
      </c>
      <c r="FI10">
        <v>303.5</v>
      </c>
      <c r="FJ10">
        <v>310.7</v>
      </c>
      <c r="FK10">
        <v>317.80000000069998</v>
      </c>
      <c r="FL10">
        <v>325.49999999900001</v>
      </c>
      <c r="FM10">
        <v>332.50000000040001</v>
      </c>
      <c r="FN10">
        <v>339.20000000030001</v>
      </c>
      <c r="FO10">
        <v>346.10000000069999</v>
      </c>
      <c r="FP10">
        <v>352.6000000002</v>
      </c>
      <c r="FQ10">
        <v>359.199999999</v>
      </c>
      <c r="FR10">
        <v>365.59999999920001</v>
      </c>
      <c r="FS10">
        <v>372.10000000050002</v>
      </c>
      <c r="FT10">
        <v>378.99999999900001</v>
      </c>
      <c r="FU10">
        <v>385.00000000019998</v>
      </c>
      <c r="FV10">
        <v>390.99999999959999</v>
      </c>
      <c r="FW10">
        <v>397.10000000010001</v>
      </c>
      <c r="FX10">
        <v>402.79999999979998</v>
      </c>
      <c r="FY10">
        <v>408.60000000069999</v>
      </c>
      <c r="FZ10">
        <v>414.30000000040002</v>
      </c>
      <c r="GA10">
        <v>420.00000000009999</v>
      </c>
      <c r="GB10">
        <v>426.10000000060001</v>
      </c>
      <c r="GC10">
        <v>431.59999999989998</v>
      </c>
      <c r="GD10">
        <v>436.70000000020002</v>
      </c>
      <c r="GE10">
        <v>441.80000000050001</v>
      </c>
      <c r="GF10">
        <v>447.09999999939998</v>
      </c>
      <c r="GG10">
        <v>451.99999999929997</v>
      </c>
      <c r="GH10">
        <v>455.2999999996</v>
      </c>
      <c r="GI10">
        <v>456.00000000009999</v>
      </c>
      <c r="GJ10">
        <v>456.00000000009999</v>
      </c>
      <c r="GK10">
        <v>456.00000000009999</v>
      </c>
      <c r="GL10">
        <v>455.89999999899999</v>
      </c>
      <c r="GM10">
        <v>456.00000000009999</v>
      </c>
      <c r="GN10">
        <v>456.00000000009999</v>
      </c>
      <c r="GO10">
        <v>456.09999999939998</v>
      </c>
      <c r="GP10">
        <v>456.00000000009999</v>
      </c>
      <c r="GQ10">
        <v>456.09999999939998</v>
      </c>
      <c r="GR10">
        <v>456.09999999939998</v>
      </c>
      <c r="GS10">
        <v>456.20000000049998</v>
      </c>
      <c r="GT10">
        <v>456.20000000049998</v>
      </c>
      <c r="GU10">
        <v>456.29999999979998</v>
      </c>
      <c r="GV10">
        <v>456.29999999979998</v>
      </c>
      <c r="GW10">
        <v>1</v>
      </c>
      <c r="GX10">
        <v>120.1000000001</v>
      </c>
      <c r="GY10">
        <v>113.99999999960001</v>
      </c>
      <c r="GZ10">
        <v>113.99999999960001</v>
      </c>
      <c r="HA10">
        <v>128.3999999996</v>
      </c>
      <c r="HB10">
        <v>117.8248520706</v>
      </c>
      <c r="HC10">
        <v>-14.4</v>
      </c>
      <c r="HD10">
        <v>456.29999999979998</v>
      </c>
      <c r="HE10">
        <v>301.23950252079999</v>
      </c>
      <c r="HF10">
        <v>100.2762984876</v>
      </c>
      <c r="HG10">
        <v>456.39999999909998</v>
      </c>
      <c r="HH10">
        <v>456.29999999979998</v>
      </c>
      <c r="HI10">
        <v>456.39999999909998</v>
      </c>
      <c r="HJ10">
        <v>456.29999999979998</v>
      </c>
      <c r="HK10">
        <v>112.6099706745</v>
      </c>
      <c r="HL10">
        <v>3.3373141153999999</v>
      </c>
      <c r="HM10">
        <v>3.2208287691000002</v>
      </c>
      <c r="HN10">
        <v>3.2620367400000001</v>
      </c>
      <c r="HO10">
        <v>3.1194346084000002</v>
      </c>
      <c r="HP10">
        <v>3.5237833089000001</v>
      </c>
      <c r="HQ10">
        <v>2.2144591987000002</v>
      </c>
      <c r="HR10">
        <v>17.548553583</v>
      </c>
      <c r="HS10">
        <v>-30.4985337243</v>
      </c>
      <c r="HT10">
        <v>-208</v>
      </c>
      <c r="HU10">
        <v>419.06435459139999</v>
      </c>
      <c r="HV10">
        <v>93.841642228699996</v>
      </c>
      <c r="HW10">
        <v>640</v>
      </c>
      <c r="HX10">
        <v>17.548553583</v>
      </c>
      <c r="HY10">
        <v>-30.4985337243</v>
      </c>
      <c r="HZ10">
        <v>-208</v>
      </c>
      <c r="IA10">
        <v>419.06435459139999</v>
      </c>
      <c r="IB10">
        <v>93.841642228699996</v>
      </c>
      <c r="IC10">
        <v>640</v>
      </c>
      <c r="ID10">
        <v>37.235645408499998</v>
      </c>
      <c r="IE10">
        <v>0.10920447</v>
      </c>
      <c r="IF10">
        <v>-39.8826979472</v>
      </c>
      <c r="IG10">
        <v>-272</v>
      </c>
      <c r="IH10">
        <v>441.42008547059999</v>
      </c>
      <c r="II10">
        <v>103.22580645159999</v>
      </c>
      <c r="IJ10">
        <v>704</v>
      </c>
      <c r="IK10">
        <v>401.51580100839999</v>
      </c>
      <c r="IL10">
        <v>124.3401759531</v>
      </c>
      <c r="IM10">
        <v>425.81462853390002</v>
      </c>
      <c r="IN10">
        <v>133.724340176</v>
      </c>
      <c r="IO10">
        <v>7.3000000010999999</v>
      </c>
      <c r="IP10">
        <v>6.1000000004999997</v>
      </c>
      <c r="IQ10">
        <v>9.4000000008000004</v>
      </c>
      <c r="IR10">
        <v>5.9221571155000001</v>
      </c>
      <c r="IS10">
        <v>5.9221571155000001</v>
      </c>
      <c r="IT10">
        <v>10.9000000011</v>
      </c>
      <c r="IU10">
        <v>-32.844574780099997</v>
      </c>
      <c r="IV10">
        <v>14.4</v>
      </c>
      <c r="IW10">
        <v>0</v>
      </c>
      <c r="IX10">
        <v>9.1000000010999997</v>
      </c>
      <c r="IY10">
        <v>103.22580645159999</v>
      </c>
      <c r="IZ10">
        <v>-36.099723003100003</v>
      </c>
      <c r="JA10">
        <v>0.33965165349999998</v>
      </c>
      <c r="JB10">
        <v>-3.6638069999999999E-4</v>
      </c>
      <c r="JC10">
        <v>7.0490000000000002E-7</v>
      </c>
      <c r="JD10">
        <v>0.29964215700000002</v>
      </c>
      <c r="JE10">
        <v>0.28520441050000001</v>
      </c>
      <c r="JF10">
        <v>0.1237259166</v>
      </c>
      <c r="JG10">
        <v>118.4038728677</v>
      </c>
      <c r="JH10">
        <v>3.5237833089000001</v>
      </c>
      <c r="JI10">
        <v>3.2918544E-3</v>
      </c>
      <c r="JJ10">
        <v>-7.2946299999999996E-5</v>
      </c>
      <c r="JK10">
        <v>3.3373141153999999</v>
      </c>
      <c r="JL10">
        <v>1.5112423956000001</v>
      </c>
      <c r="JM10">
        <v>0.64929143450000004</v>
      </c>
      <c r="JN10" t="s">
        <v>545</v>
      </c>
      <c r="JQ10">
        <v>1</v>
      </c>
    </row>
    <row r="11" spans="1:277">
      <c r="A11" t="s">
        <v>645</v>
      </c>
      <c r="B11" t="s">
        <v>646</v>
      </c>
      <c r="C11" t="s">
        <v>212</v>
      </c>
      <c r="D11">
        <v>3</v>
      </c>
      <c r="E11" t="s">
        <v>213</v>
      </c>
      <c r="F11" t="s">
        <v>214</v>
      </c>
      <c r="G11" t="s">
        <v>544</v>
      </c>
      <c r="H11" t="s">
        <v>216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9.9999999300000003E-2</v>
      </c>
      <c r="V11">
        <v>9.9999999300000003E-2</v>
      </c>
      <c r="W11">
        <v>9.9999999300000003E-2</v>
      </c>
      <c r="X11">
        <v>9.9999999300000003E-2</v>
      </c>
      <c r="Y11">
        <v>0.20000000039999999</v>
      </c>
      <c r="Z11">
        <v>0.20000000039999999</v>
      </c>
      <c r="AA11">
        <v>0.20000000039999999</v>
      </c>
      <c r="AB11">
        <v>0.29999999970000002</v>
      </c>
      <c r="AC11">
        <v>0.29999999970000002</v>
      </c>
      <c r="AD11">
        <v>0.29999999970000002</v>
      </c>
      <c r="AE11">
        <v>0.29999999970000002</v>
      </c>
      <c r="AF11">
        <v>0.29999999970000002</v>
      </c>
      <c r="AG11">
        <v>1.7000000007</v>
      </c>
      <c r="AH11">
        <v>5.1999999996000001</v>
      </c>
      <c r="AI11">
        <v>9.5999999993999996</v>
      </c>
      <c r="AJ11">
        <v>15.199999999799999</v>
      </c>
      <c r="AK11">
        <v>22.300000000499999</v>
      </c>
      <c r="AL11">
        <v>29.599999999800001</v>
      </c>
      <c r="AM11">
        <v>36.700000000599999</v>
      </c>
      <c r="AN11">
        <v>43.499999999800004</v>
      </c>
      <c r="AO11">
        <v>50.499999999400004</v>
      </c>
      <c r="AP11">
        <v>58.000000000900002</v>
      </c>
      <c r="AQ11">
        <v>65.899999999599999</v>
      </c>
      <c r="AR11">
        <v>73.899999999399995</v>
      </c>
      <c r="AS11">
        <v>82.000000000300005</v>
      </c>
      <c r="AT11">
        <v>89.599999999299996</v>
      </c>
      <c r="AU11">
        <v>96.999999999799996</v>
      </c>
      <c r="AV11">
        <v>104.800000001</v>
      </c>
      <c r="AW11">
        <v>113.3000000009</v>
      </c>
      <c r="AX11">
        <v>122.1999999998</v>
      </c>
      <c r="AY11">
        <v>130.90000000009999</v>
      </c>
      <c r="AZ11">
        <v>139.19999999960001</v>
      </c>
      <c r="BA11">
        <v>146.89999999969999</v>
      </c>
      <c r="BB11">
        <v>154.8000000003</v>
      </c>
      <c r="BC11">
        <v>163.20000000089999</v>
      </c>
      <c r="BD11">
        <v>171.7000000008</v>
      </c>
      <c r="BE11">
        <v>180.20000000069999</v>
      </c>
      <c r="BF11">
        <v>188.40000000090001</v>
      </c>
      <c r="BG11">
        <v>196.2999999996</v>
      </c>
      <c r="BH11">
        <v>204.2000000001</v>
      </c>
      <c r="BI11">
        <v>212.4000000003</v>
      </c>
      <c r="BJ11">
        <v>220.800000001</v>
      </c>
      <c r="BK11">
        <v>229.19999999980001</v>
      </c>
      <c r="BL11">
        <v>237.30000000070001</v>
      </c>
      <c r="BM11">
        <v>245.10000000010001</v>
      </c>
      <c r="BN11">
        <v>252.59999999979999</v>
      </c>
      <c r="BO11">
        <v>260.40000000100002</v>
      </c>
      <c r="BP11">
        <v>268.29999999969999</v>
      </c>
      <c r="BQ11">
        <v>276.29999999950002</v>
      </c>
      <c r="BR11">
        <v>283.99999999969998</v>
      </c>
      <c r="BS11">
        <v>291.49999999940002</v>
      </c>
      <c r="BT11">
        <v>298.69999999940001</v>
      </c>
      <c r="BU11">
        <v>305.7000000008</v>
      </c>
      <c r="BV11">
        <v>313.00000000009999</v>
      </c>
      <c r="BW11">
        <v>320.29999999939997</v>
      </c>
      <c r="BX11">
        <v>327.69999999980001</v>
      </c>
      <c r="BY11">
        <v>334.69999999940001</v>
      </c>
      <c r="BZ11">
        <v>341.50000000049999</v>
      </c>
      <c r="CA11">
        <v>348.2000000004</v>
      </c>
      <c r="CB11">
        <v>354.60000000060001</v>
      </c>
      <c r="CC11">
        <v>361.00000000080001</v>
      </c>
      <c r="CD11">
        <v>367.50000000030002</v>
      </c>
      <c r="CE11">
        <v>373.99999999980002</v>
      </c>
      <c r="CF11">
        <v>380.60000000039997</v>
      </c>
      <c r="CG11">
        <v>386.80000000019999</v>
      </c>
      <c r="CH11">
        <v>392.7999999996</v>
      </c>
      <c r="CI11">
        <v>398.69999999970003</v>
      </c>
      <c r="CJ11">
        <v>404.39999999939999</v>
      </c>
      <c r="CK11">
        <v>410.10000000100001</v>
      </c>
      <c r="CL11">
        <v>415.69999999959998</v>
      </c>
      <c r="CM11">
        <v>421.50000000040001</v>
      </c>
      <c r="CN11">
        <v>427.29999999939997</v>
      </c>
      <c r="CO11">
        <v>432.69999999940001</v>
      </c>
      <c r="CP11">
        <v>438.20000000049998</v>
      </c>
      <c r="CQ11">
        <v>443.40000000010002</v>
      </c>
      <c r="CR11">
        <v>448.5999999997</v>
      </c>
      <c r="CS11">
        <v>453.60000000069999</v>
      </c>
      <c r="CT11">
        <v>457.89999999939999</v>
      </c>
      <c r="CU11">
        <v>459.60000000010001</v>
      </c>
      <c r="CV11">
        <v>459.69999999940001</v>
      </c>
      <c r="CW11">
        <v>459.69999999940001</v>
      </c>
      <c r="CX11">
        <v>459.69999999940001</v>
      </c>
      <c r="CY11">
        <v>459.69999999940001</v>
      </c>
      <c r="CZ11">
        <v>459.69999999940001</v>
      </c>
      <c r="DA11">
        <v>459.69999999940001</v>
      </c>
      <c r="DB11">
        <v>459.69999999940001</v>
      </c>
      <c r="DC11">
        <v>459.69999999940001</v>
      </c>
      <c r="DD11">
        <v>459.69999999940001</v>
      </c>
      <c r="DE11">
        <v>459.69999999940001</v>
      </c>
      <c r="DF11">
        <v>459.69999999940001</v>
      </c>
      <c r="DG11">
        <v>0.79999999980000003</v>
      </c>
      <c r="DH11">
        <v>1.2000000006</v>
      </c>
      <c r="DI11">
        <v>1.0999999995</v>
      </c>
      <c r="DJ11">
        <v>1.2000000006</v>
      </c>
      <c r="DK11">
        <v>1.2000000006</v>
      </c>
      <c r="DL11">
        <v>1.2000000006</v>
      </c>
      <c r="DM11">
        <v>1.2000000006</v>
      </c>
      <c r="DN11">
        <v>1.2000000006</v>
      </c>
      <c r="DO11">
        <v>1.2999999999</v>
      </c>
      <c r="DP11">
        <v>1.2999999999</v>
      </c>
      <c r="DQ11">
        <v>1.2999999999</v>
      </c>
      <c r="DR11">
        <v>1.2999999999</v>
      </c>
      <c r="DS11">
        <v>1.2999999999</v>
      </c>
      <c r="DT11">
        <v>1.2999999999</v>
      </c>
      <c r="DU11">
        <v>1.400000001</v>
      </c>
      <c r="DV11">
        <v>3.6999999993000001</v>
      </c>
      <c r="DW11">
        <v>8.2000000001999993</v>
      </c>
      <c r="DX11">
        <v>13.699999999499999</v>
      </c>
      <c r="DY11">
        <v>20.599999999800001</v>
      </c>
      <c r="DZ11">
        <v>28.0999999995</v>
      </c>
      <c r="EA11">
        <v>35.299999999599997</v>
      </c>
      <c r="EB11">
        <v>41.800000000899999</v>
      </c>
      <c r="EC11">
        <v>48.800000000499999</v>
      </c>
      <c r="ED11">
        <v>56.399999999499997</v>
      </c>
      <c r="EE11">
        <v>64.099999999600001</v>
      </c>
      <c r="EF11">
        <v>71.900000000800006</v>
      </c>
      <c r="EG11">
        <v>79.999999999899998</v>
      </c>
      <c r="EH11">
        <v>87.900000000399999</v>
      </c>
      <c r="EI11">
        <v>94.900000000099993</v>
      </c>
      <c r="EJ11">
        <v>102.69999999949999</v>
      </c>
      <c r="EK11">
        <v>110.8999999997</v>
      </c>
      <c r="EL11">
        <v>119.5000000007</v>
      </c>
      <c r="EM11">
        <v>128.69999999929999</v>
      </c>
      <c r="EN11">
        <v>137.3999999996</v>
      </c>
      <c r="EO11">
        <v>144.89999999930001</v>
      </c>
      <c r="EP11">
        <v>152.7000000006</v>
      </c>
      <c r="EQ11">
        <v>161.00000000009999</v>
      </c>
      <c r="ER11">
        <v>169.5999999993</v>
      </c>
      <c r="ES11">
        <v>178.20000000030001</v>
      </c>
      <c r="ET11">
        <v>186.6000000009</v>
      </c>
      <c r="EU11">
        <v>194.49999999959999</v>
      </c>
      <c r="EV11">
        <v>202.3000000008</v>
      </c>
      <c r="EW11">
        <v>210.60000000030001</v>
      </c>
      <c r="EX11">
        <v>218.8999999998</v>
      </c>
      <c r="EY11">
        <v>227.30000000050001</v>
      </c>
      <c r="EZ11">
        <v>235.5000000007</v>
      </c>
      <c r="FA11">
        <v>243.39999999939999</v>
      </c>
      <c r="FB11">
        <v>251.0000000002</v>
      </c>
      <c r="FC11">
        <v>258.9000000007</v>
      </c>
      <c r="FD11">
        <v>266.79999999939997</v>
      </c>
      <c r="FE11">
        <v>274.9000000003</v>
      </c>
      <c r="FF11">
        <v>282.80000000090001</v>
      </c>
      <c r="FG11">
        <v>290.39999999989999</v>
      </c>
      <c r="FH11">
        <v>297.70000000099998</v>
      </c>
      <c r="FI11">
        <v>304.90000000100002</v>
      </c>
      <c r="FJ11">
        <v>312.20000000030001</v>
      </c>
      <c r="FK11">
        <v>319.7</v>
      </c>
      <c r="FL11">
        <v>326.99999999929997</v>
      </c>
      <c r="FM11">
        <v>334.19999999930002</v>
      </c>
      <c r="FN11">
        <v>341.09999999960002</v>
      </c>
      <c r="FO11">
        <v>347.70000000030001</v>
      </c>
      <c r="FP11">
        <v>354.30000000090001</v>
      </c>
      <c r="FQ11">
        <v>360.89999999970001</v>
      </c>
      <c r="FR11">
        <v>367.50000000030002</v>
      </c>
      <c r="FS11">
        <v>373.99999999980002</v>
      </c>
      <c r="FT11">
        <v>380.49999999929997</v>
      </c>
      <c r="FU11">
        <v>387.00000000059998</v>
      </c>
      <c r="FV11">
        <v>393</v>
      </c>
      <c r="FW11">
        <v>398.90000000010002</v>
      </c>
      <c r="FX11">
        <v>404.59999999979999</v>
      </c>
      <c r="FY11">
        <v>410.2999999996</v>
      </c>
      <c r="FZ11">
        <v>415.99999999929997</v>
      </c>
      <c r="GA11">
        <v>421.8000000001</v>
      </c>
      <c r="GB11">
        <v>427.29999999939997</v>
      </c>
      <c r="GC11">
        <v>432.80000000050001</v>
      </c>
      <c r="GD11">
        <v>438.09999999939998</v>
      </c>
      <c r="GE11">
        <v>443.30000000080003</v>
      </c>
      <c r="GF11">
        <v>448.20000000070002</v>
      </c>
      <c r="GG11">
        <v>452.99999999950001</v>
      </c>
      <c r="GH11">
        <v>457.20000000070002</v>
      </c>
      <c r="GI11">
        <v>459.39999999970001</v>
      </c>
      <c r="GJ11">
        <v>459.69999999940001</v>
      </c>
      <c r="GK11">
        <v>459.69999999940001</v>
      </c>
      <c r="GL11">
        <v>459.60000000010001</v>
      </c>
      <c r="GM11">
        <v>459.60000000010001</v>
      </c>
      <c r="GN11">
        <v>459.60000000010001</v>
      </c>
      <c r="GO11">
        <v>459.60000000010001</v>
      </c>
      <c r="GP11">
        <v>459.60000000010001</v>
      </c>
      <c r="GQ11">
        <v>459.60000000010001</v>
      </c>
      <c r="GR11">
        <v>459.60000000010001</v>
      </c>
      <c r="GS11">
        <v>459.60000000010001</v>
      </c>
      <c r="GT11">
        <v>459.69999999940001</v>
      </c>
      <c r="GU11">
        <v>459.69999999940001</v>
      </c>
      <c r="GV11">
        <v>459.69999999940001</v>
      </c>
      <c r="GW11">
        <v>1</v>
      </c>
      <c r="GX11">
        <v>120.0000000008</v>
      </c>
      <c r="GY11">
        <v>113.3000000009</v>
      </c>
      <c r="GZ11">
        <v>113.3000000009</v>
      </c>
      <c r="HA11">
        <v>128.69999999929999</v>
      </c>
      <c r="HB11">
        <v>117.3535131612</v>
      </c>
      <c r="HC11">
        <v>-15.3999999984</v>
      </c>
      <c r="HD11">
        <v>459.69999999940001</v>
      </c>
      <c r="HE11">
        <v>303.33298890549997</v>
      </c>
      <c r="HF11">
        <v>94.239068958000004</v>
      </c>
      <c r="HG11">
        <v>459.69999999940001</v>
      </c>
      <c r="HH11">
        <v>459.69999999940001</v>
      </c>
      <c r="HI11">
        <v>459.69999999940001</v>
      </c>
      <c r="HJ11">
        <v>459.69999999940001</v>
      </c>
      <c r="HK11">
        <v>112.6099706745</v>
      </c>
      <c r="HL11">
        <v>3.3617939199000002</v>
      </c>
      <c r="HM11">
        <v>3.2482741070999999</v>
      </c>
      <c r="HN11">
        <v>3.2813272536999998</v>
      </c>
      <c r="HO11">
        <v>3.2097379359999998</v>
      </c>
      <c r="HP11">
        <v>3.5616113018000002</v>
      </c>
      <c r="HQ11">
        <v>2.2173390669000002</v>
      </c>
      <c r="HR11">
        <v>23.114444203200001</v>
      </c>
      <c r="HS11">
        <v>-28.152492668600001</v>
      </c>
      <c r="HT11">
        <v>-192</v>
      </c>
      <c r="HU11">
        <v>420.68650206680002</v>
      </c>
      <c r="HV11">
        <v>93.841642228699996</v>
      </c>
      <c r="HW11">
        <v>640</v>
      </c>
      <c r="HX11">
        <v>23.114444203200001</v>
      </c>
      <c r="HY11">
        <v>-28.152492668600001</v>
      </c>
      <c r="HZ11">
        <v>-192</v>
      </c>
      <c r="IA11">
        <v>420.68650206680002</v>
      </c>
      <c r="IB11">
        <v>93.841642228699996</v>
      </c>
      <c r="IC11">
        <v>640</v>
      </c>
      <c r="ID11">
        <v>39.013497932699998</v>
      </c>
      <c r="IE11">
        <v>1.7699912994</v>
      </c>
      <c r="IF11">
        <v>-37.536656891500002</v>
      </c>
      <c r="IG11">
        <v>-256</v>
      </c>
      <c r="IH11">
        <v>442.79963019439998</v>
      </c>
      <c r="II11">
        <v>103.22580645159999</v>
      </c>
      <c r="IJ11">
        <v>704</v>
      </c>
      <c r="IK11">
        <v>397.57205786349999</v>
      </c>
      <c r="IL11">
        <v>121.9941348974</v>
      </c>
      <c r="IM11">
        <v>422.03855775620002</v>
      </c>
      <c r="IN11">
        <v>131.37829912020001</v>
      </c>
      <c r="IO11">
        <v>7.1000000006999997</v>
      </c>
      <c r="IP11">
        <v>5.5000000011000001</v>
      </c>
      <c r="IQ11">
        <v>9.1999999985999992</v>
      </c>
      <c r="IR11">
        <v>6.1293384514999998</v>
      </c>
      <c r="IS11">
        <v>6.1293384514999998</v>
      </c>
      <c r="IT11">
        <v>12.8999999997</v>
      </c>
      <c r="IU11">
        <v>-30.4985337243</v>
      </c>
      <c r="IV11">
        <v>15.3999999984</v>
      </c>
      <c r="IW11">
        <v>0</v>
      </c>
      <c r="IX11">
        <v>10.8</v>
      </c>
      <c r="IY11">
        <v>100.87976539589999</v>
      </c>
      <c r="IZ11">
        <v>-35.599895568000001</v>
      </c>
      <c r="JA11">
        <v>0.3360591007</v>
      </c>
      <c r="JB11">
        <v>-3.6268470000000002E-4</v>
      </c>
      <c r="JC11">
        <v>7.0060000000000001E-7</v>
      </c>
      <c r="JD11">
        <v>0.29746023220000001</v>
      </c>
      <c r="JE11">
        <v>0.2174692409</v>
      </c>
      <c r="JF11">
        <v>9.7726911E-2</v>
      </c>
      <c r="JG11">
        <v>118.0128247143</v>
      </c>
      <c r="JH11">
        <v>3.5616113018000002</v>
      </c>
      <c r="JI11">
        <v>3.1543711E-3</v>
      </c>
      <c r="JJ11">
        <v>-7.3292400000000003E-5</v>
      </c>
      <c r="JK11">
        <v>3.3617939199000002</v>
      </c>
      <c r="JL11">
        <v>1.2891833458999999</v>
      </c>
      <c r="JM11">
        <v>0.56778531460000004</v>
      </c>
      <c r="JN11" t="s">
        <v>545</v>
      </c>
      <c r="JQ11">
        <v>1</v>
      </c>
    </row>
    <row r="12" spans="1:277">
      <c r="A12" t="s">
        <v>657</v>
      </c>
      <c r="B12" t="s">
        <v>658</v>
      </c>
      <c r="C12" t="s">
        <v>212</v>
      </c>
      <c r="D12">
        <v>3</v>
      </c>
      <c r="E12" t="s">
        <v>213</v>
      </c>
      <c r="F12" t="s">
        <v>214</v>
      </c>
      <c r="G12" t="s">
        <v>544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0</v>
      </c>
      <c r="R12">
        <v>0</v>
      </c>
      <c r="S12">
        <v>9.9999999300000003E-2</v>
      </c>
      <c r="T12">
        <v>9.9999999300000003E-2</v>
      </c>
      <c r="U12">
        <v>9.9999999300000003E-2</v>
      </c>
      <c r="V12">
        <v>9.9999999300000003E-2</v>
      </c>
      <c r="W12">
        <v>0.20000000039999999</v>
      </c>
      <c r="X12">
        <v>0.20000000039999999</v>
      </c>
      <c r="Y12">
        <v>0.20000000039999999</v>
      </c>
      <c r="Z12">
        <v>0.20000000039999999</v>
      </c>
      <c r="AA12">
        <v>0.29999999970000002</v>
      </c>
      <c r="AB12">
        <v>0.20000000039999999</v>
      </c>
      <c r="AC12">
        <v>0.29999999970000002</v>
      </c>
      <c r="AD12">
        <v>0.29999999970000002</v>
      </c>
      <c r="AE12">
        <v>0.29999999970000002</v>
      </c>
      <c r="AF12">
        <v>0.40000000079999998</v>
      </c>
      <c r="AG12">
        <v>1.7000000007</v>
      </c>
      <c r="AH12">
        <v>4.8999999999000003</v>
      </c>
      <c r="AI12">
        <v>9.2000000003999993</v>
      </c>
      <c r="AJ12">
        <v>14.6000000004</v>
      </c>
      <c r="AK12">
        <v>21.0000000006</v>
      </c>
      <c r="AL12">
        <v>27.799999999800001</v>
      </c>
      <c r="AM12">
        <v>34.799999999400001</v>
      </c>
      <c r="AN12">
        <v>42.300000001000001</v>
      </c>
      <c r="AO12">
        <v>49.9</v>
      </c>
      <c r="AP12">
        <v>57.600000000100003</v>
      </c>
      <c r="AQ12">
        <v>65.000000000499995</v>
      </c>
      <c r="AR12">
        <v>72.299999999799994</v>
      </c>
      <c r="AS12">
        <v>79.900000000600002</v>
      </c>
      <c r="AT12">
        <v>87.799999999299999</v>
      </c>
      <c r="AU12">
        <v>95.699999999900001</v>
      </c>
      <c r="AV12">
        <v>103.9999999994</v>
      </c>
      <c r="AW12">
        <v>112.3000000007</v>
      </c>
      <c r="AX12">
        <v>120.6000000002</v>
      </c>
      <c r="AY12">
        <v>128.80000000039999</v>
      </c>
      <c r="AZ12">
        <v>137.09999999990001</v>
      </c>
      <c r="BA12">
        <v>145.50000000049999</v>
      </c>
      <c r="BB12">
        <v>153.80000000000001</v>
      </c>
      <c r="BC12">
        <v>162.09999999959999</v>
      </c>
      <c r="BD12">
        <v>170.00000000009999</v>
      </c>
      <c r="BE12">
        <v>177.79999999949999</v>
      </c>
      <c r="BF12">
        <v>185.99999999970001</v>
      </c>
      <c r="BG12">
        <v>194.2999999992</v>
      </c>
      <c r="BH12">
        <v>202.80000000090001</v>
      </c>
      <c r="BI12">
        <v>211.1000000004</v>
      </c>
      <c r="BJ12">
        <v>218.80000000059999</v>
      </c>
      <c r="BK12">
        <v>226.6</v>
      </c>
      <c r="BL12">
        <v>234.39999999939999</v>
      </c>
      <c r="BM12">
        <v>242.400000001</v>
      </c>
      <c r="BN12">
        <v>250.40000000079999</v>
      </c>
      <c r="BO12">
        <v>258.49999999990001</v>
      </c>
      <c r="BP12">
        <v>266.29999999929998</v>
      </c>
      <c r="BQ12">
        <v>273.49999999929997</v>
      </c>
      <c r="BR12">
        <v>280.89999999970001</v>
      </c>
      <c r="BS12">
        <v>288.30000000019999</v>
      </c>
      <c r="BT12">
        <v>295.70000000060003</v>
      </c>
      <c r="BU12">
        <v>303.20000000030001</v>
      </c>
      <c r="BV12">
        <v>310.49999999959999</v>
      </c>
      <c r="BW12">
        <v>317.49999999919999</v>
      </c>
      <c r="BX12">
        <v>324.30000000019999</v>
      </c>
      <c r="BY12">
        <v>330.90000000079999</v>
      </c>
      <c r="BZ12">
        <v>337.49999999959999</v>
      </c>
      <c r="CA12">
        <v>344.19999999949999</v>
      </c>
      <c r="CB12">
        <v>351.09999999989998</v>
      </c>
      <c r="CC12">
        <v>357.70000000049998</v>
      </c>
      <c r="CD12">
        <v>364.29999999929998</v>
      </c>
      <c r="CE12">
        <v>370.3999999998</v>
      </c>
      <c r="CF12">
        <v>376.29999999990002</v>
      </c>
      <c r="CG12">
        <v>382.29999999929998</v>
      </c>
      <c r="CH12">
        <v>388.10000000010001</v>
      </c>
      <c r="CI12">
        <v>394.00000000019998</v>
      </c>
      <c r="CJ12">
        <v>399.99999999959999</v>
      </c>
      <c r="CK12">
        <v>406.0000000009</v>
      </c>
      <c r="CL12">
        <v>411.59999999950003</v>
      </c>
      <c r="CM12">
        <v>417.10000000060001</v>
      </c>
      <c r="CN12">
        <v>422.39999999949998</v>
      </c>
      <c r="CO12">
        <v>427.60000000090002</v>
      </c>
      <c r="CP12">
        <v>432.80000000050001</v>
      </c>
      <c r="CQ12">
        <v>437.90000000079999</v>
      </c>
      <c r="CR12">
        <v>442.99999999929997</v>
      </c>
      <c r="CS12">
        <v>448.09999999960002</v>
      </c>
      <c r="CT12">
        <v>453.1999999999</v>
      </c>
      <c r="CU12">
        <v>458.30000000019999</v>
      </c>
      <c r="CV12">
        <v>460.9</v>
      </c>
      <c r="CW12">
        <v>461.10000000039997</v>
      </c>
      <c r="CX12">
        <v>461.10000000039997</v>
      </c>
      <c r="CY12">
        <v>461.19999999970003</v>
      </c>
      <c r="CZ12">
        <v>461.19999999970003</v>
      </c>
      <c r="DA12">
        <v>461.30000000080003</v>
      </c>
      <c r="DB12">
        <v>461.30000000080003</v>
      </c>
      <c r="DC12">
        <v>461.30000000080003</v>
      </c>
      <c r="DD12">
        <v>461.30000000080003</v>
      </c>
      <c r="DE12">
        <v>461.40000000010002</v>
      </c>
      <c r="DF12">
        <v>461.40000000010002</v>
      </c>
      <c r="DG12">
        <v>1.0999999995</v>
      </c>
      <c r="DH12">
        <v>1.2999999999</v>
      </c>
      <c r="DI12">
        <v>1.2999999999</v>
      </c>
      <c r="DJ12">
        <v>1.3999999992000001</v>
      </c>
      <c r="DK12">
        <v>1.3999999992000001</v>
      </c>
      <c r="DL12">
        <v>1.3999999992000001</v>
      </c>
      <c r="DM12">
        <v>1.3999999992000001</v>
      </c>
      <c r="DN12">
        <v>1.2999999999</v>
      </c>
      <c r="DO12">
        <v>1.2999999999</v>
      </c>
      <c r="DP12">
        <v>1.2999999999</v>
      </c>
      <c r="DQ12">
        <v>1.2999999999</v>
      </c>
      <c r="DR12">
        <v>1.2999999999</v>
      </c>
      <c r="DS12">
        <v>1.2999999999</v>
      </c>
      <c r="DT12">
        <v>1.2999999999</v>
      </c>
      <c r="DU12">
        <v>1.5000000003</v>
      </c>
      <c r="DV12">
        <v>3.6999999993000001</v>
      </c>
      <c r="DW12">
        <v>7.7999999993999998</v>
      </c>
      <c r="DX12">
        <v>13.1000000001</v>
      </c>
      <c r="DY12">
        <v>19.500000000299998</v>
      </c>
      <c r="DZ12">
        <v>26.400000000599999</v>
      </c>
      <c r="EA12">
        <v>33.499999999499998</v>
      </c>
      <c r="EB12">
        <v>40.9</v>
      </c>
      <c r="EC12">
        <v>48.3999999997</v>
      </c>
      <c r="ED12">
        <v>56.000000000500002</v>
      </c>
      <c r="EE12">
        <v>63.299999999800001</v>
      </c>
      <c r="EF12">
        <v>70.499999999799996</v>
      </c>
      <c r="EG12">
        <v>77.900000000199995</v>
      </c>
      <c r="EH12">
        <v>85.800000000699995</v>
      </c>
      <c r="EI12">
        <v>93.800000000599994</v>
      </c>
      <c r="EJ12">
        <v>101.8999999997</v>
      </c>
      <c r="EK12">
        <v>110.0000000006</v>
      </c>
      <c r="EL12">
        <v>118.2000000008</v>
      </c>
      <c r="EM12">
        <v>126.50000000030001</v>
      </c>
      <c r="EN12">
        <v>135.0000000002</v>
      </c>
      <c r="EO12">
        <v>143.29999999969999</v>
      </c>
      <c r="EP12">
        <v>151.7999999996</v>
      </c>
      <c r="EQ12">
        <v>160.20000000030001</v>
      </c>
      <c r="ER12">
        <v>168.2000000001</v>
      </c>
      <c r="ES12">
        <v>176.1999999999</v>
      </c>
      <c r="ET12">
        <v>184.49999999939999</v>
      </c>
      <c r="EU12">
        <v>192.80000000070001</v>
      </c>
      <c r="EV12">
        <v>201.30000000059999</v>
      </c>
      <c r="EW12">
        <v>209.80000000050001</v>
      </c>
      <c r="EX12">
        <v>217.6999999992</v>
      </c>
      <c r="EY12">
        <v>225.59999999979999</v>
      </c>
      <c r="EZ12">
        <v>233.70000000069999</v>
      </c>
      <c r="FA12">
        <v>241.79999999980001</v>
      </c>
      <c r="FB12">
        <v>249.7999999996</v>
      </c>
      <c r="FC12">
        <v>257.90000000049997</v>
      </c>
      <c r="FD12">
        <v>265.9000000003</v>
      </c>
      <c r="FE12">
        <v>273.39999999999998</v>
      </c>
      <c r="FF12">
        <v>280.89999999970001</v>
      </c>
      <c r="FG12">
        <v>288.30000000019999</v>
      </c>
      <c r="FH12">
        <v>296.00000000030002</v>
      </c>
      <c r="FI12">
        <v>303.7000000004</v>
      </c>
      <c r="FJ12">
        <v>311.10000000079998</v>
      </c>
      <c r="FK12">
        <v>318.19999999970003</v>
      </c>
      <c r="FL12">
        <v>325.19999999930002</v>
      </c>
      <c r="FM12">
        <v>332.09999999960002</v>
      </c>
      <c r="FN12">
        <v>338.70000000020002</v>
      </c>
      <c r="FO12">
        <v>345.60000000060001</v>
      </c>
      <c r="FP12">
        <v>352.6000000002</v>
      </c>
      <c r="FQ12">
        <v>359.39999999939999</v>
      </c>
      <c r="FR12">
        <v>365.7999999996</v>
      </c>
      <c r="FS12">
        <v>371.90000000010002</v>
      </c>
      <c r="FT12">
        <v>378.00000000059998</v>
      </c>
      <c r="FU12">
        <v>384.0999999993</v>
      </c>
      <c r="FV12">
        <v>390.10000000050002</v>
      </c>
      <c r="FW12">
        <v>396.00000000059998</v>
      </c>
      <c r="FX12">
        <v>402</v>
      </c>
      <c r="FY12">
        <v>408.10000000060001</v>
      </c>
      <c r="FZ12">
        <v>413.80000000029997</v>
      </c>
      <c r="GA12">
        <v>419.20000000030001</v>
      </c>
      <c r="GB12">
        <v>424.30000000059999</v>
      </c>
      <c r="GC12">
        <v>429.50000000019998</v>
      </c>
      <c r="GD12">
        <v>434.69999999980001</v>
      </c>
      <c r="GE12">
        <v>439.50000000040001</v>
      </c>
      <c r="GF12">
        <v>444.4000000003</v>
      </c>
      <c r="GG12">
        <v>449.39999999949998</v>
      </c>
      <c r="GH12">
        <v>454.10000000079998</v>
      </c>
      <c r="GI12">
        <v>458.39999999949998</v>
      </c>
      <c r="GJ12">
        <v>460.80000000069998</v>
      </c>
      <c r="GK12">
        <v>461.10000000039997</v>
      </c>
      <c r="GL12">
        <v>461.19999999970003</v>
      </c>
      <c r="GM12">
        <v>461.30000000080003</v>
      </c>
      <c r="GN12">
        <v>461.30000000080003</v>
      </c>
      <c r="GO12">
        <v>461.40000000010002</v>
      </c>
      <c r="GP12">
        <v>461.30000000080003</v>
      </c>
      <c r="GQ12">
        <v>461.30000000080003</v>
      </c>
      <c r="GR12">
        <v>461.30000000080003</v>
      </c>
      <c r="GS12">
        <v>461.30000000080003</v>
      </c>
      <c r="GT12">
        <v>461.40000000010002</v>
      </c>
      <c r="GU12">
        <v>461.40000000010002</v>
      </c>
      <c r="GV12">
        <v>461.40000000010002</v>
      </c>
      <c r="GW12">
        <v>1</v>
      </c>
      <c r="GX12">
        <v>118.7000000009</v>
      </c>
      <c r="GY12">
        <v>112.3000000007</v>
      </c>
      <c r="GZ12">
        <v>112.3000000007</v>
      </c>
      <c r="HA12">
        <v>126.50000000030001</v>
      </c>
      <c r="HB12">
        <v>115.9746423933</v>
      </c>
      <c r="HC12">
        <v>-14.199999999599999</v>
      </c>
      <c r="HD12">
        <v>461.40000000010002</v>
      </c>
      <c r="HE12">
        <v>296.19531859519998</v>
      </c>
      <c r="HF12">
        <v>94.236400086700002</v>
      </c>
      <c r="HG12">
        <v>461.40000000010002</v>
      </c>
      <c r="HH12">
        <v>461.40000000010002</v>
      </c>
      <c r="HI12">
        <v>461.40000000010002</v>
      </c>
      <c r="HJ12">
        <v>461.40000000010002</v>
      </c>
      <c r="HK12">
        <v>114.9560117302</v>
      </c>
      <c r="HL12">
        <v>3.3619778841999999</v>
      </c>
      <c r="HM12">
        <v>3.2472090691000002</v>
      </c>
      <c r="HN12">
        <v>3.2973401562000002</v>
      </c>
      <c r="HO12">
        <v>3.1951317234999999</v>
      </c>
      <c r="HP12">
        <v>3.5538612731999999</v>
      </c>
      <c r="HQ12">
        <v>2.2488875196999998</v>
      </c>
      <c r="HR12">
        <v>21.7382423066</v>
      </c>
      <c r="HS12">
        <v>-28.152492668600001</v>
      </c>
      <c r="HT12">
        <v>-192</v>
      </c>
      <c r="HU12">
        <v>412.16996098850001</v>
      </c>
      <c r="HV12">
        <v>91.495601172999997</v>
      </c>
      <c r="HW12">
        <v>624</v>
      </c>
      <c r="HX12">
        <v>21.7382423066</v>
      </c>
      <c r="HY12">
        <v>-28.152492668600001</v>
      </c>
      <c r="HZ12">
        <v>-192</v>
      </c>
      <c r="IA12">
        <v>412.16996098850001</v>
      </c>
      <c r="IB12">
        <v>91.495601172999997</v>
      </c>
      <c r="IC12">
        <v>624</v>
      </c>
      <c r="ID12">
        <v>49.230039011700001</v>
      </c>
      <c r="IE12">
        <v>1.7627980068</v>
      </c>
      <c r="IF12">
        <v>-37.536656891500002</v>
      </c>
      <c r="IG12">
        <v>-256</v>
      </c>
      <c r="IH12">
        <v>433.82428478520001</v>
      </c>
      <c r="II12">
        <v>100.87976539589999</v>
      </c>
      <c r="IJ12">
        <v>688</v>
      </c>
      <c r="IK12">
        <v>390.43171868190001</v>
      </c>
      <c r="IL12">
        <v>119.6480938416</v>
      </c>
      <c r="IM12">
        <v>413.58370177730001</v>
      </c>
      <c r="IN12">
        <v>129.03225806450001</v>
      </c>
      <c r="IO12">
        <v>6.4000000002000004</v>
      </c>
      <c r="IP12">
        <v>5.6999999997000002</v>
      </c>
      <c r="IQ12">
        <v>8.5000000017000001</v>
      </c>
      <c r="IR12">
        <v>5.7009265292000002</v>
      </c>
      <c r="IS12">
        <v>5.7009265292000002</v>
      </c>
      <c r="IT12">
        <v>11.800000000200001</v>
      </c>
      <c r="IU12">
        <v>-30.4985337243</v>
      </c>
      <c r="IV12">
        <v>15.5000000013</v>
      </c>
      <c r="IW12">
        <v>23.460410557199999</v>
      </c>
      <c r="IX12">
        <v>12.700000001099999</v>
      </c>
      <c r="IY12">
        <v>96.187683284499997</v>
      </c>
      <c r="IZ12">
        <v>-35.170958375200001</v>
      </c>
      <c r="JA12">
        <v>0.33574635670000003</v>
      </c>
      <c r="JB12">
        <v>-3.6237900000000002E-4</v>
      </c>
      <c r="JC12">
        <v>7.1220000000000004E-7</v>
      </c>
      <c r="JD12">
        <v>0.29744395550000002</v>
      </c>
      <c r="JE12">
        <v>0.15867071199999999</v>
      </c>
      <c r="JF12">
        <v>7.3407796499999997E-2</v>
      </c>
      <c r="JG12">
        <v>116.4807662572</v>
      </c>
      <c r="JH12">
        <v>3.5538612731999999</v>
      </c>
      <c r="JI12">
        <v>3.1941195999999998E-3</v>
      </c>
      <c r="JJ12">
        <v>-7.52347E-5</v>
      </c>
      <c r="JK12">
        <v>3.3619778841999999</v>
      </c>
      <c r="JL12">
        <v>1.4131747799000001</v>
      </c>
      <c r="JM12">
        <v>0.51759149329999998</v>
      </c>
      <c r="JN12" t="s">
        <v>545</v>
      </c>
      <c r="JQ12">
        <v>1</v>
      </c>
    </row>
    <row r="13" spans="1:277">
      <c r="A13" t="s">
        <v>669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544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0.50000000010000001</v>
      </c>
      <c r="R13">
        <v>9.9999999300000003E-2</v>
      </c>
      <c r="S13">
        <v>0.20000000039999999</v>
      </c>
      <c r="T13">
        <v>0.20000000039999999</v>
      </c>
      <c r="U13">
        <v>0.20000000039999999</v>
      </c>
      <c r="V13">
        <v>9.9999999300000003E-2</v>
      </c>
      <c r="W13">
        <v>9.9999999300000003E-2</v>
      </c>
      <c r="X13">
        <v>0</v>
      </c>
      <c r="Y13">
        <v>0</v>
      </c>
      <c r="Z13">
        <v>0</v>
      </c>
      <c r="AA13">
        <v>9.9999999300000003E-2</v>
      </c>
      <c r="AB13">
        <v>9.9999999300000003E-2</v>
      </c>
      <c r="AC13">
        <v>9.9999999300000003E-2</v>
      </c>
      <c r="AD13">
        <v>9.9999999300000003E-2</v>
      </c>
      <c r="AE13">
        <v>0.20000000039999999</v>
      </c>
      <c r="AF13">
        <v>0.20000000039999999</v>
      </c>
      <c r="AG13">
        <v>0.20000000039999999</v>
      </c>
      <c r="AH13">
        <v>1.8</v>
      </c>
      <c r="AI13">
        <v>5.9999999994</v>
      </c>
      <c r="AJ13">
        <v>12.0000000006</v>
      </c>
      <c r="AK13">
        <v>18.799999999800001</v>
      </c>
      <c r="AL13">
        <v>25.499999999700002</v>
      </c>
      <c r="AM13">
        <v>31.9999999992</v>
      </c>
      <c r="AN13">
        <v>39.000000000699998</v>
      </c>
      <c r="AO13">
        <v>46.5000000004</v>
      </c>
      <c r="AP13">
        <v>54.299999999800001</v>
      </c>
      <c r="AQ13">
        <v>62.599999999300003</v>
      </c>
      <c r="AR13">
        <v>70.200000000100005</v>
      </c>
      <c r="AS13">
        <v>77.600000000500003</v>
      </c>
      <c r="AT13">
        <v>84.899999999800002</v>
      </c>
      <c r="AU13">
        <v>92.800000000400004</v>
      </c>
      <c r="AV13">
        <v>100.7000000009</v>
      </c>
      <c r="AW13">
        <v>109.0999999997</v>
      </c>
      <c r="AX13">
        <v>117.7000000007</v>
      </c>
      <c r="AY13">
        <v>125.90000000089999</v>
      </c>
      <c r="AZ13">
        <v>133.7999999996</v>
      </c>
      <c r="BA13">
        <v>141.60000000080001</v>
      </c>
      <c r="BB13">
        <v>149.49999999950001</v>
      </c>
      <c r="BC13">
        <v>157.90000000020001</v>
      </c>
      <c r="BD13">
        <v>166.80000000090001</v>
      </c>
      <c r="BE13">
        <v>174.9999999993</v>
      </c>
      <c r="BF13">
        <v>183.0000000009</v>
      </c>
      <c r="BG13">
        <v>190.8000000003</v>
      </c>
      <c r="BH13">
        <v>199.09999999979999</v>
      </c>
      <c r="BI13">
        <v>207.50000000040001</v>
      </c>
      <c r="BJ13">
        <v>215.70000000069999</v>
      </c>
      <c r="BK13">
        <v>223.79999999980001</v>
      </c>
      <c r="BL13">
        <v>231.7999999996</v>
      </c>
      <c r="BM13">
        <v>239.29999999930001</v>
      </c>
      <c r="BN13">
        <v>246.90000000009999</v>
      </c>
      <c r="BO13">
        <v>254.99999999920001</v>
      </c>
      <c r="BP13">
        <v>263.19999999940001</v>
      </c>
      <c r="BQ13">
        <v>270.89999999949998</v>
      </c>
      <c r="BR13">
        <v>278.29999999990002</v>
      </c>
      <c r="BS13">
        <v>285.59999999920001</v>
      </c>
      <c r="BT13">
        <v>292.49999999959999</v>
      </c>
      <c r="BU13">
        <v>299.69999999959998</v>
      </c>
      <c r="BV13">
        <v>307.00000000070003</v>
      </c>
      <c r="BW13">
        <v>314.5999999997</v>
      </c>
      <c r="BX13">
        <v>321.5999999993</v>
      </c>
      <c r="BY13">
        <v>328.2999999992</v>
      </c>
      <c r="BZ13">
        <v>334.9999999991</v>
      </c>
      <c r="CA13">
        <v>341.39999999930001</v>
      </c>
      <c r="CB13">
        <v>347.7999999996</v>
      </c>
      <c r="CC13">
        <v>354.40000000020001</v>
      </c>
      <c r="CD13">
        <v>360.80000000040002</v>
      </c>
      <c r="CE13">
        <v>367.50000000030002</v>
      </c>
      <c r="CF13">
        <v>373.79999999939997</v>
      </c>
      <c r="CG13">
        <v>379.69999999949999</v>
      </c>
      <c r="CH13">
        <v>385.59999999960002</v>
      </c>
      <c r="CI13">
        <v>391.2</v>
      </c>
      <c r="CJ13">
        <v>396.80000000040002</v>
      </c>
      <c r="CK13">
        <v>402.59999999939998</v>
      </c>
      <c r="CL13">
        <v>408.29999999910001</v>
      </c>
      <c r="CM13">
        <v>414.00000000070003</v>
      </c>
      <c r="CN13">
        <v>419.79999999969999</v>
      </c>
      <c r="CO13">
        <v>425.19999999970003</v>
      </c>
      <c r="CP13">
        <v>430.3</v>
      </c>
      <c r="CQ13">
        <v>435.60000000069999</v>
      </c>
      <c r="CR13">
        <v>440.59999999989998</v>
      </c>
      <c r="CS13">
        <v>445.29999999939997</v>
      </c>
      <c r="CT13">
        <v>450.30000000040002</v>
      </c>
      <c r="CU13">
        <v>454.90000000060002</v>
      </c>
      <c r="CV13">
        <v>457.39999999930001</v>
      </c>
      <c r="CW13">
        <v>457.89999999939999</v>
      </c>
      <c r="CX13">
        <v>458.00000000049999</v>
      </c>
      <c r="CY13">
        <v>458.00000000049999</v>
      </c>
      <c r="CZ13">
        <v>458.00000000049999</v>
      </c>
      <c r="DA13">
        <v>457.89999999939999</v>
      </c>
      <c r="DB13">
        <v>457.89999999939999</v>
      </c>
      <c r="DC13">
        <v>457.89999999939999</v>
      </c>
      <c r="DD13">
        <v>457.89999999939999</v>
      </c>
      <c r="DE13">
        <v>457.89999999939999</v>
      </c>
      <c r="DF13">
        <v>457.89999999939999</v>
      </c>
      <c r="DG13">
        <v>1.7000000007</v>
      </c>
      <c r="DH13">
        <v>1.2999999999</v>
      </c>
      <c r="DI13">
        <v>1.2999999999</v>
      </c>
      <c r="DJ13">
        <v>1.2999999999</v>
      </c>
      <c r="DK13">
        <v>1.2999999999</v>
      </c>
      <c r="DL13">
        <v>1.2000000006</v>
      </c>
      <c r="DM13">
        <v>1.2000000006</v>
      </c>
      <c r="DN13">
        <v>1.0999999995</v>
      </c>
      <c r="DO13">
        <v>1.0999999995</v>
      </c>
      <c r="DP13">
        <v>1.0999999995</v>
      </c>
      <c r="DQ13">
        <v>1.0999999995</v>
      </c>
      <c r="DR13">
        <v>1.0999999995</v>
      </c>
      <c r="DS13">
        <v>1.2000000006</v>
      </c>
      <c r="DT13">
        <v>1.0999999995</v>
      </c>
      <c r="DU13">
        <v>1.0999999995</v>
      </c>
      <c r="DV13">
        <v>1.8</v>
      </c>
      <c r="DW13">
        <v>5.1000000002999997</v>
      </c>
      <c r="DX13">
        <v>11.0000000004</v>
      </c>
      <c r="DY13">
        <v>17.9000000007</v>
      </c>
      <c r="DZ13">
        <v>24.699999999900001</v>
      </c>
      <c r="EA13">
        <v>31.499999999100002</v>
      </c>
      <c r="EB13">
        <v>38.399999999499997</v>
      </c>
      <c r="EC13">
        <v>45.500000000199996</v>
      </c>
      <c r="ED13">
        <v>53.099999999200001</v>
      </c>
      <c r="EE13">
        <v>61.200000000099998</v>
      </c>
      <c r="EF13">
        <v>68.900000000199995</v>
      </c>
      <c r="EG13">
        <v>76.399999999900004</v>
      </c>
      <c r="EH13">
        <v>83.899999999599999</v>
      </c>
      <c r="EI13">
        <v>91.399999999299993</v>
      </c>
      <c r="EJ13">
        <v>99.299999999899995</v>
      </c>
      <c r="EK13">
        <v>107.5999999994</v>
      </c>
      <c r="EL13">
        <v>116.0999999993</v>
      </c>
      <c r="EM13">
        <v>124.1000000009</v>
      </c>
      <c r="EN13">
        <v>132.10000000069999</v>
      </c>
      <c r="EO13">
        <v>139.99999999939999</v>
      </c>
      <c r="EP13">
        <v>147.99999999920001</v>
      </c>
      <c r="EQ13">
        <v>156.4999999991</v>
      </c>
      <c r="ER13">
        <v>165.19999999949999</v>
      </c>
      <c r="ES13">
        <v>173.50000000079999</v>
      </c>
      <c r="ET13">
        <v>181.50000000060001</v>
      </c>
      <c r="EU13">
        <v>189.39999999930001</v>
      </c>
      <c r="EV13">
        <v>197.5999999995</v>
      </c>
      <c r="EW13">
        <v>206.09999999940001</v>
      </c>
      <c r="EX13">
        <v>214.5999999993</v>
      </c>
      <c r="EY13">
        <v>222.70000000030001</v>
      </c>
      <c r="EZ13">
        <v>230.7000000001</v>
      </c>
      <c r="FA13">
        <v>238.40000000020001</v>
      </c>
      <c r="FB13">
        <v>246.10000000030001</v>
      </c>
      <c r="FC13">
        <v>254.30000000050001</v>
      </c>
      <c r="FD13">
        <v>262.50000000070003</v>
      </c>
      <c r="FE13">
        <v>270.59999999979999</v>
      </c>
      <c r="FF13">
        <v>278.09999999950003</v>
      </c>
      <c r="FG13">
        <v>285.4000000007</v>
      </c>
      <c r="FH13">
        <v>292.60000000069999</v>
      </c>
      <c r="FI13">
        <v>300.10000000039997</v>
      </c>
      <c r="FJ13">
        <v>307.50000000080001</v>
      </c>
      <c r="FK13">
        <v>315.00000000049999</v>
      </c>
      <c r="FL13">
        <v>322.29999999979998</v>
      </c>
      <c r="FM13">
        <v>329.29999999939997</v>
      </c>
      <c r="FN13">
        <v>336.10000000039997</v>
      </c>
      <c r="FO13">
        <v>342.50000000070003</v>
      </c>
      <c r="FP13">
        <v>349.09999999950003</v>
      </c>
      <c r="FQ13">
        <v>355.90000000049997</v>
      </c>
      <c r="FR13">
        <v>362.69999999970003</v>
      </c>
      <c r="FS13">
        <v>369.39999999960003</v>
      </c>
      <c r="FT13">
        <v>375.79999999979998</v>
      </c>
      <c r="FU13">
        <v>381.7999999992</v>
      </c>
      <c r="FV13">
        <v>387.6</v>
      </c>
      <c r="FW13">
        <v>393.0999999993</v>
      </c>
      <c r="FX13">
        <v>398.90000000010002</v>
      </c>
      <c r="FY13">
        <v>404.80000000029997</v>
      </c>
      <c r="FZ13">
        <v>410.59999999920001</v>
      </c>
      <c r="GA13">
        <v>416.40000000010002</v>
      </c>
      <c r="GB13">
        <v>421.89999999939999</v>
      </c>
      <c r="GC13">
        <v>427.20000000009998</v>
      </c>
      <c r="GD13">
        <v>432.30000000040002</v>
      </c>
      <c r="GE13">
        <v>437.2999999996</v>
      </c>
      <c r="GF13">
        <v>441.8999999998</v>
      </c>
      <c r="GG13">
        <v>446.4000000007</v>
      </c>
      <c r="GH13">
        <v>450.9999999991</v>
      </c>
      <c r="GI13">
        <v>454.90000000060002</v>
      </c>
      <c r="GJ13">
        <v>457.09999999960002</v>
      </c>
      <c r="GK13">
        <v>457.5999999997</v>
      </c>
      <c r="GL13">
        <v>457.5999999997</v>
      </c>
      <c r="GM13">
        <v>457.5999999997</v>
      </c>
      <c r="GN13">
        <v>457.7000000008</v>
      </c>
      <c r="GO13">
        <v>457.8000000001</v>
      </c>
      <c r="GP13">
        <v>457.8000000001</v>
      </c>
      <c r="GQ13">
        <v>457.8000000001</v>
      </c>
      <c r="GR13">
        <v>457.8000000001</v>
      </c>
      <c r="GS13">
        <v>457.8000000001</v>
      </c>
      <c r="GT13">
        <v>457.89999999939999</v>
      </c>
      <c r="GU13">
        <v>457.89999999939999</v>
      </c>
      <c r="GV13">
        <v>457.89999999939999</v>
      </c>
      <c r="GW13">
        <v>1</v>
      </c>
      <c r="GX13">
        <v>115.4999999999</v>
      </c>
      <c r="GY13">
        <v>109.0999999997</v>
      </c>
      <c r="GZ13">
        <v>109.0999999997</v>
      </c>
      <c r="HA13">
        <v>124.1000000009</v>
      </c>
      <c r="HB13">
        <v>112.9196112688</v>
      </c>
      <c r="HC13">
        <v>-15.0000000012</v>
      </c>
      <c r="HD13">
        <v>457.89999999939999</v>
      </c>
      <c r="HE13">
        <v>296.04693164380001</v>
      </c>
      <c r="HF13">
        <v>93.422068137400004</v>
      </c>
      <c r="HG13">
        <v>458.00000000049999</v>
      </c>
      <c r="HH13">
        <v>457.89999999939999</v>
      </c>
      <c r="HI13">
        <v>458.00000000049999</v>
      </c>
      <c r="HJ13">
        <v>457.89999999939999</v>
      </c>
      <c r="HK13">
        <v>114.9560117302</v>
      </c>
      <c r="HL13">
        <v>3.3613779243000002</v>
      </c>
      <c r="HM13">
        <v>3.2334153564000001</v>
      </c>
      <c r="HN13">
        <v>3.2643844864</v>
      </c>
      <c r="HO13">
        <v>3.1483669457999999</v>
      </c>
      <c r="HP13">
        <v>3.5390890524</v>
      </c>
      <c r="HQ13">
        <v>2.2475513630999999</v>
      </c>
      <c r="HR13">
        <v>19.497543131499999</v>
      </c>
      <c r="HS13">
        <v>-28.152492668600001</v>
      </c>
      <c r="HT13">
        <v>-192</v>
      </c>
      <c r="HU13">
        <v>408.96654291269999</v>
      </c>
      <c r="HV13">
        <v>91.495601172999997</v>
      </c>
      <c r="HW13">
        <v>624</v>
      </c>
      <c r="HX13">
        <v>19.497543131499999</v>
      </c>
      <c r="HY13">
        <v>-28.152492668600001</v>
      </c>
      <c r="HZ13">
        <v>-192</v>
      </c>
      <c r="IA13">
        <v>408.96654291269999</v>
      </c>
      <c r="IB13">
        <v>91.495601172999997</v>
      </c>
      <c r="IC13">
        <v>624</v>
      </c>
      <c r="ID13">
        <v>48.933457086799997</v>
      </c>
      <c r="IE13">
        <v>0.22835772039999999</v>
      </c>
      <c r="IF13">
        <v>-37.536656891500002</v>
      </c>
      <c r="IG13">
        <v>-256</v>
      </c>
      <c r="IH13">
        <v>431.43054160330001</v>
      </c>
      <c r="II13">
        <v>100.87976539589999</v>
      </c>
      <c r="IJ13">
        <v>688</v>
      </c>
      <c r="IK13">
        <v>389.46899978120001</v>
      </c>
      <c r="IL13">
        <v>119.6480938416</v>
      </c>
      <c r="IM13">
        <v>414.31824634190002</v>
      </c>
      <c r="IN13">
        <v>129.03225806450001</v>
      </c>
      <c r="IO13">
        <v>6.9000000003000004</v>
      </c>
      <c r="IP13">
        <v>5.7999999989999997</v>
      </c>
      <c r="IQ13">
        <v>8.9000000007000004</v>
      </c>
      <c r="IR13">
        <v>5.7857446337000003</v>
      </c>
      <c r="IS13">
        <v>5.7857446337000003</v>
      </c>
      <c r="IT13">
        <v>12.699999999299999</v>
      </c>
      <c r="IU13">
        <v>-30.4985337243</v>
      </c>
      <c r="IV13">
        <v>15.699999999899999</v>
      </c>
      <c r="IW13">
        <v>11.7302052786</v>
      </c>
      <c r="IX13">
        <v>13.199999999399999</v>
      </c>
      <c r="IY13">
        <v>98.533724340199996</v>
      </c>
      <c r="IZ13">
        <v>-34.425871413599999</v>
      </c>
      <c r="JA13">
        <v>0.33798372719999997</v>
      </c>
      <c r="JB13">
        <v>-3.7249670000000001E-4</v>
      </c>
      <c r="JC13">
        <v>7.2930000000000005E-7</v>
      </c>
      <c r="JD13">
        <v>0.29749704510000002</v>
      </c>
      <c r="JE13">
        <v>0.2112329698</v>
      </c>
      <c r="JF13">
        <v>9.3699155399999998E-2</v>
      </c>
      <c r="JG13">
        <v>113.2832752006</v>
      </c>
      <c r="JH13">
        <v>3.5390890524</v>
      </c>
      <c r="JI13">
        <v>3.6459028000000002E-3</v>
      </c>
      <c r="JJ13">
        <v>-7.79915E-5</v>
      </c>
      <c r="JK13">
        <v>3.3613779243000002</v>
      </c>
      <c r="JL13">
        <v>1.2186437614000001</v>
      </c>
      <c r="JM13">
        <v>0.4600718291</v>
      </c>
      <c r="JN13" t="s">
        <v>545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69.123344860099991</v>
      </c>
      <c r="D16" s="9">
        <f>AVERAGE(C18:C20)</f>
        <v>72.113716812766668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63.383139416600002</v>
      </c>
      <c r="D17" s="9">
        <f>AVERAGE(C21:C23)</f>
        <v>73.646555618499988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73.837629812200007</v>
      </c>
      <c r="D18" s="11">
        <f>AVERAGE(C24:C26)</f>
        <v>69.89589223983333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68.2360358902</v>
      </c>
      <c r="D19" s="6">
        <f>AVERAGE('Summary(3pcs)'!E34:E35)</f>
        <v>142.78151798148789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74.267484735899998</v>
      </c>
      <c r="D20" s="9">
        <f>AVERAGE('Summary(3pcs)'!E36:E38)</f>
        <v>147.4614474440379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76.222362644900002</v>
      </c>
      <c r="D21" s="9">
        <f>AVERAGE('Summary(3pcs)'!E39:E41)</f>
        <v>143.87622570550459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72.549776310699997</v>
      </c>
      <c r="D22" s="11">
        <f>AVERAGE('Summary(3pcs)'!E42:E44)</f>
        <v>147.10752802140459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72.167527899899994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74.137729393900003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67.813985449599997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67.735961876000005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1.0564530388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-1.8947901498999999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-7.2422305300999996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-2.6244992531000002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-7.9457538944000001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-11.196982519700001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-4.3440772500999998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-5.5790576902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-2.676266723575</v>
      </c>
      <c r="C39" s="5">
        <f>'Summary(3pcs)'!M34</f>
        <v>1.0564530388</v>
      </c>
      <c r="D39" s="11">
        <f t="shared" si="0"/>
        <v>-10.208228179500001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-1.8947901498999999</v>
      </c>
      <c r="D40" s="6">
        <f t="shared" si="0"/>
        <v>-8.6202388790000004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-7.2422305300999996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-2.6244992531000002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-7.2664678385999997</v>
      </c>
      <c r="C43" s="8">
        <f>'Summary(3pcs)'!M39</f>
        <v>-7.9457538944000001</v>
      </c>
      <c r="D43" s="6">
        <f t="shared" ref="D43:D54" si="2">C55</f>
        <v>6.0391756275000006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-11.196982519700001</v>
      </c>
      <c r="D44" s="9">
        <f t="shared" si="2"/>
        <v>-2.8704140784999996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-4.3440772500999998</v>
      </c>
      <c r="D45" s="11">
        <f t="shared" si="2"/>
        <v>2.6561749775000001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-5.5790576902</v>
      </c>
      <c r="D46" s="6">
        <f t="shared" si="2"/>
        <v>1.2808461000000002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-10.208228179500001</v>
      </c>
      <c r="D47" s="9">
        <f t="shared" si="2"/>
        <v>2.4086747784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-8.6202388790000004</v>
      </c>
      <c r="D48" s="11">
        <f t="shared" si="2"/>
        <v>5.4278506076999999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7.4725924515000006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7.9115062083000005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6.9964354489999998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4.7191007613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1.7764456566250004</v>
      </c>
      <c r="C55" s="5">
        <f>'Summary(3pcs)'!N34</f>
        <v>6.0391756275000006</v>
      </c>
      <c r="D55" s="6">
        <f>AVERAGE(D31:D33)</f>
        <v>-2.6935225470666668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-2.8704140784999996</v>
      </c>
      <c r="D56" s="9">
        <f>AVERAGE(D34:D36)</f>
        <v>-7.2557452224000007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2.6561749775000001</v>
      </c>
      <c r="D57" s="9">
        <f>AVERAGE(D37:D39)</f>
        <v>-6.7104543732666668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1.2808461000000002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5.8051560114750007</v>
      </c>
      <c r="C59" s="8">
        <f>'Summary(3pcs)'!N39</f>
        <v>2.4086747784</v>
      </c>
      <c r="D59" s="9">
        <f>AVERAGE(D43:D45)</f>
        <v>1.9416455088333338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5.4278506076999999</v>
      </c>
      <c r="D60" s="9">
        <f>AVERAGE(D46:D48)</f>
        <v>3.0391238286999998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7.4725924515000006</v>
      </c>
      <c r="D61" s="9">
        <f>AVERAGE(D49:D51)</f>
        <v>7.4601780362666661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7.9115062083000005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6.9964354489999998</v>
      </c>
      <c r="D63" s="6">
        <f>AVERAGE(C71:C73)</f>
        <v>-3.8618789116666661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4.7191007613</v>
      </c>
      <c r="D64" s="9">
        <f>AVERAGE(C74:C76)</f>
        <v>0.90145238243333325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0.95762054126666651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-5.5073605378333328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-1.3629097938333334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2.8833010991333334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-2.3663096725999999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-1.3655799428666668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-11.204435348499999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-5.4251943827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5.0439929962000001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-2.8715896605999998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4.6879434585999995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0.88800334929999991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6.0270309447999999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-4.4978058338000002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1.3436365127999998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-4.9032349586000006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-7.4712831974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-4.1475634575000004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-2.0291355848000001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-2.0356084108000001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-2.39853859000001E-2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7.1718883513999998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-1.2077445983999999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2.6857595443999998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-0.86010241510000007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-3.0317787826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-3.2070478201000001</v>
      </c>
    </row>
    <row r="96" spans="1:7">
      <c r="A96" s="1" t="s">
        <v>87</v>
      </c>
      <c r="C96" s="5">
        <f>'Summary(3pcs)'!W43</f>
        <v>0.70989727969999983</v>
      </c>
    </row>
    <row r="97" spans="1:3">
      <c r="A97" s="1" t="s">
        <v>87</v>
      </c>
      <c r="C97" s="8">
        <f>'Summary(3pcs)'!W44</f>
        <v>-1.6431072950000001</v>
      </c>
    </row>
    <row r="98" spans="1:3" ht="17.25" thickBot="1">
      <c r="A98" s="1" t="s">
        <v>87</v>
      </c>
      <c r="C98" s="10">
        <f>'Summary(3pcs)'!W45</f>
        <v>-3.1635298132999998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2022-09-23T03:43:28Z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