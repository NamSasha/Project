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1570" windowHeight="7980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43" i="1" l="1"/>
  <c r="N41" i="1"/>
  <c r="W39" i="1"/>
  <c r="N35" i="1" l="1"/>
  <c r="N36" i="1"/>
  <c r="L39" i="1" l="1"/>
  <c r="B41" i="1"/>
  <c r="U44" i="1"/>
  <c r="L45" i="1"/>
  <c r="B44" i="1"/>
  <c r="N42" i="1"/>
  <c r="P41" i="1" s="1"/>
  <c r="V40" i="1" l="1"/>
  <c r="V36" i="1" l="1"/>
  <c r="L43" i="1" l="1"/>
  <c r="U43" i="1"/>
  <c r="U41" i="1"/>
  <c r="B39" i="1"/>
  <c r="U40" i="1"/>
  <c r="B42" i="1"/>
  <c r="L42" i="1"/>
  <c r="B40" i="1"/>
  <c r="L37" i="1"/>
  <c r="I66" i="1" l="1"/>
  <c r="I65" i="1"/>
  <c r="I64" i="1"/>
  <c r="I63" i="1"/>
  <c r="I62" i="1"/>
  <c r="I61" i="1"/>
  <c r="I60" i="1"/>
  <c r="I59" i="1"/>
  <c r="I58" i="1"/>
  <c r="I57" i="1"/>
  <c r="I56" i="1"/>
  <c r="I55" i="1"/>
  <c r="U36" i="1" l="1"/>
  <c r="P56" i="1"/>
  <c r="W36" i="1"/>
  <c r="Q56" i="1" s="1"/>
  <c r="U37" i="1"/>
  <c r="V37" i="1"/>
  <c r="P57" i="1" s="1"/>
  <c r="W37" i="1"/>
  <c r="Q57" i="1" s="1"/>
  <c r="U38" i="1"/>
  <c r="V38" i="1"/>
  <c r="P58" i="1" s="1"/>
  <c r="W38" i="1"/>
  <c r="Q58" i="1" s="1"/>
  <c r="U39" i="1"/>
  <c r="V39" i="1"/>
  <c r="P59" i="1" s="1"/>
  <c r="Q59" i="1"/>
  <c r="P60" i="1"/>
  <c r="W40" i="1"/>
  <c r="Q60" i="1" s="1"/>
  <c r="V41" i="1"/>
  <c r="P61" i="1" s="1"/>
  <c r="W41" i="1"/>
  <c r="Q61" i="1" s="1"/>
  <c r="U42" i="1"/>
  <c r="V42" i="1"/>
  <c r="P62" i="1" s="1"/>
  <c r="W42" i="1"/>
  <c r="Q62" i="1" s="1"/>
  <c r="V43" i="1"/>
  <c r="P63" i="1" s="1"/>
  <c r="W43" i="1"/>
  <c r="Q63" i="1" s="1"/>
  <c r="V44" i="1"/>
  <c r="P64" i="1" s="1"/>
  <c r="W44" i="1"/>
  <c r="Q64" i="1" s="1"/>
  <c r="U45" i="1"/>
  <c r="V45" i="1"/>
  <c r="P65" i="1" s="1"/>
  <c r="W45" i="1"/>
  <c r="Q65" i="1" s="1"/>
  <c r="U46" i="1"/>
  <c r="V46" i="1"/>
  <c r="P66" i="1" s="1"/>
  <c r="W46" i="1"/>
  <c r="Q66" i="1" s="1"/>
  <c r="W35" i="1"/>
  <c r="Q55" i="1" s="1"/>
  <c r="V35" i="1"/>
  <c r="P55" i="1" s="1"/>
  <c r="U35" i="1"/>
  <c r="L36" i="1"/>
  <c r="M36" i="1"/>
  <c r="N56" i="1" s="1"/>
  <c r="O56" i="1"/>
  <c r="M37" i="1"/>
  <c r="N57" i="1" s="1"/>
  <c r="N37" i="1"/>
  <c r="O57" i="1" s="1"/>
  <c r="L38" i="1"/>
  <c r="M38" i="1"/>
  <c r="N58" i="1" s="1"/>
  <c r="N38" i="1"/>
  <c r="M39" i="1"/>
  <c r="N59" i="1" s="1"/>
  <c r="N39" i="1"/>
  <c r="O59" i="1" s="1"/>
  <c r="L40" i="1"/>
  <c r="M40" i="1"/>
  <c r="N60" i="1" s="1"/>
  <c r="N40" i="1"/>
  <c r="O60" i="1" s="1"/>
  <c r="L41" i="1"/>
  <c r="M41" i="1"/>
  <c r="N61" i="1" s="1"/>
  <c r="O61" i="1"/>
  <c r="M42" i="1"/>
  <c r="N62" i="1" s="1"/>
  <c r="O62" i="1"/>
  <c r="M43" i="1"/>
  <c r="N63" i="1" s="1"/>
  <c r="O63" i="1"/>
  <c r="L44" i="1"/>
  <c r="M44" i="1"/>
  <c r="N64" i="1" s="1"/>
  <c r="N44" i="1"/>
  <c r="O64" i="1" s="1"/>
  <c r="M45" i="1"/>
  <c r="N65" i="1" s="1"/>
  <c r="N45" i="1"/>
  <c r="O65" i="1" s="1"/>
  <c r="L46" i="1"/>
  <c r="M46" i="1"/>
  <c r="N66" i="1" s="1"/>
  <c r="N46" i="1"/>
  <c r="O66" i="1" s="1"/>
  <c r="O55" i="1"/>
  <c r="M35" i="1"/>
  <c r="L35" i="1"/>
  <c r="B36" i="1"/>
  <c r="C36" i="1"/>
  <c r="D36" i="1"/>
  <c r="L56" i="1" s="1"/>
  <c r="B37" i="1"/>
  <c r="C37" i="1"/>
  <c r="D37" i="1"/>
  <c r="L57" i="1" s="1"/>
  <c r="B38" i="1"/>
  <c r="C38" i="1"/>
  <c r="D38" i="1"/>
  <c r="L58" i="1" s="1"/>
  <c r="C39" i="1"/>
  <c r="K59" i="1" s="1"/>
  <c r="D39" i="1"/>
  <c r="L59" i="1" s="1"/>
  <c r="C40" i="1"/>
  <c r="D40" i="1"/>
  <c r="L60" i="1" s="1"/>
  <c r="C41" i="1"/>
  <c r="K61" i="1" s="1"/>
  <c r="D41" i="1"/>
  <c r="L61" i="1" s="1"/>
  <c r="C42" i="1"/>
  <c r="D42" i="1"/>
  <c r="L62" i="1" s="1"/>
  <c r="B43" i="1"/>
  <c r="C43" i="1"/>
  <c r="D43" i="1"/>
  <c r="L63" i="1" s="1"/>
  <c r="C44" i="1"/>
  <c r="D44" i="1"/>
  <c r="L64" i="1" s="1"/>
  <c r="B45" i="1"/>
  <c r="C45" i="1"/>
  <c r="D45" i="1"/>
  <c r="L65" i="1" s="1"/>
  <c r="B46" i="1"/>
  <c r="C46" i="1"/>
  <c r="D46" i="1"/>
  <c r="L66" i="1" s="1"/>
  <c r="D35" i="1"/>
  <c r="L55" i="1" s="1"/>
  <c r="C35" i="1"/>
  <c r="K55" i="1" s="1"/>
  <c r="B35" i="1"/>
  <c r="O58" i="1" l="1"/>
  <c r="P38" i="1"/>
  <c r="N55" i="1"/>
  <c r="O35" i="1"/>
  <c r="K65" i="1"/>
  <c r="K57" i="1"/>
  <c r="K63" i="1"/>
  <c r="K66" i="1"/>
  <c r="K62" i="1"/>
  <c r="K56" i="1"/>
  <c r="K64" i="1"/>
  <c r="K60" i="1"/>
  <c r="K58" i="1"/>
  <c r="K36" i="1"/>
  <c r="K37" i="1"/>
  <c r="C4" i="8" l="1"/>
  <c r="C5" i="8"/>
  <c r="C6" i="8"/>
  <c r="C3" i="8"/>
  <c r="A36" i="1" l="1"/>
  <c r="A37" i="1"/>
  <c r="A38" i="1"/>
  <c r="A39" i="1"/>
  <c r="A40" i="1"/>
  <c r="A41" i="1"/>
  <c r="A42" i="1"/>
  <c r="A43" i="1"/>
  <c r="A44" i="1"/>
  <c r="A45" i="1"/>
  <c r="A46" i="1"/>
  <c r="A35" i="1"/>
  <c r="K38" i="1"/>
  <c r="K39" i="1"/>
  <c r="K40" i="1"/>
  <c r="K41" i="1"/>
  <c r="K42" i="1"/>
  <c r="K43" i="1"/>
  <c r="K44" i="1"/>
  <c r="K45" i="1"/>
  <c r="K46" i="1"/>
  <c r="F35" i="1" l="1"/>
  <c r="K35" i="1"/>
  <c r="O38" i="1" l="1"/>
  <c r="C102" i="7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C66" i="7"/>
  <c r="D54" i="7" s="1"/>
  <c r="C50" i="7"/>
  <c r="D42" i="7" s="1"/>
  <c r="C97" i="7"/>
  <c r="C81" i="7"/>
  <c r="C65" i="7"/>
  <c r="D53" i="7" s="1"/>
  <c r="C49" i="7"/>
  <c r="D41" i="7" s="1"/>
  <c r="C26" i="7"/>
  <c r="C96" i="7"/>
  <c r="C80" i="7"/>
  <c r="P44" i="1"/>
  <c r="Q44" i="1" s="1"/>
  <c r="C48" i="7"/>
  <c r="D40" i="7" s="1"/>
  <c r="C25" i="7"/>
  <c r="C95" i="7"/>
  <c r="C79" i="7"/>
  <c r="C63" i="7"/>
  <c r="C47" i="7"/>
  <c r="C24" i="7"/>
  <c r="C94" i="7"/>
  <c r="C78" i="7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C92" i="7"/>
  <c r="C76" i="7"/>
  <c r="C60" i="7"/>
  <c r="D48" i="7" s="1"/>
  <c r="C44" i="7"/>
  <c r="D36" i="7" s="1"/>
  <c r="C21" i="7"/>
  <c r="C91" i="7"/>
  <c r="C75" i="7"/>
  <c r="C59" i="7"/>
  <c r="C43" i="7"/>
  <c r="C20" i="7"/>
  <c r="C90" i="7"/>
  <c r="C74" i="7"/>
  <c r="C42" i="7"/>
  <c r="D34" i="7" s="1"/>
  <c r="C19" i="7"/>
  <c r="C89" i="7"/>
  <c r="C73" i="7"/>
  <c r="C57" i="7"/>
  <c r="D45" i="7" s="1"/>
  <c r="C41" i="7"/>
  <c r="D33" i="7" s="1"/>
  <c r="C18" i="7"/>
  <c r="C88" i="7"/>
  <c r="C72" i="7"/>
  <c r="C56" i="7"/>
  <c r="D44" i="7" s="1"/>
  <c r="C40" i="7"/>
  <c r="D32" i="7" s="1"/>
  <c r="C87" i="7"/>
  <c r="C55" i="7"/>
  <c r="C16" i="7"/>
  <c r="D33" i="1"/>
  <c r="N5" i="1"/>
  <c r="M5" i="1"/>
  <c r="L5" i="1"/>
  <c r="K5" i="1"/>
  <c r="D5" i="1"/>
  <c r="C5" i="1"/>
  <c r="B5" i="1"/>
  <c r="A5" i="1"/>
  <c r="E35" i="1" l="1"/>
  <c r="M55" i="1" s="1"/>
  <c r="E42" i="1"/>
  <c r="M62" i="1" s="1"/>
  <c r="E40" i="1"/>
  <c r="M60" i="1" s="1"/>
  <c r="E45" i="1"/>
  <c r="M65" i="1" s="1"/>
  <c r="E43" i="1"/>
  <c r="M63" i="1" s="1"/>
  <c r="E36" i="1"/>
  <c r="M56" i="1" s="1"/>
  <c r="E38" i="1"/>
  <c r="M58" i="1" s="1"/>
  <c r="E41" i="1"/>
  <c r="M61" i="1" s="1"/>
  <c r="E39" i="1"/>
  <c r="M59" i="1" s="1"/>
  <c r="E37" i="1"/>
  <c r="M57" i="1" s="1"/>
  <c r="E46" i="1"/>
  <c r="M66" i="1" s="1"/>
  <c r="E44" i="1"/>
  <c r="M64" i="1" s="1"/>
  <c r="B51" i="7"/>
  <c r="B67" i="7"/>
  <c r="X35" i="1"/>
  <c r="Z35" i="1" s="1"/>
  <c r="D17" i="7"/>
  <c r="D69" i="7"/>
  <c r="D64" i="7"/>
  <c r="I35" i="1"/>
  <c r="D68" i="7"/>
  <c r="R35" i="1"/>
  <c r="Q38" i="1"/>
  <c r="F44" i="1"/>
  <c r="I44" i="1" s="1"/>
  <c r="G35" i="1"/>
  <c r="G41" i="1"/>
  <c r="G44" i="1"/>
  <c r="F38" i="1"/>
  <c r="I38" i="1" s="1"/>
  <c r="F41" i="1"/>
  <c r="I41" i="1" s="1"/>
  <c r="D67" i="7"/>
  <c r="X38" i="1"/>
  <c r="Z38" i="1" s="1"/>
  <c r="Y38" i="1"/>
  <c r="AA38" i="1" s="1"/>
  <c r="C71" i="7"/>
  <c r="D63" i="7" s="1"/>
  <c r="D65" i="7"/>
  <c r="Y35" i="1"/>
  <c r="AA35" i="1" s="1"/>
  <c r="Y44" i="1"/>
  <c r="AA44" i="1" s="1"/>
  <c r="O41" i="1"/>
  <c r="R41" i="1" s="1"/>
  <c r="P35" i="1"/>
  <c r="Q35" i="1" s="1"/>
  <c r="D70" i="7"/>
  <c r="D66" i="7"/>
  <c r="Y41" i="1"/>
  <c r="AA41" i="1" s="1"/>
  <c r="X44" i="1"/>
  <c r="Z44" i="1" s="1"/>
  <c r="X41" i="1"/>
  <c r="Z41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Q41" i="1"/>
  <c r="C39" i="7"/>
  <c r="C64" i="7"/>
  <c r="D52" i="7" s="1"/>
  <c r="D62" i="7" s="1"/>
  <c r="R38" i="1"/>
  <c r="C58" i="7"/>
  <c r="D46" i="7" s="1"/>
  <c r="O44" i="1"/>
  <c r="R44" i="1" s="1"/>
  <c r="D16" i="7"/>
  <c r="D18" i="7"/>
  <c r="C17" i="7"/>
  <c r="G38" i="1"/>
  <c r="D22" i="7" l="1"/>
  <c r="H38" i="1"/>
  <c r="D21" i="7"/>
  <c r="H35" i="1"/>
  <c r="H41" i="1"/>
  <c r="H44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<sst xmlns="http://schemas.openxmlformats.org/spreadsheetml/2006/main" count="1473" uniqueCount="710">
  <si>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</si>
  <si>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</si>
  <si>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</si>
  <si>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</si>
  <si>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</si>
  <si>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</si>
  <si>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</si>
  <si>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</si>
  <si>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</si>
  <si>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</si>
  <si>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</si>
  <si>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</si>
  <si>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</si>
  <si>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</si>
  <si>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</si>
  <si>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</si>
  <si>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</si>
  <si>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</si>
  <si>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</si>
  <si>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</si>
  <si>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</si>
  <si>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</si>
  <si>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</si>
  <si>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</si>
  <si>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</si>
  <si>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</si>
  <si>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</si>
  <si>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</si>
  <si>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</si>
  <si>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</si>
  <si>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</si>
  <si>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</si>
  <si>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</si>
  <si>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</si>
  <si>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</si>
  <si>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</si>
  <si>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</si>
  <si>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</si>
  <si>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</si>
  <si>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</si>
  <si>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</si>
  <si>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</si>
  <si>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</si>
  <si>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</si>
  <si>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</si>
  <si>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</si>
  <si>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</si>
  <si>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</si>
  <si>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</si>
  <si>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</si>
  <si>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</si>
  <si>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</si>
  <si>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</si>
  <si>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</si>
  <si>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</si>
  <si>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</si>
  <si>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</si>
  <si>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</si>
  <si>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</si>
  <si>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</si>
  <si>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</si>
  <si>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</si>
  <si>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</si>
  <si>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</si>
  <si>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</si>
  <si>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</si>
  <si>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</si>
  <si>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</si>
  <si>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</si>
  <si>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</si>
  <si>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</si>
  <si>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</si>
  <si>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</si>
  <si>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</si>
  <si>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</si>
  <si>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</si>
  <si>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</si>
  <si>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</si>
  <si>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</si>
  <si>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</si>
  <si>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</si>
  <si>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</si>
  <si>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</si>
  <si>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</si>
  <si>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</si>
  <si>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</si>
  <si>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</si>
  <si>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</si>
  <si>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</si>
  <si>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</si>
  <si>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</si>
  <si>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</si>
  <si>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</si>
  <si>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</si>
  <si>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</si>
  <si>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</si>
  <si>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</si>
  <si>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</si>
  <si>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</si>
  <si>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</si>
  <si>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</si>
  <si>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</si>
  <si>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</si>
  <si>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</si>
  <si>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</si>
  <si>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</si>
  <si>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</si>
  <si>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</si>
  <si>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t>Inf.Margin</t>
    <phoneticPr fontId="6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</si>
  <si>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</si>
  <si>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</si>
  <si>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</si>
  <si>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</si>
  <si>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6" type="noConversion"/>
  </si>
  <si>
    <t>OC</t>
    <phoneticPr fontId="6" type="noConversion"/>
  </si>
  <si>
    <t>OCX_shift</t>
    <phoneticPr fontId="6" type="noConversion"/>
  </si>
  <si>
    <t>OCY_shift</t>
    <phoneticPr fontId="6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</si>
  <si>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</si>
  <si>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</si>
  <si>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</si>
  <si>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</si>
  <si>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</si>
  <si>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</si>
  <si>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</si>
  <si>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</si>
  <si>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</si>
  <si>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</si>
  <si>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</si>
  <si>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6" type="noConversion"/>
  </si>
  <si>
    <t>AG</t>
    <phoneticPr fontId="6" type="noConversion"/>
  </si>
  <si>
    <t>MS</t>
    <phoneticPr fontId="6" type="noConversion"/>
  </si>
  <si>
    <t>MS</t>
    <phoneticPr fontId="6" type="noConversion"/>
  </si>
  <si>
    <t>AG</t>
    <phoneticPr fontId="6" type="noConversion"/>
  </si>
  <si>
    <t>Config</t>
    <phoneticPr fontId="6" type="noConversion"/>
  </si>
  <si>
    <t>AS</t>
    <phoneticPr fontId="6" type="noConversion"/>
  </si>
  <si>
    <t>D50_ON_OC.csv</t>
    <phoneticPr fontId="6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</si>
  <si>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</si>
  <si>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</si>
  <si>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</si>
  <si>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</si>
  <si>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</si>
  <si>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</si>
  <si>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</si>
  <si>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</si>
  <si>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</si>
  <si>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</si>
  <si>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</si>
  <si>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</si>
  <si>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</si>
  <si>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</si>
  <si>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</si>
  <si>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</si>
  <si>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</si>
  <si>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</si>
  <si>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</si>
  <si>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</si>
  <si>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MES</t>
  </si>
  <si>
    <t>MS</t>
  </si>
  <si>
    <t>NAME</t>
  </si>
  <si>
    <t>X =&gt; MS
Z =&gt; AG</t>
  </si>
  <si>
    <t>14/07/2022</t>
    <phoneticPr fontId="6" type="noConversion"/>
  </si>
  <si>
    <t>Thay đổi spec OC theo ERS</t>
    <phoneticPr fontId="6" type="noConversion"/>
  </si>
  <si>
    <t>±28</t>
    <phoneticPr fontId="6" type="noConversion"/>
  </si>
  <si>
    <t>AVG Infu Peak</t>
  </si>
  <si>
    <t>Inf.Margin</t>
  </si>
  <si>
    <t>OOS</t>
  </si>
  <si>
    <t>AVG</t>
  </si>
  <si>
    <t>OOC</t>
  </si>
  <si>
    <t>±22.5</t>
  </si>
  <si>
    <t>±12</t>
  </si>
  <si>
    <t>±10.8</t>
  </si>
  <si>
    <t>AVG OOC</t>
  </si>
  <si>
    <t>D:\EVMS\TP\ELOG\VSY832XN9P15_2022092321</t>
    <phoneticPr fontId="6" type="noConversion"/>
  </si>
  <si>
    <t>GlobalTime</t>
  </si>
  <si>
    <t>SiteTime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</si>
  <si>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</si>
  <si>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</si>
  <si>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</si>
  <si>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</si>
  <si>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</si>
  <si>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</si>
  <si>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</si>
  <si>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</si>
  <si>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</si>
  <si>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</si>
  <si>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</si>
  <si>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</si>
  <si>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</si>
  <si>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</si>
  <si>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</si>
  <si>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</si>
  <si>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</si>
  <si>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</si>
  <si>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</si>
  <si>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</si>
  <si>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</si>
  <si>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</si>
  <si>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</si>
  <si>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</si>
  <si>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</si>
  <si>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</si>
  <si>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</si>
  <si>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</si>
  <si>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</si>
  <si>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</si>
  <si>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</si>
  <si>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</si>
  <si>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</si>
  <si>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</si>
  <si>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</si>
  <si>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T220923210950689VCMLEBC040</t>
  </si>
  <si>
    <t>'20220923210952</t>
  </si>
  <si>
    <t>'2022-09-23 21:10:00:072</t>
  </si>
  <si>
    <t>VCMLEBC040A</t>
  </si>
  <si>
    <t>DB_M_C2001</t>
  </si>
  <si>
    <t>220217A</t>
  </si>
  <si>
    <t>EPSSWEXCEPTION_POR_R22A_OC_MFG_C20_22051701_5d43eac</t>
  </si>
  <si>
    <t>VSY832XN9P15</t>
  </si>
  <si>
    <t>22cd05160894</t>
  </si>
  <si>
    <t>0x5280046201e8d904</t>
  </si>
  <si>
    <t>MF2C3752A5KLA3B6B737138110</t>
  </si>
  <si>
    <t>MF7C3467A9ET14A7A625</t>
  </si>
  <si>
    <t>DNA22296064580I12A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</si>
  <si>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</si>
  <si>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</si>
  <si>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</si>
  <si>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</si>
  <si>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</si>
  <si>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</si>
  <si>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FPDC_Coefficient_01_Inf_normal</t>
  </si>
  <si>
    <t>FPDC_Coefficient_02_Inf_normal</t>
  </si>
  <si>
    <t>FPDC_Coefficient_03_Inf_normal</t>
  </si>
  <si>
    <t>FPDC_Coefficient_04_Inf_normal</t>
  </si>
  <si>
    <t>FPDC_Coefficient_05_Inf_normal</t>
  </si>
  <si>
    <t>FPDC_Coefficient_06_Inf_normal</t>
  </si>
  <si>
    <t>FPDC_Coefficient_07_Inf_normal</t>
  </si>
  <si>
    <t>FPDC_Coefficient_08_Inf_normal</t>
  </si>
  <si>
    <t>FPDC_Coefficient_09_Inf_normal</t>
  </si>
  <si>
    <t>FPDC_Coefficient_10_Inf_normal</t>
  </si>
  <si>
    <t>FPDC_Coefficient_11_Inf_normal</t>
  </si>
  <si>
    <t>FPDC_Coefficient_12_Inf_normal</t>
  </si>
  <si>
    <t>FPDC_Coefficient_13_Inf_normal</t>
  </si>
  <si>
    <t>FPDC_Coefficient_14_Inf_normal</t>
  </si>
  <si>
    <t>FPDC_Coefficient_15_Inf_normal</t>
  </si>
  <si>
    <t>FPDC_Coefficient_16_Inf_normal</t>
  </si>
  <si>
    <t>FPDC_Coefficient_17_Inf_normal</t>
  </si>
  <si>
    <t>FPDC_Coefficient_18_Inf_normal</t>
  </si>
  <si>
    <t>FPDC_Coefficient_19_Inf_normal</t>
  </si>
  <si>
    <t>FPDC_Coefficient_20_Inf_normal</t>
  </si>
  <si>
    <t>FPDC_Coefficient_Residual_ERR1_Inf_normal</t>
  </si>
  <si>
    <t>FPDC_Coefficient_Residual_ERR2_Inf_normal</t>
  </si>
  <si>
    <t>FPDC_Delta_01_Inf_normal</t>
  </si>
  <si>
    <t>FPDC_Delta_02_Inf_normal</t>
  </si>
  <si>
    <t>FPDC_Delta_03_Inf_normal</t>
  </si>
  <si>
    <t>FPDC_Delta_04_Inf_normal</t>
  </si>
  <si>
    <t>FPDC_Euclidean_Inf_normal</t>
  </si>
  <si>
    <t>deviceConfig_Inf_normal</t>
  </si>
  <si>
    <t>speedConfig_Inf_normal</t>
  </si>
  <si>
    <t>excute_time_Inf_normal</t>
  </si>
  <si>
    <t>FPDC_DLLVersion</t>
  </si>
  <si>
    <t>T220923211017762VCMLEBC040</t>
  </si>
  <si>
    <t>'20220923211019</t>
  </si>
  <si>
    <t>'2022-09-23 21:10:46:984</t>
  </si>
  <si>
    <t>EPSSWEXCEPTION_POR_R22A_IPQC_MFG_SFRInfinity_C20_22051701_5d43eac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</si>
  <si>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</si>
  <si>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</si>
  <si>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</si>
  <si>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</si>
  <si>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</si>
  <si>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</si>
  <si>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</si>
  <si>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</si>
  <si>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</si>
  <si>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</si>
  <si>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</si>
  <si>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</si>
  <si>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</si>
  <si>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</si>
  <si>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</si>
  <si>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21:10:36:960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</si>
  <si>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</si>
  <si>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</si>
  <si>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</si>
  <si>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</si>
  <si>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</si>
  <si>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</si>
  <si>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</si>
  <si>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</si>
  <si>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</si>
  <si>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</si>
  <si>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</si>
  <si>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</si>
  <si>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</si>
  <si>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</si>
  <si>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</si>
  <si>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</si>
  <si>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</si>
  <si>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</si>
  <si>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</si>
  <si>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</si>
  <si>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</si>
  <si>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</si>
  <si>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</si>
  <si>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</si>
  <si>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</si>
  <si>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</si>
  <si>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</si>
  <si>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</si>
  <si>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</si>
  <si>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</si>
  <si>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</si>
  <si>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</si>
  <si>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</si>
  <si>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</si>
  <si>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</si>
  <si>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</si>
  <si>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</si>
  <si>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</si>
  <si>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</si>
  <si>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</si>
  <si>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</si>
  <si>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</si>
  <si>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</si>
  <si>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</si>
  <si>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</si>
  <si>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</si>
  <si>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</si>
  <si>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</si>
  <si>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</si>
  <si>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</si>
  <si>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</si>
  <si>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</si>
  <si>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</si>
  <si>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</si>
  <si>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</si>
  <si>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</si>
  <si>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</si>
  <si>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</si>
  <si>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</si>
  <si>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</si>
  <si>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</si>
  <si>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</si>
  <si>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</si>
  <si>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</si>
  <si>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</si>
  <si>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</si>
  <si>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</si>
  <si>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</si>
  <si>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</si>
  <si>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</si>
  <si>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</si>
  <si>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</si>
  <si>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</si>
  <si>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</si>
  <si>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</si>
  <si>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</si>
  <si>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</si>
  <si>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</si>
  <si>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</si>
  <si>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</si>
  <si>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</si>
  <si>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</si>
  <si>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</si>
  <si>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</si>
  <si>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</si>
  <si>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</si>
  <si>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</si>
  <si>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</si>
  <si>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</si>
  <si>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</si>
  <si>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</si>
  <si>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</si>
  <si>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</si>
  <si>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</si>
  <si>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</si>
  <si>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</si>
  <si>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</si>
  <si>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</si>
  <si>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</si>
  <si>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</si>
  <si>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</si>
  <si>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</si>
  <si>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</si>
  <si>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</si>
  <si>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</si>
  <si>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</si>
  <si>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</si>
  <si>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</si>
  <si>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</si>
  <si>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</si>
  <si>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</si>
  <si>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</si>
  <si>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</si>
  <si>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</si>
  <si>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</si>
  <si>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</si>
  <si>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</si>
  <si>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</si>
  <si>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</si>
  <si>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</si>
  <si>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</si>
  <si>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</si>
  <si>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</si>
  <si>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</si>
  <si>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</si>
  <si>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</si>
  <si>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</si>
  <si>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</si>
  <si>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</si>
  <si>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</si>
  <si>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</si>
  <si>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</si>
  <si>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</si>
  <si>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</si>
  <si>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</si>
  <si>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</si>
  <si>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</si>
  <si>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</si>
  <si>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</si>
  <si>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</si>
  <si>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</si>
  <si>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</si>
  <si>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</si>
  <si>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</si>
  <si>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</si>
  <si>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</si>
  <si>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</si>
  <si>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</si>
  <si>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</si>
  <si>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</si>
  <si>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</si>
  <si>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</si>
  <si>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</si>
  <si>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</si>
  <si>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</si>
  <si>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</si>
  <si>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</si>
  <si>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</si>
  <si>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</si>
  <si>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</si>
  <si>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</si>
  <si>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</si>
  <si>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</si>
  <si>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</si>
  <si>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</si>
  <si>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</si>
  <si>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</si>
  <si>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</si>
  <si>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</si>
  <si>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</si>
  <si>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</si>
  <si>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</si>
  <si>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</si>
  <si>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</si>
  <si>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</si>
  <si>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</si>
  <si>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</si>
  <si>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</si>
  <si>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</si>
  <si>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</si>
  <si>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</si>
  <si>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</si>
  <si>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</si>
  <si>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</si>
  <si>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</si>
  <si>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</si>
  <si>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</si>
  <si>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</si>
  <si>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</si>
  <si>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</si>
  <si>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</si>
  <si>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</si>
  <si>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</si>
  <si>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</si>
  <si>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</si>
  <si>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</si>
  <si>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</si>
  <si>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</si>
  <si>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</si>
  <si>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</si>
  <si>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</si>
  <si>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</si>
  <si>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</si>
  <si>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</si>
  <si>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</si>
  <si>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</si>
  <si>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</si>
  <si>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</si>
  <si>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</si>
  <si>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</si>
  <si>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</si>
  <si>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</si>
  <si>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</si>
  <si>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</si>
  <si>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</si>
  <si>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</si>
  <si>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</si>
  <si>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</si>
  <si>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</si>
  <si>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</si>
  <si>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</si>
  <si>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</si>
  <si>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</si>
  <si>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</si>
  <si>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</si>
  <si>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</si>
  <si>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</si>
  <si>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</si>
  <si>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</si>
  <si>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</si>
  <si>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</si>
  <si>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</si>
  <si>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</si>
  <si>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</si>
  <si>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</si>
  <si>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</si>
  <si>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</si>
  <si>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</si>
  <si>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</si>
  <si>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</si>
  <si>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</si>
  <si>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</si>
  <si>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</si>
  <si>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</si>
  <si>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</si>
  <si>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</si>
  <si>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</si>
  <si>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</si>
  <si>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</si>
  <si>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</si>
  <si>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</si>
  <si>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</si>
  <si>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</si>
  <si>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</si>
  <si>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</si>
  <si>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</si>
  <si>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vcm_jumpStep_btm_normalized_ummA</t>
  </si>
  <si>
    <t>vcm_jumpStep_top_normalized_ummA</t>
  </si>
  <si>
    <t>vcm_jumpStep_linear_normalized_ummA</t>
  </si>
  <si>
    <t>vcm_versionERS</t>
  </si>
  <si>
    <t>T220923211002946VCMLEBC040</t>
  </si>
  <si>
    <t>'20220923211004</t>
  </si>
  <si>
    <t>'2022-09-23 21:10:15:518</t>
  </si>
  <si>
    <t>EPSSWEXCEPTION_POR_R22A_IPQC_MFG_Laser_C20_22051701_5d43eac</t>
  </si>
  <si>
    <t>v9p402</t>
  </si>
  <si>
    <t>T220923211107458VCMLEBC040</t>
  </si>
  <si>
    <t>'20220923211109</t>
  </si>
  <si>
    <t>'2022-09-23 21:11:16:267</t>
  </si>
  <si>
    <t>22cd05160388</t>
  </si>
  <si>
    <t>0x5280066201ed7306</t>
  </si>
  <si>
    <t>MF2C3752A5FLA3B6B936105105</t>
  </si>
  <si>
    <t>MF7C3467A9EL14A7A632</t>
  </si>
  <si>
    <t>DNA22296064540C08A</t>
  </si>
  <si>
    <t>T220923211212235VCMLEBC040</t>
  </si>
  <si>
    <t>'20220923211213</t>
  </si>
  <si>
    <t>'2022-09-23 21:12:21:537</t>
  </si>
  <si>
    <t>22cd05170665</t>
  </si>
  <si>
    <t>0x5280056203787a04</t>
  </si>
  <si>
    <t>MF2C3752A5FTA3B6C239140117</t>
  </si>
  <si>
    <t>MF7C3467A9EH14A7A638</t>
  </si>
  <si>
    <t>DNA22296064540D05A</t>
  </si>
  <si>
    <t>T220923211318580VCMLEBC040</t>
  </si>
  <si>
    <t>'20220923211320</t>
  </si>
  <si>
    <t>'2022-09-23 21:13:27:430</t>
  </si>
  <si>
    <t>22cd05160825</t>
  </si>
  <si>
    <t>0x5280066201ec7d06</t>
  </si>
  <si>
    <t>MF2C3752A5KCA3B6B837012105</t>
  </si>
  <si>
    <t>MF7C3467A9EU14A7A627</t>
  </si>
  <si>
    <t>DNA22296065520C06A</t>
  </si>
  <si>
    <t>T220923211424328VCMLEBC040</t>
  </si>
  <si>
    <t>'20220923211425</t>
  </si>
  <si>
    <t>'2022-09-23 21:14:33:512</t>
  </si>
  <si>
    <t>22cd05160109</t>
  </si>
  <si>
    <t>0x5280046201eba602</t>
  </si>
  <si>
    <t>MF2C3752A5R4A3B6B629002107</t>
  </si>
  <si>
    <t>MF7C3467A9EG14A7A641</t>
  </si>
  <si>
    <t>DNA22296064540D03A</t>
  </si>
  <si>
    <t>T220923211530389VCMLEBC040</t>
  </si>
  <si>
    <t>'20220923211532</t>
  </si>
  <si>
    <t>'2022-09-23 21:15:39:374</t>
  </si>
  <si>
    <t>22cd05160475</t>
  </si>
  <si>
    <t>0x528006620322fc06</t>
  </si>
  <si>
    <t>MF2C3752A5KJA3B6C243029111</t>
  </si>
  <si>
    <t>MF7C3467A9EY14A7A631</t>
  </si>
  <si>
    <t>DNA22296064800E01A</t>
  </si>
  <si>
    <t>T220923211133893VCMLEBC040</t>
  </si>
  <si>
    <t>'20220923211135</t>
  </si>
  <si>
    <t>'2022-09-23 21:12:02:963</t>
  </si>
  <si>
    <t>T220923211239107VCMLEBC040</t>
  </si>
  <si>
    <t>'20220923211240</t>
  </si>
  <si>
    <t>'2022-09-23 21:13:08:158</t>
  </si>
  <si>
    <t>T220923211344961VCMLEBC040</t>
  </si>
  <si>
    <t>'20220923211346</t>
  </si>
  <si>
    <t>'2022-09-23 21:14:14:086</t>
  </si>
  <si>
    <t>T220923211450999VCMLEBC040</t>
  </si>
  <si>
    <t>'20220923211452</t>
  </si>
  <si>
    <t>'2022-09-23 21:15:20:089</t>
  </si>
  <si>
    <t>T220923211556922VCMLEBC040</t>
  </si>
  <si>
    <t>'20220923211558</t>
  </si>
  <si>
    <t>'2022-09-23 21:16:26:064</t>
  </si>
  <si>
    <t>'2022-09-23 21:11:52:941</t>
  </si>
  <si>
    <t>'2022-09-23 21:12:58:131</t>
  </si>
  <si>
    <t>'2022-09-23 21:14:04:060</t>
  </si>
  <si>
    <t>'2022-09-23 21:15:10:066</t>
  </si>
  <si>
    <t>'2022-09-23 21:16:16:035</t>
  </si>
  <si>
    <t>T220923211119087VCMLEBC040</t>
  </si>
  <si>
    <t>'20220923211120</t>
  </si>
  <si>
    <t>'2022-09-23 21:11:31:645</t>
  </si>
  <si>
    <t>T220923211224304VCMLEBC040</t>
  </si>
  <si>
    <t>'20220923211225</t>
  </si>
  <si>
    <t>'2022-09-23 21:12:36:861</t>
  </si>
  <si>
    <t>T220923211330243VCMLEBC040</t>
  </si>
  <si>
    <t>'20220923211331</t>
  </si>
  <si>
    <t>'2022-09-23 21:13:42:797</t>
  </si>
  <si>
    <t>T220923211436287VCMLEBC040</t>
  </si>
  <si>
    <t>'20220923211437</t>
  </si>
  <si>
    <t>'2022-09-23 21:14:48:842</t>
  </si>
  <si>
    <t>T220923211542184VCMLEBC040</t>
  </si>
  <si>
    <t>'20220923211543</t>
  </si>
  <si>
    <t>'2022-09-23 21:15:54:746</t>
  </si>
  <si>
    <t>T220923211636008VCMLEBC040</t>
  </si>
  <si>
    <t>'20220923211637</t>
  </si>
  <si>
    <t>'2022-09-23 21:16:44:917</t>
  </si>
  <si>
    <t>22cd05160744</t>
  </si>
  <si>
    <t>0x5280066201f00003</t>
  </si>
  <si>
    <t>MFAC353AB6K8B3B6B936110114</t>
  </si>
  <si>
    <t>MF7C3467A71F14A7A630</t>
  </si>
  <si>
    <t>DNA22301024450B05A</t>
  </si>
  <si>
    <t>T220923211702431VCMLEBC040</t>
  </si>
  <si>
    <t>'20220923211704</t>
  </si>
  <si>
    <t>'2022-09-23 21:17:21:178</t>
  </si>
  <si>
    <t>T220923211647714VCMLEBC040</t>
  </si>
  <si>
    <t>'20220923211649</t>
  </si>
  <si>
    <t>'2022-09-23 21:17:00:268</t>
  </si>
  <si>
    <t>'2022-09-23 21:17:31:201</t>
  </si>
  <si>
    <t>T220923211743881VCMLEBC040</t>
  </si>
  <si>
    <t>'20220923211745</t>
  </si>
  <si>
    <t>'2022-09-23 21:17:52:748</t>
  </si>
  <si>
    <t>22cd05160738</t>
  </si>
  <si>
    <t>0x5280066201efb502</t>
  </si>
  <si>
    <t>MF2C3752A5KRA3B6B835112120</t>
  </si>
  <si>
    <t>MF7C3467A9EC14A7A639</t>
  </si>
  <si>
    <t>DNA22296064540D08A</t>
  </si>
  <si>
    <t>T220923211810315VCMLEBC040</t>
  </si>
  <si>
    <t>'20220923211811</t>
  </si>
  <si>
    <t>'2022-09-23 21:18:39:073</t>
  </si>
  <si>
    <t>'2022-09-23 21:18:29:051</t>
  </si>
  <si>
    <t>T220923211755512VCMLEBC040</t>
  </si>
  <si>
    <t>'20220923211757</t>
  </si>
  <si>
    <t>'2022-09-23 21:18:08:065</t>
  </si>
  <si>
    <t>T220923211906259VCMLEBC040</t>
  </si>
  <si>
    <t>'20220923211907</t>
  </si>
  <si>
    <t>'2022-09-23 21:19:15:232</t>
  </si>
  <si>
    <t>22cd05170403</t>
  </si>
  <si>
    <t>0x5280066201edd903</t>
  </si>
  <si>
    <t>MF2C3752A5KAA3B6B936037113</t>
  </si>
  <si>
    <t>MF7C3467A9ER14A7A635</t>
  </si>
  <si>
    <t>DNA22296064540D09A</t>
  </si>
  <si>
    <t>T220923211919008VCMLEBC040</t>
  </si>
  <si>
    <t>'20220923211920</t>
  </si>
  <si>
    <t>'2022-09-23 21:19:31:595</t>
  </si>
  <si>
    <t>T220923211933818VCMLEBC040</t>
  </si>
  <si>
    <t>'20220923211935</t>
  </si>
  <si>
    <t>'2022-09-23 21:20:02:553</t>
  </si>
  <si>
    <t>'2022-09-23 21:19:52:523</t>
  </si>
  <si>
    <t>T220923212015515VCMLEBC040</t>
  </si>
  <si>
    <t>'20220923212017</t>
  </si>
  <si>
    <t>'2022-09-23 21:20:24:777</t>
  </si>
  <si>
    <t>22cd05160273</t>
  </si>
  <si>
    <t>0x5280056201edca04</t>
  </si>
  <si>
    <t>MF2C3752A5FWA3B6C034019113</t>
  </si>
  <si>
    <t>MF7C3467A9EM14A7A625</t>
  </si>
  <si>
    <t>DNA22296065560D01A</t>
  </si>
  <si>
    <t>T220923212027582VCMLEBC040</t>
  </si>
  <si>
    <t>'20220923212029</t>
  </si>
  <si>
    <t>'2022-09-23 21:20:40:140</t>
  </si>
  <si>
    <t>T220923212042386VCMLEBC040</t>
  </si>
  <si>
    <t>'20220923212044</t>
  </si>
  <si>
    <t>'2022-09-23 21:21:11:103</t>
  </si>
  <si>
    <t>'2022-09-23 21:21:01:077</t>
  </si>
  <si>
    <t>T220923212121092VCMLEBC040</t>
  </si>
  <si>
    <t>'20220923212122</t>
  </si>
  <si>
    <t>'2022-09-23 21:21:30:069</t>
  </si>
  <si>
    <t>22cd05170040</t>
  </si>
  <si>
    <t>0x5280066201f0fe06</t>
  </si>
  <si>
    <t>MF2C3752A5L7A3B6C040046120</t>
  </si>
  <si>
    <t>MF7C3467A9ES14A7A636</t>
  </si>
  <si>
    <t>DNA22296065600H14A</t>
  </si>
  <si>
    <t>T220923212132890VCMLEBC040</t>
  </si>
  <si>
    <t>'20220923212134</t>
  </si>
  <si>
    <t>'2022-09-23 21:21:45:444</t>
  </si>
  <si>
    <t>T220923212147609VCMLEBC040</t>
  </si>
  <si>
    <t>'20220923212149</t>
  </si>
  <si>
    <t>'2022-09-23 21:22:06:921</t>
  </si>
  <si>
    <t>'2022-09-23 21:22:16:950</t>
  </si>
  <si>
    <t>T220923212307417VCMLEBC040</t>
  </si>
  <si>
    <t>'20220923212309</t>
  </si>
  <si>
    <t>'2022-09-23 21:23:16:529</t>
  </si>
  <si>
    <t>22cd05170080</t>
  </si>
  <si>
    <t>0x528005620ec71204</t>
  </si>
  <si>
    <t>MFAC353AB3BE34B6A746053136</t>
  </si>
  <si>
    <t>MF7C3467A6YG14A7A639</t>
  </si>
  <si>
    <t>DNA22296062350G01A</t>
  </si>
  <si>
    <t>T220923212334120VCMLEBC040</t>
  </si>
  <si>
    <t>'20220923212335</t>
  </si>
  <si>
    <t>'2022-09-23 21:24:04:238</t>
  </si>
  <si>
    <t>'2022-09-23 21:23:54:210</t>
  </si>
  <si>
    <t>T220923212319308VCMLEBC040</t>
  </si>
  <si>
    <t>'20220923212320</t>
  </si>
  <si>
    <t>'2022-09-23 21:23:31:865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</si>
</sst>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3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18"/>
      <color theme="1"/>
      <name val="Arial"/>
      <family val="2"/>
    </font>
    <font>
      <b/>
      <sz val="28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3" fillId="0" borderId="0">
      <alignment vertical="center"/>
    </xf>
  </cellStyleXfs>
  <cellXfs count="101">
    <xf numFmtId="0" fontId="0" fillId="0" borderId="0" xfId="0"/>
    <xf numFmtId="0" fontId="5" fillId="6" borderId="0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  <xf numFmtId="0" fontId="5" fillId="2" borderId="1" xfId="1" applyNumberFormat="1" applyFill="1" applyBorder="1" applyAlignment="1">
      <alignment horizontal="center" vertical="center"/>
    </xf>
    <xf numFmtId="0" fontId="5" fillId="2" borderId="0" xfId="1" applyNumberFormat="1" applyFill="1" applyBorder="1" applyAlignment="1">
      <alignment horizontal="center" vertical="center"/>
    </xf>
    <xf numFmtId="0" fontId="5" fillId="6" borderId="5" xfId="1" applyNumberFormat="1" applyFill="1" applyBorder="1" applyAlignment="1">
      <alignment horizontal="center" vertical="center"/>
    </xf>
    <xf numFmtId="0" fontId="5" fillId="5" borderId="14" xfId="1" applyNumberFormat="1" applyFill="1" applyBorder="1" applyAlignment="1">
      <alignment horizontal="center" vertical="center"/>
    </xf>
    <xf numFmtId="0" fontId="4" fillId="6" borderId="0" xfId="1" applyNumberFormat="1" applyFont="1" applyFill="1" applyBorder="1" applyAlignment="1">
      <alignment horizontal="center" vertical="center"/>
    </xf>
    <xf numFmtId="0" fontId="5" fillId="6" borderId="6" xfId="1" applyNumberFormat="1" applyFill="1" applyBorder="1" applyAlignment="1">
      <alignment horizontal="center" vertical="center"/>
    </xf>
    <xf numFmtId="0" fontId="5" fillId="5" borderId="15" xfId="1" applyNumberFormat="1" applyFill="1" applyBorder="1" applyAlignment="1">
      <alignment horizontal="center" vertical="center"/>
    </xf>
    <xf numFmtId="0" fontId="5" fillId="6" borderId="7" xfId="1" applyNumberFormat="1" applyFill="1" applyBorder="1" applyAlignment="1">
      <alignment horizontal="center" vertical="center"/>
    </xf>
    <xf numFmtId="0" fontId="5" fillId="5" borderId="16" xfId="1" applyNumberFormat="1" applyFill="1" applyBorder="1" applyAlignment="1">
      <alignment horizontal="center" vertical="center"/>
    </xf>
    <xf numFmtId="0" fontId="5" fillId="6" borderId="17" xfId="1" applyNumberFormat="1" applyFill="1" applyBorder="1" applyAlignment="1">
      <alignment horizontal="center" vertical="center"/>
    </xf>
    <xf numFmtId="0" fontId="5" fillId="6" borderId="18" xfId="1" applyNumberFormat="1" applyFill="1" applyBorder="1" applyAlignment="1">
      <alignment horizontal="center" vertical="center"/>
    </xf>
    <xf numFmtId="0" fontId="5" fillId="6" borderId="11" xfId="1" applyNumberFormat="1" applyFill="1" applyBorder="1" applyAlignment="1">
      <alignment horizontal="center" vertical="center"/>
    </xf>
    <xf numFmtId="0" fontId="5" fillId="6" borderId="12" xfId="1" applyNumberFormat="1" applyFill="1" applyBorder="1" applyAlignment="1">
      <alignment horizontal="center" vertical="center"/>
    </xf>
    <xf numFmtId="0" fontId="5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2">
      <alignment vertical="center"/>
    </xf>
    <xf numFmtId="0" fontId="7" fillId="8" borderId="1" xfId="2" applyFont="1" applyFill="1" applyBorder="1" applyAlignment="1">
      <alignment horizontal="center" vertical="center" wrapText="1"/>
    </xf>
    <xf numFmtId="0" fontId="8" fillId="0" borderId="1" xfId="2" applyFont="1" applyBorder="1">
      <alignment vertical="center"/>
    </xf>
    <xf numFmtId="0" fontId="3" fillId="0" borderId="0" xfId="2" applyAlignment="1">
      <alignment vertical="center"/>
    </xf>
    <xf numFmtId="0" fontId="7" fillId="8" borderId="1" xfId="2" applyFont="1" applyFill="1" applyBorder="1" applyAlignment="1">
      <alignment horizontal="center" vertical="center"/>
    </xf>
    <xf numFmtId="0" fontId="8" fillId="9" borderId="1" xfId="2" applyFont="1" applyFill="1" applyBorder="1">
      <alignment vertical="center"/>
    </xf>
    <xf numFmtId="0" fontId="9" fillId="9" borderId="1" xfId="2" applyFont="1" applyFill="1" applyBorder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7" fillId="2" borderId="1" xfId="2" applyFont="1" applyFill="1" applyBorder="1" applyAlignment="1">
      <alignment horizontal="center" vertical="center"/>
    </xf>
    <xf numFmtId="0" fontId="16" fillId="0" borderId="1" xfId="2" applyFont="1" applyBorder="1" applyAlignment="1">
      <alignment horizontal="center" vertical="center"/>
    </xf>
    <xf numFmtId="0" fontId="0" fillId="0" borderId="1" xfId="0" applyBorder="1"/>
    <xf numFmtId="0" fontId="2" fillId="0" borderId="0" xfId="2" applyFont="1" applyAlignment="1">
      <alignment horizontal="center" vertical="center"/>
    </xf>
    <xf numFmtId="0" fontId="18" fillId="0" borderId="0" xfId="0" applyFont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13" fillId="0" borderId="1" xfId="0" applyFont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22" fillId="2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 applyProtection="1">
      <alignment horizontal="center" vertical="center"/>
    </xf>
    <xf numFmtId="0" fontId="18" fillId="6" borderId="30" xfId="0" applyFont="1" applyFill="1" applyBorder="1" applyAlignment="1" applyProtection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9" fillId="2" borderId="30" xfId="0" applyFont="1" applyFill="1" applyBorder="1" applyAlignment="1" applyProtection="1">
      <alignment horizontal="center" vertical="center"/>
      <protection locked="0"/>
    </xf>
    <xf numFmtId="0" fontId="19" fillId="2" borderId="31" xfId="0" applyFont="1" applyFill="1" applyBorder="1" applyAlignment="1" applyProtection="1">
      <alignment horizontal="center" vertical="center"/>
      <protection locked="0"/>
    </xf>
    <xf numFmtId="0" fontId="19" fillId="2" borderId="32" xfId="0" applyFont="1" applyFill="1" applyBorder="1" applyAlignment="1" applyProtection="1">
      <alignment horizontal="center" vertical="center"/>
      <protection locked="0"/>
    </xf>
    <xf numFmtId="0" fontId="21" fillId="0" borderId="9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2" fontId="14" fillId="0" borderId="1" xfId="0" applyNumberFormat="1" applyFont="1" applyBorder="1" applyAlignment="1">
      <alignment horizontal="center" vertical="center"/>
    </xf>
    <xf numFmtId="176" fontId="14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5" fillId="6" borderId="8" xfId="1" applyNumberFormat="1" applyFill="1" applyBorder="1" applyAlignment="1">
      <alignment horizontal="center" vertical="center"/>
    </xf>
    <xf numFmtId="0" fontId="5" fillId="6" borderId="9" xfId="1" applyNumberFormat="1" applyFill="1" applyBorder="1" applyAlignment="1">
      <alignment horizontal="center" vertical="center"/>
    </xf>
    <xf numFmtId="0" fontId="5" fillId="6" borderId="10" xfId="1" applyNumberFormat="1" applyFill="1" applyBorder="1" applyAlignment="1">
      <alignment horizontal="center" vertical="center"/>
    </xf>
    <xf numFmtId="0" fontId="5" fillId="6" borderId="2" xfId="1" applyNumberFormat="1" applyFill="1" applyBorder="1" applyAlignment="1">
      <alignment horizontal="center" vertical="center"/>
    </xf>
    <xf numFmtId="0" fontId="5" fillId="6" borderId="3" xfId="1" applyNumberFormat="1" applyFill="1" applyBorder="1" applyAlignment="1">
      <alignment horizontal="center" vertical="center"/>
    </xf>
    <xf numFmtId="0" fontId="5" fillId="6" borderId="4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</cellXfs>
  <cellStyles count="3">
    <cellStyle name="Normal 2" xfId="2"/>
    <cellStyle name="표준" xfId="0" builtinId="0"/>
    <cellStyle name="표준 2" xfId="1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'Summary(3pcs)'!$M$35:$M$38</c:f>
              <c:numCache>
                <c:formatCode>0.000</c:formatCode>
                <c:ptCount val="4"/>
                <c:pt idx="0">
                  <c:v>5.6255330102999999</c:v>
                </c:pt>
                <c:pt idx="1">
                  <c:v>1.7652764602</c:v>
                </c:pt>
                <c:pt idx="2">
                  <c:v>-2.4289961351999998</c:v>
                </c:pt>
                <c:pt idx="3">
                  <c:v>3.1149160629999999</c:v>
                </c:pt>
              </c:numCache>
            </c:numRef>
          </c:xVal>
          <c:yVal>
            <c:numRef>
              <c:f>'Summary(3pcs)'!$N$35:$N$38</c:f>
              <c:numCache>
                <c:formatCode>0.000</c:formatCode>
                <c:ptCount val="4"/>
                <c:pt idx="0">
                  <c:v>0.66061105379999985</c:v>
                </c:pt>
                <c:pt idx="1">
                  <c:v>-5.8384487240999992</c:v>
                </c:pt>
                <c:pt idx="2">
                  <c:v>-1.6997921586000002</c:v>
                </c:pt>
                <c:pt idx="3">
                  <c:v>0.3079464516999999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'Summary(3pcs)'!$O$35</c:f>
              <c:numCache>
                <c:formatCode>0.00</c:formatCode>
                <c:ptCount val="1"/>
                <c:pt idx="0">
                  <c:v>1.6539377784333336</c:v>
                </c:pt>
              </c:numCache>
            </c:numRef>
          </c:xVal>
          <c:yVal>
            <c:numRef>
              <c:f>'Summary(3pcs)'!$P$35</c:f>
              <c:numCache>
                <c:formatCode>0.00</c:formatCode>
                <c:ptCount val="1"/>
                <c:pt idx="0">
                  <c:v>-2.2925432762999995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78752"/>
        <c:axId val="134017408"/>
      </c:scatterChart>
      <c:valAx>
        <c:axId val="13397875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017408"/>
        <c:crosses val="autoZero"/>
        <c:crossBetween val="midCat"/>
        <c:majorUnit val="10"/>
      </c:valAx>
      <c:valAx>
        <c:axId val="13401740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978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'Summary(3pcs)'!$M$39:$M$42</c:f>
              <c:numCache>
                <c:formatCode>0.000</c:formatCode>
                <c:ptCount val="4"/>
                <c:pt idx="0">
                  <c:v>1.3250759382999999</c:v>
                </c:pt>
                <c:pt idx="1">
                  <c:v>0.58144966229999995</c:v>
                </c:pt>
                <c:pt idx="2">
                  <c:v>-4.7559123572999997</c:v>
                </c:pt>
                <c:pt idx="3">
                  <c:v>-6.8943456196000001</c:v>
                </c:pt>
              </c:numCache>
            </c:numRef>
          </c:xVal>
          <c:yVal>
            <c:numRef>
              <c:f>'Summary(3pcs)'!$N$39:$N$42</c:f>
              <c:numCache>
                <c:formatCode>0.000</c:formatCode>
                <c:ptCount val="4"/>
                <c:pt idx="0">
                  <c:v>0.52151840179999986</c:v>
                </c:pt>
                <c:pt idx="1">
                  <c:v>-3.6644779453999998</c:v>
                </c:pt>
                <c:pt idx="2">
                  <c:v>2.2681345030999998</c:v>
                </c:pt>
                <c:pt idx="3">
                  <c:v>2.3188919954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'Summary(3pcs)'!$O$38</c:f>
              <c:numCache>
                <c:formatCode>0.00</c:formatCode>
                <c:ptCount val="1"/>
                <c:pt idx="0">
                  <c:v>1.6738138878666666</c:v>
                </c:pt>
              </c:numCache>
            </c:numRef>
          </c:xVal>
          <c:yVal>
            <c:numRef>
              <c:f>'Summary(3pcs)'!$P$38</c:f>
              <c:numCache>
                <c:formatCode>0.00</c:formatCode>
                <c:ptCount val="1"/>
                <c:pt idx="0">
                  <c:v>-0.94500436396666665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857664"/>
        <c:axId val="133859200"/>
      </c:scatterChart>
      <c:valAx>
        <c:axId val="13385766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859200"/>
        <c:crosses val="autoZero"/>
        <c:crossBetween val="midCat"/>
        <c:majorUnit val="10"/>
      </c:valAx>
      <c:valAx>
        <c:axId val="13385920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857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'Summary(3pcs)'!$M$43:$M$45</c:f>
              <c:numCache>
                <c:formatCode>0,000</c:formatCode>
                <c:ptCount val="3"/>
                <c:pt idx="0">
                  <c:v>-6.5815641266</c:v>
                </c:pt>
                <c:pt idx="1">
                  <c:v>-3.3059164987999998</c:v>
                </c:pt>
                <c:pt idx="2">
                  <c:v>-1.5943668166</c:v>
                </c:pt>
              </c:numCache>
            </c:numRef>
          </c:xVal>
          <c:yVal>
            <c:numRef>
              <c:f>'Summary(3pcs)'!$N$43:$N$45</c:f>
              <c:numCache>
                <c:formatCode>0,000</c:formatCode>
                <c:ptCount val="3"/>
                <c:pt idx="0">
                  <c:v>4.1488041276000001</c:v>
                </c:pt>
                <c:pt idx="1">
                  <c:v>11.2397187716</c:v>
                </c:pt>
                <c:pt idx="2">
                  <c:v>10.229459196600001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'Summary(3pcs)'!$O$41</c:f>
              <c:numCache>
                <c:formatCode>0.00</c:formatCode>
                <c:ptCount val="1"/>
                <c:pt idx="0">
                  <c:v>-6.0772740345000003</c:v>
                </c:pt>
              </c:numCache>
            </c:numRef>
          </c:xVal>
          <c:yVal>
            <c:numRef>
              <c:f>'Summary(3pcs)'!$P$41</c:f>
              <c:numCache>
                <c:formatCode>0.00</c:formatCode>
                <c:ptCount val="1"/>
                <c:pt idx="0">
                  <c:v>2.9119435420333333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887872"/>
        <c:axId val="133889408"/>
      </c:scatterChart>
      <c:valAx>
        <c:axId val="13388787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889408"/>
        <c:crosses val="autoZero"/>
        <c:crossBetween val="midCat"/>
        <c:majorUnit val="10"/>
      </c:valAx>
      <c:valAx>
        <c:axId val="13388940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887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'Summary(3pcs)'!$M$46:$M$46</c:f>
              <c:numCache>
                <c:formatCode>0,000</c:formatCode>
                <c:ptCount val="1"/>
                <c:pt idx="0">
                  <c:v>-5.8547069337000002</c:v>
                </c:pt>
              </c:numCache>
            </c:numRef>
          </c:xVal>
          <c:yVal>
            <c:numRef>
              <c:f>'Summary(3pcs)'!$N$46:$N$46</c:f>
              <c:numCache>
                <c:formatCode>0,000</c:formatCode>
                <c:ptCount val="1"/>
                <c:pt idx="0">
                  <c:v>7.8868207987000005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'Summary(3pcs)'!$O$44</c:f>
              <c:numCache>
                <c:formatCode>0.00</c:formatCode>
                <c:ptCount val="1"/>
                <c:pt idx="0">
                  <c:v>-3.5849967497000002</c:v>
                </c:pt>
              </c:numCache>
            </c:numRef>
          </c:xVal>
          <c:yVal>
            <c:numRef>
              <c:f>'Summary(3pcs)'!$P$44</c:f>
              <c:numCache>
                <c:formatCode>0.00</c:formatCode>
                <c:ptCount val="1"/>
                <c:pt idx="0">
                  <c:v>9.7853329223000003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720384"/>
        <c:axId val="138721920"/>
      </c:scatterChart>
      <c:valAx>
        <c:axId val="13872038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721920"/>
        <c:crosses val="autoZero"/>
        <c:crossBetween val="midCat"/>
        <c:majorUnit val="10"/>
      </c:valAx>
      <c:valAx>
        <c:axId val="13872192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720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'Summary(3pcs)'!$C$35:$C$36</c:f>
              <c:numCache>
                <c:formatCode>0.000</c:formatCode>
                <c:ptCount val="2"/>
                <c:pt idx="0">
                  <c:v>94.746431120300002</c:v>
                </c:pt>
                <c:pt idx="1">
                  <c:v>91.050542913599998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'Summary(3pcs)'!$F$35:$F$37</c:f>
              <c:numCache>
                <c:formatCode>0.000</c:formatCode>
                <c:ptCount val="3"/>
                <c:pt idx="0">
                  <c:v>94.393146991733332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47488"/>
        <c:axId val="138453376"/>
      </c:scatterChart>
      <c:valAx>
        <c:axId val="138447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53376"/>
        <c:crosses val="autoZero"/>
        <c:crossBetween val="midCat"/>
      </c:valAx>
      <c:valAx>
        <c:axId val="13845337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47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'Summary(3pcs)'!$C$37:$C$39</c:f>
              <c:numCache>
                <c:formatCode>0.000</c:formatCode>
                <c:ptCount val="3"/>
                <c:pt idx="0">
                  <c:v>97.382466941299995</c:v>
                </c:pt>
                <c:pt idx="1">
                  <c:v>97.934243945399999</c:v>
                </c:pt>
                <c:pt idx="2">
                  <c:v>97.073612332400003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'Summary(3pcs)'!$F$38:$F$40</c:f>
              <c:numCache>
                <c:formatCode>0.000</c:formatCode>
                <c:ptCount val="3"/>
                <c:pt idx="0">
                  <c:v>95.591695649966667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66272"/>
        <c:axId val="138572160"/>
      </c:scatterChart>
      <c:valAx>
        <c:axId val="13856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572160"/>
        <c:crosses val="autoZero"/>
        <c:crossBetween val="midCat"/>
      </c:valAx>
      <c:valAx>
        <c:axId val="13857216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566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'Summary(3pcs)'!$C$40:$C$42</c:f>
              <c:numCache>
                <c:formatCode>0,000</c:formatCode>
                <c:ptCount val="3"/>
                <c:pt idx="0">
                  <c:v>91.767230672099998</c:v>
                </c:pt>
                <c:pt idx="1">
                  <c:v>101.77988674380001</c:v>
                </c:pt>
                <c:pt idx="2">
                  <c:v>97.319994226399999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'Summary(3pcs)'!$F$41:$F$43</c:f>
              <c:numCache>
                <c:formatCode>0,000</c:formatCode>
                <c:ptCount val="3"/>
                <c:pt idx="0">
                  <c:v>95.763941690999999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90240"/>
        <c:axId val="138491776"/>
      </c:scatterChart>
      <c:valAx>
        <c:axId val="13849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91776"/>
        <c:crosses val="autoZero"/>
        <c:crossBetween val="midCat"/>
      </c:valAx>
      <c:valAx>
        <c:axId val="13849177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9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'Summary(3pcs)'!$C$43:$C$45</c:f>
              <c:numCache>
                <c:formatCode>0,000</c:formatCode>
                <c:ptCount val="3"/>
                <c:pt idx="0">
                  <c:v>88.191944102799994</c:v>
                </c:pt>
                <c:pt idx="1">
                  <c:v>91.453354449100004</c:v>
                </c:pt>
                <c:pt idx="2">
                  <c:v>88.362855897000003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'Summary(3pcs)'!$F$44:$F$46</c:f>
              <c:numCache>
                <c:formatCode>0,000</c:formatCode>
                <c:ptCount val="3"/>
                <c:pt idx="0">
                  <c:v>89.497147805066675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0064"/>
        <c:axId val="138521600"/>
      </c:scatterChart>
      <c:valAx>
        <c:axId val="138520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521600"/>
        <c:crosses val="autoZero"/>
        <c:crossBetween val="midCat"/>
      </c:valAx>
      <c:valAx>
        <c:axId val="13852160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520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'Summary(3pcs)'!$V$38:$V$40</c:f>
              <c:numCache>
                <c:formatCode>General</c:formatCode>
                <c:ptCount val="3"/>
                <c:pt idx="0">
                  <c:v>3.0031661986999998</c:v>
                </c:pt>
                <c:pt idx="1">
                  <c:v>-1.5422625541999997</c:v>
                </c:pt>
                <c:pt idx="2">
                  <c:v>1.6154556274000003</c:v>
                </c:pt>
              </c:numCache>
            </c:numRef>
          </c:xVal>
          <c:yVal>
            <c:numRef>
              <c:f>'Summary(3pcs)'!$W$38:$W$40</c:f>
              <c:numCache>
                <c:formatCode>General</c:formatCode>
                <c:ptCount val="3"/>
                <c:pt idx="0">
                  <c:v>3.8908824921000003</c:v>
                </c:pt>
                <c:pt idx="1">
                  <c:v>5.0212402344000004</c:v>
                </c:pt>
                <c:pt idx="2">
                  <c:v>8.2811307907000007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'Summary(3pcs)'!$X$38</c:f>
              <c:numCache>
                <c:formatCode>0.00</c:formatCode>
                <c:ptCount val="1"/>
                <c:pt idx="0">
                  <c:v>1.0254530906333335</c:v>
                </c:pt>
              </c:numCache>
            </c:numRef>
          </c:xVal>
          <c:yVal>
            <c:numRef>
              <c:f>'Summary(3pcs)'!$Y$38</c:f>
              <c:numCache>
                <c:formatCode>0.00</c:formatCode>
                <c:ptCount val="1"/>
                <c:pt idx="0">
                  <c:v>5.7310845057333344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763264"/>
        <c:axId val="138777344"/>
      </c:scatterChart>
      <c:valAx>
        <c:axId val="13876326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777344"/>
        <c:crosses val="autoZero"/>
        <c:crossBetween val="midCat"/>
        <c:majorUnit val="10"/>
      </c:valAx>
      <c:valAx>
        <c:axId val="13877734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763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'Summary(3pcs)'!$V$41:$V$43</c:f>
              <c:numCache>
                <c:formatCode>General</c:formatCode>
                <c:ptCount val="3"/>
                <c:pt idx="0">
                  <c:v>-5.0369319915999995</c:v>
                </c:pt>
                <c:pt idx="1">
                  <c:v>-5.4578263759999999</c:v>
                </c:pt>
                <c:pt idx="2">
                  <c:v>-5.8200535773999995</c:v>
                </c:pt>
              </c:numCache>
            </c:numRef>
          </c:xVal>
          <c:yVal>
            <c:numRef>
              <c:f>'Summary(3pcs)'!$W$41:$W$43</c:f>
              <c:numCache>
                <c:formatCode>General</c:formatCode>
                <c:ptCount val="3"/>
                <c:pt idx="0">
                  <c:v>4.0386013985</c:v>
                </c:pt>
                <c:pt idx="1">
                  <c:v>1.4539823531999998</c:v>
                </c:pt>
                <c:pt idx="2">
                  <c:v>2.7778825759999997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'Summary(3pcs)'!$X$41</c:f>
              <c:numCache>
                <c:formatCode>0.00</c:formatCode>
                <c:ptCount val="1"/>
                <c:pt idx="0">
                  <c:v>-5.438270648333333</c:v>
                </c:pt>
              </c:numCache>
            </c:numRef>
          </c:xVal>
          <c:yVal>
            <c:numRef>
              <c:f>'Summary(3pcs)'!$Y$41</c:f>
              <c:numCache>
                <c:formatCode>0.00</c:formatCode>
                <c:ptCount val="1"/>
                <c:pt idx="0">
                  <c:v>2.7568221092333332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79392"/>
        <c:axId val="145180928"/>
      </c:scatterChart>
      <c:valAx>
        <c:axId val="14517939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45180928"/>
        <c:crosses val="autoZero"/>
        <c:crossBetween val="midCat"/>
        <c:majorUnit val="10"/>
      </c:valAx>
      <c:valAx>
        <c:axId val="14518092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45179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'Summary(3pcs)'!$V$44:$V$46</c:f>
              <c:numCache>
                <c:formatCode>General</c:formatCode>
                <c:ptCount val="3"/>
                <c:pt idx="0">
                  <c:v>3.5020685195999999</c:v>
                </c:pt>
                <c:pt idx="1">
                  <c:v>-5.0246298313000004</c:v>
                </c:pt>
                <c:pt idx="2">
                  <c:v>4.5419502258000009</c:v>
                </c:pt>
              </c:numCache>
            </c:numRef>
          </c:xVal>
          <c:yVal>
            <c:numRef>
              <c:f>'Summary(3pcs)'!$W$44:$W$46</c:f>
              <c:numCache>
                <c:formatCode>General</c:formatCode>
                <c:ptCount val="3"/>
                <c:pt idx="0">
                  <c:v>-3.0901036262999999</c:v>
                </c:pt>
                <c:pt idx="1">
                  <c:v>-0.64456915859999997</c:v>
                </c:pt>
                <c:pt idx="2">
                  <c:v>5.6552352905000003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'Summary(3pcs)'!$X$44</c:f>
              <c:numCache>
                <c:formatCode>0.00</c:formatCode>
                <c:ptCount val="1"/>
                <c:pt idx="0">
                  <c:v>1.0064629713666668</c:v>
                </c:pt>
              </c:numCache>
            </c:numRef>
          </c:xVal>
          <c:yVal>
            <c:numRef>
              <c:f>'Summary(3pcs)'!$Y$44</c:f>
              <c:numCache>
                <c:formatCode>0.00</c:formatCode>
                <c:ptCount val="1"/>
                <c:pt idx="0">
                  <c:v>0.64018750186666684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25984"/>
        <c:axId val="138805248"/>
      </c:scatterChart>
      <c:valAx>
        <c:axId val="14522598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805248"/>
        <c:crosses val="autoZero"/>
        <c:crossBetween val="midCat"/>
        <c:majorUnit val="10"/>
      </c:valAx>
      <c:valAx>
        <c:axId val="13880524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45225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'Summary(3pcs)'!$V$35:$V$37</c:f>
              <c:numCache>
                <c:formatCode>General</c:formatCode>
                <c:ptCount val="3"/>
                <c:pt idx="0">
                  <c:v>-4.1857287884000005</c:v>
                </c:pt>
                <c:pt idx="1">
                  <c:v>-0.26834058760000001</c:v>
                </c:pt>
                <c:pt idx="2">
                  <c:v>0.88164591790000024</c:v>
                </c:pt>
              </c:numCache>
            </c:numRef>
          </c:xVal>
          <c:yVal>
            <c:numRef>
              <c:f>'Summary(3pcs)'!$W$35:$W$37</c:f>
              <c:numCache>
                <c:formatCode>General</c:formatCode>
                <c:ptCount val="3"/>
                <c:pt idx="0">
                  <c:v>6.0811624526999992</c:v>
                </c:pt>
                <c:pt idx="1">
                  <c:v>8.7334232329999999</c:v>
                </c:pt>
                <c:pt idx="2">
                  <c:v>1.9431962967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'Summary(3pcs)'!$X$35</c:f>
              <c:numCache>
                <c:formatCode>0.00</c:formatCode>
                <c:ptCount val="1"/>
                <c:pt idx="0">
                  <c:v>-1.1908078193666667</c:v>
                </c:pt>
              </c:numCache>
            </c:numRef>
          </c:xVal>
          <c:yVal>
            <c:numRef>
              <c:f>'Summary(3pcs)'!$Y$35</c:f>
              <c:numCache>
                <c:formatCode>0.00</c:formatCode>
                <c:ptCount val="1"/>
                <c:pt idx="0">
                  <c:v>5.5859273274666661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862592"/>
        <c:axId val="138864128"/>
      </c:scatterChart>
      <c:valAx>
        <c:axId val="13886259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864128"/>
        <c:crosses val="autoZero"/>
        <c:crossBetween val="midCat"/>
        <c:majorUnit val="10"/>
      </c:valAx>
      <c:valAx>
        <c:axId val="13886412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862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30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30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30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30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30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30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721178</xdr:colOff>
      <xdr:row>31</xdr:row>
      <xdr:rowOff>163285</xdr:rowOff>
    </xdr:from>
    <xdr:to>
      <xdr:col>15</xdr:col>
      <xdr:colOff>762000</xdr:colOff>
      <xdr:row>31</xdr:row>
      <xdr:rowOff>748393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552464" y="367392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6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6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40" t="s">
        <v>150</v>
      </c>
      <c r="B1" s="40" t="s">
        <v>151</v>
      </c>
      <c r="C1" s="40" t="s">
        <v>152</v>
      </c>
      <c r="D1" s="40" t="s">
        <v>153</v>
      </c>
      <c r="E1" s="40" t="s">
        <v>158</v>
      </c>
    </row>
    <row r="2" spans="1:5">
      <c r="A2" s="40">
        <v>1</v>
      </c>
      <c r="B2" s="40" t="s">
        <v>154</v>
      </c>
      <c r="C2" s="40">
        <v>0.2</v>
      </c>
      <c r="D2" s="40" t="s">
        <v>155</v>
      </c>
      <c r="E2" s="40"/>
    </row>
    <row r="3" spans="1:5">
      <c r="A3" s="40">
        <v>2</v>
      </c>
      <c r="B3" s="40" t="s">
        <v>160</v>
      </c>
      <c r="C3" s="40">
        <v>0.2</v>
      </c>
      <c r="D3" s="40" t="s">
        <v>161</v>
      </c>
      <c r="E3" s="40"/>
    </row>
    <row r="4" spans="1:5">
      <c r="A4" s="40"/>
      <c r="B4" s="40"/>
      <c r="C4" s="40"/>
      <c r="D4" s="40"/>
      <c r="E4" s="40"/>
    </row>
    <row r="5" spans="1:5">
      <c r="A5" s="40"/>
      <c r="B5" s="40"/>
      <c r="C5" s="40"/>
      <c r="D5" s="40"/>
      <c r="E5" s="40"/>
    </row>
    <row r="6" spans="1:5">
      <c r="A6" s="40"/>
      <c r="B6" s="40"/>
      <c r="C6" s="40"/>
      <c r="D6" s="40"/>
      <c r="E6" s="40"/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"/>
  <sheetViews>
    <sheetView showGridLines="0" workbookViewId="0">
      <selection activeCell="C16" sqref="C16"/>
    </sheetView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9" t="s">
        <v>146</v>
      </c>
      <c r="B1" s="38">
        <v>4</v>
      </c>
    </row>
    <row r="2" spans="1:5" ht="36.75" customHeight="1">
      <c r="A2" s="19" t="s">
        <v>117</v>
      </c>
      <c r="B2" s="19" t="s">
        <v>118</v>
      </c>
      <c r="C2" s="19" t="s">
        <v>119</v>
      </c>
      <c r="D2" s="19" t="s">
        <v>120</v>
      </c>
      <c r="E2" s="19" t="s">
        <v>146</v>
      </c>
    </row>
    <row r="3" spans="1:5">
      <c r="A3" s="41"/>
      <c r="B3" s="20" t="s">
        <v>9</v>
      </c>
      <c r="C3" s="20" t="str">
        <f>$C$8&amp;"_"&amp;D3</f>
        <v>D:\EVMS\TP\ELOG\VSY832XN9P15_2022092321_D50_ON_OC.csv</v>
      </c>
      <c r="D3" s="20" t="s">
        <v>135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D:\EVMS\TP\ELOG\VSY832XN9P15_2022092321_FPDC_INFD_normal.csv</v>
      </c>
      <c r="D4" s="20" t="s">
        <v>121</v>
      </c>
    </row>
    <row r="5" spans="1:5">
      <c r="B5" s="20" t="s">
        <v>122</v>
      </c>
      <c r="C5" s="20" t="str">
        <f t="shared" si="0"/>
        <v>D:\EVMS\TP\ELOG\VSY832XN9P15_2022092321_INFDMargin_IPQC.csv</v>
      </c>
      <c r="D5" s="20" t="s">
        <v>123</v>
      </c>
    </row>
    <row r="6" spans="1:5">
      <c r="B6" s="20" t="s">
        <v>124</v>
      </c>
      <c r="C6" s="20" t="str">
        <f t="shared" si="0"/>
        <v>D:\EVMS\TP\ELOG\VSY832XN9P15_2022092321_VCM_MEASURE.csv</v>
      </c>
      <c r="D6" s="20" t="s">
        <v>125</v>
      </c>
    </row>
    <row r="7" spans="1:5">
      <c r="B7" s="22" t="s">
        <v>126</v>
      </c>
      <c r="C7" s="22" t="s">
        <v>127</v>
      </c>
      <c r="D7" s="22"/>
    </row>
    <row r="8" spans="1:5">
      <c r="B8" s="23" t="s">
        <v>128</v>
      </c>
      <c r="C8" s="24" t="s">
        <v>172</v>
      </c>
      <c r="D8" s="20"/>
    </row>
  </sheetData>
  <phoneticPr fontId="6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6"/>
  <sheetViews>
    <sheetView showGridLines="0" tabSelected="1" topLeftCell="A31" zoomScale="70" zoomScaleNormal="70" workbookViewId="0">
      <selection activeCell="U49" sqref="U49"/>
    </sheetView>
  </sheetViews>
  <sheetFormatPr defaultColWidth="8.875" defaultRowHeight="14.25"/>
  <cols>
    <col min="1" max="1" width="6.75" style="27" customWidth="1"/>
    <col min="2" max="2" width="17.25" style="27" customWidth="1"/>
    <col min="3" max="5" width="13" style="27" customWidth="1"/>
    <col min="6" max="8" width="12.125" style="27" customWidth="1"/>
    <col min="9" max="9" width="8.125" style="27" customWidth="1"/>
    <col min="10" max="10" width="7.5" customWidth="1"/>
    <col min="11" max="11" width="6.75" style="27" customWidth="1"/>
    <col min="12" max="12" width="17.25" style="27" customWidth="1"/>
    <col min="13" max="14" width="13" style="27" customWidth="1"/>
    <col min="15" max="16" width="12.12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7.25" style="27" customWidth="1"/>
    <col min="22" max="23" width="13" style="27" customWidth="1"/>
    <col min="24" max="25" width="12.12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4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s="34" customFormat="1" ht="16.5" hidden="1" customHeight="1">
      <c r="J30"/>
    </row>
    <row r="31" spans="2:35" ht="16.5" customHeight="1">
      <c r="R31" s="32" t="s">
        <v>133</v>
      </c>
      <c r="AA31" s="25" t="s">
        <v>129</v>
      </c>
    </row>
    <row r="32" spans="2:35" ht="60.75" customHeight="1">
      <c r="B32" s="87" t="s">
        <v>14</v>
      </c>
      <c r="M32" s="87" t="s">
        <v>9</v>
      </c>
      <c r="R32" s="75" t="s">
        <v>157</v>
      </c>
      <c r="S32" s="83" t="s">
        <v>159</v>
      </c>
      <c r="T32" s="84"/>
      <c r="U32" s="87" t="s">
        <v>2</v>
      </c>
      <c r="AA32" s="25" t="s">
        <v>130</v>
      </c>
      <c r="AE32" s="36"/>
      <c r="AF32" s="36"/>
      <c r="AG32" s="36"/>
      <c r="AH32" s="36"/>
      <c r="AI32" s="36"/>
    </row>
    <row r="33" spans="1:37" ht="17.100000000000001" customHeight="1">
      <c r="B33" s="88"/>
      <c r="C33" s="28" t="s">
        <v>17</v>
      </c>
      <c r="D33" s="28">
        <f>5.1^2/(150-5.1)*1000</f>
        <v>179.50310559006209</v>
      </c>
      <c r="M33" s="88"/>
      <c r="U33" s="88"/>
      <c r="AE33" s="37"/>
      <c r="AF33" s="37"/>
      <c r="AG33" s="37"/>
      <c r="AH33" s="37"/>
      <c r="AI33" s="37"/>
    </row>
    <row r="34" spans="1:37" s="30" customFormat="1" ht="30">
      <c r="A34" s="45" t="s">
        <v>1</v>
      </c>
      <c r="B34" s="45" t="s">
        <v>0</v>
      </c>
      <c r="C34" s="46" t="s">
        <v>15</v>
      </c>
      <c r="D34" s="46" t="s">
        <v>108</v>
      </c>
      <c r="E34" s="46" t="s">
        <v>16</v>
      </c>
      <c r="F34" s="47" t="s">
        <v>18</v>
      </c>
      <c r="G34" s="47" t="s">
        <v>20</v>
      </c>
      <c r="H34" s="47" t="s">
        <v>19</v>
      </c>
      <c r="I34" s="48" t="s">
        <v>21</v>
      </c>
      <c r="J34"/>
      <c r="K34" s="45" t="s">
        <v>1</v>
      </c>
      <c r="L34" s="45" t="s">
        <v>0</v>
      </c>
      <c r="M34" s="46" t="s">
        <v>115</v>
      </c>
      <c r="N34" s="46" t="s">
        <v>116</v>
      </c>
      <c r="O34" s="47" t="s">
        <v>10</v>
      </c>
      <c r="P34" s="47" t="s">
        <v>11</v>
      </c>
      <c r="Q34" s="48" t="s">
        <v>12</v>
      </c>
      <c r="R34" s="48" t="s">
        <v>13</v>
      </c>
      <c r="T34" s="45" t="s">
        <v>1</v>
      </c>
      <c r="U34" s="45" t="s">
        <v>0</v>
      </c>
      <c r="V34" s="46" t="s">
        <v>3</v>
      </c>
      <c r="W34" s="46" t="s">
        <v>4</v>
      </c>
      <c r="X34" s="47" t="s">
        <v>5</v>
      </c>
      <c r="Y34" s="47" t="s">
        <v>6</v>
      </c>
      <c r="Z34" s="48" t="s">
        <v>7</v>
      </c>
      <c r="AA34" s="48" t="s">
        <v>8</v>
      </c>
    </row>
    <row r="35" spans="1:37" ht="17.100000000000001" customHeight="1">
      <c r="A35" s="78">
        <f>T35</f>
        <v>1</v>
      </c>
      <c r="B35" s="79" t="str">
        <f>IPQC!K2</f>
        <v>22cd05160894</v>
      </c>
      <c r="C35" s="50">
        <f>IPQC!T2+VLOOKUP($R$32,$AD$39:$AK$43,6,FALSE)+VLOOKUP('File location'!$B$1,'Tester offset'!$A$2:$D$4,2,FALSE)</f>
        <v>94.746431120300002</v>
      </c>
      <c r="D35" s="50">
        <f>IPQC!AA2+VLOOKUP($R$32,$AD$39:$AK$43,6,FALSE)</f>
        <v>77.123183725299995</v>
      </c>
      <c r="E35" s="50">
        <f>VCM!HV2-'Summary(3pcs)'!C35-'Summary(3pcs)'!$D$33</f>
        <v>143.79854886313785</v>
      </c>
      <c r="F35" s="86">
        <f>AVERAGEIF($A$35:$A$46,1,$C$35:$C$46)</f>
        <v>94.393146991733332</v>
      </c>
      <c r="G35" s="90">
        <f>AVERAGEIF($A$35:$A$46,1,$D$35:$D$46)</f>
        <v>75.701417546299993</v>
      </c>
      <c r="H35" s="90">
        <f>AVERAGEIF($A$35:$A$46,1,$E$35:$E$46)</f>
        <v>146.7736094607379</v>
      </c>
      <c r="I35" s="90">
        <f>85-F35</f>
        <v>-9.3931469917333317</v>
      </c>
      <c r="K35" s="78">
        <f>T35</f>
        <v>1</v>
      </c>
      <c r="L35" s="79" t="str">
        <f>OC!K2</f>
        <v>22cd05160894</v>
      </c>
      <c r="M35" s="50">
        <f>OC!T2+VLOOKUP($R$32,$AD$39:$AK$43,4,FALSE)</f>
        <v>5.6255330102999999</v>
      </c>
      <c r="N35" s="50">
        <f>OC!U2+VLOOKUP($R$32,$AD$39:$AK$43,5,FALSE)</f>
        <v>0.66061105379999985</v>
      </c>
      <c r="O35" s="85">
        <f>AVERAGEIF($K$35:$K$46,1,$M$35:$M$46)</f>
        <v>1.6539377784333336</v>
      </c>
      <c r="P35" s="85">
        <f>AVERAGEIF($K$35:$K$46,1,$N$35:$N$46)</f>
        <v>-2.2925432762999995</v>
      </c>
      <c r="Q35" s="86">
        <f>P35*0.001</f>
        <v>-2.2925432762999996E-3</v>
      </c>
      <c r="R35" s="86">
        <f>O35*0.001</f>
        <v>1.6539377784333335E-3</v>
      </c>
      <c r="S35" s="34"/>
      <c r="T35" s="78">
        <v>1</v>
      </c>
      <c r="U35" s="79" t="str">
        <f>FPDC!K2</f>
        <v>22cd05160894</v>
      </c>
      <c r="V35" s="76">
        <f>FPDC!S2+VLOOKUP($R$32,$AD$39:$AK$43,2,FALSE)+VLOOKUP($R$32,$AD$39:$AK$43,7,FALSE)+VLOOKUP('File location'!$B$1,'Tester offset'!$A$2:$D$4,3,FALSE)</f>
        <v>-4.1857287884000005</v>
      </c>
      <c r="W35" s="77">
        <f>FPDC!T2+VLOOKUP($R$32,$AD$39:$AK$43,3,FALSE)+VLOOKUP($R$32,$AD$39:$AK$43,8,FALSE)+VLOOKUP('File location'!$B$1,'Tester offset'!$A$2:$D$4,4,FALSE)</f>
        <v>6.0811624526999992</v>
      </c>
      <c r="X35" s="85">
        <f>AVERAGEIF($T$35:$T$46,1,$V$35:$V$46)</f>
        <v>-1.1908078193666667</v>
      </c>
      <c r="Y35" s="85">
        <f>AVERAGEIF($T$35:$T$46,1,$W$35:$W$46)</f>
        <v>5.5859273274666661</v>
      </c>
      <c r="Z35" s="86">
        <f>(X35*-0.01)/4</f>
        <v>2.9770195484166667E-3</v>
      </c>
      <c r="AA35" s="86">
        <f>(Y35*-0.01)/4</f>
        <v>-1.3964818318666666E-2</v>
      </c>
    </row>
    <row r="36" spans="1:37" ht="17.100000000000001" customHeight="1">
      <c r="A36" s="78">
        <f t="shared" ref="A36:A46" si="0">T36</f>
        <v>1</v>
      </c>
      <c r="B36" s="79" t="str">
        <f>IPQC!K3</f>
        <v>22cd05160388</v>
      </c>
      <c r="C36" s="50">
        <f>IPQC!T3+VLOOKUP($R$32,$AD$39:$AK$43,6,FALSE)+VLOOKUP('File location'!$B$1,'Tester offset'!$A$2:$D$4,2,FALSE)</f>
        <v>91.050542913599998</v>
      </c>
      <c r="D36" s="50">
        <f>IPQC!AA3+VLOOKUP($R$32,$AD$39:$AK$43,6,FALSE)</f>
        <v>73.933912644399996</v>
      </c>
      <c r="E36" s="50">
        <f>VCM!HV3-'Summary(3pcs)'!C36-'Summary(3pcs)'!$D$33</f>
        <v>140.63312808543793</v>
      </c>
      <c r="F36" s="86"/>
      <c r="G36" s="90"/>
      <c r="H36" s="90"/>
      <c r="I36" s="90"/>
      <c r="K36" s="78">
        <f t="shared" ref="K36:K46" si="1">T36</f>
        <v>1</v>
      </c>
      <c r="L36" s="79" t="str">
        <f>OC!K3</f>
        <v>22cd05160388</v>
      </c>
      <c r="M36" s="50">
        <f>OC!T3+VLOOKUP($R$32,$AD$39:$AK$43,4,FALSE)</f>
        <v>1.7652764602</v>
      </c>
      <c r="N36" s="50">
        <f>OC!U3+VLOOKUP($R$32,$AD$39:$AK$43,5,FALSE)</f>
        <v>-5.8384487240999992</v>
      </c>
      <c r="O36" s="85"/>
      <c r="P36" s="85"/>
      <c r="Q36" s="86"/>
      <c r="R36" s="86"/>
      <c r="S36" s="34"/>
      <c r="T36" s="78">
        <v>1</v>
      </c>
      <c r="U36" s="79" t="str">
        <f>FPDC!K3</f>
        <v>22cd05160388</v>
      </c>
      <c r="V36" s="76">
        <f>FPDC!S3+VLOOKUP($R$32,$AD$39:$AK$43,2,FALSE)+VLOOKUP($R$32,$AD$39:$AK$43,7,FALSE)+VLOOKUP('File location'!$B$1,'Tester offset'!$A$2:$D$4,3,FALSE)</f>
        <v>-0.26834058760000001</v>
      </c>
      <c r="W36" s="77">
        <f>FPDC!T3+VLOOKUP($R$32,$AD$39:$AK$43,3,FALSE)+VLOOKUP($R$32,$AD$39:$AK$43,8,FALSE)+VLOOKUP('File location'!$B$1,'Tester offset'!$A$2:$D$4,4,FALSE)</f>
        <v>8.7334232329999999</v>
      </c>
      <c r="X36" s="85"/>
      <c r="Y36" s="85"/>
      <c r="Z36" s="86"/>
      <c r="AA36" s="86"/>
    </row>
    <row r="37" spans="1:37" ht="17.100000000000001" customHeight="1">
      <c r="A37" s="78">
        <f t="shared" si="0"/>
        <v>1</v>
      </c>
      <c r="B37" s="79" t="str">
        <f>IPQC!K4</f>
        <v>22cd05170665</v>
      </c>
      <c r="C37" s="50">
        <f>IPQC!T4+VLOOKUP($R$32,$AD$39:$AK$43,6,FALSE)+VLOOKUP('File location'!$B$1,'Tester offset'!$A$2:$D$4,2,FALSE)</f>
        <v>97.382466941299995</v>
      </c>
      <c r="D37" s="50">
        <f>IPQC!AA4+VLOOKUP($R$32,$AD$39:$AK$43,6,FALSE)</f>
        <v>76.047156269200002</v>
      </c>
      <c r="E37" s="50">
        <f>VCM!HV4-'Summary(3pcs)'!C37-'Summary(3pcs)'!$D$33</f>
        <v>155.88915143363795</v>
      </c>
      <c r="F37" s="86"/>
      <c r="G37" s="90"/>
      <c r="H37" s="90"/>
      <c r="I37" s="90"/>
      <c r="K37" s="78">
        <f t="shared" si="1"/>
        <v>1</v>
      </c>
      <c r="L37" s="79" t="str">
        <f>OC!K4</f>
        <v>22cd05170665</v>
      </c>
      <c r="M37" s="50">
        <f>OC!T4+VLOOKUP($R$32,$AD$39:$AK$43,4,FALSE)</f>
        <v>-2.4289961351999998</v>
      </c>
      <c r="N37" s="50">
        <f>OC!U4+VLOOKUP($R$32,$AD$39:$AK$43,5,FALSE)</f>
        <v>-1.6997921586000002</v>
      </c>
      <c r="O37" s="85"/>
      <c r="P37" s="85"/>
      <c r="Q37" s="86"/>
      <c r="R37" s="86"/>
      <c r="S37" s="34"/>
      <c r="T37" s="78">
        <v>1</v>
      </c>
      <c r="U37" s="79" t="str">
        <f>FPDC!K4</f>
        <v>22cd05170665</v>
      </c>
      <c r="V37" s="76">
        <f>FPDC!S4+VLOOKUP($R$32,$AD$39:$AK$43,2,FALSE)+VLOOKUP($R$32,$AD$39:$AK$43,7,FALSE)+VLOOKUP('File location'!$B$1,'Tester offset'!$A$2:$D$4,3,FALSE)</f>
        <v>0.88164591790000024</v>
      </c>
      <c r="W37" s="77">
        <f>FPDC!T4+VLOOKUP($R$32,$AD$39:$AK$43,3,FALSE)+VLOOKUP($R$32,$AD$39:$AK$43,8,FALSE)+VLOOKUP('File location'!$B$1,'Tester offset'!$A$2:$D$4,4,FALSE)</f>
        <v>1.9431962967</v>
      </c>
      <c r="X37" s="85"/>
      <c r="Y37" s="85"/>
      <c r="Z37" s="86"/>
      <c r="AA37" s="86"/>
      <c r="AD37" s="89" t="s">
        <v>144</v>
      </c>
      <c r="AE37" s="89" t="s">
        <v>137</v>
      </c>
      <c r="AF37" s="89"/>
      <c r="AG37" s="89"/>
      <c r="AH37" s="89"/>
      <c r="AI37" s="89"/>
      <c r="AJ37" s="89" t="s">
        <v>143</v>
      </c>
      <c r="AK37" s="89"/>
    </row>
    <row r="38" spans="1:37" ht="17.100000000000001" customHeight="1">
      <c r="A38" s="78">
        <f t="shared" si="0"/>
        <v>2</v>
      </c>
      <c r="B38" s="79" t="str">
        <f>IPQC!K5</f>
        <v>22cd05160825</v>
      </c>
      <c r="C38" s="50">
        <f>IPQC!T5+VLOOKUP($R$32,$AD$39:$AK$43,6,FALSE)+VLOOKUP('File location'!$B$1,'Tester offset'!$A$2:$D$4,2,FALSE)</f>
        <v>97.934243945399999</v>
      </c>
      <c r="D38" s="50">
        <f>IPQC!AA5+VLOOKUP($R$32,$AD$39:$AK$43,6,FALSE)</f>
        <v>84.0391563811</v>
      </c>
      <c r="E38" s="50">
        <f>VCM!HV5-'Summary(3pcs)'!C38-'Summary(3pcs)'!$D$33</f>
        <v>145.27581270633789</v>
      </c>
      <c r="F38" s="86">
        <f>AVERAGEIF($A$35:$A$46,2,$C$35:$C$46)</f>
        <v>95.591695649966667</v>
      </c>
      <c r="G38" s="90">
        <f>AVERAGEIF($A$35:$A$46,2,$D$35:$D$46)</f>
        <v>80.247757057533349</v>
      </c>
      <c r="H38" s="90">
        <f>AVERAGEIF($A$35:$A$46,2,$E$35:$E$46)</f>
        <v>141.43915957377126</v>
      </c>
      <c r="I38" s="90">
        <f>85-F38</f>
        <v>-10.591695649966667</v>
      </c>
      <c r="K38" s="78">
        <f t="shared" si="1"/>
        <v>2</v>
      </c>
      <c r="L38" s="79" t="str">
        <f>OC!K5</f>
        <v>22cd05160825</v>
      </c>
      <c r="M38" s="50">
        <f>OC!T5+VLOOKUP($R$32,$AD$39:$AK$43,4,FALSE)</f>
        <v>3.1149160629999999</v>
      </c>
      <c r="N38" s="50">
        <f>OC!U5+VLOOKUP($R$32,$AD$39:$AK$43,5,FALSE)</f>
        <v>0.3079464516999999</v>
      </c>
      <c r="O38" s="85">
        <f>AVERAGEIF($K$35:$K$46,2,$M$35:$M$46)</f>
        <v>1.6738138878666666</v>
      </c>
      <c r="P38" s="85">
        <f>AVERAGEIF($K$35:$K$46,2,$N$35:$N$46)</f>
        <v>-0.94500436396666665</v>
      </c>
      <c r="Q38" s="86">
        <f>P38*0.001</f>
        <v>-9.4500436396666664E-4</v>
      </c>
      <c r="R38" s="86">
        <f>O38*0.001</f>
        <v>1.6738138878666666E-3</v>
      </c>
      <c r="S38" s="34"/>
      <c r="T38" s="78">
        <v>2</v>
      </c>
      <c r="U38" s="79" t="str">
        <f>FPDC!K5</f>
        <v>22cd05160825</v>
      </c>
      <c r="V38" s="76">
        <f>FPDC!S5+VLOOKUP($R$32,$AD$39:$AK$43,2,FALSE)+VLOOKUP($R$32,$AD$39:$AK$43,7,FALSE)+VLOOKUP('File location'!$B$1,'Tester offset'!$A$2:$D$4,3,FALSE)</f>
        <v>3.0031661986999998</v>
      </c>
      <c r="W38" s="77">
        <f>FPDC!T5+VLOOKUP($R$32,$AD$39:$AK$43,3,FALSE)+VLOOKUP($R$32,$AD$39:$AK$43,8,FALSE)+VLOOKUP('File location'!$B$1,'Tester offset'!$A$2:$D$4,4,FALSE)</f>
        <v>3.8908824921000003</v>
      </c>
      <c r="X38" s="85">
        <f>AVERAGEIF($T$35:$T$46,2,$V$35:$V$46)</f>
        <v>1.0254530906333335</v>
      </c>
      <c r="Y38" s="85">
        <f>AVERAGEIF($T$35:$T$46,2,$W$35:$W$46)</f>
        <v>5.7310845057333344</v>
      </c>
      <c r="Z38" s="86">
        <f>(X38*-0.01)/4</f>
        <v>-2.5636327265833336E-3</v>
      </c>
      <c r="AA38" s="86">
        <f>(Y38*-0.01)/4</f>
        <v>-1.4327711264333336E-2</v>
      </c>
      <c r="AD38" s="89"/>
      <c r="AE38" s="33" t="s">
        <v>138</v>
      </c>
      <c r="AF38" s="33" t="s">
        <v>139</v>
      </c>
      <c r="AG38" s="33" t="s">
        <v>140</v>
      </c>
      <c r="AH38" s="33" t="s">
        <v>141</v>
      </c>
      <c r="AI38" s="33" t="s">
        <v>142</v>
      </c>
      <c r="AJ38" s="33" t="s">
        <v>138</v>
      </c>
      <c r="AK38" s="33" t="s">
        <v>139</v>
      </c>
    </row>
    <row r="39" spans="1:37" ht="17.100000000000001" customHeight="1">
      <c r="A39" s="78">
        <f t="shared" si="0"/>
        <v>2</v>
      </c>
      <c r="B39" s="79" t="str">
        <f>IPQC!K6</f>
        <v>22cd05160109</v>
      </c>
      <c r="C39" s="50">
        <f>IPQC!T6+VLOOKUP($R$32,$AD$39:$AK$43,6,FALSE)+VLOOKUP('File location'!$B$1,'Tester offset'!$A$2:$D$4,2,FALSE)</f>
        <v>97.073612332400003</v>
      </c>
      <c r="D39" s="50">
        <f>IPQC!AA6+VLOOKUP($R$32,$AD$39:$AK$43,6,FALSE)</f>
        <v>82.262448359399997</v>
      </c>
      <c r="E39" s="50">
        <f>VCM!HV6-'Summary(3pcs)'!C39-'Summary(3pcs)'!$D$33</f>
        <v>142.14651730613792</v>
      </c>
      <c r="F39" s="86"/>
      <c r="G39" s="90"/>
      <c r="H39" s="90"/>
      <c r="I39" s="90"/>
      <c r="K39" s="78">
        <f t="shared" si="1"/>
        <v>2</v>
      </c>
      <c r="L39" s="79" t="str">
        <f>OC!K6</f>
        <v>22cd05160109</v>
      </c>
      <c r="M39" s="50">
        <f>OC!T6+VLOOKUP($R$32,$AD$39:$AK$43,4,FALSE)</f>
        <v>1.3250759382999999</v>
      </c>
      <c r="N39" s="50">
        <f>OC!U6+VLOOKUP($R$32,$AD$39:$AK$43,5,FALSE)</f>
        <v>0.52151840179999986</v>
      </c>
      <c r="O39" s="85"/>
      <c r="P39" s="85"/>
      <c r="Q39" s="86"/>
      <c r="R39" s="86"/>
      <c r="S39" s="34"/>
      <c r="T39" s="78">
        <v>2</v>
      </c>
      <c r="U39" s="79" t="str">
        <f>FPDC!K6</f>
        <v>22cd05160109</v>
      </c>
      <c r="V39" s="76">
        <f>FPDC!S6+VLOOKUP($R$32,$AD$39:$AK$43,2,FALSE)+VLOOKUP($R$32,$AD$39:$AK$43,7,FALSE)+VLOOKUP('File location'!$B$1,'Tester offset'!$A$2:$D$4,3,FALSE)</f>
        <v>-1.5422625541999997</v>
      </c>
      <c r="W39" s="77">
        <f>FPDC!T6+VLOOKUP($R$32,$AD$39:$AK$43,3,FALSE)+VLOOKUP($R$32,$AD$39:$AK$43,8,FALSE)+VLOOKUP('File location'!$B$1,'Tester offset'!$A$2:$D$4,4,FALSE)</f>
        <v>5.0212402344000004</v>
      </c>
      <c r="X39" s="85"/>
      <c r="Y39" s="85"/>
      <c r="Z39" s="86"/>
      <c r="AA39" s="86"/>
      <c r="AD39" s="33" t="s">
        <v>131</v>
      </c>
      <c r="AE39" s="33">
        <v>1</v>
      </c>
      <c r="AF39" s="33">
        <v>0</v>
      </c>
      <c r="AG39" s="33">
        <v>0</v>
      </c>
      <c r="AH39" s="33">
        <v>4</v>
      </c>
      <c r="AI39" s="33">
        <v>6</v>
      </c>
      <c r="AJ39" s="33">
        <v>-4</v>
      </c>
      <c r="AK39" s="33">
        <v>-3</v>
      </c>
    </row>
    <row r="40" spans="1:37" ht="17.100000000000001" customHeight="1">
      <c r="A40" s="78">
        <f t="shared" si="0"/>
        <v>2</v>
      </c>
      <c r="B40" s="79" t="str">
        <f>IPQC!K7</f>
        <v>22cd05160475</v>
      </c>
      <c r="C40" s="50">
        <f>IPQC!T7+VLOOKUP($R$32,$AD$39:$AK$43,6,FALSE)+VLOOKUP('File location'!$B$1,'Tester offset'!$A$2:$D$4,2,FALSE)</f>
        <v>91.767230672099998</v>
      </c>
      <c r="D40" s="50">
        <f>IPQC!AA7+VLOOKUP($R$32,$AD$39:$AK$43,6,FALSE)</f>
        <v>74.441666432100007</v>
      </c>
      <c r="E40" s="50">
        <f>VCM!HV7-'Summary(3pcs)'!C40-'Summary(3pcs)'!$D$33</f>
        <v>136.89514870883795</v>
      </c>
      <c r="F40" s="86"/>
      <c r="G40" s="90"/>
      <c r="H40" s="90"/>
      <c r="I40" s="90"/>
      <c r="K40" s="78">
        <f t="shared" si="1"/>
        <v>2</v>
      </c>
      <c r="L40" s="79" t="str">
        <f>OC!K7</f>
        <v>22cd05160475</v>
      </c>
      <c r="M40" s="50">
        <f>OC!T7+VLOOKUP($R$32,$AD$39:$AK$43,4,FALSE)</f>
        <v>0.58144966229999995</v>
      </c>
      <c r="N40" s="50">
        <f>OC!U7+VLOOKUP($R$32,$AD$39:$AK$43,5,FALSE)</f>
        <v>-3.6644779453999998</v>
      </c>
      <c r="O40" s="85"/>
      <c r="P40" s="85"/>
      <c r="Q40" s="86"/>
      <c r="R40" s="86"/>
      <c r="S40" s="34"/>
      <c r="T40" s="78">
        <v>2</v>
      </c>
      <c r="U40" s="79" t="str">
        <f>FPDC!K7</f>
        <v>22cd05160475</v>
      </c>
      <c r="V40" s="76">
        <f>FPDC!S7+VLOOKUP($R$32,$AD$39:$AK$43,2,FALSE)+VLOOKUP($R$32,$AD$39:$AK$43,7,FALSE)+VLOOKUP('File location'!$B$1,'Tester offset'!$A$2:$D$4,3,FALSE)</f>
        <v>1.6154556274000003</v>
      </c>
      <c r="W40" s="77">
        <f>FPDC!T7+VLOOKUP($R$32,$AD$39:$AK$43,3,FALSE)+VLOOKUP($R$32,$AD$39:$AK$43,8,FALSE)+VLOOKUP('File location'!$B$1,'Tester offset'!$A$2:$D$4,4,FALSE)</f>
        <v>8.2811307907000007</v>
      </c>
      <c r="X40" s="85"/>
      <c r="Y40" s="85"/>
      <c r="Z40" s="86"/>
      <c r="AA40" s="86"/>
      <c r="AD40" s="31" t="s">
        <v>132</v>
      </c>
      <c r="AE40" s="31">
        <v>0</v>
      </c>
      <c r="AF40" s="31">
        <v>0</v>
      </c>
      <c r="AG40" s="31">
        <v>0</v>
      </c>
      <c r="AH40" s="31">
        <v>4</v>
      </c>
      <c r="AI40" s="31">
        <v>0</v>
      </c>
      <c r="AJ40" s="33">
        <v>-4</v>
      </c>
      <c r="AK40" s="33">
        <v>-3</v>
      </c>
    </row>
    <row r="41" spans="1:37" ht="17.100000000000001" customHeight="1">
      <c r="A41" s="78">
        <f t="shared" si="0"/>
        <v>3</v>
      </c>
      <c r="B41" s="79" t="str">
        <f>IPQC!K8</f>
        <v>22cd05160744</v>
      </c>
      <c r="C41" s="50">
        <f>IPQC!T8+VLOOKUP($R$32,$AD$39:$AK$43,6,FALSE)+VLOOKUP('File location'!$B$1,'Tester offset'!$A$2:$D$4,2,FALSE)</f>
        <v>101.77988674380001</v>
      </c>
      <c r="D41" s="50">
        <f>IPQC!AA8+VLOOKUP($R$32,$AD$39:$AK$43,6,FALSE)</f>
        <v>83.449614524099999</v>
      </c>
      <c r="E41" s="50">
        <f>VCM!HV8-'Summary(3pcs)'!C41-'Summary(3pcs)'!$D$33</f>
        <v>142.88100679113791</v>
      </c>
      <c r="F41" s="86">
        <f>AVERAGEIF($A$35:$A$46,3,$C$35:$C$46)</f>
        <v>95.763941690999999</v>
      </c>
      <c r="G41" s="90">
        <f>AVERAGEIF($A$35:$A$46,3,$D$35:$D$46)</f>
        <v>78.518891288000006</v>
      </c>
      <c r="H41" s="90">
        <f>AVERAGEIF($A$35:$A$46,3,$E$35:$E$46)</f>
        <v>143.55007147367124</v>
      </c>
      <c r="I41" s="90">
        <f>85-F41</f>
        <v>-10.763941690999999</v>
      </c>
      <c r="K41" s="78">
        <f t="shared" si="1"/>
        <v>3</v>
      </c>
      <c r="L41" s="79" t="str">
        <f>OC!K8</f>
        <v>22cd05160744</v>
      </c>
      <c r="M41" s="50">
        <f>OC!T8+VLOOKUP($R$32,$AD$39:$AK$43,4,FALSE)</f>
        <v>-4.7559123572999997</v>
      </c>
      <c r="N41" s="50">
        <f>OC!U8+VLOOKUP($R$32,$AD$39:$AK$43,5,FALSE)</f>
        <v>2.2681345030999998</v>
      </c>
      <c r="O41" s="85">
        <f>AVERAGEIF($K$35:$K$46,3,$M$35:$M$46)</f>
        <v>-6.0772740345000003</v>
      </c>
      <c r="P41" s="85">
        <f>AVERAGEIF($K$35:$K$46,3,$N$35:$N$46)</f>
        <v>2.9119435420333333</v>
      </c>
      <c r="Q41" s="86">
        <f>P41*0.001</f>
        <v>2.9119435420333333E-3</v>
      </c>
      <c r="R41" s="86">
        <f>O41*0.001</f>
        <v>-6.0772740345000006E-3</v>
      </c>
      <c r="S41" s="34"/>
      <c r="T41" s="78">
        <v>3</v>
      </c>
      <c r="U41" s="79" t="str">
        <f>FPDC!K8</f>
        <v>22cd05160744</v>
      </c>
      <c r="V41" s="76">
        <f>FPDC!S8+VLOOKUP($R$32,$AD$39:$AK$43,2,FALSE)+VLOOKUP($R$32,$AD$39:$AK$43,7,FALSE)+VLOOKUP('File location'!$B$1,'Tester offset'!$A$2:$D$4,3,FALSE)</f>
        <v>-5.0369319915999995</v>
      </c>
      <c r="W41" s="77">
        <f>FPDC!T8+VLOOKUP($R$32,$AD$39:$AK$43,3,FALSE)+VLOOKUP($R$32,$AD$39:$AK$43,8,FALSE)+VLOOKUP('File location'!$B$1,'Tester offset'!$A$2:$D$4,4,FALSE)</f>
        <v>4.0386013985</v>
      </c>
      <c r="X41" s="85">
        <f>AVERAGEIF($T$35:$T$46,3,$V$35:$V$46)</f>
        <v>-5.438270648333333</v>
      </c>
      <c r="Y41" s="85">
        <f>AVERAGEIF($T$35:$T$46,3,$W$35:$W$46)</f>
        <v>2.7568221092333332</v>
      </c>
      <c r="Z41" s="86">
        <f>(X41*-0.01)/4</f>
        <v>1.3595676620833332E-2</v>
      </c>
      <c r="AA41" s="86">
        <f>(Y41*-0.01)/4</f>
        <v>-6.8920552730833331E-3</v>
      </c>
      <c r="AD41" s="31" t="s">
        <v>134</v>
      </c>
      <c r="AE41" s="33">
        <v>0</v>
      </c>
      <c r="AF41" s="33">
        <v>0</v>
      </c>
      <c r="AG41" s="33">
        <v>0</v>
      </c>
      <c r="AH41" s="33">
        <v>4</v>
      </c>
      <c r="AI41" s="33"/>
      <c r="AJ41" s="33">
        <v>-4</v>
      </c>
      <c r="AK41" s="33">
        <v>-3</v>
      </c>
    </row>
    <row r="42" spans="1:37" ht="17.100000000000001" customHeight="1">
      <c r="A42" s="78">
        <f t="shared" si="0"/>
        <v>3</v>
      </c>
      <c r="B42" s="79" t="str">
        <f>IPQC!K9</f>
        <v>22cd05160738</v>
      </c>
      <c r="C42" s="50">
        <f>IPQC!T9+VLOOKUP($R$32,$AD$39:$AK$43,6,FALSE)+VLOOKUP('File location'!$B$1,'Tester offset'!$A$2:$D$4,2,FALSE)</f>
        <v>97.319994226399999</v>
      </c>
      <c r="D42" s="50">
        <f>IPQC!AA9+VLOOKUP($R$32,$AD$39:$AK$43,6,FALSE)</f>
        <v>77.798426452800001</v>
      </c>
      <c r="E42" s="50">
        <f>VCM!HV9-'Summary(3pcs)'!C42-'Summary(3pcs)'!$D$33</f>
        <v>141.48680764233791</v>
      </c>
      <c r="F42" s="86"/>
      <c r="G42" s="90"/>
      <c r="H42" s="90"/>
      <c r="I42" s="90"/>
      <c r="K42" s="78">
        <f t="shared" si="1"/>
        <v>3</v>
      </c>
      <c r="L42" s="79" t="str">
        <f>OC!K9</f>
        <v>22cd05160738</v>
      </c>
      <c r="M42" s="50">
        <f>OC!T9+VLOOKUP($R$32,$AD$39:$AK$43,4,FALSE)</f>
        <v>-6.8943456196000001</v>
      </c>
      <c r="N42" s="50">
        <f>OC!U9+VLOOKUP($R$32,$AD$39:$AK$43,5,FALSE)</f>
        <v>2.3188919954</v>
      </c>
      <c r="O42" s="85"/>
      <c r="P42" s="85"/>
      <c r="Q42" s="86"/>
      <c r="R42" s="86"/>
      <c r="S42" s="34"/>
      <c r="T42" s="78">
        <v>3</v>
      </c>
      <c r="U42" s="79" t="str">
        <f>FPDC!K9</f>
        <v>22cd05160738</v>
      </c>
      <c r="V42" s="76">
        <f>FPDC!S9+VLOOKUP($R$32,$AD$39:$AK$43,2,FALSE)+VLOOKUP($R$32,$AD$39:$AK$43,7,FALSE)+VLOOKUP('File location'!$B$1,'Tester offset'!$A$2:$D$4,3,FALSE)</f>
        <v>-5.4578263759999999</v>
      </c>
      <c r="W42" s="77">
        <f>FPDC!T9+VLOOKUP($R$32,$AD$39:$AK$43,3,FALSE)+VLOOKUP($R$32,$AD$39:$AK$43,8,FALSE)+VLOOKUP('File location'!$B$1,'Tester offset'!$A$2:$D$4,4,FALSE)</f>
        <v>1.4539823531999998</v>
      </c>
      <c r="X42" s="85"/>
      <c r="Y42" s="85"/>
      <c r="Z42" s="86"/>
      <c r="AA42" s="86"/>
      <c r="AD42" s="33" t="s">
        <v>136</v>
      </c>
      <c r="AE42" s="33">
        <v>0</v>
      </c>
      <c r="AF42" s="33">
        <v>0</v>
      </c>
      <c r="AG42" s="33">
        <v>0</v>
      </c>
      <c r="AH42" s="33">
        <v>4</v>
      </c>
      <c r="AI42" s="33">
        <v>6</v>
      </c>
      <c r="AJ42" s="33">
        <v>-4</v>
      </c>
      <c r="AK42" s="33">
        <v>-3</v>
      </c>
    </row>
    <row r="43" spans="1:37" ht="17.100000000000001" customHeight="1">
      <c r="A43" s="78">
        <f t="shared" si="0"/>
        <v>3</v>
      </c>
      <c r="B43" s="79" t="str">
        <f>IPQC!K10</f>
        <v>22cd05170403</v>
      </c>
      <c r="C43" s="50">
        <f>IPQC!T10+VLOOKUP($R$32,$AD$39:$AK$43,6,FALSE)+VLOOKUP('File location'!$B$1,'Tester offset'!$A$2:$D$4,2,FALSE)</f>
        <v>88.191944102799994</v>
      </c>
      <c r="D43" s="50">
        <f>IPQC!AA10+VLOOKUP($R$32,$AD$39:$AK$43,6,FALSE)</f>
        <v>74.308632887100003</v>
      </c>
      <c r="E43" s="50">
        <f>VCM!HV10-'Summary(3pcs)'!C43-'Summary(3pcs)'!$D$33</f>
        <v>146.28239998753793</v>
      </c>
      <c r="F43" s="86"/>
      <c r="G43" s="90"/>
      <c r="H43" s="90"/>
      <c r="I43" s="90"/>
      <c r="K43" s="78">
        <f t="shared" si="1"/>
        <v>3</v>
      </c>
      <c r="L43" s="79" t="str">
        <f>OC!K10</f>
        <v>22cd05170403</v>
      </c>
      <c r="M43" s="50">
        <f>OC!T10+VLOOKUP($R$32,$AD$39:$AK$43,4,FALSE)</f>
        <v>-6.5815641266</v>
      </c>
      <c r="N43" s="50">
        <f>OC!U10+VLOOKUP($R$32,$AD$39:$AK$43,5,FALSE)</f>
        <v>4.1488041276000001</v>
      </c>
      <c r="O43" s="85"/>
      <c r="P43" s="85"/>
      <c r="Q43" s="86"/>
      <c r="R43" s="86"/>
      <c r="S43" s="34"/>
      <c r="T43" s="78">
        <v>3</v>
      </c>
      <c r="U43" s="79" t="str">
        <f>FPDC!K10</f>
        <v>22cd05170403</v>
      </c>
      <c r="V43" s="76">
        <f>FPDC!S10+VLOOKUP($R$32,$AD$39:$AK$43,2,FALSE)+VLOOKUP($R$32,$AD$39:$AK$43,7,FALSE)+VLOOKUP('File location'!$B$1,'Tester offset'!$A$2:$D$4,3,FALSE)</f>
        <v>-5.8200535773999995</v>
      </c>
      <c r="W43" s="77">
        <f>FPDC!T10+VLOOKUP($R$32,$AD$39:$AK$43,3,FALSE)+VLOOKUP($R$32,$AD$39:$AK$43,8,FALSE)+VLOOKUP('File location'!$B$1,'Tester offset'!$A$2:$D$4,4,FALSE)</f>
        <v>2.7778825759999997</v>
      </c>
      <c r="X43" s="85"/>
      <c r="Y43" s="85"/>
      <c r="Z43" s="86"/>
      <c r="AA43" s="86"/>
      <c r="AD43" s="35" t="s">
        <v>145</v>
      </c>
      <c r="AE43" s="33"/>
      <c r="AF43" s="33"/>
      <c r="AG43" s="33"/>
      <c r="AH43" s="33"/>
      <c r="AI43" s="33"/>
      <c r="AJ43" s="33"/>
      <c r="AK43" s="33"/>
    </row>
    <row r="44" spans="1:37" ht="17.100000000000001" customHeight="1">
      <c r="A44" s="78">
        <f t="shared" si="0"/>
        <v>4</v>
      </c>
      <c r="B44" s="79" t="str">
        <f>IPQC!K11</f>
        <v>22cd05160273</v>
      </c>
      <c r="C44" s="50">
        <f>IPQC!T11+VLOOKUP($R$32,$AD$39:$AK$43,6,FALSE)+VLOOKUP('File location'!$B$1,'Tester offset'!$A$2:$D$4,2,FALSE)</f>
        <v>91.453354449100004</v>
      </c>
      <c r="D44" s="50">
        <f>IPQC!AA11+VLOOKUP($R$32,$AD$39:$AK$43,6,FALSE)</f>
        <v>74.9273632604</v>
      </c>
      <c r="E44" s="50">
        <f>VCM!HV11-'Summary(3pcs)'!C44-'Summary(3pcs)'!$D$33</f>
        <v>151.5032205765379</v>
      </c>
      <c r="F44" s="86">
        <f>AVERAGEIF($A$35:$A$46,4,$C$35:$C$46)</f>
        <v>89.497147805066675</v>
      </c>
      <c r="G44" s="90">
        <f>AVERAGEIF($A$35:$A$46,4,$D$35:$D$46)</f>
        <v>71.387590781699998</v>
      </c>
      <c r="H44" s="90">
        <f>AVERAGEIF($A$35:$A$46,4,$E$35:$E$46)</f>
        <v>150.83550708490458</v>
      </c>
      <c r="I44" s="90">
        <f>85-F44</f>
        <v>-4.4971478050666747</v>
      </c>
      <c r="K44" s="78">
        <f t="shared" si="1"/>
        <v>4</v>
      </c>
      <c r="L44" s="79" t="str">
        <f>OC!K11</f>
        <v>22cd05160273</v>
      </c>
      <c r="M44" s="50">
        <f>OC!T11+VLOOKUP($R$32,$AD$39:$AK$43,4,FALSE)</f>
        <v>-3.3059164987999998</v>
      </c>
      <c r="N44" s="50">
        <f>OC!U11+VLOOKUP($R$32,$AD$39:$AK$43,5,FALSE)</f>
        <v>11.2397187716</v>
      </c>
      <c r="O44" s="85">
        <f>AVERAGEIF($K$35:$K$46,4,$M$35:$M$46)</f>
        <v>-3.5849967497000002</v>
      </c>
      <c r="P44" s="85">
        <f>AVERAGEIF($K$35:$K$46,4,$N$35:$N$46)</f>
        <v>9.7853329223000003</v>
      </c>
      <c r="Q44" s="86">
        <f>P44*0.001</f>
        <v>9.785332922300001E-3</v>
      </c>
      <c r="R44" s="86">
        <f>O44*0.001</f>
        <v>-3.5849967497E-3</v>
      </c>
      <c r="S44" s="34"/>
      <c r="T44" s="78">
        <v>4</v>
      </c>
      <c r="U44" s="79" t="str">
        <f>FPDC!K11</f>
        <v>22cd05160273</v>
      </c>
      <c r="V44" s="76">
        <f>FPDC!S11+VLOOKUP($R$32,$AD$39:$AK$43,2,FALSE)+VLOOKUP($R$32,$AD$39:$AK$43,7,FALSE)+VLOOKUP('File location'!$B$1,'Tester offset'!$A$2:$D$4,3,FALSE)</f>
        <v>3.5020685195999999</v>
      </c>
      <c r="W44" s="77">
        <f>FPDC!T11+VLOOKUP($R$32,$AD$39:$AK$43,3,FALSE)+VLOOKUP($R$32,$AD$39:$AK$43,8,FALSE)+VLOOKUP('File location'!$B$1,'Tester offset'!$A$2:$D$4,4,FALSE)</f>
        <v>-3.0901036262999999</v>
      </c>
      <c r="X44" s="85">
        <f>AVERAGEIF($T$35:$T$46,4,$V$35:$V$46)</f>
        <v>1.0064629713666668</v>
      </c>
      <c r="Y44" s="85">
        <f>AVERAGEIF($T$35:$T$46,4,$W$35:$W$46)</f>
        <v>0.64018750186666684</v>
      </c>
      <c r="Z44" s="86">
        <f>(X44*-0.01)/4</f>
        <v>-2.5161574284166674E-3</v>
      </c>
      <c r="AA44" s="86">
        <f>(Y44*-0.01)/4</f>
        <v>-1.6004687546666671E-3</v>
      </c>
    </row>
    <row r="45" spans="1:37" ht="17.100000000000001" customHeight="1">
      <c r="A45" s="78">
        <f t="shared" si="0"/>
        <v>4</v>
      </c>
      <c r="B45" s="79" t="str">
        <f>IPQC!K12</f>
        <v>22cd05170040</v>
      </c>
      <c r="C45" s="50">
        <f>IPQC!T12+VLOOKUP($R$32,$AD$39:$AK$43,6,FALSE)+VLOOKUP('File location'!$B$1,'Tester offset'!$A$2:$D$4,2,FALSE)</f>
        <v>88.362855897000003</v>
      </c>
      <c r="D45" s="50">
        <f>IPQC!AA12+VLOOKUP($R$32,$AD$39:$AK$43,6,FALSE)</f>
        <v>67.709677345899991</v>
      </c>
      <c r="E45" s="50">
        <f>VCM!HV12-'Summary(3pcs)'!C45-'Summary(3pcs)'!$D$33</f>
        <v>153.03642657123794</v>
      </c>
      <c r="F45" s="86"/>
      <c r="G45" s="90"/>
      <c r="H45" s="90"/>
      <c r="I45" s="90"/>
      <c r="K45" s="78">
        <f t="shared" si="1"/>
        <v>4</v>
      </c>
      <c r="L45" s="79" t="str">
        <f>OC!K12</f>
        <v>22cd05170040</v>
      </c>
      <c r="M45" s="50">
        <f>OC!T12+VLOOKUP($R$32,$AD$39:$AK$43,4,FALSE)</f>
        <v>-1.5943668166</v>
      </c>
      <c r="N45" s="50">
        <f>OC!U12+VLOOKUP($R$32,$AD$39:$AK$43,5,FALSE)</f>
        <v>10.229459196600001</v>
      </c>
      <c r="O45" s="85"/>
      <c r="P45" s="85"/>
      <c r="Q45" s="86"/>
      <c r="R45" s="86"/>
      <c r="S45" s="34"/>
      <c r="T45" s="78">
        <v>4</v>
      </c>
      <c r="U45" s="79" t="str">
        <f>FPDC!K12</f>
        <v>22cd05170040</v>
      </c>
      <c r="V45" s="76">
        <f>FPDC!S12+VLOOKUP($R$32,$AD$39:$AK$43,2,FALSE)+VLOOKUP($R$32,$AD$39:$AK$43,7,FALSE)+VLOOKUP('File location'!$B$1,'Tester offset'!$A$2:$D$4,3,FALSE)</f>
        <v>-5.0246298313000004</v>
      </c>
      <c r="W45" s="77">
        <f>FPDC!T12+VLOOKUP($R$32,$AD$39:$AK$43,3,FALSE)+VLOOKUP($R$32,$AD$39:$AK$43,8,FALSE)+VLOOKUP('File location'!$B$1,'Tester offset'!$A$2:$D$4,4,FALSE)</f>
        <v>-0.64456915859999997</v>
      </c>
      <c r="X45" s="85"/>
      <c r="Y45" s="85"/>
      <c r="Z45" s="86"/>
      <c r="AA45" s="86"/>
    </row>
    <row r="46" spans="1:37" ht="17.100000000000001" customHeight="1">
      <c r="A46" s="78">
        <f t="shared" si="0"/>
        <v>4</v>
      </c>
      <c r="B46" s="79" t="str">
        <f>IPQC!K13</f>
        <v>22cd05170080</v>
      </c>
      <c r="C46" s="50">
        <f>IPQC!T13+VLOOKUP($R$32,$AD$39:$AK$43,6,FALSE)+VLOOKUP('File location'!$B$1,'Tester offset'!$A$2:$D$4,2,FALSE)</f>
        <v>88.675233069100003</v>
      </c>
      <c r="D46" s="50">
        <f>IPQC!AA13+VLOOKUP($R$32,$AD$39:$AK$43,6,FALSE)</f>
        <v>71.525731738800005</v>
      </c>
      <c r="E46" s="50">
        <f>VCM!HV13-'Summary(3pcs)'!C46-'Summary(3pcs)'!$D$33</f>
        <v>147.96687410693789</v>
      </c>
      <c r="F46" s="86"/>
      <c r="G46" s="90"/>
      <c r="H46" s="90"/>
      <c r="I46" s="90"/>
      <c r="K46" s="78">
        <f t="shared" si="1"/>
        <v>4</v>
      </c>
      <c r="L46" s="79" t="str">
        <f>OC!K13</f>
        <v>22cd05170080</v>
      </c>
      <c r="M46" s="50">
        <f>OC!T13+VLOOKUP($R$32,$AD$39:$AK$43,4,FALSE)</f>
        <v>-5.8547069337000002</v>
      </c>
      <c r="N46" s="50">
        <f>OC!U13+VLOOKUP($R$32,$AD$39:$AK$43,5,FALSE)</f>
        <v>7.8868207987000005</v>
      </c>
      <c r="O46" s="85"/>
      <c r="P46" s="85"/>
      <c r="Q46" s="86"/>
      <c r="R46" s="86"/>
      <c r="S46" s="34"/>
      <c r="T46" s="78">
        <v>4</v>
      </c>
      <c r="U46" s="79" t="str">
        <f>FPDC!K13</f>
        <v>22cd05170080</v>
      </c>
      <c r="V46" s="76">
        <f>FPDC!S13+VLOOKUP($R$32,$AD$39:$AK$43,2,FALSE)+VLOOKUP($R$32,$AD$39:$AK$43,7,FALSE)+VLOOKUP('File location'!$B$1,'Tester offset'!$A$2:$D$4,3,FALSE)</f>
        <v>4.5419502258000009</v>
      </c>
      <c r="W46" s="77">
        <f>FPDC!T13+VLOOKUP($R$32,$AD$39:$AK$43,3,FALSE)+VLOOKUP($R$32,$AD$39:$AK$43,8,FALSE)+VLOOKUP('File location'!$B$1,'Tester offset'!$A$2:$D$4,4,FALSE)</f>
        <v>5.6552352905000003</v>
      </c>
      <c r="X46" s="85"/>
      <c r="Y46" s="85"/>
      <c r="Z46" s="86"/>
      <c r="AA46" s="86"/>
    </row>
    <row r="48" spans="1:37" ht="15">
      <c r="F48" s="92" t="s">
        <v>14</v>
      </c>
      <c r="G48" s="92"/>
      <c r="H48" s="29" t="s">
        <v>105</v>
      </c>
      <c r="O48" s="92" t="s">
        <v>114</v>
      </c>
      <c r="P48" s="92"/>
      <c r="Q48" s="29" t="s">
        <v>105</v>
      </c>
      <c r="Y48" s="92" t="s">
        <v>2</v>
      </c>
      <c r="Z48" s="92"/>
      <c r="AA48" s="29" t="s">
        <v>105</v>
      </c>
    </row>
    <row r="49" spans="6:27" ht="17.25">
      <c r="F49" s="91" t="s">
        <v>163</v>
      </c>
      <c r="G49" s="91"/>
      <c r="H49" s="49" t="s">
        <v>148</v>
      </c>
      <c r="O49" s="93" t="s">
        <v>165</v>
      </c>
      <c r="P49" s="91"/>
      <c r="Q49" s="49" t="s">
        <v>162</v>
      </c>
      <c r="Y49" s="93" t="s">
        <v>165</v>
      </c>
      <c r="Z49" s="91"/>
      <c r="AA49" s="49" t="s">
        <v>104</v>
      </c>
    </row>
    <row r="50" spans="6:27" ht="17.25">
      <c r="F50" s="91" t="s">
        <v>164</v>
      </c>
      <c r="G50" s="91"/>
      <c r="H50" s="49" t="s">
        <v>107</v>
      </c>
      <c r="O50" s="93" t="s">
        <v>171</v>
      </c>
      <c r="P50" s="91"/>
      <c r="Q50" s="49" t="s">
        <v>169</v>
      </c>
      <c r="Y50" s="93" t="s">
        <v>167</v>
      </c>
      <c r="Z50" s="91"/>
      <c r="AA50" s="49" t="s">
        <v>168</v>
      </c>
    </row>
    <row r="51" spans="6:27" ht="17.25">
      <c r="F51" s="91" t="s">
        <v>16</v>
      </c>
      <c r="G51" s="91"/>
      <c r="H51" s="49" t="s">
        <v>106</v>
      </c>
      <c r="O51" s="93" t="s">
        <v>171</v>
      </c>
      <c r="P51" s="91"/>
      <c r="Q51" s="79" t="s">
        <v>170</v>
      </c>
      <c r="Y51" s="93" t="s">
        <v>166</v>
      </c>
      <c r="Z51" s="91"/>
      <c r="AA51" s="49" t="s">
        <v>149</v>
      </c>
    </row>
    <row r="53" spans="6:27" ht="19.5">
      <c r="I53" s="42"/>
      <c r="J53" s="42"/>
      <c r="K53" s="80" t="s">
        <v>156</v>
      </c>
      <c r="L53" s="81"/>
      <c r="M53" s="81"/>
      <c r="N53" s="81"/>
      <c r="O53" s="81"/>
      <c r="P53" s="81"/>
      <c r="Q53" s="82"/>
    </row>
    <row r="54" spans="6:27" ht="20.25" thickBot="1">
      <c r="I54" s="42"/>
      <c r="J54" s="42"/>
      <c r="K54" s="42"/>
      <c r="L54" s="42"/>
      <c r="M54" s="42"/>
      <c r="N54" s="42"/>
      <c r="O54" s="42"/>
      <c r="P54" s="42"/>
      <c r="Q54" s="42"/>
    </row>
    <row r="55" spans="6:27" ht="19.5">
      <c r="I55" s="43">
        <f t="shared" ref="I55:I66" si="2">T35</f>
        <v>1</v>
      </c>
      <c r="J55" s="42"/>
      <c r="K55" s="51">
        <f t="shared" ref="K55:K66" si="3">C35</f>
        <v>94.746431120300002</v>
      </c>
      <c r="L55" s="52">
        <f t="shared" ref="L55:L66" si="4">D35</f>
        <v>77.123183725299995</v>
      </c>
      <c r="M55" s="52">
        <f t="shared" ref="M55:M66" si="5">E35</f>
        <v>143.79854886313785</v>
      </c>
      <c r="N55" s="52">
        <f t="shared" ref="N55:O66" si="6">M35</f>
        <v>5.6255330102999999</v>
      </c>
      <c r="O55" s="52">
        <f t="shared" si="6"/>
        <v>0.66061105379999985</v>
      </c>
      <c r="P55" s="52">
        <f t="shared" ref="P55:P66" si="7">V35</f>
        <v>-4.1857287884000005</v>
      </c>
      <c r="Q55" s="53">
        <f t="shared" ref="Q55:Q66" si="8">W35</f>
        <v>6.0811624526999992</v>
      </c>
    </row>
    <row r="56" spans="6:27" ht="19.5">
      <c r="I56" s="43">
        <f t="shared" si="2"/>
        <v>1</v>
      </c>
      <c r="J56" s="44"/>
      <c r="K56" s="54">
        <f t="shared" si="3"/>
        <v>91.050542913599998</v>
      </c>
      <c r="L56" s="55">
        <f t="shared" si="4"/>
        <v>73.933912644399996</v>
      </c>
      <c r="M56" s="55">
        <f t="shared" si="5"/>
        <v>140.63312808543793</v>
      </c>
      <c r="N56" s="55">
        <f t="shared" si="6"/>
        <v>1.7652764602</v>
      </c>
      <c r="O56" s="55">
        <f t="shared" si="6"/>
        <v>-5.8384487240999992</v>
      </c>
      <c r="P56" s="55">
        <f t="shared" si="7"/>
        <v>-0.26834058760000001</v>
      </c>
      <c r="Q56" s="56">
        <f t="shared" si="8"/>
        <v>8.7334232329999999</v>
      </c>
    </row>
    <row r="57" spans="6:27" ht="19.5">
      <c r="I57" s="43">
        <f t="shared" si="2"/>
        <v>1</v>
      </c>
      <c r="J57" s="44"/>
      <c r="K57" s="57">
        <f t="shared" si="3"/>
        <v>97.382466941299995</v>
      </c>
      <c r="L57" s="58">
        <f t="shared" si="4"/>
        <v>76.047156269200002</v>
      </c>
      <c r="M57" s="58">
        <f t="shared" si="5"/>
        <v>155.88915143363795</v>
      </c>
      <c r="N57" s="58">
        <f t="shared" si="6"/>
        <v>-2.4289961351999998</v>
      </c>
      <c r="O57" s="58">
        <f t="shared" si="6"/>
        <v>-1.6997921586000002</v>
      </c>
      <c r="P57" s="58">
        <f t="shared" si="7"/>
        <v>0.88164591790000024</v>
      </c>
      <c r="Q57" s="59">
        <f t="shared" si="8"/>
        <v>1.9431962967</v>
      </c>
    </row>
    <row r="58" spans="6:27" ht="19.5">
      <c r="I58" s="43">
        <f t="shared" si="2"/>
        <v>2</v>
      </c>
      <c r="J58" s="44"/>
      <c r="K58" s="60">
        <f t="shared" si="3"/>
        <v>97.934243945399999</v>
      </c>
      <c r="L58" s="61">
        <f t="shared" si="4"/>
        <v>84.0391563811</v>
      </c>
      <c r="M58" s="61">
        <f t="shared" si="5"/>
        <v>145.27581270633789</v>
      </c>
      <c r="N58" s="61">
        <f t="shared" si="6"/>
        <v>3.1149160629999999</v>
      </c>
      <c r="O58" s="61">
        <f t="shared" si="6"/>
        <v>0.3079464516999999</v>
      </c>
      <c r="P58" s="61">
        <f t="shared" si="7"/>
        <v>3.0031661986999998</v>
      </c>
      <c r="Q58" s="62">
        <f t="shared" si="8"/>
        <v>3.8908824921000003</v>
      </c>
    </row>
    <row r="59" spans="6:27" ht="19.5">
      <c r="I59" s="43">
        <f t="shared" si="2"/>
        <v>2</v>
      </c>
      <c r="J59" s="44"/>
      <c r="K59" s="60">
        <f t="shared" si="3"/>
        <v>97.073612332400003</v>
      </c>
      <c r="L59" s="61">
        <f t="shared" si="4"/>
        <v>82.262448359399997</v>
      </c>
      <c r="M59" s="61">
        <f t="shared" si="5"/>
        <v>142.14651730613792</v>
      </c>
      <c r="N59" s="61">
        <f t="shared" si="6"/>
        <v>1.3250759382999999</v>
      </c>
      <c r="O59" s="61">
        <f t="shared" si="6"/>
        <v>0.52151840179999986</v>
      </c>
      <c r="P59" s="61">
        <f t="shared" si="7"/>
        <v>-1.5422625541999997</v>
      </c>
      <c r="Q59" s="62">
        <f t="shared" si="8"/>
        <v>5.0212402344000004</v>
      </c>
    </row>
    <row r="60" spans="6:27" ht="19.5">
      <c r="I60" s="43">
        <f t="shared" si="2"/>
        <v>2</v>
      </c>
      <c r="J60" s="44"/>
      <c r="K60" s="60">
        <f t="shared" si="3"/>
        <v>91.767230672099998</v>
      </c>
      <c r="L60" s="61">
        <f t="shared" si="4"/>
        <v>74.441666432100007</v>
      </c>
      <c r="M60" s="61">
        <f t="shared" si="5"/>
        <v>136.89514870883795</v>
      </c>
      <c r="N60" s="61">
        <f t="shared" si="6"/>
        <v>0.58144966229999995</v>
      </c>
      <c r="O60" s="61">
        <f t="shared" si="6"/>
        <v>-3.6644779453999998</v>
      </c>
      <c r="P60" s="61">
        <f t="shared" si="7"/>
        <v>1.6154556274000003</v>
      </c>
      <c r="Q60" s="62">
        <f t="shared" si="8"/>
        <v>8.2811307907000007</v>
      </c>
    </row>
    <row r="61" spans="6:27" ht="19.5">
      <c r="I61" s="43">
        <f t="shared" si="2"/>
        <v>3</v>
      </c>
      <c r="J61" s="44"/>
      <c r="K61" s="66">
        <f t="shared" si="3"/>
        <v>101.77988674380001</v>
      </c>
      <c r="L61" s="67">
        <f t="shared" si="4"/>
        <v>83.449614524099999</v>
      </c>
      <c r="M61" s="67">
        <f t="shared" si="5"/>
        <v>142.88100679113791</v>
      </c>
      <c r="N61" s="67">
        <f t="shared" si="6"/>
        <v>-4.7559123572999997</v>
      </c>
      <c r="O61" s="67">
        <f t="shared" si="6"/>
        <v>2.2681345030999998</v>
      </c>
      <c r="P61" s="67">
        <f t="shared" si="7"/>
        <v>-5.0369319915999995</v>
      </c>
      <c r="Q61" s="68">
        <f t="shared" si="8"/>
        <v>4.0386013985</v>
      </c>
    </row>
    <row r="62" spans="6:27" ht="19.5">
      <c r="I62" s="43">
        <f t="shared" si="2"/>
        <v>3</v>
      </c>
      <c r="J62" s="44"/>
      <c r="K62" s="69">
        <f t="shared" si="3"/>
        <v>97.319994226399999</v>
      </c>
      <c r="L62" s="70">
        <f t="shared" si="4"/>
        <v>77.798426452800001</v>
      </c>
      <c r="M62" s="70">
        <f t="shared" si="5"/>
        <v>141.48680764233791</v>
      </c>
      <c r="N62" s="70">
        <f t="shared" si="6"/>
        <v>-6.8943456196000001</v>
      </c>
      <c r="O62" s="70">
        <f t="shared" si="6"/>
        <v>2.3188919954</v>
      </c>
      <c r="P62" s="70">
        <f t="shared" si="7"/>
        <v>-5.4578263759999999</v>
      </c>
      <c r="Q62" s="71">
        <f t="shared" si="8"/>
        <v>1.4539823531999998</v>
      </c>
    </row>
    <row r="63" spans="6:27" ht="19.5">
      <c r="I63" s="43">
        <f t="shared" si="2"/>
        <v>3</v>
      </c>
      <c r="J63" s="44"/>
      <c r="K63" s="72">
        <f t="shared" si="3"/>
        <v>88.191944102799994</v>
      </c>
      <c r="L63" s="73">
        <f t="shared" si="4"/>
        <v>74.308632887100003</v>
      </c>
      <c r="M63" s="73">
        <f t="shared" si="5"/>
        <v>146.28239998753793</v>
      </c>
      <c r="N63" s="73">
        <f t="shared" si="6"/>
        <v>-6.5815641266</v>
      </c>
      <c r="O63" s="73">
        <f t="shared" si="6"/>
        <v>4.1488041276000001</v>
      </c>
      <c r="P63" s="73">
        <f t="shared" si="7"/>
        <v>-5.8200535773999995</v>
      </c>
      <c r="Q63" s="74">
        <f t="shared" si="8"/>
        <v>2.7778825759999997</v>
      </c>
    </row>
    <row r="64" spans="6:27" ht="19.5">
      <c r="I64" s="43">
        <f t="shared" si="2"/>
        <v>4</v>
      </c>
      <c r="J64" s="44"/>
      <c r="K64" s="60">
        <f t="shared" si="3"/>
        <v>91.453354449100004</v>
      </c>
      <c r="L64" s="61">
        <f t="shared" si="4"/>
        <v>74.9273632604</v>
      </c>
      <c r="M64" s="61">
        <f t="shared" si="5"/>
        <v>151.5032205765379</v>
      </c>
      <c r="N64" s="61">
        <f t="shared" si="6"/>
        <v>-3.3059164987999998</v>
      </c>
      <c r="O64" s="61">
        <f t="shared" si="6"/>
        <v>11.2397187716</v>
      </c>
      <c r="P64" s="61">
        <f t="shared" si="7"/>
        <v>3.5020685195999999</v>
      </c>
      <c r="Q64" s="62">
        <f t="shared" si="8"/>
        <v>-3.0901036262999999</v>
      </c>
    </row>
    <row r="65" spans="9:17" ht="19.5">
      <c r="I65" s="43">
        <f t="shared" si="2"/>
        <v>4</v>
      </c>
      <c r="J65" s="44"/>
      <c r="K65" s="60">
        <f t="shared" si="3"/>
        <v>88.362855897000003</v>
      </c>
      <c r="L65" s="61">
        <f t="shared" si="4"/>
        <v>67.709677345899991</v>
      </c>
      <c r="M65" s="61">
        <f t="shared" si="5"/>
        <v>153.03642657123794</v>
      </c>
      <c r="N65" s="61">
        <f t="shared" si="6"/>
        <v>-1.5943668166</v>
      </c>
      <c r="O65" s="61">
        <f t="shared" si="6"/>
        <v>10.229459196600001</v>
      </c>
      <c r="P65" s="61">
        <f t="shared" si="7"/>
        <v>-5.0246298313000004</v>
      </c>
      <c r="Q65" s="62">
        <f t="shared" si="8"/>
        <v>-0.64456915859999997</v>
      </c>
    </row>
    <row r="66" spans="9:17" ht="20.25" thickBot="1">
      <c r="I66" s="43">
        <f t="shared" si="2"/>
        <v>4</v>
      </c>
      <c r="J66" s="44"/>
      <c r="K66" s="63">
        <f t="shared" si="3"/>
        <v>88.675233069100003</v>
      </c>
      <c r="L66" s="64">
        <f t="shared" si="4"/>
        <v>71.525731738800005</v>
      </c>
      <c r="M66" s="64">
        <f t="shared" si="5"/>
        <v>147.96687410693789</v>
      </c>
      <c r="N66" s="64">
        <f t="shared" si="6"/>
        <v>-5.8547069337000002</v>
      </c>
      <c r="O66" s="64">
        <f t="shared" si="6"/>
        <v>7.8868207987000005</v>
      </c>
      <c r="P66" s="64">
        <f t="shared" si="7"/>
        <v>4.5419502258000009</v>
      </c>
      <c r="Q66" s="65">
        <f t="shared" si="8"/>
        <v>5.6552352905000003</v>
      </c>
    </row>
  </sheetData>
  <sheetProtection selectLockedCells="1"/>
  <mergeCells count="68">
    <mergeCell ref="B32:B33"/>
    <mergeCell ref="F48:G48"/>
    <mergeCell ref="F49:G49"/>
    <mergeCell ref="F44:F46"/>
    <mergeCell ref="H44:H46"/>
    <mergeCell ref="F35:F37"/>
    <mergeCell ref="H35:H37"/>
    <mergeCell ref="F38:F40"/>
    <mergeCell ref="H38:H40"/>
    <mergeCell ref="F41:F43"/>
    <mergeCell ref="H41:H43"/>
    <mergeCell ref="G35:G37"/>
    <mergeCell ref="G44:G46"/>
    <mergeCell ref="I41:I43"/>
    <mergeCell ref="I44:I46"/>
    <mergeCell ref="X44:X46"/>
    <mergeCell ref="O35:O37"/>
    <mergeCell ref="P35:P37"/>
    <mergeCell ref="Q38:Q40"/>
    <mergeCell ref="R38:R40"/>
    <mergeCell ref="I35:I37"/>
    <mergeCell ref="I38:I40"/>
    <mergeCell ref="F51:G51"/>
    <mergeCell ref="F50:G50"/>
    <mergeCell ref="Y48:Z48"/>
    <mergeCell ref="Y49:Z49"/>
    <mergeCell ref="Y51:Z51"/>
    <mergeCell ref="O48:P48"/>
    <mergeCell ref="O49:P49"/>
    <mergeCell ref="O50:P50"/>
    <mergeCell ref="Y50:Z50"/>
    <mergeCell ref="O51:P51"/>
    <mergeCell ref="AA41:AA43"/>
    <mergeCell ref="Z44:Z46"/>
    <mergeCell ref="AA44:AA46"/>
    <mergeCell ref="G38:G40"/>
    <mergeCell ref="G41:G43"/>
    <mergeCell ref="Z41:Z43"/>
    <mergeCell ref="O38:O40"/>
    <mergeCell ref="P38:P40"/>
    <mergeCell ref="O41:O43"/>
    <mergeCell ref="P41:P43"/>
    <mergeCell ref="X38:X40"/>
    <mergeCell ref="Y38:Y40"/>
    <mergeCell ref="X41:X43"/>
    <mergeCell ref="Y41:Y43"/>
    <mergeCell ref="Q41:Q43"/>
    <mergeCell ref="R41:R43"/>
    <mergeCell ref="AE37:AI37"/>
    <mergeCell ref="AJ37:AK37"/>
    <mergeCell ref="AD37:AD38"/>
    <mergeCell ref="AA35:AA37"/>
    <mergeCell ref="Z38:Z40"/>
    <mergeCell ref="AA38:AA40"/>
    <mergeCell ref="Z35:Z37"/>
    <mergeCell ref="K53:Q53"/>
    <mergeCell ref="S32:T32"/>
    <mergeCell ref="Y35:Y37"/>
    <mergeCell ref="X35:X37"/>
    <mergeCell ref="Q35:Q37"/>
    <mergeCell ref="R35:R37"/>
    <mergeCell ref="Y44:Y46"/>
    <mergeCell ref="O44:O46"/>
    <mergeCell ref="P44:P46"/>
    <mergeCell ref="Q44:Q46"/>
    <mergeCell ref="R44:R46"/>
    <mergeCell ref="U32:U33"/>
    <mergeCell ref="M32:M33"/>
  </mergeCells>
  <phoneticPr fontId="6" type="noConversion"/>
  <conditionalFormatting sqref="I55:I6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5:Q66">
    <cfRule type="duplicateValues" dxfId="26" priority="49"/>
  </conditionalFormatting>
  <conditionalFormatting sqref="X35:Y35 X38:Y38 X41:Y41 X44:Y44">
    <cfRule type="cellIs" dxfId="25" priority="25" operator="lessThan">
      <formula>-7</formula>
    </cfRule>
    <cfRule type="cellIs" dxfId="24" priority="26" operator="greaterThan">
      <formula>7</formula>
    </cfRule>
  </conditionalFormatting>
  <conditionalFormatting sqref="M35:N46">
    <cfRule type="cellIs" dxfId="23" priority="4" operator="lessThan">
      <formula>-28</formula>
    </cfRule>
    <cfRule type="cellIs" dxfId="22" priority="5" operator="greaterThan">
      <formula>28</formula>
    </cfRule>
    <cfRule type="cellIs" dxfId="21" priority="10" operator="lessThan">
      <formula>-26.6</formula>
    </cfRule>
    <cfRule type="cellIs" dxfId="20" priority="11" operator="greaterThan">
      <formula>26.6</formula>
    </cfRule>
    <cfRule type="duplicateValues" dxfId="19" priority="13"/>
  </conditionalFormatting>
  <conditionalFormatting sqref="E35:E46">
    <cfRule type="cellIs" dxfId="18" priority="24" operator="lessThan">
      <formula>35</formula>
    </cfRule>
  </conditionalFormatting>
  <conditionalFormatting sqref="D35:D46">
    <cfRule type="cellIs" dxfId="17" priority="23" operator="lessThan">
      <formula>45</formula>
    </cfRule>
  </conditionalFormatting>
  <conditionalFormatting sqref="F35:F46">
    <cfRule type="cellIs" dxfId="16" priority="21" operator="lessThan">
      <formula>83</formula>
    </cfRule>
    <cfRule type="cellIs" dxfId="15" priority="22" operator="greaterThan">
      <formula>97</formula>
    </cfRule>
  </conditionalFormatting>
  <conditionalFormatting sqref="L35:L46 B35:B46">
    <cfRule type="uniqueValues" dxfId="14" priority="20"/>
  </conditionalFormatting>
  <conditionalFormatting sqref="L35:L46 U35:U46">
    <cfRule type="uniqueValues" dxfId="13" priority="19"/>
  </conditionalFormatting>
  <conditionalFormatting sqref="V35:W46">
    <cfRule type="cellIs" dxfId="12" priority="15" operator="lessThan">
      <formula>-25</formula>
    </cfRule>
    <cfRule type="cellIs" dxfId="11" priority="16" operator="greaterThan">
      <formula>25</formula>
    </cfRule>
    <cfRule type="cellIs" dxfId="10" priority="17" operator="lessThan">
      <formula>-22.5</formula>
    </cfRule>
    <cfRule type="cellIs" dxfId="9" priority="18" operator="greaterThan">
      <formula>22.5</formula>
    </cfRule>
  </conditionalFormatting>
  <conditionalFormatting sqref="V35:W46">
    <cfRule type="duplicateValues" dxfId="8" priority="14"/>
  </conditionalFormatting>
  <conditionalFormatting sqref="C35:E46">
    <cfRule type="duplicateValues" dxfId="7" priority="12"/>
  </conditionalFormatting>
  <conditionalFormatting sqref="O35:P46">
    <cfRule type="duplicateValues" dxfId="6" priority="2"/>
    <cfRule type="cellIs" dxfId="5" priority="6" operator="lessThan">
      <formula>-12</formula>
    </cfRule>
    <cfRule type="cellIs" dxfId="4" priority="7" operator="greaterThan">
      <formula>12</formula>
    </cfRule>
    <cfRule type="cellIs" dxfId="3" priority="8" operator="lessThan">
      <formula>-10.8</formula>
    </cfRule>
    <cfRule type="cellIs" dxfId="2" priority="9" operator="greaterThan">
      <formula>10.8</formula>
    </cfRule>
  </conditionalFormatting>
  <conditionalFormatting sqref="X35:Y46">
    <cfRule type="duplicateValues" dxfId="1" priority="3"/>
  </conditionalFormatting>
  <conditionalFormatting sqref="F35:H46">
    <cfRule type="duplicateValues" dxfId="0" priority="1"/>
  </conditionalFormatting>
  <dataValidations count="1">
    <dataValidation type="list" allowBlank="1" showInputMessage="1" showErrorMessage="1" sqref="R32">
      <formula1>$AD$39:$AD$43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7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s">
        <v>193</v>
      </c>
      <c r="V1" t="s">
        <v>194</v>
      </c>
      <c r="W1" t="s">
        <v>195</v>
      </c>
      <c r="X1" t="s">
        <v>196</v>
      </c>
      <c r="Y1" t="s">
        <v>197</v>
      </c>
      <c r="Z1" t="s">
        <v>198</v>
      </c>
      <c r="AA1" t="s">
        <v>199</v>
      </c>
      <c r="AB1" t="s">
        <v>200</v>
      </c>
      <c r="AC1" t="s">
        <v>201</v>
      </c>
      <c r="AD1" t="s">
        <v>202</v>
      </c>
      <c r="AE1" t="s">
        <v>203</v>
      </c>
      <c r="AF1" t="s">
        <v>204</v>
      </c>
      <c r="AG1" t="s">
        <v>205</v>
      </c>
      <c r="AH1" t="s">
        <v>206</v>
      </c>
      <c r="AI1" t="s">
        <v>207</v>
      </c>
      <c r="AJ1" t="s">
        <v>208</v>
      </c>
      <c r="AK1" s="17" t="s">
        <v>209</v>
      </c>
    </row>
    <row r="2" spans="1:37">
      <c r="A2" t="s">
        <v>210</v>
      </c>
      <c r="B2" t="s">
        <v>211</v>
      </c>
      <c r="C2" t="s">
        <v>212</v>
      </c>
      <c r="D2" t="s">
        <v>213</v>
      </c>
      <c r="E2">
        <v>3</v>
      </c>
      <c r="F2" t="s">
        <v>214</v>
      </c>
      <c r="G2" t="s">
        <v>215</v>
      </c>
      <c r="H2" t="s">
        <v>216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2118.1255330102999</v>
      </c>
      <c r="S2">
        <v>1515.8393889462</v>
      </c>
      <c r="T2">
        <v>5.6255330102999999</v>
      </c>
      <c r="U2">
        <v>-3.3393889462000002</v>
      </c>
      <c r="V2">
        <v>6.5420287514000002</v>
      </c>
      <c r="W2">
        <v>735.02980000000002</v>
      </c>
      <c r="X2">
        <v>396.14049999999997</v>
      </c>
      <c r="Y2">
        <v>402.82740000000001</v>
      </c>
      <c r="Z2">
        <v>398.51850000000002</v>
      </c>
      <c r="AA2">
        <v>397.69</v>
      </c>
      <c r="AB2">
        <v>566.91195000000005</v>
      </c>
      <c r="AC2" t="s">
        <v>223</v>
      </c>
      <c r="AD2" t="s">
        <v>224</v>
      </c>
      <c r="AE2" t="s">
        <v>225</v>
      </c>
      <c r="AF2" t="s">
        <v>226</v>
      </c>
      <c r="AG2" t="s">
        <v>227</v>
      </c>
      <c r="AH2">
        <v>8</v>
      </c>
      <c r="AI2" t="s">
        <v>228</v>
      </c>
      <c r="AK2" s="17">
        <v>1</v>
      </c>
    </row>
    <row r="3" spans="1:37">
      <c r="A3" t="s">
        <v>545</v>
      </c>
      <c r="B3" t="s">
        <v>546</v>
      </c>
      <c r="C3" t="s">
        <v>547</v>
      </c>
      <c r="D3" t="s">
        <v>213</v>
      </c>
      <c r="E3">
        <v>3</v>
      </c>
      <c r="F3" t="s">
        <v>214</v>
      </c>
      <c r="G3" t="s">
        <v>215</v>
      </c>
      <c r="H3" t="s">
        <v>216</v>
      </c>
      <c r="I3" t="s">
        <v>217</v>
      </c>
      <c r="K3" t="s">
        <v>548</v>
      </c>
      <c r="L3" t="s">
        <v>549</v>
      </c>
      <c r="M3" t="s">
        <v>550</v>
      </c>
      <c r="N3" t="s">
        <v>551</v>
      </c>
      <c r="O3" t="s">
        <v>552</v>
      </c>
      <c r="P3">
        <v>0</v>
      </c>
      <c r="Q3">
        <v>0</v>
      </c>
      <c r="R3">
        <v>2114.2652764601999</v>
      </c>
      <c r="S3">
        <v>1522.3384487241001</v>
      </c>
      <c r="T3">
        <v>1.7652764602</v>
      </c>
      <c r="U3">
        <v>-9.8384487240999992</v>
      </c>
      <c r="V3">
        <v>9.9955627294999996</v>
      </c>
      <c r="W3">
        <v>739.59680000000003</v>
      </c>
      <c r="X3">
        <v>401.31740000000002</v>
      </c>
      <c r="Y3">
        <v>407.19940000000003</v>
      </c>
      <c r="Z3">
        <v>402.62079999999997</v>
      </c>
      <c r="AA3">
        <v>403.04919999999998</v>
      </c>
      <c r="AB3">
        <v>571.57174999999995</v>
      </c>
      <c r="AC3" t="s">
        <v>223</v>
      </c>
      <c r="AD3" t="s">
        <v>224</v>
      </c>
      <c r="AE3" t="s">
        <v>225</v>
      </c>
      <c r="AF3" t="s">
        <v>226</v>
      </c>
      <c r="AG3" t="s">
        <v>227</v>
      </c>
      <c r="AH3">
        <v>8</v>
      </c>
      <c r="AI3" t="s">
        <v>228</v>
      </c>
      <c r="AK3" s="17">
        <v>1</v>
      </c>
    </row>
    <row r="4" spans="1:37">
      <c r="A4" t="s">
        <v>553</v>
      </c>
      <c r="B4" t="s">
        <v>554</v>
      </c>
      <c r="C4" t="s">
        <v>555</v>
      </c>
      <c r="D4" t="s">
        <v>213</v>
      </c>
      <c r="E4">
        <v>3</v>
      </c>
      <c r="F4" t="s">
        <v>214</v>
      </c>
      <c r="G4" t="s">
        <v>215</v>
      </c>
      <c r="H4" t="s">
        <v>216</v>
      </c>
      <c r="I4" t="s">
        <v>217</v>
      </c>
      <c r="K4" t="s">
        <v>556</v>
      </c>
      <c r="L4" t="s">
        <v>557</v>
      </c>
      <c r="M4" t="s">
        <v>558</v>
      </c>
      <c r="N4" t="s">
        <v>559</v>
      </c>
      <c r="O4" t="s">
        <v>560</v>
      </c>
      <c r="P4">
        <v>0</v>
      </c>
      <c r="Q4">
        <v>0</v>
      </c>
      <c r="R4">
        <v>2110.0710038647999</v>
      </c>
      <c r="S4">
        <v>1518.1997921586001</v>
      </c>
      <c r="T4">
        <v>-2.4289961351999998</v>
      </c>
      <c r="U4">
        <v>-5.6997921586000002</v>
      </c>
      <c r="V4">
        <v>6.1957770196000004</v>
      </c>
      <c r="W4">
        <v>734.57330000000002</v>
      </c>
      <c r="X4">
        <v>401.28879999999998</v>
      </c>
      <c r="Y4">
        <v>405.48379999999997</v>
      </c>
      <c r="Z4">
        <v>401.9624</v>
      </c>
      <c r="AA4">
        <v>399.13389999999998</v>
      </c>
      <c r="AB4">
        <v>568.27026249999994</v>
      </c>
      <c r="AC4" t="s">
        <v>223</v>
      </c>
      <c r="AD4" t="s">
        <v>224</v>
      </c>
      <c r="AE4" t="s">
        <v>225</v>
      </c>
      <c r="AF4" t="s">
        <v>226</v>
      </c>
      <c r="AG4" t="s">
        <v>227</v>
      </c>
      <c r="AH4">
        <v>8</v>
      </c>
      <c r="AI4" t="s">
        <v>228</v>
      </c>
      <c r="AK4" s="17">
        <v>1</v>
      </c>
    </row>
    <row r="5" spans="1:37">
      <c r="A5" t="s">
        <v>561</v>
      </c>
      <c r="B5" t="s">
        <v>562</v>
      </c>
      <c r="C5" t="s">
        <v>563</v>
      </c>
      <c r="D5" t="s">
        <v>213</v>
      </c>
      <c r="E5">
        <v>3</v>
      </c>
      <c r="F5" t="s">
        <v>214</v>
      </c>
      <c r="G5" t="s">
        <v>215</v>
      </c>
      <c r="H5" t="s">
        <v>216</v>
      </c>
      <c r="I5" t="s">
        <v>217</v>
      </c>
      <c r="K5" t="s">
        <v>564</v>
      </c>
      <c r="L5" t="s">
        <v>565</v>
      </c>
      <c r="M5" t="s">
        <v>566</v>
      </c>
      <c r="N5" t="s">
        <v>567</v>
      </c>
      <c r="O5" t="s">
        <v>568</v>
      </c>
      <c r="P5">
        <v>0</v>
      </c>
      <c r="Q5">
        <v>0</v>
      </c>
      <c r="R5">
        <v>2115.6149160629998</v>
      </c>
      <c r="S5">
        <v>1516.1920535483</v>
      </c>
      <c r="T5">
        <v>3.1149160629999999</v>
      </c>
      <c r="U5">
        <v>-3.6920535483000001</v>
      </c>
      <c r="V5">
        <v>4.8305239346000004</v>
      </c>
      <c r="W5">
        <v>746.61599999999999</v>
      </c>
      <c r="X5">
        <v>404.4796</v>
      </c>
      <c r="Y5">
        <v>410.20389999999998</v>
      </c>
      <c r="Z5">
        <v>404.11829999999998</v>
      </c>
      <c r="AA5">
        <v>406.25810000000001</v>
      </c>
      <c r="AB5">
        <v>576.44048750000002</v>
      </c>
      <c r="AC5" t="s">
        <v>223</v>
      </c>
      <c r="AD5" t="s">
        <v>224</v>
      </c>
      <c r="AE5" t="s">
        <v>225</v>
      </c>
      <c r="AF5" t="s">
        <v>226</v>
      </c>
      <c r="AG5" t="s">
        <v>227</v>
      </c>
      <c r="AH5">
        <v>8</v>
      </c>
      <c r="AI5" t="s">
        <v>228</v>
      </c>
      <c r="AK5" s="17">
        <v>1</v>
      </c>
    </row>
    <row r="6" spans="1:37">
      <c r="A6" t="s">
        <v>569</v>
      </c>
      <c r="B6" t="s">
        <v>570</v>
      </c>
      <c r="C6" t="s">
        <v>571</v>
      </c>
      <c r="D6" t="s">
        <v>213</v>
      </c>
      <c r="E6">
        <v>3</v>
      </c>
      <c r="F6" t="s">
        <v>214</v>
      </c>
      <c r="G6" t="s">
        <v>215</v>
      </c>
      <c r="H6" t="s">
        <v>216</v>
      </c>
      <c r="I6" t="s">
        <v>217</v>
      </c>
      <c r="K6" t="s">
        <v>572</v>
      </c>
      <c r="L6" t="s">
        <v>573</v>
      </c>
      <c r="M6" t="s">
        <v>574</v>
      </c>
      <c r="N6" t="s">
        <v>575</v>
      </c>
      <c r="O6" t="s">
        <v>576</v>
      </c>
      <c r="P6">
        <v>0</v>
      </c>
      <c r="Q6">
        <v>0</v>
      </c>
      <c r="R6">
        <v>2113.8250759383</v>
      </c>
      <c r="S6">
        <v>1515.9784815982</v>
      </c>
      <c r="T6">
        <v>1.3250759382999999</v>
      </c>
      <c r="U6">
        <v>-3.4784815982000001</v>
      </c>
      <c r="V6">
        <v>3.7223192328999999</v>
      </c>
      <c r="W6">
        <v>735.99419999999998</v>
      </c>
      <c r="X6">
        <v>400.06569999999999</v>
      </c>
      <c r="Y6">
        <v>400.86649999999997</v>
      </c>
      <c r="Z6">
        <v>398.93029999999999</v>
      </c>
      <c r="AA6">
        <v>400.93849999999998</v>
      </c>
      <c r="AB6">
        <v>568.09722499999998</v>
      </c>
      <c r="AC6" t="s">
        <v>223</v>
      </c>
      <c r="AD6" t="s">
        <v>224</v>
      </c>
      <c r="AE6" t="s">
        <v>225</v>
      </c>
      <c r="AF6" t="s">
        <v>226</v>
      </c>
      <c r="AG6" t="s">
        <v>227</v>
      </c>
      <c r="AH6">
        <v>8</v>
      </c>
      <c r="AI6" t="s">
        <v>228</v>
      </c>
      <c r="AK6" s="17">
        <v>1</v>
      </c>
    </row>
    <row r="7" spans="1:37">
      <c r="A7" t="s">
        <v>577</v>
      </c>
      <c r="B7" t="s">
        <v>578</v>
      </c>
      <c r="C7" t="s">
        <v>579</v>
      </c>
      <c r="D7" t="s">
        <v>213</v>
      </c>
      <c r="E7">
        <v>3</v>
      </c>
      <c r="F7" t="s">
        <v>214</v>
      </c>
      <c r="G7" t="s">
        <v>215</v>
      </c>
      <c r="H7" t="s">
        <v>216</v>
      </c>
      <c r="I7" t="s">
        <v>217</v>
      </c>
      <c r="K7" t="s">
        <v>580</v>
      </c>
      <c r="L7" t="s">
        <v>581</v>
      </c>
      <c r="M7" t="s">
        <v>582</v>
      </c>
      <c r="N7" t="s">
        <v>583</v>
      </c>
      <c r="O7" t="s">
        <v>584</v>
      </c>
      <c r="P7">
        <v>0</v>
      </c>
      <c r="Q7">
        <v>0</v>
      </c>
      <c r="R7">
        <v>2113.0814496623002</v>
      </c>
      <c r="S7">
        <v>1520.1644779454</v>
      </c>
      <c r="T7">
        <v>0.58144966229999995</v>
      </c>
      <c r="U7">
        <v>-7.6644779453999998</v>
      </c>
      <c r="V7">
        <v>7.6865015373999999</v>
      </c>
      <c r="W7">
        <v>723.67589999999996</v>
      </c>
      <c r="X7">
        <v>391.88979999999998</v>
      </c>
      <c r="Y7">
        <v>396.99579999999997</v>
      </c>
      <c r="Z7">
        <v>392.46480000000003</v>
      </c>
      <c r="AA7">
        <v>394.87290000000002</v>
      </c>
      <c r="AB7">
        <v>558.86586250000005</v>
      </c>
      <c r="AC7" t="s">
        <v>223</v>
      </c>
      <c r="AD7" t="s">
        <v>224</v>
      </c>
      <c r="AE7" t="s">
        <v>225</v>
      </c>
      <c r="AF7" t="s">
        <v>226</v>
      </c>
      <c r="AG7" t="s">
        <v>227</v>
      </c>
      <c r="AH7">
        <v>8</v>
      </c>
      <c r="AI7" t="s">
        <v>228</v>
      </c>
      <c r="AK7" s="17">
        <v>1</v>
      </c>
    </row>
    <row r="8" spans="1:37">
      <c r="A8" t="s">
        <v>620</v>
      </c>
      <c r="B8" t="s">
        <v>621</v>
      </c>
      <c r="C8" t="s">
        <v>622</v>
      </c>
      <c r="D8" t="s">
        <v>213</v>
      </c>
      <c r="E8">
        <v>3</v>
      </c>
      <c r="F8" t="s">
        <v>214</v>
      </c>
      <c r="G8" t="s">
        <v>215</v>
      </c>
      <c r="H8" t="s">
        <v>216</v>
      </c>
      <c r="I8" t="s">
        <v>217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2107.7440876426999</v>
      </c>
      <c r="S8">
        <v>1514.2318654968999</v>
      </c>
      <c r="T8">
        <v>-4.7559123572999997</v>
      </c>
      <c r="U8">
        <v>-1.7318654969</v>
      </c>
      <c r="V8">
        <v>5.0614286965000002</v>
      </c>
      <c r="W8">
        <v>717.04549999999995</v>
      </c>
      <c r="X8">
        <v>386.24759999999998</v>
      </c>
      <c r="Y8">
        <v>389.5326</v>
      </c>
      <c r="Z8">
        <v>388.87729999999999</v>
      </c>
      <c r="AA8">
        <v>385.20929999999998</v>
      </c>
      <c r="AB8">
        <v>552.25609999999995</v>
      </c>
      <c r="AC8" t="s">
        <v>223</v>
      </c>
      <c r="AD8" t="s">
        <v>224</v>
      </c>
      <c r="AE8" t="s">
        <v>225</v>
      </c>
      <c r="AF8" t="s">
        <v>226</v>
      </c>
      <c r="AG8" t="s">
        <v>227</v>
      </c>
      <c r="AH8">
        <v>8</v>
      </c>
      <c r="AI8" t="s">
        <v>228</v>
      </c>
      <c r="AK8" s="17">
        <v>1</v>
      </c>
    </row>
    <row r="9" spans="1:37">
      <c r="A9" t="s">
        <v>635</v>
      </c>
      <c r="B9" t="s">
        <v>636</v>
      </c>
      <c r="C9" t="s">
        <v>637</v>
      </c>
      <c r="D9" t="s">
        <v>213</v>
      </c>
      <c r="E9">
        <v>3</v>
      </c>
      <c r="F9" t="s">
        <v>214</v>
      </c>
      <c r="G9" t="s">
        <v>215</v>
      </c>
      <c r="H9" t="s">
        <v>216</v>
      </c>
      <c r="I9" t="s">
        <v>217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2105.6056543804002</v>
      </c>
      <c r="S9">
        <v>1514.1811080046</v>
      </c>
      <c r="T9">
        <v>-6.8943456196000001</v>
      </c>
      <c r="U9">
        <v>-1.6811080046</v>
      </c>
      <c r="V9">
        <v>7.0963459361999996</v>
      </c>
      <c r="W9">
        <v>717.42819999999995</v>
      </c>
      <c r="X9">
        <v>390.70100000000002</v>
      </c>
      <c r="Y9">
        <v>391.12950000000001</v>
      </c>
      <c r="Z9">
        <v>391.12189999999998</v>
      </c>
      <c r="AA9">
        <v>388.03559999999999</v>
      </c>
      <c r="AB9">
        <v>553.83759999999995</v>
      </c>
      <c r="AC9" t="s">
        <v>223</v>
      </c>
      <c r="AD9" t="s">
        <v>224</v>
      </c>
      <c r="AE9" t="s">
        <v>225</v>
      </c>
      <c r="AF9" t="s">
        <v>226</v>
      </c>
      <c r="AG9" t="s">
        <v>227</v>
      </c>
      <c r="AH9">
        <v>8</v>
      </c>
      <c r="AI9" t="s">
        <v>228</v>
      </c>
      <c r="AK9" s="17">
        <v>1</v>
      </c>
    </row>
    <row r="10" spans="1:37">
      <c r="A10" t="s">
        <v>650</v>
      </c>
      <c r="B10" t="s">
        <v>651</v>
      </c>
      <c r="C10" t="s">
        <v>652</v>
      </c>
      <c r="D10" t="s">
        <v>213</v>
      </c>
      <c r="E10">
        <v>3</v>
      </c>
      <c r="F10" t="s">
        <v>214</v>
      </c>
      <c r="G10" t="s">
        <v>215</v>
      </c>
      <c r="H10" t="s">
        <v>216</v>
      </c>
      <c r="I10" t="s">
        <v>217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2105.9184358734001</v>
      </c>
      <c r="S10">
        <v>1512.3511958724</v>
      </c>
      <c r="T10">
        <v>-6.5815641266</v>
      </c>
      <c r="U10">
        <v>0.1488041276</v>
      </c>
      <c r="V10">
        <v>6.5832460853999999</v>
      </c>
      <c r="W10">
        <v>717.11009999999999</v>
      </c>
      <c r="X10">
        <v>392.5838</v>
      </c>
      <c r="Y10">
        <v>394.72239999999999</v>
      </c>
      <c r="Z10">
        <v>393.97710000000001</v>
      </c>
      <c r="AA10">
        <v>391.0788</v>
      </c>
      <c r="AB10">
        <v>555.10031249999997</v>
      </c>
      <c r="AC10" t="s">
        <v>223</v>
      </c>
      <c r="AD10" t="s">
        <v>224</v>
      </c>
      <c r="AE10" t="s">
        <v>225</v>
      </c>
      <c r="AF10" t="s">
        <v>226</v>
      </c>
      <c r="AG10" t="s">
        <v>227</v>
      </c>
      <c r="AH10">
        <v>8</v>
      </c>
      <c r="AI10" t="s">
        <v>228</v>
      </c>
      <c r="AK10" s="17">
        <v>1</v>
      </c>
    </row>
    <row r="11" spans="1:37">
      <c r="A11" t="s">
        <v>665</v>
      </c>
      <c r="B11" t="s">
        <v>666</v>
      </c>
      <c r="C11" t="s">
        <v>667</v>
      </c>
      <c r="D11" t="s">
        <v>213</v>
      </c>
      <c r="E11">
        <v>3</v>
      </c>
      <c r="F11" t="s">
        <v>214</v>
      </c>
      <c r="G11" t="s">
        <v>215</v>
      </c>
      <c r="H11" t="s">
        <v>216</v>
      </c>
      <c r="I11" t="s">
        <v>217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2109.1940835012001</v>
      </c>
      <c r="S11">
        <v>1505.2602812283999</v>
      </c>
      <c r="T11">
        <v>-3.3059164987999998</v>
      </c>
      <c r="U11">
        <v>7.2397187715999998</v>
      </c>
      <c r="V11">
        <v>7.9588071838000003</v>
      </c>
      <c r="W11">
        <v>732.43370000000004</v>
      </c>
      <c r="X11">
        <v>403.34519999999998</v>
      </c>
      <c r="Y11">
        <v>401.50229999999999</v>
      </c>
      <c r="Z11">
        <v>401.51839999999999</v>
      </c>
      <c r="AA11">
        <v>398.00369999999998</v>
      </c>
      <c r="AB11">
        <v>566.76305000000002</v>
      </c>
      <c r="AC11" t="s">
        <v>223</v>
      </c>
      <c r="AD11" t="s">
        <v>224</v>
      </c>
      <c r="AE11" t="s">
        <v>225</v>
      </c>
      <c r="AF11" t="s">
        <v>226</v>
      </c>
      <c r="AG11" t="s">
        <v>227</v>
      </c>
      <c r="AH11">
        <v>8</v>
      </c>
      <c r="AI11" t="s">
        <v>228</v>
      </c>
      <c r="AK11" s="17">
        <v>1</v>
      </c>
    </row>
    <row r="12" spans="1:37">
      <c r="A12" t="s">
        <v>680</v>
      </c>
      <c r="B12" t="s">
        <v>681</v>
      </c>
      <c r="C12" t="s">
        <v>682</v>
      </c>
      <c r="D12" t="s">
        <v>213</v>
      </c>
      <c r="E12">
        <v>3</v>
      </c>
      <c r="F12" t="s">
        <v>214</v>
      </c>
      <c r="G12" t="s">
        <v>215</v>
      </c>
      <c r="H12" t="s">
        <v>216</v>
      </c>
      <c r="I12" t="s">
        <v>217</v>
      </c>
      <c r="K12" t="s">
        <v>683</v>
      </c>
      <c r="L12" t="s">
        <v>684</v>
      </c>
      <c r="M12" t="s">
        <v>685</v>
      </c>
      <c r="N12" t="s">
        <v>686</v>
      </c>
      <c r="O12" t="s">
        <v>687</v>
      </c>
      <c r="P12">
        <v>0</v>
      </c>
      <c r="Q12">
        <v>0</v>
      </c>
      <c r="R12">
        <v>2110.9056331833999</v>
      </c>
      <c r="S12">
        <v>1506.2705408034001</v>
      </c>
      <c r="T12">
        <v>-1.5943668166</v>
      </c>
      <c r="U12">
        <v>6.2294591965999997</v>
      </c>
      <c r="V12">
        <v>6.4302540718000003</v>
      </c>
      <c r="W12">
        <v>720.98710000000005</v>
      </c>
      <c r="X12">
        <v>397.017</v>
      </c>
      <c r="Y12">
        <v>391.65989999999999</v>
      </c>
      <c r="Z12">
        <v>395.24259999999998</v>
      </c>
      <c r="AA12">
        <v>393.33670000000001</v>
      </c>
      <c r="AB12">
        <v>557.650575</v>
      </c>
      <c r="AC12" t="s">
        <v>223</v>
      </c>
      <c r="AD12" t="s">
        <v>224</v>
      </c>
      <c r="AE12" t="s">
        <v>225</v>
      </c>
      <c r="AF12" t="s">
        <v>226</v>
      </c>
      <c r="AG12" t="s">
        <v>227</v>
      </c>
      <c r="AH12">
        <v>8</v>
      </c>
      <c r="AI12" t="s">
        <v>228</v>
      </c>
      <c r="AK12" s="17">
        <v>1</v>
      </c>
    </row>
    <row r="13" spans="1:37">
      <c r="A13" t="s">
        <v>695</v>
      </c>
      <c r="B13" t="s">
        <v>696</v>
      </c>
      <c r="C13" t="s">
        <v>697</v>
      </c>
      <c r="D13" t="s">
        <v>213</v>
      </c>
      <c r="E13">
        <v>3</v>
      </c>
      <c r="F13" t="s">
        <v>214</v>
      </c>
      <c r="G13" t="s">
        <v>215</v>
      </c>
      <c r="H13" t="s">
        <v>216</v>
      </c>
      <c r="I13" t="s">
        <v>217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2106.6452930662999</v>
      </c>
      <c r="S13">
        <v>1508.6131792013</v>
      </c>
      <c r="T13">
        <v>-5.8547069337000002</v>
      </c>
      <c r="U13">
        <v>3.8868207987000001</v>
      </c>
      <c r="V13">
        <v>7.0274440019000002</v>
      </c>
      <c r="W13">
        <v>739.38300000000004</v>
      </c>
      <c r="X13">
        <v>403.58629999999999</v>
      </c>
      <c r="Y13">
        <v>400.69850000000002</v>
      </c>
      <c r="Z13">
        <v>399.23349999999999</v>
      </c>
      <c r="AA13">
        <v>399.07909999999998</v>
      </c>
      <c r="AB13">
        <v>570.01617499999998</v>
      </c>
      <c r="AC13" t="s">
        <v>223</v>
      </c>
      <c r="AD13" t="s">
        <v>224</v>
      </c>
      <c r="AE13" t="s">
        <v>225</v>
      </c>
      <c r="AF13" t="s">
        <v>226</v>
      </c>
      <c r="AG13" t="s">
        <v>227</v>
      </c>
      <c r="AH13">
        <v>8</v>
      </c>
      <c r="AI13" t="s">
        <v>228</v>
      </c>
      <c r="AK13" s="17">
        <v>1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Y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1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229</v>
      </c>
      <c r="S1" t="s">
        <v>230</v>
      </c>
      <c r="T1" t="s">
        <v>231</v>
      </c>
      <c r="U1" t="s">
        <v>232</v>
      </c>
      <c r="V1" t="s">
        <v>233</v>
      </c>
      <c r="W1" t="s">
        <v>234</v>
      </c>
      <c r="X1" t="s">
        <v>235</v>
      </c>
      <c r="Y1" t="s">
        <v>236</v>
      </c>
      <c r="Z1" t="s">
        <v>237</v>
      </c>
      <c r="AA1" t="s">
        <v>238</v>
      </c>
      <c r="AB1" t="s">
        <v>239</v>
      </c>
      <c r="AC1" t="s">
        <v>240</v>
      </c>
      <c r="AD1" t="s">
        <v>241</v>
      </c>
      <c r="AE1" t="s">
        <v>242</v>
      </c>
      <c r="AF1" t="s">
        <v>243</v>
      </c>
      <c r="AG1" t="s">
        <v>244</v>
      </c>
      <c r="AH1" t="s">
        <v>245</v>
      </c>
      <c r="AI1" t="s">
        <v>246</v>
      </c>
      <c r="AJ1" t="s">
        <v>247</v>
      </c>
      <c r="AK1" t="s">
        <v>248</v>
      </c>
      <c r="AL1" t="s">
        <v>249</v>
      </c>
      <c r="AM1" t="s">
        <v>250</v>
      </c>
      <c r="AN1" t="s">
        <v>251</v>
      </c>
      <c r="AO1" t="s">
        <v>252</v>
      </c>
      <c r="AP1" t="s">
        <v>253</v>
      </c>
      <c r="AQ1" t="s">
        <v>254</v>
      </c>
      <c r="AR1" t="s">
        <v>255</v>
      </c>
      <c r="AS1" t="s">
        <v>256</v>
      </c>
      <c r="AT1" t="s">
        <v>257</v>
      </c>
      <c r="AU1" t="s">
        <v>258</v>
      </c>
      <c r="AV1" t="s">
        <v>259</v>
      </c>
      <c r="AW1" t="s">
        <v>207</v>
      </c>
      <c r="AX1" t="s">
        <v>208</v>
      </c>
      <c r="AY1" s="17" t="s">
        <v>209</v>
      </c>
    </row>
    <row r="2" spans="1:51">
      <c r="A2" t="s">
        <v>260</v>
      </c>
      <c r="B2" t="s">
        <v>261</v>
      </c>
      <c r="C2" t="s">
        <v>262</v>
      </c>
      <c r="D2" t="s">
        <v>213</v>
      </c>
      <c r="E2">
        <v>3</v>
      </c>
      <c r="F2" t="s">
        <v>214</v>
      </c>
      <c r="G2" t="s">
        <v>215</v>
      </c>
      <c r="H2" t="s">
        <v>263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1.26958E-5</v>
      </c>
      <c r="S2">
        <v>-1.1857287884000001</v>
      </c>
      <c r="T2">
        <v>9.0811624526999992</v>
      </c>
      <c r="U2">
        <v>0.67570501569999997</v>
      </c>
      <c r="V2">
        <v>5.7316017151</v>
      </c>
      <c r="W2">
        <v>-5.1591691970999998</v>
      </c>
      <c r="X2">
        <v>1.3667488098</v>
      </c>
      <c r="Y2">
        <v>-3.7212224006999999</v>
      </c>
      <c r="Z2">
        <v>0.71763724090000003</v>
      </c>
      <c r="AA2">
        <v>-0.42333519460000002</v>
      </c>
      <c r="AB2">
        <v>0.1613188982</v>
      </c>
      <c r="AC2">
        <v>-2.2843279838999999</v>
      </c>
      <c r="AD2">
        <v>1.7282549142999999</v>
      </c>
      <c r="AE2">
        <v>-1.3666812181000001</v>
      </c>
      <c r="AF2">
        <v>1.0456681252</v>
      </c>
      <c r="AG2">
        <v>2.4559974700000001E-2</v>
      </c>
      <c r="AH2">
        <v>-0.22902786729999999</v>
      </c>
      <c r="AI2">
        <v>-0.1987123489</v>
      </c>
      <c r="AJ2">
        <v>-0.44447678330000001</v>
      </c>
      <c r="AK2">
        <v>0.221714884</v>
      </c>
      <c r="AL2">
        <v>1.554432E-4</v>
      </c>
      <c r="AM2">
        <v>4.1337817899999997E-2</v>
      </c>
      <c r="AN2">
        <v>8.9032165699999999E-2</v>
      </c>
      <c r="AO2">
        <v>0.2031135261</v>
      </c>
      <c r="AP2">
        <v>0.2146487534</v>
      </c>
      <c r="AQ2">
        <v>0.2146487534</v>
      </c>
      <c r="AR2">
        <v>9.1582456972999999</v>
      </c>
      <c r="AS2" t="s">
        <v>264</v>
      </c>
      <c r="AT2" t="s">
        <v>265</v>
      </c>
      <c r="AU2">
        <v>3</v>
      </c>
      <c r="AV2">
        <v>2.9</v>
      </c>
      <c r="AY2" s="17">
        <v>1</v>
      </c>
    </row>
    <row r="3" spans="1:51">
      <c r="A3" t="s">
        <v>585</v>
      </c>
      <c r="B3" t="s">
        <v>586</v>
      </c>
      <c r="C3" t="s">
        <v>587</v>
      </c>
      <c r="D3" t="s">
        <v>213</v>
      </c>
      <c r="E3">
        <v>3</v>
      </c>
      <c r="F3" t="s">
        <v>214</v>
      </c>
      <c r="G3" t="s">
        <v>215</v>
      </c>
      <c r="H3" t="s">
        <v>263</v>
      </c>
      <c r="I3" t="s">
        <v>217</v>
      </c>
      <c r="K3" t="s">
        <v>548</v>
      </c>
      <c r="L3" t="s">
        <v>549</v>
      </c>
      <c r="M3" t="s">
        <v>550</v>
      </c>
      <c r="N3" t="s">
        <v>551</v>
      </c>
      <c r="O3" t="s">
        <v>552</v>
      </c>
      <c r="P3">
        <v>0</v>
      </c>
      <c r="Q3">
        <v>0</v>
      </c>
      <c r="R3">
        <v>-3.9935E-6</v>
      </c>
      <c r="S3">
        <v>2.7316594124</v>
      </c>
      <c r="T3">
        <v>11.733423233</v>
      </c>
      <c r="U3">
        <v>1.4482334852000001</v>
      </c>
      <c r="V3">
        <v>5.8000512122999996</v>
      </c>
      <c r="W3">
        <v>-9.5656929016000003</v>
      </c>
      <c r="X3">
        <v>-1.1693758965000001</v>
      </c>
      <c r="Y3">
        <v>-4.2929143906</v>
      </c>
      <c r="Z3">
        <v>-0.27815645929999999</v>
      </c>
      <c r="AA3">
        <v>-0.40822815899999998</v>
      </c>
      <c r="AB3">
        <v>1.1271054745</v>
      </c>
      <c r="AC3">
        <v>-2.2330355644000002</v>
      </c>
      <c r="AD3">
        <v>2.6612398624</v>
      </c>
      <c r="AE3">
        <v>0.19013741610000001</v>
      </c>
      <c r="AF3">
        <v>1.4495494365999999</v>
      </c>
      <c r="AG3">
        <v>-0.1033082753</v>
      </c>
      <c r="AH3">
        <v>1.1778914927999999</v>
      </c>
      <c r="AI3">
        <v>-0.6162297726</v>
      </c>
      <c r="AJ3">
        <v>0.89672279359999996</v>
      </c>
      <c r="AK3">
        <v>-1.6342639900000001E-2</v>
      </c>
      <c r="AL3">
        <v>1.6928280000000001E-4</v>
      </c>
      <c r="AM3">
        <v>4.1891451900000001E-2</v>
      </c>
      <c r="AN3">
        <v>0.1814229339</v>
      </c>
      <c r="AO3">
        <v>0.29931581019999998</v>
      </c>
      <c r="AP3">
        <v>0.29931581019999998</v>
      </c>
      <c r="AQ3">
        <v>0.29931581019999998</v>
      </c>
      <c r="AR3">
        <v>12.0472064775</v>
      </c>
      <c r="AS3" t="s">
        <v>264</v>
      </c>
      <c r="AT3" t="s">
        <v>265</v>
      </c>
      <c r="AU3">
        <v>3</v>
      </c>
      <c r="AV3">
        <v>2.9</v>
      </c>
      <c r="AY3" s="17">
        <v>1</v>
      </c>
    </row>
    <row r="4" spans="1:51">
      <c r="A4" t="s">
        <v>588</v>
      </c>
      <c r="B4" t="s">
        <v>589</v>
      </c>
      <c r="C4" t="s">
        <v>590</v>
      </c>
      <c r="D4" t="s">
        <v>213</v>
      </c>
      <c r="E4">
        <v>3</v>
      </c>
      <c r="F4" t="s">
        <v>214</v>
      </c>
      <c r="G4" t="s">
        <v>215</v>
      </c>
      <c r="H4" t="s">
        <v>263</v>
      </c>
      <c r="I4" t="s">
        <v>217</v>
      </c>
      <c r="K4" t="s">
        <v>556</v>
      </c>
      <c r="L4" t="s">
        <v>557</v>
      </c>
      <c r="M4" t="s">
        <v>558</v>
      </c>
      <c r="N4" t="s">
        <v>559</v>
      </c>
      <c r="O4" t="s">
        <v>560</v>
      </c>
      <c r="P4">
        <v>0</v>
      </c>
      <c r="Q4">
        <v>0</v>
      </c>
      <c r="R4">
        <v>4.1722999999999998E-6</v>
      </c>
      <c r="S4">
        <v>3.8816459178999998</v>
      </c>
      <c r="T4">
        <v>4.9431962967</v>
      </c>
      <c r="U4">
        <v>1.5908632277999999</v>
      </c>
      <c r="V4">
        <v>6.0753641129</v>
      </c>
      <c r="W4">
        <v>-6.1397447586</v>
      </c>
      <c r="X4">
        <v>0.4388548136</v>
      </c>
      <c r="Y4">
        <v>-1.603512764</v>
      </c>
      <c r="Z4">
        <v>-0.1297599971</v>
      </c>
      <c r="AA4">
        <v>-0.4286499023</v>
      </c>
      <c r="AB4">
        <v>0.97200137379999996</v>
      </c>
      <c r="AC4">
        <v>-2.1073217392000001</v>
      </c>
      <c r="AD4">
        <v>2.1664729118000001</v>
      </c>
      <c r="AE4">
        <v>3.2864719600000002E-2</v>
      </c>
      <c r="AF4">
        <v>0.59813117979999997</v>
      </c>
      <c r="AG4">
        <v>0.7207226753</v>
      </c>
      <c r="AH4">
        <v>0.20431581139999999</v>
      </c>
      <c r="AI4">
        <v>-0.3816773295</v>
      </c>
      <c r="AJ4">
        <v>0.81624406579999997</v>
      </c>
      <c r="AK4">
        <v>5.5050909500000002E-2</v>
      </c>
      <c r="AL4">
        <v>2.0288310000000001E-4</v>
      </c>
      <c r="AM4">
        <v>4.79009226E-2</v>
      </c>
      <c r="AN4">
        <v>0.13583387429999999</v>
      </c>
      <c r="AO4">
        <v>0.15642035009999999</v>
      </c>
      <c r="AP4">
        <v>0.17453375460000001</v>
      </c>
      <c r="AQ4">
        <v>0.17453375460000001</v>
      </c>
      <c r="AR4">
        <v>6.2850906644000002</v>
      </c>
      <c r="AS4" t="s">
        <v>264</v>
      </c>
      <c r="AT4" t="s">
        <v>265</v>
      </c>
      <c r="AU4">
        <v>3</v>
      </c>
      <c r="AV4">
        <v>2.9</v>
      </c>
      <c r="AY4" s="17">
        <v>1</v>
      </c>
    </row>
    <row r="5" spans="1:51">
      <c r="A5" t="s">
        <v>591</v>
      </c>
      <c r="B5" t="s">
        <v>592</v>
      </c>
      <c r="C5" t="s">
        <v>593</v>
      </c>
      <c r="D5" t="s">
        <v>213</v>
      </c>
      <c r="E5">
        <v>3</v>
      </c>
      <c r="F5" t="s">
        <v>214</v>
      </c>
      <c r="G5" t="s">
        <v>215</v>
      </c>
      <c r="H5" t="s">
        <v>263</v>
      </c>
      <c r="I5" t="s">
        <v>217</v>
      </c>
      <c r="K5" t="s">
        <v>564</v>
      </c>
      <c r="L5" t="s">
        <v>565</v>
      </c>
      <c r="M5" t="s">
        <v>566</v>
      </c>
      <c r="N5" t="s">
        <v>567</v>
      </c>
      <c r="O5" t="s">
        <v>568</v>
      </c>
      <c r="P5">
        <v>0</v>
      </c>
      <c r="Q5">
        <v>0</v>
      </c>
      <c r="R5">
        <v>-1.0728999999999999E-6</v>
      </c>
      <c r="S5">
        <v>6.0031661986999998</v>
      </c>
      <c r="T5">
        <v>6.8908824921000003</v>
      </c>
      <c r="U5">
        <v>-0.67828059200000002</v>
      </c>
      <c r="V5">
        <v>5.0040817260999999</v>
      </c>
      <c r="W5">
        <v>-2.1862950324999999</v>
      </c>
      <c r="X5">
        <v>-1.1036310196000001</v>
      </c>
      <c r="Y5">
        <v>-4.0930156707999998</v>
      </c>
      <c r="Z5">
        <v>0.81299221519999998</v>
      </c>
      <c r="AA5">
        <v>2.5012409686999999</v>
      </c>
      <c r="AB5">
        <v>1.5032293797</v>
      </c>
      <c r="AC5">
        <v>-2.0757970810000002</v>
      </c>
      <c r="AD5">
        <v>1.3076341151999999</v>
      </c>
      <c r="AE5">
        <v>0.37799286840000001</v>
      </c>
      <c r="AF5">
        <v>1.5866539477999999</v>
      </c>
      <c r="AG5">
        <v>-6.9181561500000002E-2</v>
      </c>
      <c r="AH5">
        <v>0.4366878569</v>
      </c>
      <c r="AI5">
        <v>1.0930010080000001</v>
      </c>
      <c r="AJ5">
        <v>-1.2460646629000001</v>
      </c>
      <c r="AK5">
        <v>-0.5648091435</v>
      </c>
      <c r="AL5">
        <v>1.591009E-4</v>
      </c>
      <c r="AM5">
        <v>4.2466428100000002E-2</v>
      </c>
      <c r="AN5">
        <v>0.12929938730000001</v>
      </c>
      <c r="AO5">
        <v>0.23710778360000001</v>
      </c>
      <c r="AP5">
        <v>0.27980273960000002</v>
      </c>
      <c r="AQ5">
        <v>0.27980273960000002</v>
      </c>
      <c r="AR5">
        <v>15.132568216199999</v>
      </c>
      <c r="AS5" t="s">
        <v>264</v>
      </c>
      <c r="AT5" t="s">
        <v>265</v>
      </c>
      <c r="AU5">
        <v>3</v>
      </c>
      <c r="AV5">
        <v>2.9</v>
      </c>
      <c r="AY5" s="17">
        <v>1</v>
      </c>
    </row>
    <row r="6" spans="1:51">
      <c r="A6" t="s">
        <v>594</v>
      </c>
      <c r="B6" t="s">
        <v>595</v>
      </c>
      <c r="C6" t="s">
        <v>596</v>
      </c>
      <c r="D6" t="s">
        <v>213</v>
      </c>
      <c r="E6">
        <v>3</v>
      </c>
      <c r="F6" t="s">
        <v>214</v>
      </c>
      <c r="G6" t="s">
        <v>215</v>
      </c>
      <c r="H6" t="s">
        <v>263</v>
      </c>
      <c r="I6" t="s">
        <v>217</v>
      </c>
      <c r="K6" t="s">
        <v>572</v>
      </c>
      <c r="L6" t="s">
        <v>573</v>
      </c>
      <c r="M6" t="s">
        <v>574</v>
      </c>
      <c r="N6" t="s">
        <v>575</v>
      </c>
      <c r="O6" t="s">
        <v>576</v>
      </c>
      <c r="P6">
        <v>0</v>
      </c>
      <c r="Q6">
        <v>0</v>
      </c>
      <c r="R6">
        <v>-5.9599999999999999E-7</v>
      </c>
      <c r="S6">
        <v>1.4577374458000001</v>
      </c>
      <c r="T6">
        <v>8.0212402344000004</v>
      </c>
      <c r="U6">
        <v>0.54491901399999998</v>
      </c>
      <c r="V6">
        <v>4.5955667495999997</v>
      </c>
      <c r="W6">
        <v>-3.9169383048999999</v>
      </c>
      <c r="X6">
        <v>1.083616972</v>
      </c>
      <c r="Y6">
        <v>-2.6225152016000002</v>
      </c>
      <c r="Z6">
        <v>0.24478518960000001</v>
      </c>
      <c r="AA6">
        <v>0.58412563799999995</v>
      </c>
      <c r="AB6">
        <v>8.1783473499999995E-2</v>
      </c>
      <c r="AC6">
        <v>-1.3989976645</v>
      </c>
      <c r="AD6">
        <v>0.93187999730000004</v>
      </c>
      <c r="AE6">
        <v>-0.35508772729999999</v>
      </c>
      <c r="AF6">
        <v>0.42177683119999998</v>
      </c>
      <c r="AG6">
        <v>-0.14203152059999999</v>
      </c>
      <c r="AH6">
        <v>0.15473833679999999</v>
      </c>
      <c r="AI6">
        <v>-0.63906323909999996</v>
      </c>
      <c r="AJ6">
        <v>-0.34020349379999998</v>
      </c>
      <c r="AK6">
        <v>0.35897308589999999</v>
      </c>
      <c r="AL6">
        <v>1.2475450000000001E-4</v>
      </c>
      <c r="AM6">
        <v>3.7243224700000001E-2</v>
      </c>
      <c r="AN6">
        <v>5.3167723100000001E-2</v>
      </c>
      <c r="AO6">
        <v>0.16228036579999999</v>
      </c>
      <c r="AP6">
        <v>0.1779922545</v>
      </c>
      <c r="AQ6">
        <v>0.1779922545</v>
      </c>
      <c r="AR6">
        <v>8.1526249367000005</v>
      </c>
      <c r="AS6" t="s">
        <v>264</v>
      </c>
      <c r="AT6" t="s">
        <v>265</v>
      </c>
      <c r="AU6">
        <v>4</v>
      </c>
      <c r="AV6">
        <v>2.9</v>
      </c>
      <c r="AY6" s="17">
        <v>1</v>
      </c>
    </row>
    <row r="7" spans="1:51">
      <c r="A7" t="s">
        <v>597</v>
      </c>
      <c r="B7" t="s">
        <v>598</v>
      </c>
      <c r="C7" t="s">
        <v>599</v>
      </c>
      <c r="D7" t="s">
        <v>213</v>
      </c>
      <c r="E7">
        <v>3</v>
      </c>
      <c r="F7" t="s">
        <v>214</v>
      </c>
      <c r="G7" t="s">
        <v>215</v>
      </c>
      <c r="H7" t="s">
        <v>263</v>
      </c>
      <c r="I7" t="s">
        <v>217</v>
      </c>
      <c r="K7" t="s">
        <v>580</v>
      </c>
      <c r="L7" t="s">
        <v>581</v>
      </c>
      <c r="M7" t="s">
        <v>582</v>
      </c>
      <c r="N7" t="s">
        <v>583</v>
      </c>
      <c r="O7" t="s">
        <v>584</v>
      </c>
      <c r="P7">
        <v>0</v>
      </c>
      <c r="Q7">
        <v>0</v>
      </c>
      <c r="R7">
        <v>5.3047999999999996E-6</v>
      </c>
      <c r="S7">
        <v>4.6154556274000003</v>
      </c>
      <c r="T7">
        <v>11.281130790700001</v>
      </c>
      <c r="U7">
        <v>-0.30992650989999998</v>
      </c>
      <c r="V7">
        <v>3.4538135528999998</v>
      </c>
      <c r="W7">
        <v>-9.3811378478999998</v>
      </c>
      <c r="X7">
        <v>-0.61189097169999995</v>
      </c>
      <c r="Y7">
        <v>-2.3176686763999998</v>
      </c>
      <c r="Z7">
        <v>-1.4946628809</v>
      </c>
      <c r="AA7">
        <v>-1.6792023182</v>
      </c>
      <c r="AB7">
        <v>0.86235904689999998</v>
      </c>
      <c r="AC7">
        <v>-0.88031578060000004</v>
      </c>
      <c r="AD7">
        <v>2.5168457031</v>
      </c>
      <c r="AE7">
        <v>1.1764241457</v>
      </c>
      <c r="AF7">
        <v>0.61131596570000002</v>
      </c>
      <c r="AG7">
        <v>1.4348560572</v>
      </c>
      <c r="AH7">
        <v>1.3925073147</v>
      </c>
      <c r="AI7">
        <v>-0.5731298923</v>
      </c>
      <c r="AJ7">
        <v>0.43502473829999999</v>
      </c>
      <c r="AK7">
        <v>0.4306610823</v>
      </c>
      <c r="AL7">
        <v>2.7851219999999998E-4</v>
      </c>
      <c r="AM7">
        <v>5.62693477E-2</v>
      </c>
      <c r="AN7">
        <v>0.19233936069999999</v>
      </c>
      <c r="AO7">
        <v>0.28648430110000001</v>
      </c>
      <c r="AP7">
        <v>0.28648430110000001</v>
      </c>
      <c r="AQ7">
        <v>0.28648430110000001</v>
      </c>
      <c r="AR7">
        <v>12.188779371500001</v>
      </c>
      <c r="AS7" t="s">
        <v>264</v>
      </c>
      <c r="AT7" t="s">
        <v>265</v>
      </c>
      <c r="AU7">
        <v>3</v>
      </c>
      <c r="AV7">
        <v>2.9</v>
      </c>
      <c r="AY7" s="17">
        <v>1</v>
      </c>
    </row>
    <row r="8" spans="1:51">
      <c r="A8" t="s">
        <v>628</v>
      </c>
      <c r="B8" t="s">
        <v>629</v>
      </c>
      <c r="C8" t="s">
        <v>634</v>
      </c>
      <c r="D8" t="s">
        <v>213</v>
      </c>
      <c r="E8">
        <v>3</v>
      </c>
      <c r="F8" t="s">
        <v>214</v>
      </c>
      <c r="G8" t="s">
        <v>215</v>
      </c>
      <c r="H8" t="s">
        <v>263</v>
      </c>
      <c r="I8" t="s">
        <v>217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1.32918E-5</v>
      </c>
      <c r="S8">
        <v>-2.0369319915999999</v>
      </c>
      <c r="T8">
        <v>7.0386013985</v>
      </c>
      <c r="U8">
        <v>-2.3300070762999998</v>
      </c>
      <c r="V8">
        <v>2.6492395401</v>
      </c>
      <c r="W8">
        <v>-3.2921774387</v>
      </c>
      <c r="X8">
        <v>2.0012050900000002E-2</v>
      </c>
      <c r="Y8">
        <v>-0.82869124409999995</v>
      </c>
      <c r="Z8">
        <v>1.3340150118</v>
      </c>
      <c r="AA8">
        <v>-0.52224659920000005</v>
      </c>
      <c r="AB8">
        <v>2.2093617916000001</v>
      </c>
      <c r="AC8">
        <v>-0.2286649644</v>
      </c>
      <c r="AD8">
        <v>1.3046220541</v>
      </c>
      <c r="AE8">
        <v>0.36445432900000002</v>
      </c>
      <c r="AF8">
        <v>1.212171793</v>
      </c>
      <c r="AG8">
        <v>-0.27491462230000002</v>
      </c>
      <c r="AH8">
        <v>0.94159901140000002</v>
      </c>
      <c r="AI8">
        <v>0.54542475940000001</v>
      </c>
      <c r="AJ8">
        <v>9.2331707499999999E-2</v>
      </c>
      <c r="AK8">
        <v>-0.29754209520000002</v>
      </c>
      <c r="AL8">
        <v>1.4625909999999999E-4</v>
      </c>
      <c r="AM8">
        <v>3.9422728099999998E-2</v>
      </c>
      <c r="AN8">
        <v>7.6789312100000007E-2</v>
      </c>
      <c r="AO8">
        <v>0.143083021</v>
      </c>
      <c r="AP8">
        <v>0.143083021</v>
      </c>
      <c r="AQ8">
        <v>0.143083021</v>
      </c>
      <c r="AR8">
        <v>7.3274143860000001</v>
      </c>
      <c r="AS8" t="s">
        <v>264</v>
      </c>
      <c r="AT8" t="s">
        <v>265</v>
      </c>
      <c r="AU8">
        <v>4</v>
      </c>
      <c r="AV8">
        <v>2.9</v>
      </c>
      <c r="AY8" s="17">
        <v>1</v>
      </c>
    </row>
    <row r="9" spans="1:51">
      <c r="A9" t="s">
        <v>643</v>
      </c>
      <c r="B9" t="s">
        <v>644</v>
      </c>
      <c r="C9" t="s">
        <v>645</v>
      </c>
      <c r="D9" t="s">
        <v>213</v>
      </c>
      <c r="E9">
        <v>3</v>
      </c>
      <c r="F9" t="s">
        <v>214</v>
      </c>
      <c r="G9" t="s">
        <v>215</v>
      </c>
      <c r="H9" t="s">
        <v>263</v>
      </c>
      <c r="I9" t="s">
        <v>217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-2.8014E-6</v>
      </c>
      <c r="S9">
        <v>-2.4578263759999999</v>
      </c>
      <c r="T9">
        <v>4.4539823531999998</v>
      </c>
      <c r="U9">
        <v>-0.59201079609999996</v>
      </c>
      <c r="V9">
        <v>6.4118609427999997</v>
      </c>
      <c r="W9">
        <v>-7.9553670883000001</v>
      </c>
      <c r="X9">
        <v>0.45650091770000001</v>
      </c>
      <c r="Y9">
        <v>-0.4935743809</v>
      </c>
      <c r="Z9">
        <v>0.90191185470000002</v>
      </c>
      <c r="AA9">
        <v>0.15030479429999999</v>
      </c>
      <c r="AB9">
        <v>1.3108404874999999</v>
      </c>
      <c r="AC9">
        <v>-1.9579309224999999</v>
      </c>
      <c r="AD9">
        <v>1.9031600952000001</v>
      </c>
      <c r="AE9">
        <v>-0.2189280391</v>
      </c>
      <c r="AF9">
        <v>0.10681259630000001</v>
      </c>
      <c r="AG9">
        <v>-2.0762741599999999E-2</v>
      </c>
      <c r="AH9">
        <v>1.6304433300000001E-2</v>
      </c>
      <c r="AI9">
        <v>-0.693585813</v>
      </c>
      <c r="AJ9">
        <v>-0.3163734674</v>
      </c>
      <c r="AK9">
        <v>-0.10241371389999999</v>
      </c>
      <c r="AL9">
        <v>1.3872959999999999E-4</v>
      </c>
      <c r="AM9">
        <v>3.8438439400000003E-2</v>
      </c>
      <c r="AN9">
        <v>0.13912752270000001</v>
      </c>
      <c r="AO9">
        <v>0.17183037100000001</v>
      </c>
      <c r="AP9">
        <v>0.17183037100000001</v>
      </c>
      <c r="AQ9">
        <v>0.17183037100000001</v>
      </c>
      <c r="AR9">
        <v>5.0871278042999997</v>
      </c>
      <c r="AS9" t="s">
        <v>264</v>
      </c>
      <c r="AT9" t="s">
        <v>265</v>
      </c>
      <c r="AU9">
        <v>4</v>
      </c>
      <c r="AV9">
        <v>2.9</v>
      </c>
      <c r="AY9" s="17">
        <v>1</v>
      </c>
    </row>
    <row r="10" spans="1:51">
      <c r="A10" t="s">
        <v>661</v>
      </c>
      <c r="B10" t="s">
        <v>662</v>
      </c>
      <c r="C10" t="s">
        <v>663</v>
      </c>
      <c r="D10" t="s">
        <v>213</v>
      </c>
      <c r="E10">
        <v>3</v>
      </c>
      <c r="F10" t="s">
        <v>214</v>
      </c>
      <c r="G10" t="s">
        <v>215</v>
      </c>
      <c r="H10" t="s">
        <v>263</v>
      </c>
      <c r="I10" t="s">
        <v>217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7.7489999999999998E-7</v>
      </c>
      <c r="S10">
        <v>-2.8200535774</v>
      </c>
      <c r="T10">
        <v>5.7778825759999997</v>
      </c>
      <c r="U10">
        <v>0.5490541458</v>
      </c>
      <c r="V10">
        <v>2.6527512074000001</v>
      </c>
      <c r="W10">
        <v>-12.2700042725</v>
      </c>
      <c r="X10">
        <v>2.4999666214</v>
      </c>
      <c r="Y10">
        <v>-2.2763936519999999</v>
      </c>
      <c r="Z10">
        <v>-0.89470791819999995</v>
      </c>
      <c r="AA10">
        <v>1.1001465320999999</v>
      </c>
      <c r="AB10">
        <v>1.0130534172000001</v>
      </c>
      <c r="AC10">
        <v>-0.86864018440000001</v>
      </c>
      <c r="AD10">
        <v>3.5847110748</v>
      </c>
      <c r="AE10">
        <v>-0.88815057279999998</v>
      </c>
      <c r="AF10">
        <v>1.1416630745</v>
      </c>
      <c r="AG10">
        <v>0.97435384989999996</v>
      </c>
      <c r="AH10">
        <v>0.7910532951</v>
      </c>
      <c r="AI10">
        <v>-0.52452075480000004</v>
      </c>
      <c r="AJ10">
        <v>-0.38594615459999998</v>
      </c>
      <c r="AK10">
        <v>-0.46526139970000002</v>
      </c>
      <c r="AL10">
        <v>1.8106479999999999E-4</v>
      </c>
      <c r="AM10">
        <v>4.4532407099999997E-2</v>
      </c>
      <c r="AN10">
        <v>0.22935894130000001</v>
      </c>
      <c r="AO10">
        <v>0.2484707236</v>
      </c>
      <c r="AP10">
        <v>0.2484707236</v>
      </c>
      <c r="AQ10">
        <v>0.2484707236</v>
      </c>
      <c r="AR10">
        <v>6.4293568294999996</v>
      </c>
      <c r="AS10" t="s">
        <v>264</v>
      </c>
      <c r="AT10" t="s">
        <v>265</v>
      </c>
      <c r="AU10">
        <v>3</v>
      </c>
      <c r="AV10">
        <v>2.9</v>
      </c>
      <c r="AY10" s="17">
        <v>1</v>
      </c>
    </row>
    <row r="11" spans="1:51">
      <c r="A11" t="s">
        <v>676</v>
      </c>
      <c r="B11" t="s">
        <v>677</v>
      </c>
      <c r="C11" t="s">
        <v>678</v>
      </c>
      <c r="D11" t="s">
        <v>213</v>
      </c>
      <c r="E11">
        <v>3</v>
      </c>
      <c r="F11" t="s">
        <v>214</v>
      </c>
      <c r="G11" t="s">
        <v>215</v>
      </c>
      <c r="H11" t="s">
        <v>263</v>
      </c>
      <c r="I11" t="s">
        <v>217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-5.5789899999999999E-5</v>
      </c>
      <c r="S11">
        <v>6.5020685195999999</v>
      </c>
      <c r="T11">
        <v>-9.0103626300000003E-2</v>
      </c>
      <c r="U11">
        <v>-1.6570732593999999</v>
      </c>
      <c r="V11">
        <v>3.681633234</v>
      </c>
      <c r="W11">
        <v>-7.3974494933999999</v>
      </c>
      <c r="X11">
        <v>-0.37709385159999997</v>
      </c>
      <c r="Y11">
        <v>-1.2364317178999999</v>
      </c>
      <c r="Z11">
        <v>6.2943011500000007E-2</v>
      </c>
      <c r="AA11">
        <v>-0.77940511700000004</v>
      </c>
      <c r="AB11">
        <v>0.26458454129999998</v>
      </c>
      <c r="AC11">
        <v>-0.67839717860000004</v>
      </c>
      <c r="AD11">
        <v>2.3194365500999998</v>
      </c>
      <c r="AE11">
        <v>-0.1628203392</v>
      </c>
      <c r="AF11">
        <v>0.57539010049999995</v>
      </c>
      <c r="AG11">
        <v>1.0443103312999999</v>
      </c>
      <c r="AH11">
        <v>0.62215155359999996</v>
      </c>
      <c r="AI11">
        <v>-0.17408856750000001</v>
      </c>
      <c r="AJ11">
        <v>-0.14399611949999999</v>
      </c>
      <c r="AK11">
        <v>5.1425814600000001E-2</v>
      </c>
      <c r="AL11">
        <v>1.6543539999999999E-4</v>
      </c>
      <c r="AM11">
        <v>4.0697664000000001E-2</v>
      </c>
      <c r="AN11">
        <v>0.1871644408</v>
      </c>
      <c r="AO11">
        <v>0.1140905619</v>
      </c>
      <c r="AP11">
        <v>0.1871644408</v>
      </c>
      <c r="AQ11">
        <v>0.1871644408</v>
      </c>
      <c r="AR11">
        <v>6.5026928034999996</v>
      </c>
      <c r="AS11" t="s">
        <v>264</v>
      </c>
      <c r="AT11" t="s">
        <v>265</v>
      </c>
      <c r="AU11">
        <v>3</v>
      </c>
      <c r="AV11">
        <v>2.9</v>
      </c>
      <c r="AY11" s="17">
        <v>1</v>
      </c>
    </row>
    <row r="12" spans="1:51">
      <c r="A12" t="s">
        <v>691</v>
      </c>
      <c r="B12" t="s">
        <v>692</v>
      </c>
      <c r="C12" t="s">
        <v>694</v>
      </c>
      <c r="D12" t="s">
        <v>213</v>
      </c>
      <c r="E12">
        <v>3</v>
      </c>
      <c r="F12" t="s">
        <v>214</v>
      </c>
      <c r="G12" t="s">
        <v>215</v>
      </c>
      <c r="H12" t="s">
        <v>263</v>
      </c>
      <c r="I12" t="s">
        <v>217</v>
      </c>
      <c r="K12" t="s">
        <v>683</v>
      </c>
      <c r="L12" t="s">
        <v>684</v>
      </c>
      <c r="M12" t="s">
        <v>685</v>
      </c>
      <c r="N12" t="s">
        <v>686</v>
      </c>
      <c r="O12" t="s">
        <v>687</v>
      </c>
      <c r="P12">
        <v>0</v>
      </c>
      <c r="Q12">
        <v>0</v>
      </c>
      <c r="R12">
        <v>-3.1560699999999998E-5</v>
      </c>
      <c r="S12">
        <v>-2.0246298313</v>
      </c>
      <c r="T12">
        <v>2.3554308414</v>
      </c>
      <c r="U12">
        <v>0.75534713269999998</v>
      </c>
      <c r="V12">
        <v>2.2496442795</v>
      </c>
      <c r="W12">
        <v>-3.5835127831000002</v>
      </c>
      <c r="X12">
        <v>0.95543676609999995</v>
      </c>
      <c r="Y12">
        <v>-2.5695219040000001</v>
      </c>
      <c r="Z12">
        <v>0.1675351262</v>
      </c>
      <c r="AA12">
        <v>-0.39292541149999999</v>
      </c>
      <c r="AB12">
        <v>1.7172038600000002E-2</v>
      </c>
      <c r="AC12">
        <v>-0.74563801289999998</v>
      </c>
      <c r="AD12">
        <v>1.1971930264999999</v>
      </c>
      <c r="AE12">
        <v>6.986618E-3</v>
      </c>
      <c r="AF12">
        <v>0.89419549700000001</v>
      </c>
      <c r="AG12">
        <v>0.11262966689999999</v>
      </c>
      <c r="AH12">
        <v>-2.57755369E-2</v>
      </c>
      <c r="AI12">
        <v>0.151575923</v>
      </c>
      <c r="AJ12">
        <v>-5.61426878E-2</v>
      </c>
      <c r="AK12">
        <v>-0.4230207205</v>
      </c>
      <c r="AL12">
        <v>1.746757E-4</v>
      </c>
      <c r="AM12">
        <v>4.2856551700000002E-2</v>
      </c>
      <c r="AN12">
        <v>7.5899556300000004E-2</v>
      </c>
      <c r="AO12">
        <v>9.2688858499999999E-2</v>
      </c>
      <c r="AP12">
        <v>9.5498018000000004E-2</v>
      </c>
      <c r="AQ12">
        <v>9.5498018000000004E-2</v>
      </c>
      <c r="AR12">
        <v>3.1059910500000001</v>
      </c>
      <c r="AS12" t="s">
        <v>264</v>
      </c>
      <c r="AT12" t="s">
        <v>265</v>
      </c>
      <c r="AU12">
        <v>3</v>
      </c>
      <c r="AV12">
        <v>2.9</v>
      </c>
      <c r="AY12" s="17">
        <v>1</v>
      </c>
    </row>
    <row r="13" spans="1:51">
      <c r="A13" t="s">
        <v>703</v>
      </c>
      <c r="B13" t="s">
        <v>704</v>
      </c>
      <c r="C13" t="s">
        <v>705</v>
      </c>
      <c r="D13" t="s">
        <v>213</v>
      </c>
      <c r="E13">
        <v>3</v>
      </c>
      <c r="F13" t="s">
        <v>214</v>
      </c>
      <c r="G13" t="s">
        <v>215</v>
      </c>
      <c r="H13" t="s">
        <v>263</v>
      </c>
      <c r="I13" t="s">
        <v>217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-2.4437999999999998E-6</v>
      </c>
      <c r="S13">
        <v>7.5419502258</v>
      </c>
      <c r="T13">
        <v>8.6552352905000003</v>
      </c>
      <c r="U13">
        <v>5.232126236</v>
      </c>
      <c r="V13">
        <v>6.5647134780999998</v>
      </c>
      <c r="W13">
        <v>-7.9200162888000003</v>
      </c>
      <c r="X13">
        <v>-3.6985704898999998</v>
      </c>
      <c r="Y13">
        <v>-3.4300324917</v>
      </c>
      <c r="Z13">
        <v>-0.76065713170000004</v>
      </c>
      <c r="AA13">
        <v>-0.45808380840000001</v>
      </c>
      <c r="AB13">
        <v>0.27943003179999998</v>
      </c>
      <c r="AC13">
        <v>-2.6308088302999999</v>
      </c>
      <c r="AD13">
        <v>2.4808142184999999</v>
      </c>
      <c r="AE13">
        <v>2.4011969566000002</v>
      </c>
      <c r="AF13">
        <v>0.92643010619999999</v>
      </c>
      <c r="AG13">
        <v>-7.5193971400000004E-2</v>
      </c>
      <c r="AH13">
        <v>8.8484406500000001E-2</v>
      </c>
      <c r="AI13">
        <v>-0.1556153297</v>
      </c>
      <c r="AJ13">
        <v>0.62666672469999996</v>
      </c>
      <c r="AK13">
        <v>0.30191779140000002</v>
      </c>
      <c r="AL13">
        <v>1.8294829999999999E-4</v>
      </c>
      <c r="AM13">
        <v>4.6033568699999999E-2</v>
      </c>
      <c r="AN13">
        <v>0.21416381000000001</v>
      </c>
      <c r="AO13">
        <v>0.2340974063</v>
      </c>
      <c r="AP13">
        <v>0.29040929679999999</v>
      </c>
      <c r="AQ13">
        <v>0.29040929679999999</v>
      </c>
      <c r="AR13">
        <v>11.480161634</v>
      </c>
      <c r="AS13" t="s">
        <v>264</v>
      </c>
      <c r="AT13" t="s">
        <v>265</v>
      </c>
      <c r="AU13">
        <v>4</v>
      </c>
      <c r="AV13">
        <v>2.9</v>
      </c>
      <c r="AY13" s="17">
        <v>1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3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266</v>
      </c>
      <c r="S1" t="s">
        <v>267</v>
      </c>
      <c r="T1" t="s">
        <v>268</v>
      </c>
      <c r="U1" t="s">
        <v>269</v>
      </c>
      <c r="V1" t="s">
        <v>270</v>
      </c>
      <c r="W1" t="s">
        <v>271</v>
      </c>
      <c r="X1" t="s">
        <v>272</v>
      </c>
      <c r="Y1" t="s">
        <v>273</v>
      </c>
      <c r="Z1" t="s">
        <v>274</v>
      </c>
      <c r="AA1" t="s">
        <v>275</v>
      </c>
      <c r="AB1" t="s">
        <v>276</v>
      </c>
      <c r="AC1" t="s">
        <v>277</v>
      </c>
      <c r="AD1" t="s">
        <v>278</v>
      </c>
      <c r="AE1" t="s">
        <v>207</v>
      </c>
      <c r="AF1" t="s">
        <v>208</v>
      </c>
      <c r="AG1" s="17" t="s">
        <v>209</v>
      </c>
    </row>
    <row r="2" spans="1:33">
      <c r="A2" t="s">
        <v>260</v>
      </c>
      <c r="B2" t="s">
        <v>261</v>
      </c>
      <c r="C2" t="s">
        <v>279</v>
      </c>
      <c r="D2" t="s">
        <v>213</v>
      </c>
      <c r="E2">
        <v>3</v>
      </c>
      <c r="F2" t="s">
        <v>214</v>
      </c>
      <c r="G2" t="s">
        <v>215</v>
      </c>
      <c r="H2" t="s">
        <v>263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-8.2111436950000005</v>
      </c>
      <c r="S2">
        <v>-56</v>
      </c>
      <c r="T2">
        <v>88.746431120300002</v>
      </c>
      <c r="U2">
        <v>116.7666651808</v>
      </c>
      <c r="V2">
        <v>3.4427341979000001</v>
      </c>
      <c r="W2">
        <v>3.1345634000000001E-3</v>
      </c>
      <c r="X2">
        <v>-6.7212000000000006E-5</v>
      </c>
      <c r="Y2">
        <v>3.2633971339999999</v>
      </c>
      <c r="Z2">
        <v>84.736557285200007</v>
      </c>
      <c r="AA2">
        <v>71.123183725299995</v>
      </c>
      <c r="AB2">
        <v>329.30165445310001</v>
      </c>
      <c r="AC2">
        <v>350.66836866109998</v>
      </c>
      <c r="AD2">
        <v>1</v>
      </c>
      <c r="AG2" s="17">
        <v>1</v>
      </c>
    </row>
    <row r="3" spans="1:33">
      <c r="A3" t="s">
        <v>585</v>
      </c>
      <c r="B3" t="s">
        <v>586</v>
      </c>
      <c r="C3" t="s">
        <v>600</v>
      </c>
      <c r="D3" t="s">
        <v>213</v>
      </c>
      <c r="E3">
        <v>3</v>
      </c>
      <c r="F3" t="s">
        <v>214</v>
      </c>
      <c r="G3" t="s">
        <v>215</v>
      </c>
      <c r="H3" t="s">
        <v>263</v>
      </c>
      <c r="I3" t="s">
        <v>217</v>
      </c>
      <c r="K3" t="s">
        <v>548</v>
      </c>
      <c r="L3" t="s">
        <v>549</v>
      </c>
      <c r="M3" t="s">
        <v>550</v>
      </c>
      <c r="N3" t="s">
        <v>551</v>
      </c>
      <c r="O3" t="s">
        <v>552</v>
      </c>
      <c r="P3">
        <v>0</v>
      </c>
      <c r="Q3">
        <v>0</v>
      </c>
      <c r="R3">
        <v>-9.3841642229000009</v>
      </c>
      <c r="S3">
        <v>-64</v>
      </c>
      <c r="T3">
        <v>85.050542913599998</v>
      </c>
      <c r="U3">
        <v>117.44096891540001</v>
      </c>
      <c r="V3">
        <v>3.4904105643999999</v>
      </c>
      <c r="W3">
        <v>3.4584751E-3</v>
      </c>
      <c r="X3">
        <v>-7.2118000000000003E-5</v>
      </c>
      <c r="Y3">
        <v>3.3330155041</v>
      </c>
      <c r="Z3">
        <v>83.046950425700004</v>
      </c>
      <c r="AA3">
        <v>67.933912644399996</v>
      </c>
      <c r="AB3">
        <v>326.13623367550002</v>
      </c>
      <c r="AC3">
        <v>348.74701113729998</v>
      </c>
      <c r="AD3">
        <v>1</v>
      </c>
      <c r="AG3" s="17">
        <v>1</v>
      </c>
    </row>
    <row r="4" spans="1:33">
      <c r="A4" t="s">
        <v>588</v>
      </c>
      <c r="B4" t="s">
        <v>589</v>
      </c>
      <c r="C4" t="s">
        <v>601</v>
      </c>
      <c r="D4" t="s">
        <v>213</v>
      </c>
      <c r="E4">
        <v>3</v>
      </c>
      <c r="F4" t="s">
        <v>214</v>
      </c>
      <c r="G4" t="s">
        <v>215</v>
      </c>
      <c r="H4" t="s">
        <v>263</v>
      </c>
      <c r="I4" t="s">
        <v>217</v>
      </c>
      <c r="K4" t="s">
        <v>556</v>
      </c>
      <c r="L4" t="s">
        <v>557</v>
      </c>
      <c r="M4" t="s">
        <v>558</v>
      </c>
      <c r="N4" t="s">
        <v>559</v>
      </c>
      <c r="O4" t="s">
        <v>560</v>
      </c>
      <c r="P4">
        <v>0</v>
      </c>
      <c r="Q4">
        <v>0</v>
      </c>
      <c r="R4">
        <v>-9.3841642229000009</v>
      </c>
      <c r="S4">
        <v>-64</v>
      </c>
      <c r="T4">
        <v>91.382466941299995</v>
      </c>
      <c r="U4">
        <v>124.629621933</v>
      </c>
      <c r="V4">
        <v>3.5740080488000001</v>
      </c>
      <c r="W4">
        <v>2.6688217999999999E-3</v>
      </c>
      <c r="X4">
        <v>-6.8853699999999994E-5</v>
      </c>
      <c r="Y4">
        <v>3.3546669762999999</v>
      </c>
      <c r="Z4">
        <v>87.372724573900001</v>
      </c>
      <c r="AA4">
        <v>70.047156269200002</v>
      </c>
      <c r="AB4">
        <v>341.39225702369998</v>
      </c>
      <c r="AC4">
        <v>363.45992318629999</v>
      </c>
      <c r="AD4">
        <v>1</v>
      </c>
      <c r="AG4" s="17">
        <v>1</v>
      </c>
    </row>
    <row r="5" spans="1:33">
      <c r="A5" t="s">
        <v>591</v>
      </c>
      <c r="B5" t="s">
        <v>592</v>
      </c>
      <c r="C5" t="s">
        <v>602</v>
      </c>
      <c r="D5" t="s">
        <v>213</v>
      </c>
      <c r="E5">
        <v>3</v>
      </c>
      <c r="F5" t="s">
        <v>214</v>
      </c>
      <c r="G5" t="s">
        <v>215</v>
      </c>
      <c r="H5" t="s">
        <v>263</v>
      </c>
      <c r="I5" t="s">
        <v>217</v>
      </c>
      <c r="K5" t="s">
        <v>564</v>
      </c>
      <c r="L5" t="s">
        <v>565</v>
      </c>
      <c r="M5" t="s">
        <v>566</v>
      </c>
      <c r="N5" t="s">
        <v>567</v>
      </c>
      <c r="O5" t="s">
        <v>568</v>
      </c>
      <c r="P5">
        <v>0</v>
      </c>
      <c r="Q5">
        <v>0</v>
      </c>
      <c r="R5">
        <v>-7.0381231672000002</v>
      </c>
      <c r="S5">
        <v>-48</v>
      </c>
      <c r="T5">
        <v>91.934243945399999</v>
      </c>
      <c r="U5">
        <v>117.03381651710001</v>
      </c>
      <c r="V5">
        <v>3.5932878083999999</v>
      </c>
      <c r="W5">
        <v>3.3147393999999998E-3</v>
      </c>
      <c r="X5">
        <v>-7.5246099999999998E-5</v>
      </c>
      <c r="Y5">
        <v>3.3958153753999998</v>
      </c>
      <c r="Z5">
        <v>91.532558738800006</v>
      </c>
      <c r="AA5">
        <v>78.0391563811</v>
      </c>
      <c r="AB5">
        <v>330.77891829650002</v>
      </c>
      <c r="AC5">
        <v>353.12642352910001</v>
      </c>
      <c r="AD5">
        <v>1</v>
      </c>
      <c r="AG5" s="17">
        <v>1</v>
      </c>
    </row>
    <row r="6" spans="1:33">
      <c r="A6" t="s">
        <v>594</v>
      </c>
      <c r="B6" t="s">
        <v>595</v>
      </c>
      <c r="C6" t="s">
        <v>603</v>
      </c>
      <c r="D6" t="s">
        <v>213</v>
      </c>
      <c r="E6">
        <v>3</v>
      </c>
      <c r="F6" t="s">
        <v>214</v>
      </c>
      <c r="G6" t="s">
        <v>215</v>
      </c>
      <c r="H6" t="s">
        <v>263</v>
      </c>
      <c r="I6" t="s">
        <v>217</v>
      </c>
      <c r="K6" t="s">
        <v>572</v>
      </c>
      <c r="L6" t="s">
        <v>573</v>
      </c>
      <c r="M6" t="s">
        <v>574</v>
      </c>
      <c r="N6" t="s">
        <v>575</v>
      </c>
      <c r="O6" t="s">
        <v>576</v>
      </c>
      <c r="P6">
        <v>0</v>
      </c>
      <c r="Q6">
        <v>0</v>
      </c>
      <c r="R6">
        <v>-7.0381231672000002</v>
      </c>
      <c r="S6">
        <v>-48</v>
      </c>
      <c r="T6">
        <v>91.073612332400003</v>
      </c>
      <c r="U6">
        <v>115.5217168977</v>
      </c>
      <c r="V6">
        <v>3.4961647600000001</v>
      </c>
      <c r="W6">
        <v>2.7280179E-3</v>
      </c>
      <c r="X6">
        <v>-6.6547500000000006E-5</v>
      </c>
      <c r="Y6">
        <v>3.2939307743000001</v>
      </c>
      <c r="Z6">
        <v>90.571399453300003</v>
      </c>
      <c r="AA6">
        <v>76.262448359399997</v>
      </c>
      <c r="AB6">
        <v>327.64962289620001</v>
      </c>
      <c r="AC6">
        <v>349.1142278973</v>
      </c>
      <c r="AD6">
        <v>1</v>
      </c>
      <c r="AG6" s="17">
        <v>1</v>
      </c>
    </row>
    <row r="7" spans="1:33">
      <c r="A7" t="s">
        <v>597</v>
      </c>
      <c r="B7" t="s">
        <v>598</v>
      </c>
      <c r="C7" t="s">
        <v>604</v>
      </c>
      <c r="D7" t="s">
        <v>213</v>
      </c>
      <c r="E7">
        <v>3</v>
      </c>
      <c r="F7" t="s">
        <v>214</v>
      </c>
      <c r="G7" t="s">
        <v>215</v>
      </c>
      <c r="H7" t="s">
        <v>263</v>
      </c>
      <c r="I7" t="s">
        <v>217</v>
      </c>
      <c r="K7" t="s">
        <v>580</v>
      </c>
      <c r="L7" t="s">
        <v>581</v>
      </c>
      <c r="M7" t="s">
        <v>582</v>
      </c>
      <c r="N7" t="s">
        <v>583</v>
      </c>
      <c r="O7" t="s">
        <v>584</v>
      </c>
      <c r="P7">
        <v>0</v>
      </c>
      <c r="Q7">
        <v>0</v>
      </c>
      <c r="R7">
        <v>-9.3841642229000009</v>
      </c>
      <c r="S7">
        <v>-64</v>
      </c>
      <c r="T7">
        <v>85.767230672099998</v>
      </c>
      <c r="U7">
        <v>118.0549736844</v>
      </c>
      <c r="V7">
        <v>3.4713375599999998</v>
      </c>
      <c r="W7">
        <v>2.6423222E-3</v>
      </c>
      <c r="X7">
        <v>-6.6758899999999995E-5</v>
      </c>
      <c r="Y7">
        <v>3.2915318075000002</v>
      </c>
      <c r="Z7">
        <v>85.365546207600005</v>
      </c>
      <c r="AA7">
        <v>68.441666432100007</v>
      </c>
      <c r="AB7">
        <v>322.39825429889999</v>
      </c>
      <c r="AC7">
        <v>343.92175974909998</v>
      </c>
      <c r="AD7">
        <v>1</v>
      </c>
      <c r="AG7" s="17">
        <v>1</v>
      </c>
    </row>
    <row r="8" spans="1:33">
      <c r="A8" t="s">
        <v>628</v>
      </c>
      <c r="B8" t="s">
        <v>629</v>
      </c>
      <c r="C8" t="s">
        <v>630</v>
      </c>
      <c r="D8" t="s">
        <v>213</v>
      </c>
      <c r="E8">
        <v>3</v>
      </c>
      <c r="F8" t="s">
        <v>214</v>
      </c>
      <c r="G8" t="s">
        <v>215</v>
      </c>
      <c r="H8" t="s">
        <v>263</v>
      </c>
      <c r="I8" t="s">
        <v>217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-7.0381231672000002</v>
      </c>
      <c r="S8">
        <v>-48</v>
      </c>
      <c r="T8">
        <v>95.779886743800006</v>
      </c>
      <c r="U8">
        <v>120.63293508060001</v>
      </c>
      <c r="V8">
        <v>3.5552078327999999</v>
      </c>
      <c r="W8">
        <v>2.9251562E-3</v>
      </c>
      <c r="X8">
        <v>-6.8966600000000005E-5</v>
      </c>
      <c r="Y8">
        <v>3.3670598348</v>
      </c>
      <c r="Z8">
        <v>94.876399262500001</v>
      </c>
      <c r="AA8">
        <v>77.449614524099999</v>
      </c>
      <c r="AB8">
        <v>328.3841123812</v>
      </c>
      <c r="AC8">
        <v>349.72791909440002</v>
      </c>
      <c r="AD8">
        <v>1</v>
      </c>
      <c r="AG8" s="17">
        <v>1</v>
      </c>
    </row>
    <row r="9" spans="1:33">
      <c r="A9" t="s">
        <v>643</v>
      </c>
      <c r="B9" t="s">
        <v>644</v>
      </c>
      <c r="C9" t="s">
        <v>646</v>
      </c>
      <c r="D9" t="s">
        <v>213</v>
      </c>
      <c r="E9">
        <v>3</v>
      </c>
      <c r="F9" t="s">
        <v>214</v>
      </c>
      <c r="G9" t="s">
        <v>215</v>
      </c>
      <c r="H9" t="s">
        <v>263</v>
      </c>
      <c r="I9" t="s">
        <v>217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-8.2111436950000005</v>
      </c>
      <c r="S9">
        <v>-56</v>
      </c>
      <c r="T9">
        <v>91.319994226399999</v>
      </c>
      <c r="U9">
        <v>119.6772514797</v>
      </c>
      <c r="V9">
        <v>3.4842018132999999</v>
      </c>
      <c r="W9">
        <v>3.1660340999999999E-3</v>
      </c>
      <c r="X9">
        <v>-6.9653200000000006E-5</v>
      </c>
      <c r="Y9">
        <v>3.3075936550999998</v>
      </c>
      <c r="Z9">
        <v>89.710925090499998</v>
      </c>
      <c r="AA9">
        <v>71.798426452800001</v>
      </c>
      <c r="AB9">
        <v>326.9899132324</v>
      </c>
      <c r="AC9">
        <v>348.73370201879999</v>
      </c>
      <c r="AD9">
        <v>1</v>
      </c>
      <c r="AG9" s="17">
        <v>1</v>
      </c>
    </row>
    <row r="10" spans="1:33">
      <c r="A10" t="s">
        <v>661</v>
      </c>
      <c r="B10" t="s">
        <v>662</v>
      </c>
      <c r="C10" t="s">
        <v>664</v>
      </c>
      <c r="D10" t="s">
        <v>213</v>
      </c>
      <c r="E10">
        <v>3</v>
      </c>
      <c r="F10" t="s">
        <v>214</v>
      </c>
      <c r="G10" t="s">
        <v>215</v>
      </c>
      <c r="H10" t="s">
        <v>263</v>
      </c>
      <c r="I10" t="s">
        <v>217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-9.3841642229000009</v>
      </c>
      <c r="S10">
        <v>-64</v>
      </c>
      <c r="T10">
        <v>82.191944102799994</v>
      </c>
      <c r="U10">
        <v>114.86695209760001</v>
      </c>
      <c r="V10">
        <v>3.5158217812000001</v>
      </c>
      <c r="W10">
        <v>2.9538529000000002E-3</v>
      </c>
      <c r="X10">
        <v>-7.0084299999999996E-5</v>
      </c>
      <c r="Y10">
        <v>3.3234393707000001</v>
      </c>
      <c r="Z10">
        <v>81.990395772300005</v>
      </c>
      <c r="AA10">
        <v>68.308632887100003</v>
      </c>
      <c r="AB10">
        <v>331.78550557770001</v>
      </c>
      <c r="AC10">
        <v>353.60613154510003</v>
      </c>
      <c r="AD10">
        <v>1</v>
      </c>
      <c r="AG10" s="17">
        <v>1</v>
      </c>
    </row>
    <row r="11" spans="1:33">
      <c r="A11" t="s">
        <v>676</v>
      </c>
      <c r="B11" t="s">
        <v>677</v>
      </c>
      <c r="C11" t="s">
        <v>679</v>
      </c>
      <c r="D11" t="s">
        <v>213</v>
      </c>
      <c r="E11">
        <v>3</v>
      </c>
      <c r="F11" t="s">
        <v>214</v>
      </c>
      <c r="G11" t="s">
        <v>215</v>
      </c>
      <c r="H11" t="s">
        <v>263</v>
      </c>
      <c r="I11" t="s">
        <v>217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-9.3841642229000009</v>
      </c>
      <c r="S11">
        <v>-64</v>
      </c>
      <c r="T11">
        <v>85.453354449100004</v>
      </c>
      <c r="U11">
        <v>118.0751039105</v>
      </c>
      <c r="V11">
        <v>3.50798421</v>
      </c>
      <c r="W11">
        <v>2.7553906000000001E-3</v>
      </c>
      <c r="X11">
        <v>-6.6679800000000005E-5</v>
      </c>
      <c r="Y11">
        <v>3.306789985</v>
      </c>
      <c r="Z11">
        <v>84.752032862700005</v>
      </c>
      <c r="AA11">
        <v>68.9273632604</v>
      </c>
      <c r="AB11">
        <v>337.0063261665</v>
      </c>
      <c r="AC11">
        <v>358.75553321640001</v>
      </c>
      <c r="AD11">
        <v>1</v>
      </c>
      <c r="AG11" s="17">
        <v>1</v>
      </c>
    </row>
    <row r="12" spans="1:33">
      <c r="A12" t="s">
        <v>691</v>
      </c>
      <c r="B12" t="s">
        <v>692</v>
      </c>
      <c r="C12" t="s">
        <v>693</v>
      </c>
      <c r="D12" t="s">
        <v>213</v>
      </c>
      <c r="E12">
        <v>3</v>
      </c>
      <c r="F12" t="s">
        <v>214</v>
      </c>
      <c r="G12" t="s">
        <v>215</v>
      </c>
      <c r="H12" t="s">
        <v>263</v>
      </c>
      <c r="I12" t="s">
        <v>217</v>
      </c>
      <c r="K12" t="s">
        <v>683</v>
      </c>
      <c r="L12" t="s">
        <v>684</v>
      </c>
      <c r="M12" t="s">
        <v>685</v>
      </c>
      <c r="N12" t="s">
        <v>686</v>
      </c>
      <c r="O12" t="s">
        <v>687</v>
      </c>
      <c r="P12">
        <v>0</v>
      </c>
      <c r="Q12">
        <v>0</v>
      </c>
      <c r="R12">
        <v>-9.3841642229000009</v>
      </c>
      <c r="S12">
        <v>-64</v>
      </c>
      <c r="T12">
        <v>82.362855897000003</v>
      </c>
      <c r="U12">
        <v>115.2346452334</v>
      </c>
      <c r="V12">
        <v>3.5340357325</v>
      </c>
      <c r="W12">
        <v>2.6856556000000001E-3</v>
      </c>
      <c r="X12">
        <v>-6.73731E-5</v>
      </c>
      <c r="Y12">
        <v>3.3207980306999998</v>
      </c>
      <c r="Z12">
        <v>82.260379391300006</v>
      </c>
      <c r="AA12">
        <v>61.709677345899998</v>
      </c>
      <c r="AB12">
        <v>338.53953216129997</v>
      </c>
      <c r="AC12">
        <v>360.56920601429999</v>
      </c>
      <c r="AD12">
        <v>1</v>
      </c>
      <c r="AG12" s="17">
        <v>1</v>
      </c>
    </row>
    <row r="13" spans="1:33">
      <c r="A13" t="s">
        <v>703</v>
      </c>
      <c r="B13" t="s">
        <v>704</v>
      </c>
      <c r="C13" t="s">
        <v>706</v>
      </c>
      <c r="D13" t="s">
        <v>213</v>
      </c>
      <c r="E13">
        <v>3</v>
      </c>
      <c r="F13" t="s">
        <v>214</v>
      </c>
      <c r="G13" t="s">
        <v>215</v>
      </c>
      <c r="H13" t="s">
        <v>263</v>
      </c>
      <c r="I13" t="s">
        <v>217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-5.8651026392999999</v>
      </c>
      <c r="S13">
        <v>-40</v>
      </c>
      <c r="T13">
        <v>82.675233069100003</v>
      </c>
      <c r="U13">
        <v>103.2243092531</v>
      </c>
      <c r="V13">
        <v>3.5200085016</v>
      </c>
      <c r="W13">
        <v>2.4382388E-3</v>
      </c>
      <c r="X13">
        <v>-6.0771099999999998E-5</v>
      </c>
      <c r="Y13">
        <v>3.3100756545999999</v>
      </c>
      <c r="Z13">
        <v>81.671908600799995</v>
      </c>
      <c r="AA13">
        <v>65.525731738800005</v>
      </c>
      <c r="AB13">
        <v>333.46997969699999</v>
      </c>
      <c r="AC13">
        <v>354.7472957434</v>
      </c>
      <c r="AD13">
        <v>1</v>
      </c>
      <c r="AG13" s="17">
        <v>1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U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81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280</v>
      </c>
      <c r="S1" t="s">
        <v>281</v>
      </c>
      <c r="T1" t="s">
        <v>282</v>
      </c>
      <c r="U1" t="s">
        <v>283</v>
      </c>
      <c r="V1" t="s">
        <v>284</v>
      </c>
      <c r="W1" t="s">
        <v>285</v>
      </c>
      <c r="X1" t="s">
        <v>286</v>
      </c>
      <c r="Y1" t="s">
        <v>287</v>
      </c>
      <c r="Z1" t="s">
        <v>288</v>
      </c>
      <c r="AA1" t="s">
        <v>289</v>
      </c>
      <c r="AB1" t="s">
        <v>290</v>
      </c>
      <c r="AC1" t="s">
        <v>291</v>
      </c>
      <c r="AD1" t="s">
        <v>292</v>
      </c>
      <c r="AE1" t="s">
        <v>293</v>
      </c>
      <c r="AF1" t="s">
        <v>294</v>
      </c>
      <c r="AG1" t="s">
        <v>295</v>
      </c>
      <c r="AH1" t="s">
        <v>296</v>
      </c>
      <c r="AI1" t="s">
        <v>297</v>
      </c>
      <c r="AJ1" t="s">
        <v>298</v>
      </c>
      <c r="AK1" t="s">
        <v>299</v>
      </c>
      <c r="AL1" t="s">
        <v>300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314</v>
      </c>
      <c r="BA1" t="s">
        <v>315</v>
      </c>
      <c r="BB1" t="s">
        <v>316</v>
      </c>
      <c r="BC1" t="s">
        <v>317</v>
      </c>
      <c r="BD1" t="s">
        <v>318</v>
      </c>
      <c r="BE1" t="s">
        <v>319</v>
      </c>
      <c r="BF1" t="s">
        <v>320</v>
      </c>
      <c r="BG1" t="s">
        <v>321</v>
      </c>
      <c r="BH1" t="s">
        <v>322</v>
      </c>
      <c r="BI1" t="s">
        <v>323</v>
      </c>
      <c r="BJ1" t="s">
        <v>324</v>
      </c>
      <c r="BK1" t="s">
        <v>325</v>
      </c>
      <c r="BL1" t="s">
        <v>326</v>
      </c>
      <c r="BM1" t="s">
        <v>327</v>
      </c>
      <c r="BN1" t="s">
        <v>328</v>
      </c>
      <c r="BO1" t="s">
        <v>329</v>
      </c>
      <c r="BP1" t="s">
        <v>330</v>
      </c>
      <c r="BQ1" t="s">
        <v>331</v>
      </c>
      <c r="BR1" t="s">
        <v>332</v>
      </c>
      <c r="BS1" t="s">
        <v>333</v>
      </c>
      <c r="BT1" t="s">
        <v>334</v>
      </c>
      <c r="BU1" t="s">
        <v>335</v>
      </c>
      <c r="BV1" t="s">
        <v>336</v>
      </c>
      <c r="BW1" t="s">
        <v>337</v>
      </c>
      <c r="BX1" t="s">
        <v>338</v>
      </c>
      <c r="BY1" t="s">
        <v>339</v>
      </c>
      <c r="BZ1" t="s">
        <v>340</v>
      </c>
      <c r="CA1" t="s">
        <v>341</v>
      </c>
      <c r="CB1" t="s">
        <v>342</v>
      </c>
      <c r="CC1" t="s">
        <v>343</v>
      </c>
      <c r="CD1" t="s">
        <v>344</v>
      </c>
      <c r="CE1" t="s">
        <v>345</v>
      </c>
      <c r="CF1" t="s">
        <v>346</v>
      </c>
      <c r="CG1" t="s">
        <v>347</v>
      </c>
      <c r="CH1" t="s">
        <v>348</v>
      </c>
      <c r="CI1" t="s">
        <v>349</v>
      </c>
      <c r="CJ1" t="s">
        <v>350</v>
      </c>
      <c r="CK1" t="s">
        <v>351</v>
      </c>
      <c r="CL1" t="s">
        <v>352</v>
      </c>
      <c r="CM1" t="s">
        <v>353</v>
      </c>
      <c r="CN1" t="s">
        <v>354</v>
      </c>
      <c r="CO1" t="s">
        <v>355</v>
      </c>
      <c r="CP1" t="s">
        <v>356</v>
      </c>
      <c r="CQ1" t="s">
        <v>357</v>
      </c>
      <c r="CR1" t="s">
        <v>358</v>
      </c>
      <c r="CS1" t="s">
        <v>359</v>
      </c>
      <c r="CT1" t="s">
        <v>360</v>
      </c>
      <c r="CU1" t="s">
        <v>361</v>
      </c>
      <c r="CV1" t="s">
        <v>362</v>
      </c>
      <c r="CW1" t="s">
        <v>363</v>
      </c>
      <c r="CX1" t="s">
        <v>364</v>
      </c>
      <c r="CY1" t="s">
        <v>365</v>
      </c>
      <c r="CZ1" t="s">
        <v>366</v>
      </c>
      <c r="DA1" t="s">
        <v>367</v>
      </c>
      <c r="DB1" t="s">
        <v>368</v>
      </c>
      <c r="DC1" t="s">
        <v>369</v>
      </c>
      <c r="DD1" t="s">
        <v>370</v>
      </c>
      <c r="DE1" t="s">
        <v>371</v>
      </c>
      <c r="DF1" t="s">
        <v>372</v>
      </c>
      <c r="DG1" t="s">
        <v>373</v>
      </c>
      <c r="DH1" t="s">
        <v>374</v>
      </c>
      <c r="DI1" t="s">
        <v>375</v>
      </c>
      <c r="DJ1" t="s">
        <v>376</v>
      </c>
      <c r="DK1" t="s">
        <v>377</v>
      </c>
      <c r="DL1" t="s">
        <v>378</v>
      </c>
      <c r="DM1" t="s">
        <v>379</v>
      </c>
      <c r="DN1" t="s">
        <v>380</v>
      </c>
      <c r="DO1" t="s">
        <v>381</v>
      </c>
      <c r="DP1" t="s">
        <v>382</v>
      </c>
      <c r="DQ1" t="s">
        <v>383</v>
      </c>
      <c r="DR1" t="s">
        <v>384</v>
      </c>
      <c r="DS1" t="s">
        <v>385</v>
      </c>
      <c r="DT1" t="s">
        <v>386</v>
      </c>
      <c r="DU1" t="s">
        <v>387</v>
      </c>
      <c r="DV1" t="s">
        <v>388</v>
      </c>
      <c r="DW1" t="s">
        <v>389</v>
      </c>
      <c r="DX1" t="s">
        <v>390</v>
      </c>
      <c r="DY1" t="s">
        <v>391</v>
      </c>
      <c r="DZ1" t="s">
        <v>392</v>
      </c>
      <c r="EA1" t="s">
        <v>393</v>
      </c>
      <c r="EB1" t="s">
        <v>394</v>
      </c>
      <c r="EC1" t="s">
        <v>395</v>
      </c>
      <c r="ED1" t="s">
        <v>396</v>
      </c>
      <c r="EE1" t="s">
        <v>397</v>
      </c>
      <c r="EF1" t="s">
        <v>398</v>
      </c>
      <c r="EG1" t="s">
        <v>399</v>
      </c>
      <c r="EH1" t="s">
        <v>400</v>
      </c>
      <c r="EI1" t="s">
        <v>401</v>
      </c>
      <c r="EJ1" t="s">
        <v>402</v>
      </c>
      <c r="EK1" t="s">
        <v>403</v>
      </c>
      <c r="EL1" t="s">
        <v>404</v>
      </c>
      <c r="EM1" t="s">
        <v>405</v>
      </c>
      <c r="EN1" t="s">
        <v>406</v>
      </c>
      <c r="EO1" t="s">
        <v>407</v>
      </c>
      <c r="EP1" t="s">
        <v>408</v>
      </c>
      <c r="EQ1" t="s">
        <v>409</v>
      </c>
      <c r="ER1" t="s">
        <v>410</v>
      </c>
      <c r="ES1" t="s">
        <v>411</v>
      </c>
      <c r="ET1" t="s">
        <v>412</v>
      </c>
      <c r="EU1" t="s">
        <v>413</v>
      </c>
      <c r="EV1" t="s">
        <v>414</v>
      </c>
      <c r="EW1" t="s">
        <v>415</v>
      </c>
      <c r="EX1" t="s">
        <v>416</v>
      </c>
      <c r="EY1" t="s">
        <v>417</v>
      </c>
      <c r="EZ1" t="s">
        <v>418</v>
      </c>
      <c r="FA1" t="s">
        <v>419</v>
      </c>
      <c r="FB1" t="s">
        <v>420</v>
      </c>
      <c r="FC1" t="s">
        <v>421</v>
      </c>
      <c r="FD1" t="s">
        <v>422</v>
      </c>
      <c r="FE1" t="s">
        <v>423</v>
      </c>
      <c r="FF1" t="s">
        <v>424</v>
      </c>
      <c r="FG1" t="s">
        <v>425</v>
      </c>
      <c r="FH1" t="s">
        <v>426</v>
      </c>
      <c r="FI1" t="s">
        <v>427</v>
      </c>
      <c r="FJ1" t="s">
        <v>428</v>
      </c>
      <c r="FK1" t="s">
        <v>429</v>
      </c>
      <c r="FL1" t="s">
        <v>430</v>
      </c>
      <c r="FM1" t="s">
        <v>431</v>
      </c>
      <c r="FN1" t="s">
        <v>432</v>
      </c>
      <c r="FO1" t="s">
        <v>433</v>
      </c>
      <c r="FP1" t="s">
        <v>434</v>
      </c>
      <c r="FQ1" t="s">
        <v>435</v>
      </c>
      <c r="FR1" t="s">
        <v>436</v>
      </c>
      <c r="FS1" t="s">
        <v>437</v>
      </c>
      <c r="FT1" t="s">
        <v>438</v>
      </c>
      <c r="FU1" t="s">
        <v>439</v>
      </c>
      <c r="FV1" t="s">
        <v>440</v>
      </c>
      <c r="FW1" t="s">
        <v>441</v>
      </c>
      <c r="FX1" t="s">
        <v>442</v>
      </c>
      <c r="FY1" t="s">
        <v>443</v>
      </c>
      <c r="FZ1" t="s">
        <v>444</v>
      </c>
      <c r="GA1" t="s">
        <v>445</v>
      </c>
      <c r="GB1" t="s">
        <v>446</v>
      </c>
      <c r="GC1" t="s">
        <v>447</v>
      </c>
      <c r="GD1" t="s">
        <v>448</v>
      </c>
      <c r="GE1" t="s">
        <v>449</v>
      </c>
      <c r="GF1" t="s">
        <v>450</v>
      </c>
      <c r="GG1" t="s">
        <v>451</v>
      </c>
      <c r="GH1" t="s">
        <v>452</v>
      </c>
      <c r="GI1" t="s">
        <v>453</v>
      </c>
      <c r="GJ1" t="s">
        <v>454</v>
      </c>
      <c r="GK1" t="s">
        <v>455</v>
      </c>
      <c r="GL1" t="s">
        <v>456</v>
      </c>
      <c r="GM1" t="s">
        <v>457</v>
      </c>
      <c r="GN1" t="s">
        <v>458</v>
      </c>
      <c r="GO1" t="s">
        <v>459</v>
      </c>
      <c r="GP1" t="s">
        <v>460</v>
      </c>
      <c r="GQ1" t="s">
        <v>461</v>
      </c>
      <c r="GR1" t="s">
        <v>462</v>
      </c>
      <c r="GS1" t="s">
        <v>463</v>
      </c>
      <c r="GT1" t="s">
        <v>464</v>
      </c>
      <c r="GU1" t="s">
        <v>465</v>
      </c>
      <c r="GV1" t="s">
        <v>466</v>
      </c>
      <c r="GW1" t="s">
        <v>467</v>
      </c>
      <c r="GX1" t="s">
        <v>468</v>
      </c>
      <c r="GY1" t="s">
        <v>469</v>
      </c>
      <c r="GZ1" t="s">
        <v>470</v>
      </c>
      <c r="HA1" t="s">
        <v>471</v>
      </c>
      <c r="HB1" t="s">
        <v>472</v>
      </c>
      <c r="HC1" t="s">
        <v>473</v>
      </c>
      <c r="HD1" t="s">
        <v>474</v>
      </c>
      <c r="HE1" t="s">
        <v>475</v>
      </c>
      <c r="HF1" t="s">
        <v>476</v>
      </c>
      <c r="HG1" t="s">
        <v>477</v>
      </c>
      <c r="HH1" t="s">
        <v>478</v>
      </c>
      <c r="HI1" t="s">
        <v>479</v>
      </c>
      <c r="HJ1" t="s">
        <v>480</v>
      </c>
      <c r="HK1" t="s">
        <v>481</v>
      </c>
      <c r="HL1" t="s">
        <v>482</v>
      </c>
      <c r="HM1" t="s">
        <v>483</v>
      </c>
      <c r="HN1" t="s">
        <v>484</v>
      </c>
      <c r="HO1" t="s">
        <v>485</v>
      </c>
      <c r="HP1" t="s">
        <v>486</v>
      </c>
      <c r="HQ1" t="s">
        <v>487</v>
      </c>
      <c r="HR1" t="s">
        <v>488</v>
      </c>
      <c r="HS1" t="s">
        <v>489</v>
      </c>
      <c r="HT1" t="s">
        <v>490</v>
      </c>
      <c r="HU1" t="s">
        <v>491</v>
      </c>
      <c r="HV1" t="s">
        <v>492</v>
      </c>
      <c r="HW1" t="s">
        <v>493</v>
      </c>
      <c r="HX1" t="s">
        <v>494</v>
      </c>
      <c r="HY1" t="s">
        <v>495</v>
      </c>
      <c r="HZ1" t="s">
        <v>496</v>
      </c>
      <c r="IA1" t="s">
        <v>497</v>
      </c>
      <c r="IB1" t="s">
        <v>498</v>
      </c>
      <c r="IC1" t="s">
        <v>499</v>
      </c>
      <c r="ID1" t="s">
        <v>500</v>
      </c>
      <c r="IE1" t="s">
        <v>501</v>
      </c>
      <c r="IF1" t="s">
        <v>502</v>
      </c>
      <c r="IG1" t="s">
        <v>503</v>
      </c>
      <c r="IH1" t="s">
        <v>504</v>
      </c>
      <c r="II1" t="s">
        <v>505</v>
      </c>
      <c r="IJ1" t="s">
        <v>506</v>
      </c>
      <c r="IK1" t="s">
        <v>507</v>
      </c>
      <c r="IL1" t="s">
        <v>508</v>
      </c>
      <c r="IM1" t="s">
        <v>509</v>
      </c>
      <c r="IN1" t="s">
        <v>510</v>
      </c>
      <c r="IO1" t="s">
        <v>511</v>
      </c>
      <c r="IP1" t="s">
        <v>512</v>
      </c>
      <c r="IQ1" t="s">
        <v>513</v>
      </c>
      <c r="IR1" t="s">
        <v>514</v>
      </c>
      <c r="IS1" t="s">
        <v>515</v>
      </c>
      <c r="IT1" t="s">
        <v>516</v>
      </c>
      <c r="IU1" t="s">
        <v>517</v>
      </c>
      <c r="IV1" t="s">
        <v>518</v>
      </c>
      <c r="IW1" t="s">
        <v>519</v>
      </c>
      <c r="IX1" t="s">
        <v>520</v>
      </c>
      <c r="IY1" t="s">
        <v>521</v>
      </c>
      <c r="IZ1" t="s">
        <v>522</v>
      </c>
      <c r="JA1" t="s">
        <v>523</v>
      </c>
      <c r="JB1" t="s">
        <v>524</v>
      </c>
      <c r="JC1" t="s">
        <v>525</v>
      </c>
      <c r="JD1" t="s">
        <v>526</v>
      </c>
      <c r="JE1" t="s">
        <v>527</v>
      </c>
      <c r="JF1" t="s">
        <v>528</v>
      </c>
      <c r="JG1" t="s">
        <v>529</v>
      </c>
      <c r="JH1" t="s">
        <v>530</v>
      </c>
      <c r="JI1" t="s">
        <v>531</v>
      </c>
      <c r="JJ1" t="s">
        <v>532</v>
      </c>
      <c r="JK1" t="s">
        <v>533</v>
      </c>
      <c r="JL1" t="s">
        <v>273</v>
      </c>
      <c r="JM1" t="s">
        <v>534</v>
      </c>
      <c r="JN1" t="s">
        <v>535</v>
      </c>
      <c r="JO1" t="s">
        <v>536</v>
      </c>
      <c r="JP1" t="s">
        <v>537</v>
      </c>
      <c r="JQ1" t="s">
        <v>538</v>
      </c>
      <c r="JR1" s="17" t="s">
        <v>539</v>
      </c>
      <c r="JS1" s="17" t="s">
        <v>207</v>
      </c>
      <c r="JT1" s="17" t="s">
        <v>208</v>
      </c>
      <c r="JU1" s="17" t="s">
        <v>209</v>
      </c>
    </row>
    <row r="2" spans="1:281">
      <c r="A2" t="s">
        <v>540</v>
      </c>
      <c r="B2" t="s">
        <v>541</v>
      </c>
      <c r="C2" t="s">
        <v>542</v>
      </c>
      <c r="D2" t="s">
        <v>213</v>
      </c>
      <c r="E2">
        <v>3</v>
      </c>
      <c r="F2" t="s">
        <v>214</v>
      </c>
      <c r="G2" t="s">
        <v>215</v>
      </c>
      <c r="H2" t="s">
        <v>543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0</v>
      </c>
      <c r="S2">
        <v>1.1000000013</v>
      </c>
      <c r="T2">
        <v>1.1000000013</v>
      </c>
      <c r="U2">
        <v>1.0000000002</v>
      </c>
      <c r="V2">
        <v>1.2000000006</v>
      </c>
      <c r="W2">
        <v>1.1000000013</v>
      </c>
      <c r="X2">
        <v>1.400000001</v>
      </c>
      <c r="Y2">
        <v>1.400000001</v>
      </c>
      <c r="Z2">
        <v>1.5000000003</v>
      </c>
      <c r="AA2">
        <v>1.6000000014</v>
      </c>
      <c r="AB2">
        <v>1.9000000011</v>
      </c>
      <c r="AC2">
        <v>1.9000000011</v>
      </c>
      <c r="AD2">
        <v>2.0999999997000001</v>
      </c>
      <c r="AE2">
        <v>2.0999999997000001</v>
      </c>
      <c r="AF2">
        <v>3.0000000006</v>
      </c>
      <c r="AG2">
        <v>4.0000000008000001</v>
      </c>
      <c r="AH2">
        <v>4.7000000013000003</v>
      </c>
      <c r="AI2">
        <v>6.8000000009999999</v>
      </c>
      <c r="AJ2">
        <v>11.200000000799999</v>
      </c>
      <c r="AK2">
        <v>17.400000000599999</v>
      </c>
      <c r="AL2">
        <v>24.600000000600001</v>
      </c>
      <c r="AM2">
        <v>31.399999999799999</v>
      </c>
      <c r="AN2">
        <v>38.200000000899998</v>
      </c>
      <c r="AO2">
        <v>45.100000001200002</v>
      </c>
      <c r="AP2">
        <v>52.800000001299999</v>
      </c>
      <c r="AQ2">
        <v>60.300000001000001</v>
      </c>
      <c r="AR2">
        <v>67.700000001399999</v>
      </c>
      <c r="AS2">
        <v>75.200000001099994</v>
      </c>
      <c r="AT2">
        <v>83.599999999900007</v>
      </c>
      <c r="AU2">
        <v>90.600000001400005</v>
      </c>
      <c r="AV2">
        <v>98</v>
      </c>
      <c r="AW2">
        <v>106.4999999999</v>
      </c>
      <c r="AX2">
        <v>114.8000000012</v>
      </c>
      <c r="AY2">
        <v>122.9000000003</v>
      </c>
      <c r="AZ2">
        <v>131.40000000020001</v>
      </c>
      <c r="BA2">
        <v>139.50000000110001</v>
      </c>
      <c r="BB2">
        <v>147.10000000010001</v>
      </c>
      <c r="BC2">
        <v>155.30000000039999</v>
      </c>
      <c r="BD2">
        <v>163.9000000014</v>
      </c>
      <c r="BE2">
        <v>171.9000000012</v>
      </c>
      <c r="BF2">
        <v>179.7000000006</v>
      </c>
      <c r="BG2">
        <v>188.40000000090001</v>
      </c>
      <c r="BH2">
        <v>195.80000000129999</v>
      </c>
      <c r="BI2">
        <v>203.60000000069999</v>
      </c>
      <c r="BJ2">
        <v>211.90000000020001</v>
      </c>
      <c r="BK2">
        <v>220.00000000119999</v>
      </c>
      <c r="BL2">
        <v>227.7000000013</v>
      </c>
      <c r="BM2">
        <v>236.00000000079999</v>
      </c>
      <c r="BN2">
        <v>243.59999999979999</v>
      </c>
      <c r="BO2">
        <v>250.90000000090001</v>
      </c>
      <c r="BP2">
        <v>258.7999999996</v>
      </c>
      <c r="BQ2">
        <v>266.49999999969998</v>
      </c>
      <c r="BR2">
        <v>274.19999999980001</v>
      </c>
      <c r="BS2">
        <v>281.30000000059999</v>
      </c>
      <c r="BT2">
        <v>289.10000000000002</v>
      </c>
      <c r="BU2">
        <v>296.40000000110001</v>
      </c>
      <c r="BV2">
        <v>302.99999999990001</v>
      </c>
      <c r="BW2">
        <v>310.300000001</v>
      </c>
      <c r="BX2">
        <v>317.39999999989999</v>
      </c>
      <c r="BY2">
        <v>324.50000000059998</v>
      </c>
      <c r="BZ2">
        <v>331.10000000119999</v>
      </c>
      <c r="CA2">
        <v>337.80000000119998</v>
      </c>
      <c r="CB2">
        <v>344.80000000080003</v>
      </c>
      <c r="CC2">
        <v>351.40000000139997</v>
      </c>
      <c r="CD2">
        <v>357.1000000011</v>
      </c>
      <c r="CE2">
        <v>363.800000001</v>
      </c>
      <c r="CF2">
        <v>370.20000000120001</v>
      </c>
      <c r="CG2">
        <v>376.10000000129997</v>
      </c>
      <c r="CH2">
        <v>382.2</v>
      </c>
      <c r="CI2">
        <v>388.00000000080001</v>
      </c>
      <c r="CJ2">
        <v>394.40000000100002</v>
      </c>
      <c r="CK2">
        <v>400.30000000119998</v>
      </c>
      <c r="CL2">
        <v>406.0000000009</v>
      </c>
      <c r="CM2">
        <v>411.40000000089998</v>
      </c>
      <c r="CN2">
        <v>417.00000000130001</v>
      </c>
      <c r="CO2">
        <v>422.20000000089999</v>
      </c>
      <c r="CP2">
        <v>427.60000000090002</v>
      </c>
      <c r="CQ2">
        <v>433.0000000009</v>
      </c>
      <c r="CR2">
        <v>438.00000000009999</v>
      </c>
      <c r="CS2">
        <v>443.60000000050002</v>
      </c>
      <c r="CT2">
        <v>449.00000000049999</v>
      </c>
      <c r="CU2">
        <v>453.80000000109999</v>
      </c>
      <c r="CV2">
        <v>455.79999999969999</v>
      </c>
      <c r="CW2">
        <v>455.7000000004</v>
      </c>
      <c r="CX2">
        <v>455.7000000004</v>
      </c>
      <c r="CY2">
        <v>455.79999999969999</v>
      </c>
      <c r="CZ2">
        <v>455.6000000011</v>
      </c>
      <c r="DA2">
        <v>455.6000000011</v>
      </c>
      <c r="DB2">
        <v>455.7000000004</v>
      </c>
      <c r="DC2">
        <v>455.6000000011</v>
      </c>
      <c r="DD2">
        <v>455.5</v>
      </c>
      <c r="DE2">
        <v>455.6000000011</v>
      </c>
      <c r="DF2">
        <v>455.79999999969999</v>
      </c>
      <c r="DG2">
        <v>455.5</v>
      </c>
      <c r="DH2">
        <v>0.7000000005</v>
      </c>
      <c r="DI2">
        <v>1.9000000011</v>
      </c>
      <c r="DJ2">
        <v>2.0000000004</v>
      </c>
      <c r="DK2">
        <v>2.2000000007999998</v>
      </c>
      <c r="DL2">
        <v>2.4000000012</v>
      </c>
      <c r="DM2">
        <v>2.4000000012</v>
      </c>
      <c r="DN2">
        <v>2.5000000005</v>
      </c>
      <c r="DO2">
        <v>2.5000000005</v>
      </c>
      <c r="DP2">
        <v>2.5999999998000001</v>
      </c>
      <c r="DQ2">
        <v>2.8000000001999998</v>
      </c>
      <c r="DR2">
        <v>3.0000000006</v>
      </c>
      <c r="DS2">
        <v>3.0999999999000001</v>
      </c>
      <c r="DT2">
        <v>3.2000000009999998</v>
      </c>
      <c r="DU2">
        <v>3.2000000009999998</v>
      </c>
      <c r="DV2">
        <v>4.1000000000999997</v>
      </c>
      <c r="DW2">
        <v>5.0000000010000001</v>
      </c>
      <c r="DX2">
        <v>5.9000000001000004</v>
      </c>
      <c r="DY2">
        <v>9.2000000003999993</v>
      </c>
      <c r="DZ2">
        <v>15.4000000002</v>
      </c>
      <c r="EA2">
        <v>22.500000000899998</v>
      </c>
      <c r="EB2">
        <v>29.900000001399999</v>
      </c>
      <c r="EC2">
        <v>36.000000000100002</v>
      </c>
      <c r="ED2">
        <v>43.200000000099998</v>
      </c>
      <c r="EE2">
        <v>50.800000000899999</v>
      </c>
      <c r="EF2">
        <v>58.300000000600001</v>
      </c>
      <c r="EG2">
        <v>65.800000000300003</v>
      </c>
      <c r="EH2">
        <v>73.000000000300005</v>
      </c>
      <c r="EI2">
        <v>81.400000000899993</v>
      </c>
      <c r="EJ2">
        <v>88.499999999799996</v>
      </c>
      <c r="EK2">
        <v>95.699999999900001</v>
      </c>
      <c r="EL2">
        <v>104.3000000009</v>
      </c>
      <c r="EM2">
        <v>112.3000000007</v>
      </c>
      <c r="EN2">
        <v>120.3999999998</v>
      </c>
      <c r="EO2">
        <v>129.10000000010001</v>
      </c>
      <c r="EP2">
        <v>137.5000000007</v>
      </c>
      <c r="EQ2">
        <v>144.90000000110001</v>
      </c>
      <c r="ER2">
        <v>153.2999999999</v>
      </c>
      <c r="ES2">
        <v>161.5000000002</v>
      </c>
      <c r="ET2">
        <v>169.90000000079999</v>
      </c>
      <c r="EU2">
        <v>177.90000000059999</v>
      </c>
      <c r="EV2">
        <v>186.6000000009</v>
      </c>
      <c r="EW2">
        <v>194.1999999999</v>
      </c>
      <c r="EX2">
        <v>202.1999999997</v>
      </c>
      <c r="EY2">
        <v>210.69999999960001</v>
      </c>
      <c r="EZ2">
        <v>218.7000000013</v>
      </c>
      <c r="FA2">
        <v>226.70000000109999</v>
      </c>
      <c r="FB2">
        <v>234.90000000129999</v>
      </c>
      <c r="FC2">
        <v>243.3000000001</v>
      </c>
      <c r="FD2">
        <v>250.40000000079999</v>
      </c>
      <c r="FE2">
        <v>258.30000000130002</v>
      </c>
      <c r="FF2">
        <v>266.2</v>
      </c>
      <c r="FG2">
        <v>273.80000000080003</v>
      </c>
      <c r="FH2">
        <v>281.30000000059999</v>
      </c>
      <c r="FI2">
        <v>289.10000000000002</v>
      </c>
      <c r="FJ2">
        <v>296.7000000008</v>
      </c>
      <c r="FK2">
        <v>303.6000000011</v>
      </c>
      <c r="FL2">
        <v>310.99999999969998</v>
      </c>
      <c r="FM2">
        <v>318.00000000109998</v>
      </c>
      <c r="FN2">
        <v>325.30000000040002</v>
      </c>
      <c r="FO2">
        <v>332.00000000030002</v>
      </c>
      <c r="FP2">
        <v>339.1000000011</v>
      </c>
      <c r="FQ2">
        <v>346.2</v>
      </c>
      <c r="FR2">
        <v>352.6000000002</v>
      </c>
      <c r="FS2">
        <v>358.70000000070002</v>
      </c>
      <c r="FT2">
        <v>365.20000000020002</v>
      </c>
      <c r="FU2">
        <v>371.69999999970003</v>
      </c>
      <c r="FV2">
        <v>378.00000000059998</v>
      </c>
      <c r="FW2">
        <v>384</v>
      </c>
      <c r="FX2">
        <v>390.00000000120002</v>
      </c>
      <c r="FY2">
        <v>396.6</v>
      </c>
      <c r="FZ2">
        <v>402.60000000129997</v>
      </c>
      <c r="GA2">
        <v>407.60000000050002</v>
      </c>
      <c r="GB2">
        <v>413.70000000099998</v>
      </c>
      <c r="GC2">
        <v>418.70000000020002</v>
      </c>
      <c r="GD2">
        <v>424.30000000059999</v>
      </c>
      <c r="GE2">
        <v>429.50000000019998</v>
      </c>
      <c r="GF2">
        <v>434.69999999980001</v>
      </c>
      <c r="GG2">
        <v>439.7000000008</v>
      </c>
      <c r="GH2">
        <v>444.99999999969998</v>
      </c>
      <c r="GI2">
        <v>449.89999999960003</v>
      </c>
      <c r="GJ2">
        <v>453.90000000039998</v>
      </c>
      <c r="GK2">
        <v>455.5</v>
      </c>
      <c r="GL2">
        <v>455.4000000007</v>
      </c>
      <c r="GM2">
        <v>455.5</v>
      </c>
      <c r="GN2">
        <v>455.5</v>
      </c>
      <c r="GO2">
        <v>455.7000000004</v>
      </c>
      <c r="GP2">
        <v>455.7000000004</v>
      </c>
      <c r="GQ2">
        <v>455.6000000011</v>
      </c>
      <c r="GR2">
        <v>455.7000000004</v>
      </c>
      <c r="GS2">
        <v>455.7000000004</v>
      </c>
      <c r="GT2">
        <v>455.6000000011</v>
      </c>
      <c r="GU2">
        <v>455.6000000011</v>
      </c>
      <c r="GV2">
        <v>455.7000000004</v>
      </c>
      <c r="GW2">
        <v>455.7000000004</v>
      </c>
      <c r="GX2">
        <v>1</v>
      </c>
      <c r="GY2">
        <v>117.2999999999</v>
      </c>
      <c r="GZ2">
        <v>114.8000000012</v>
      </c>
      <c r="HA2">
        <v>114.8000000012</v>
      </c>
      <c r="HB2">
        <v>120.3999999998</v>
      </c>
      <c r="HC2">
        <v>116.2450027436</v>
      </c>
      <c r="HD2">
        <v>-5.5999999986000004</v>
      </c>
      <c r="HE2">
        <v>455.69993417490002</v>
      </c>
      <c r="HF2">
        <v>301.80308282990001</v>
      </c>
      <c r="HG2">
        <v>98.621755348500002</v>
      </c>
      <c r="HH2">
        <v>455.79999999969999</v>
      </c>
      <c r="HI2">
        <v>455.7000000004</v>
      </c>
      <c r="HJ2">
        <v>455.79999999969999</v>
      </c>
      <c r="HK2">
        <v>455.7000000004</v>
      </c>
      <c r="HL2">
        <v>114.9560117302</v>
      </c>
      <c r="HM2">
        <v>3.2633971339999999</v>
      </c>
      <c r="HN2">
        <v>3.1618201645999999</v>
      </c>
      <c r="HO2">
        <v>3.2559801544</v>
      </c>
      <c r="HP2">
        <v>3.0639811147999998</v>
      </c>
      <c r="HQ2">
        <v>3.4427341979000001</v>
      </c>
      <c r="HR2">
        <v>2.1801959690000001</v>
      </c>
      <c r="HS2">
        <v>17.623247395100002</v>
      </c>
      <c r="HT2">
        <v>-30.4985337243</v>
      </c>
      <c r="HU2">
        <v>-208</v>
      </c>
      <c r="HV2">
        <v>418.04808557349997</v>
      </c>
      <c r="HW2">
        <v>96.187683284499997</v>
      </c>
      <c r="HX2">
        <v>656</v>
      </c>
      <c r="HY2">
        <v>17.623247395100002</v>
      </c>
      <c r="HZ2">
        <v>-30.4985337243</v>
      </c>
      <c r="IA2">
        <v>-208</v>
      </c>
      <c r="IB2">
        <v>418.04808557349997</v>
      </c>
      <c r="IC2">
        <v>96.187683284499997</v>
      </c>
      <c r="ID2">
        <v>656</v>
      </c>
      <c r="IE2">
        <v>37.651914427000001</v>
      </c>
      <c r="IF2">
        <v>4.0098738351999996</v>
      </c>
      <c r="IG2">
        <v>-39.8826979472</v>
      </c>
      <c r="IH2">
        <v>-272</v>
      </c>
      <c r="II2">
        <v>439.41479978140001</v>
      </c>
      <c r="IJ2">
        <v>105.57184750730001</v>
      </c>
      <c r="IK2">
        <v>720</v>
      </c>
      <c r="IL2">
        <v>400.42483817840002</v>
      </c>
      <c r="IM2">
        <v>126.6862170088</v>
      </c>
      <c r="IN2">
        <v>422.17894679019997</v>
      </c>
      <c r="IO2">
        <v>136.0703812317</v>
      </c>
      <c r="IP2">
        <v>7.2</v>
      </c>
      <c r="IQ2">
        <v>5.6000000003999997</v>
      </c>
      <c r="IR2">
        <v>8.7000000002999993</v>
      </c>
      <c r="IS2">
        <v>6.178631201</v>
      </c>
      <c r="IT2">
        <v>6.178631201</v>
      </c>
      <c r="IU2">
        <v>5.1000000002999997</v>
      </c>
      <c r="IV2">
        <v>-30.4985337243</v>
      </c>
      <c r="IW2">
        <v>8.5999999991999996</v>
      </c>
      <c r="IX2">
        <v>86.803519061599999</v>
      </c>
      <c r="IY2">
        <v>6.9999999996</v>
      </c>
      <c r="IZ2">
        <v>107.91788856300001</v>
      </c>
      <c r="JA2">
        <v>-36.380769217900003</v>
      </c>
      <c r="JB2">
        <v>0.34605703049999997</v>
      </c>
      <c r="JC2">
        <v>-3.6725450000000003E-4</v>
      </c>
      <c r="JD2">
        <v>7.103E-7</v>
      </c>
      <c r="JE2">
        <v>0.30642914700000001</v>
      </c>
      <c r="JF2">
        <v>0.2221883077</v>
      </c>
      <c r="JG2">
        <v>9.31546501E-2</v>
      </c>
      <c r="JH2">
        <v>116.7666651808</v>
      </c>
      <c r="JI2">
        <v>3.4427341979000001</v>
      </c>
      <c r="JJ2">
        <v>3.1345634000000001E-3</v>
      </c>
      <c r="JK2">
        <v>-6.7212000000000006E-5</v>
      </c>
      <c r="JL2">
        <v>3.2633971339999999</v>
      </c>
      <c r="JM2">
        <v>1.2907923030999999</v>
      </c>
      <c r="JN2">
        <v>0.5625313287</v>
      </c>
      <c r="JO2">
        <v>3.069</v>
      </c>
      <c r="JP2">
        <v>2.3870000002</v>
      </c>
      <c r="JQ2">
        <v>3.7083750001000002</v>
      </c>
      <c r="JR2" s="17" t="s">
        <v>544</v>
      </c>
      <c r="JU2" s="17">
        <v>1</v>
      </c>
    </row>
    <row r="3" spans="1:281">
      <c r="A3" t="s">
        <v>605</v>
      </c>
      <c r="B3" t="s">
        <v>606</v>
      </c>
      <c r="C3" t="s">
        <v>607</v>
      </c>
      <c r="D3" t="s">
        <v>213</v>
      </c>
      <c r="E3">
        <v>3</v>
      </c>
      <c r="F3" t="s">
        <v>214</v>
      </c>
      <c r="G3" t="s">
        <v>215</v>
      </c>
      <c r="H3" t="s">
        <v>543</v>
      </c>
      <c r="I3" t="s">
        <v>217</v>
      </c>
      <c r="K3" t="s">
        <v>548</v>
      </c>
      <c r="L3" t="s">
        <v>549</v>
      </c>
      <c r="M3" t="s">
        <v>550</v>
      </c>
      <c r="N3" t="s">
        <v>551</v>
      </c>
      <c r="O3" t="s">
        <v>552</v>
      </c>
      <c r="P3">
        <v>0</v>
      </c>
      <c r="Q3">
        <v>0</v>
      </c>
      <c r="R3">
        <v>0</v>
      </c>
      <c r="S3">
        <v>1.1000000013</v>
      </c>
      <c r="T3">
        <v>1.2000000006</v>
      </c>
      <c r="U3">
        <v>1.2000000006</v>
      </c>
      <c r="V3">
        <v>1.1000000013</v>
      </c>
      <c r="W3">
        <v>1.2999999999</v>
      </c>
      <c r="X3">
        <v>1.5000000003</v>
      </c>
      <c r="Y3">
        <v>1.5999999996000001</v>
      </c>
      <c r="Z3">
        <v>1.400000001</v>
      </c>
      <c r="AA3">
        <v>1.2999999999</v>
      </c>
      <c r="AB3">
        <v>1.8</v>
      </c>
      <c r="AC3">
        <v>1.9000000011</v>
      </c>
      <c r="AD3">
        <v>1.9000000011</v>
      </c>
      <c r="AE3">
        <v>2.0000000004</v>
      </c>
      <c r="AF3">
        <v>2.0999999997000001</v>
      </c>
      <c r="AG3">
        <v>2.0000000004</v>
      </c>
      <c r="AH3">
        <v>2.0000000004</v>
      </c>
      <c r="AI3">
        <v>4.5000000009000001</v>
      </c>
      <c r="AJ3">
        <v>10.200000000599999</v>
      </c>
      <c r="AK3">
        <v>16.9000000005</v>
      </c>
      <c r="AL3">
        <v>24.000000001299998</v>
      </c>
      <c r="AM3">
        <v>31.000000000899998</v>
      </c>
      <c r="AN3">
        <v>38.200000000899998</v>
      </c>
      <c r="AO3">
        <v>45.4000000009</v>
      </c>
      <c r="AP3">
        <v>52.999999999899998</v>
      </c>
      <c r="AQ3">
        <v>60.300000001000001</v>
      </c>
      <c r="AR3">
        <v>67.500000001000004</v>
      </c>
      <c r="AS3">
        <v>75.3999999997</v>
      </c>
      <c r="AT3">
        <v>83.300000000200001</v>
      </c>
      <c r="AU3">
        <v>90.700000000700001</v>
      </c>
      <c r="AV3">
        <v>98.799999999799994</v>
      </c>
      <c r="AW3">
        <v>106.80000000139999</v>
      </c>
      <c r="AX3">
        <v>115.1000000009</v>
      </c>
      <c r="AY3">
        <v>123.7000000001</v>
      </c>
      <c r="AZ3">
        <v>132.40000000040001</v>
      </c>
      <c r="BA3">
        <v>140.60000000060001</v>
      </c>
      <c r="BB3">
        <v>148.6999999997</v>
      </c>
      <c r="BC3">
        <v>157.1000000004</v>
      </c>
      <c r="BD3">
        <v>165.70000000140001</v>
      </c>
      <c r="BE3">
        <v>173.0000000007</v>
      </c>
      <c r="BF3">
        <v>181.40000000129999</v>
      </c>
      <c r="BG3">
        <v>189.8000000001</v>
      </c>
      <c r="BH3">
        <v>197.7999999999</v>
      </c>
      <c r="BI3">
        <v>205.79999999969999</v>
      </c>
      <c r="BJ3">
        <v>214.20000000030001</v>
      </c>
      <c r="BK3">
        <v>221.8000000012</v>
      </c>
      <c r="BL3">
        <v>229.6999999999</v>
      </c>
      <c r="BM3">
        <v>238.10000000049999</v>
      </c>
      <c r="BN3">
        <v>245.80000000059999</v>
      </c>
      <c r="BO3">
        <v>253.5000000007</v>
      </c>
      <c r="BP3">
        <v>261.3000000001</v>
      </c>
      <c r="BQ3">
        <v>269.40000000100002</v>
      </c>
      <c r="BR3">
        <v>276.49999999990001</v>
      </c>
      <c r="BS3">
        <v>283.80000000109999</v>
      </c>
      <c r="BT3">
        <v>291.90000000020001</v>
      </c>
      <c r="BU3">
        <v>299.1000000002</v>
      </c>
      <c r="BV3">
        <v>306.20000000089999</v>
      </c>
      <c r="BW3">
        <v>313.40000000089998</v>
      </c>
      <c r="BX3">
        <v>320.99999999990001</v>
      </c>
      <c r="BY3">
        <v>327.69999999980001</v>
      </c>
      <c r="BZ3">
        <v>334.30000000040002</v>
      </c>
      <c r="CA3">
        <v>341.2000000008</v>
      </c>
      <c r="CB3">
        <v>348.2000000004</v>
      </c>
      <c r="CC3">
        <v>354.9000000003</v>
      </c>
      <c r="CD3">
        <v>361.00000000080001</v>
      </c>
      <c r="CE3">
        <v>367.70000000070002</v>
      </c>
      <c r="CF3">
        <v>374.40000000060002</v>
      </c>
      <c r="CG3">
        <v>380.4</v>
      </c>
      <c r="CH3">
        <v>386.0999999997</v>
      </c>
      <c r="CI3">
        <v>392.40000000060002</v>
      </c>
      <c r="CJ3">
        <v>398.80000000080003</v>
      </c>
      <c r="CK3">
        <v>404.50000000059998</v>
      </c>
      <c r="CL3">
        <v>410.20000000030001</v>
      </c>
      <c r="CM3">
        <v>415.70000000139999</v>
      </c>
      <c r="CN3">
        <v>421.7000000008</v>
      </c>
      <c r="CO3">
        <v>427.40000000049997</v>
      </c>
      <c r="CP3">
        <v>432.60000000010001</v>
      </c>
      <c r="CQ3">
        <v>437.7000000004</v>
      </c>
      <c r="CR3">
        <v>442.80000000069998</v>
      </c>
      <c r="CS3">
        <v>448.50000000040001</v>
      </c>
      <c r="CT3">
        <v>453.49999999959999</v>
      </c>
      <c r="CU3">
        <v>456.40000000089998</v>
      </c>
      <c r="CV3">
        <v>457.5999999997</v>
      </c>
      <c r="CW3">
        <v>457.50000000040001</v>
      </c>
      <c r="CX3">
        <v>457.7000000008</v>
      </c>
      <c r="CY3">
        <v>457.7000000008</v>
      </c>
      <c r="CZ3">
        <v>457.7000000008</v>
      </c>
      <c r="DA3">
        <v>457.7000000008</v>
      </c>
      <c r="DB3">
        <v>457.8000000001</v>
      </c>
      <c r="DC3">
        <v>457.8000000001</v>
      </c>
      <c r="DD3">
        <v>457.7000000008</v>
      </c>
      <c r="DE3">
        <v>457.8000000001</v>
      </c>
      <c r="DF3">
        <v>457.8000000001</v>
      </c>
      <c r="DG3">
        <v>457.9000000012</v>
      </c>
      <c r="DH3">
        <v>0.50000000010000001</v>
      </c>
      <c r="DI3">
        <v>2.2000000007999998</v>
      </c>
      <c r="DJ3">
        <v>2.0999999997000001</v>
      </c>
      <c r="DK3">
        <v>2.2000000007999998</v>
      </c>
      <c r="DL3">
        <v>2.3000000000999998</v>
      </c>
      <c r="DM3">
        <v>2.5000000005</v>
      </c>
      <c r="DN3">
        <v>2.7000000008999998</v>
      </c>
      <c r="DO3">
        <v>2.9000000013</v>
      </c>
      <c r="DP3">
        <v>2.9000000013</v>
      </c>
      <c r="DQ3">
        <v>2.7000000008999998</v>
      </c>
      <c r="DR3">
        <v>2.8000000001999998</v>
      </c>
      <c r="DS3">
        <v>2.9000000013</v>
      </c>
      <c r="DT3">
        <v>2.9000000013</v>
      </c>
      <c r="DU3">
        <v>2.8000000001999998</v>
      </c>
      <c r="DV3">
        <v>2.9000000013</v>
      </c>
      <c r="DW3">
        <v>2.7000000008999998</v>
      </c>
      <c r="DX3">
        <v>3.0000000006</v>
      </c>
      <c r="DY3">
        <v>7.9999999998</v>
      </c>
      <c r="DZ3">
        <v>14.699999999699999</v>
      </c>
      <c r="EA3">
        <v>22.0000000008</v>
      </c>
      <c r="EB3">
        <v>29.200000000900001</v>
      </c>
      <c r="EC3">
        <v>36.100000001200002</v>
      </c>
      <c r="ED3">
        <v>43.4000000005</v>
      </c>
      <c r="EE3">
        <v>50.800000000899999</v>
      </c>
      <c r="EF3">
        <v>58.500000000999997</v>
      </c>
      <c r="EG3">
        <v>65.4000000013</v>
      </c>
      <c r="EH3">
        <v>73.000000000300005</v>
      </c>
      <c r="EI3">
        <v>81.299999999799994</v>
      </c>
      <c r="EJ3">
        <v>88.900000000600002</v>
      </c>
      <c r="EK3">
        <v>96.800000001200004</v>
      </c>
      <c r="EL3">
        <v>104.800000001</v>
      </c>
      <c r="EM3">
        <v>113.1000000005</v>
      </c>
      <c r="EN3">
        <v>121.1000000003</v>
      </c>
      <c r="EO3">
        <v>130.19999999960001</v>
      </c>
      <c r="EP3">
        <v>138.5000000009</v>
      </c>
      <c r="EQ3">
        <v>146.5000000007</v>
      </c>
      <c r="ER3">
        <v>154.9000000014</v>
      </c>
      <c r="ES3">
        <v>163.50000000060001</v>
      </c>
      <c r="ET3">
        <v>171.20000000069999</v>
      </c>
      <c r="EU3">
        <v>179.6000000013</v>
      </c>
      <c r="EV3">
        <v>188.00000000009999</v>
      </c>
      <c r="EW3">
        <v>196.4000000007</v>
      </c>
      <c r="EX3">
        <v>204.4999999998</v>
      </c>
      <c r="EY3">
        <v>213.10000000080001</v>
      </c>
      <c r="EZ3">
        <v>221.10000000069999</v>
      </c>
      <c r="FA3">
        <v>228.6999999997</v>
      </c>
      <c r="FB3">
        <v>237.30000000070001</v>
      </c>
      <c r="FC3">
        <v>245.3999999998</v>
      </c>
      <c r="FD3">
        <v>253.09999999990001</v>
      </c>
      <c r="FE3">
        <v>261.2000000008</v>
      </c>
      <c r="FF3">
        <v>269.50000000030002</v>
      </c>
      <c r="FG3">
        <v>276.40000000060002</v>
      </c>
      <c r="FH3">
        <v>284.10000000079998</v>
      </c>
      <c r="FI3">
        <v>292.4000000003</v>
      </c>
      <c r="FJ3">
        <v>299.80000000069998</v>
      </c>
      <c r="FK3">
        <v>306.90000000139997</v>
      </c>
      <c r="FL3">
        <v>314.3</v>
      </c>
      <c r="FM3">
        <v>322.20000000049998</v>
      </c>
      <c r="FN3">
        <v>328.7</v>
      </c>
      <c r="FO3">
        <v>335.60000000029999</v>
      </c>
      <c r="FP3">
        <v>342.70000000110002</v>
      </c>
      <c r="FQ3">
        <v>350.0999999997</v>
      </c>
      <c r="FR3">
        <v>356.40000000060002</v>
      </c>
      <c r="FS3">
        <v>363.00000000120002</v>
      </c>
      <c r="FT3">
        <v>369.80000000040002</v>
      </c>
      <c r="FU3">
        <v>376.8</v>
      </c>
      <c r="FV3">
        <v>382.30000000109999</v>
      </c>
      <c r="FW3">
        <v>388.3999999998</v>
      </c>
      <c r="FX3">
        <v>394.90000000110001</v>
      </c>
      <c r="FY3">
        <v>400.99999999980002</v>
      </c>
      <c r="FZ3">
        <v>406.60000000029999</v>
      </c>
      <c r="GA3">
        <v>412.00000000030002</v>
      </c>
      <c r="GB3">
        <v>417.7</v>
      </c>
      <c r="GC3">
        <v>423.1</v>
      </c>
      <c r="GD3">
        <v>429.70000000060003</v>
      </c>
      <c r="GE3">
        <v>434.19999999970003</v>
      </c>
      <c r="GF3">
        <v>439.20000000070002</v>
      </c>
      <c r="GG3">
        <v>444.1999999999</v>
      </c>
      <c r="GH3">
        <v>449.50000000059998</v>
      </c>
      <c r="GI3">
        <v>453.80000000109999</v>
      </c>
      <c r="GJ3">
        <v>456.29999999979998</v>
      </c>
      <c r="GK3">
        <v>457.40000000110001</v>
      </c>
      <c r="GL3">
        <v>457.5999999997</v>
      </c>
      <c r="GM3">
        <v>457.5999999997</v>
      </c>
      <c r="GN3">
        <v>457.50000000040001</v>
      </c>
      <c r="GO3">
        <v>457.7000000008</v>
      </c>
      <c r="GP3">
        <v>457.7000000008</v>
      </c>
      <c r="GQ3">
        <v>457.50000000040001</v>
      </c>
      <c r="GR3">
        <v>457.5999999997</v>
      </c>
      <c r="GS3">
        <v>457.7000000008</v>
      </c>
      <c r="GT3">
        <v>457.7000000008</v>
      </c>
      <c r="GU3">
        <v>457.8000000001</v>
      </c>
      <c r="GV3">
        <v>457.8000000001</v>
      </c>
      <c r="GW3">
        <v>457.9000000012</v>
      </c>
      <c r="GX3">
        <v>1</v>
      </c>
      <c r="GY3">
        <v>117.50000000030001</v>
      </c>
      <c r="GZ3">
        <v>115.1000000009</v>
      </c>
      <c r="HA3">
        <v>115.1000000009</v>
      </c>
      <c r="HB3">
        <v>121.1000000003</v>
      </c>
      <c r="HC3">
        <v>116.6474994548</v>
      </c>
      <c r="HD3">
        <v>-5.9999999994</v>
      </c>
      <c r="HE3">
        <v>457.9000000012</v>
      </c>
      <c r="HF3">
        <v>294.53927713429999</v>
      </c>
      <c r="HG3">
        <v>99.530869185599997</v>
      </c>
      <c r="HH3">
        <v>457.9000000012</v>
      </c>
      <c r="HI3">
        <v>457.9000000012</v>
      </c>
      <c r="HJ3">
        <v>457.9000000012</v>
      </c>
      <c r="HK3">
        <v>457.9000000012</v>
      </c>
      <c r="HL3">
        <v>114.9560117302</v>
      </c>
      <c r="HM3">
        <v>3.3330155041</v>
      </c>
      <c r="HN3">
        <v>3.2441838293999998</v>
      </c>
      <c r="HO3">
        <v>3.3002392033999999</v>
      </c>
      <c r="HP3">
        <v>3.0782097415999998</v>
      </c>
      <c r="HQ3">
        <v>3.4904105643999999</v>
      </c>
      <c r="HR3">
        <v>2.3120852609</v>
      </c>
      <c r="HS3">
        <v>17.116630269200002</v>
      </c>
      <c r="HT3">
        <v>-30.4985337243</v>
      </c>
      <c r="HU3">
        <v>-208</v>
      </c>
      <c r="HV3">
        <v>411.18677658910002</v>
      </c>
      <c r="HW3">
        <v>91.495601172999997</v>
      </c>
      <c r="HX3">
        <v>624</v>
      </c>
      <c r="HY3">
        <v>17.116630269200002</v>
      </c>
      <c r="HZ3">
        <v>-30.4985337243</v>
      </c>
      <c r="IA3">
        <v>-208</v>
      </c>
      <c r="IB3">
        <v>411.18677658910002</v>
      </c>
      <c r="IC3">
        <v>91.495601172999997</v>
      </c>
      <c r="ID3">
        <v>624</v>
      </c>
      <c r="IE3">
        <v>46.713223412200001</v>
      </c>
      <c r="IF3">
        <v>2.0035924879000002</v>
      </c>
      <c r="IG3">
        <v>-39.8826979472</v>
      </c>
      <c r="IH3">
        <v>-272</v>
      </c>
      <c r="II3">
        <v>433.79755405079999</v>
      </c>
      <c r="IJ3">
        <v>100.87976539589999</v>
      </c>
      <c r="IK3">
        <v>688</v>
      </c>
      <c r="IL3">
        <v>394.0701463199</v>
      </c>
      <c r="IM3">
        <v>121.9941348974</v>
      </c>
      <c r="IN3">
        <v>417.93003930909998</v>
      </c>
      <c r="IO3">
        <v>131.37829912020001</v>
      </c>
      <c r="IP3">
        <v>6.6999999999000002</v>
      </c>
      <c r="IQ3">
        <v>6.6000000005999997</v>
      </c>
      <c r="IR3">
        <v>9.0999999992999996</v>
      </c>
      <c r="IS3">
        <v>5.2982749990000002</v>
      </c>
      <c r="IT3">
        <v>5.2982749990000002</v>
      </c>
      <c r="IU3">
        <v>4.4999999990999999</v>
      </c>
      <c r="IV3">
        <v>-32.844574780099997</v>
      </c>
      <c r="IW3">
        <v>9.0999999992999996</v>
      </c>
      <c r="IX3">
        <v>77.419354838700002</v>
      </c>
      <c r="IY3">
        <v>7.9999999998</v>
      </c>
      <c r="IZ3">
        <v>98.533724340199996</v>
      </c>
      <c r="JA3">
        <v>-36.119094387300002</v>
      </c>
      <c r="JB3">
        <v>0.34094029640000001</v>
      </c>
      <c r="JC3">
        <v>-3.5577249999999998E-4</v>
      </c>
      <c r="JD3">
        <v>6.8139999999999995E-7</v>
      </c>
      <c r="JE3">
        <v>0.30002860739999998</v>
      </c>
      <c r="JF3">
        <v>0.25337486040000001</v>
      </c>
      <c r="JG3">
        <v>0.1072945563</v>
      </c>
      <c r="JH3">
        <v>117.44096891540001</v>
      </c>
      <c r="JI3">
        <v>3.4904105643999999</v>
      </c>
      <c r="JJ3">
        <v>3.4584751E-3</v>
      </c>
      <c r="JK3">
        <v>-7.2118000000000003E-5</v>
      </c>
      <c r="JL3">
        <v>3.3330155041</v>
      </c>
      <c r="JM3">
        <v>1.1225804197</v>
      </c>
      <c r="JN3">
        <v>0.520282103</v>
      </c>
      <c r="JO3">
        <v>2.8558750000000002</v>
      </c>
      <c r="JP3">
        <v>2.8132500003000001</v>
      </c>
      <c r="JQ3">
        <v>3.8788749996999998</v>
      </c>
      <c r="JR3" s="17" t="s">
        <v>544</v>
      </c>
      <c r="JU3" s="17">
        <v>1</v>
      </c>
    </row>
    <row r="4" spans="1:281">
      <c r="A4" t="s">
        <v>608</v>
      </c>
      <c r="B4" t="s">
        <v>609</v>
      </c>
      <c r="C4" t="s">
        <v>610</v>
      </c>
      <c r="D4" t="s">
        <v>213</v>
      </c>
      <c r="E4">
        <v>3</v>
      </c>
      <c r="F4" t="s">
        <v>214</v>
      </c>
      <c r="G4" t="s">
        <v>215</v>
      </c>
      <c r="H4" t="s">
        <v>543</v>
      </c>
      <c r="I4" t="s">
        <v>217</v>
      </c>
      <c r="K4" t="s">
        <v>556</v>
      </c>
      <c r="L4" t="s">
        <v>557</v>
      </c>
      <c r="M4" t="s">
        <v>558</v>
      </c>
      <c r="N4" t="s">
        <v>559</v>
      </c>
      <c r="O4" t="s">
        <v>560</v>
      </c>
      <c r="P4">
        <v>0</v>
      </c>
      <c r="Q4">
        <v>0</v>
      </c>
      <c r="R4">
        <v>0</v>
      </c>
      <c r="S4">
        <v>0.29999999970000002</v>
      </c>
      <c r="T4">
        <v>0.39999999899999999</v>
      </c>
      <c r="U4">
        <v>0.29999999970000002</v>
      </c>
      <c r="V4">
        <v>0.19999999860000001</v>
      </c>
      <c r="W4">
        <v>0.39999999899999999</v>
      </c>
      <c r="X4">
        <v>0.39999999899999999</v>
      </c>
      <c r="Y4">
        <v>0.49999999830000003</v>
      </c>
      <c r="Z4">
        <v>0.59999999940000004</v>
      </c>
      <c r="AA4">
        <v>0.59999999940000004</v>
      </c>
      <c r="AB4">
        <v>0.69999999869999996</v>
      </c>
      <c r="AC4">
        <v>0.99999999839999998</v>
      </c>
      <c r="AD4">
        <v>0.89999999909999995</v>
      </c>
      <c r="AE4">
        <v>1.9999999986000001</v>
      </c>
      <c r="AF4">
        <v>2.7999999984000001</v>
      </c>
      <c r="AG4">
        <v>3.9999999989999999</v>
      </c>
      <c r="AH4">
        <v>5.5999999986000004</v>
      </c>
      <c r="AI4">
        <v>8.2999999995000007</v>
      </c>
      <c r="AJ4">
        <v>13.799999998800001</v>
      </c>
      <c r="AK4">
        <v>20.9999999988</v>
      </c>
      <c r="AL4">
        <v>28.499999998500002</v>
      </c>
      <c r="AM4">
        <v>36.199999998599999</v>
      </c>
      <c r="AN4">
        <v>42.899999998600002</v>
      </c>
      <c r="AO4">
        <v>49.999999999300002</v>
      </c>
      <c r="AP4">
        <v>57.5999999983</v>
      </c>
      <c r="AQ4">
        <v>64.899999999399995</v>
      </c>
      <c r="AR4">
        <v>72.799999999899995</v>
      </c>
      <c r="AS4">
        <v>81.299999999799994</v>
      </c>
      <c r="AT4">
        <v>90.699999998799996</v>
      </c>
      <c r="AU4">
        <v>97.199999998300001</v>
      </c>
      <c r="AV4">
        <v>105.2</v>
      </c>
      <c r="AW4">
        <v>113.49999999950001</v>
      </c>
      <c r="AX4">
        <v>122.0999999987</v>
      </c>
      <c r="AY4">
        <v>131.39999999840001</v>
      </c>
      <c r="AZ4">
        <v>140.29999999910001</v>
      </c>
      <c r="BA4">
        <v>148.29999999890001</v>
      </c>
      <c r="BB4">
        <v>155.99999999900001</v>
      </c>
      <c r="BC4">
        <v>164.2999999985</v>
      </c>
      <c r="BD4">
        <v>172.6999999992</v>
      </c>
      <c r="BE4">
        <v>181.09999999979999</v>
      </c>
      <c r="BF4">
        <v>190.49999999880001</v>
      </c>
      <c r="BG4">
        <v>199.19999999909999</v>
      </c>
      <c r="BH4">
        <v>206.4999999984</v>
      </c>
      <c r="BI4">
        <v>214.69999999859999</v>
      </c>
      <c r="BJ4">
        <v>222.69999999839999</v>
      </c>
      <c r="BK4">
        <v>230.6999999983</v>
      </c>
      <c r="BL4">
        <v>238.89999999849999</v>
      </c>
      <c r="BM4">
        <v>248.49999999970001</v>
      </c>
      <c r="BN4">
        <v>255.99999999939999</v>
      </c>
      <c r="BO4">
        <v>263.19999999940001</v>
      </c>
      <c r="BP4">
        <v>270.69999999909999</v>
      </c>
      <c r="BQ4">
        <v>278.69999999890001</v>
      </c>
      <c r="BR4">
        <v>285.9999999982</v>
      </c>
      <c r="BS4">
        <v>294.1999999985</v>
      </c>
      <c r="BT4">
        <v>302.49999999980002</v>
      </c>
      <c r="BU4">
        <v>309.19999999970003</v>
      </c>
      <c r="BV4">
        <v>316.19999999930002</v>
      </c>
      <c r="BW4">
        <v>323.39999999930001</v>
      </c>
      <c r="BX4">
        <v>330.69999999859999</v>
      </c>
      <c r="BY4">
        <v>337.1999999999</v>
      </c>
      <c r="BZ4">
        <v>344.4</v>
      </c>
      <c r="CA4">
        <v>352.19999999940001</v>
      </c>
      <c r="CB4">
        <v>359.2999999983</v>
      </c>
      <c r="CC4">
        <v>364.69999999829997</v>
      </c>
      <c r="CD4">
        <v>371.19999999959998</v>
      </c>
      <c r="CE4">
        <v>377.69999999909999</v>
      </c>
      <c r="CF4">
        <v>384.19999999859999</v>
      </c>
      <c r="CG4">
        <v>390.39999999840001</v>
      </c>
      <c r="CH4">
        <v>396.39999999960003</v>
      </c>
      <c r="CI4">
        <v>403.49999999850002</v>
      </c>
      <c r="CJ4">
        <v>409.59999999899998</v>
      </c>
      <c r="CK4">
        <v>415.59999999839999</v>
      </c>
      <c r="CL4">
        <v>420.39999999909998</v>
      </c>
      <c r="CM4">
        <v>425.79999999910001</v>
      </c>
      <c r="CN4">
        <v>431.39999999949998</v>
      </c>
      <c r="CO4">
        <v>437.3999999989</v>
      </c>
      <c r="CP4">
        <v>442.69999999959998</v>
      </c>
      <c r="CQ4">
        <v>447.99999999850002</v>
      </c>
      <c r="CR4">
        <v>452.59999999870001</v>
      </c>
      <c r="CS4">
        <v>459.19999999930002</v>
      </c>
      <c r="CT4">
        <v>461.49999999940002</v>
      </c>
      <c r="CU4">
        <v>461.39999999830002</v>
      </c>
      <c r="CV4">
        <v>461.59999999870001</v>
      </c>
      <c r="CW4">
        <v>461.39999999830002</v>
      </c>
      <c r="CX4">
        <v>461.49999999940002</v>
      </c>
      <c r="CY4">
        <v>461.69999999980001</v>
      </c>
      <c r="CZ4">
        <v>461.29999999900002</v>
      </c>
      <c r="DA4">
        <v>461.39999999830002</v>
      </c>
      <c r="DB4">
        <v>461.59999999870001</v>
      </c>
      <c r="DC4">
        <v>461.59999999870001</v>
      </c>
      <c r="DD4">
        <v>461.49999999940002</v>
      </c>
      <c r="DE4">
        <v>461.59999999870001</v>
      </c>
      <c r="DF4">
        <v>461.59999999870001</v>
      </c>
      <c r="DG4">
        <v>461.39999999830002</v>
      </c>
      <c r="DH4">
        <v>0.69999999869999996</v>
      </c>
      <c r="DI4">
        <v>1.1999999988000001</v>
      </c>
      <c r="DJ4">
        <v>1.1999999988000001</v>
      </c>
      <c r="DK4">
        <v>1.0999999995</v>
      </c>
      <c r="DL4">
        <v>1.2999999999</v>
      </c>
      <c r="DM4">
        <v>1.2999999999</v>
      </c>
      <c r="DN4">
        <v>1.5999999996000001</v>
      </c>
      <c r="DO4">
        <v>1.4999999985000001</v>
      </c>
      <c r="DP4">
        <v>1.2999999999</v>
      </c>
      <c r="DQ4">
        <v>1.3999999992000001</v>
      </c>
      <c r="DR4">
        <v>1.6999999989000001</v>
      </c>
      <c r="DS4">
        <v>1.6999999989000001</v>
      </c>
      <c r="DT4">
        <v>1.9999999986000001</v>
      </c>
      <c r="DU4">
        <v>2.6999999991000001</v>
      </c>
      <c r="DV4">
        <v>3.5999999981999999</v>
      </c>
      <c r="DW4">
        <v>4.9999999991999999</v>
      </c>
      <c r="DX4">
        <v>7.1999999982</v>
      </c>
      <c r="DY4">
        <v>11.0999999997</v>
      </c>
      <c r="DZ4">
        <v>18.9999999984</v>
      </c>
      <c r="EA4">
        <v>27.399999998999998</v>
      </c>
      <c r="EB4">
        <v>33.8999999985</v>
      </c>
      <c r="EC4">
        <v>40.699999999600003</v>
      </c>
      <c r="ED4">
        <v>48.1</v>
      </c>
      <c r="EE4">
        <v>55.499999998600003</v>
      </c>
      <c r="EF4">
        <v>62.699999998599999</v>
      </c>
      <c r="EG4">
        <v>70.499999999799996</v>
      </c>
      <c r="EH4">
        <v>79.899999998799998</v>
      </c>
      <c r="EI4">
        <v>87.099999998800001</v>
      </c>
      <c r="EJ4">
        <v>95.099999998599998</v>
      </c>
      <c r="EK4">
        <v>102.8999999999</v>
      </c>
      <c r="EL4">
        <v>110.8999999997</v>
      </c>
      <c r="EM4">
        <v>118.7999999984</v>
      </c>
      <c r="EN4">
        <v>128.1999999992</v>
      </c>
      <c r="EO4">
        <v>137.69999999929999</v>
      </c>
      <c r="EP4">
        <v>145.89999999950001</v>
      </c>
      <c r="EQ4">
        <v>154.199999999</v>
      </c>
      <c r="ER4">
        <v>162.49999999849999</v>
      </c>
      <c r="ES4">
        <v>170.7999999999</v>
      </c>
      <c r="ET4">
        <v>178.99999999830001</v>
      </c>
      <c r="EU4">
        <v>188.7999999999</v>
      </c>
      <c r="EV4">
        <v>197.09999999940001</v>
      </c>
      <c r="EW4">
        <v>204.69999999839999</v>
      </c>
      <c r="EX4">
        <v>213.1999999983</v>
      </c>
      <c r="EY4">
        <v>221.49999999970001</v>
      </c>
      <c r="EZ4">
        <v>229.39999999829999</v>
      </c>
      <c r="FA4">
        <v>238.89999999849999</v>
      </c>
      <c r="FB4">
        <v>247.49999999950001</v>
      </c>
      <c r="FC4">
        <v>254.4999999991</v>
      </c>
      <c r="FD4">
        <v>262.39999999960003</v>
      </c>
      <c r="FE4">
        <v>270.2999999983</v>
      </c>
      <c r="FF4">
        <v>278.39999999920002</v>
      </c>
      <c r="FG4">
        <v>285.8999999989</v>
      </c>
      <c r="FH4">
        <v>294.69999999859999</v>
      </c>
      <c r="FI4">
        <v>302.29999999939997</v>
      </c>
      <c r="FJ4">
        <v>309.19999999970003</v>
      </c>
      <c r="FK4">
        <v>316.69999999940001</v>
      </c>
      <c r="FL4">
        <v>323.7999999983</v>
      </c>
      <c r="FM4">
        <v>331.49999999840003</v>
      </c>
      <c r="FN4">
        <v>338.19999999829997</v>
      </c>
      <c r="FO4">
        <v>346.39999999849999</v>
      </c>
      <c r="FP4">
        <v>353.59999999860003</v>
      </c>
      <c r="FQ4">
        <v>359.89999999949998</v>
      </c>
      <c r="FR4">
        <v>366.49999999829998</v>
      </c>
      <c r="FS4">
        <v>372.7999999992</v>
      </c>
      <c r="FT4">
        <v>379.19999999940001</v>
      </c>
      <c r="FU4">
        <v>385.79999999820001</v>
      </c>
      <c r="FV4">
        <v>391.89999999870003</v>
      </c>
      <c r="FW4">
        <v>399.19999999980001</v>
      </c>
      <c r="FX4">
        <v>405.49999999890002</v>
      </c>
      <c r="FY4">
        <v>411.29999999979998</v>
      </c>
      <c r="FZ4">
        <v>416.59999999870001</v>
      </c>
      <c r="GA4">
        <v>422.49999999879998</v>
      </c>
      <c r="GB4">
        <v>427.79999999950002</v>
      </c>
      <c r="GC4">
        <v>433.29999999879999</v>
      </c>
      <c r="GD4">
        <v>438.69999999880002</v>
      </c>
      <c r="GE4">
        <v>444.89999999859998</v>
      </c>
      <c r="GF4">
        <v>449.99999999890002</v>
      </c>
      <c r="GG4">
        <v>454.99999999990001</v>
      </c>
      <c r="GH4">
        <v>460.09999999839999</v>
      </c>
      <c r="GI4">
        <v>461.49999999940002</v>
      </c>
      <c r="GJ4">
        <v>461.59999999870001</v>
      </c>
      <c r="GK4">
        <v>461.49999999940002</v>
      </c>
      <c r="GL4">
        <v>461.79999999910001</v>
      </c>
      <c r="GM4">
        <v>461.89999999840001</v>
      </c>
      <c r="GN4">
        <v>461.89999999840001</v>
      </c>
      <c r="GO4">
        <v>461.49999999940002</v>
      </c>
      <c r="GP4">
        <v>462.0999999988</v>
      </c>
      <c r="GQ4">
        <v>461.79999999910001</v>
      </c>
      <c r="GR4">
        <v>462.1999999999</v>
      </c>
      <c r="GS4">
        <v>461.89999999840001</v>
      </c>
      <c r="GT4">
        <v>461.69999999980001</v>
      </c>
      <c r="GU4">
        <v>461.59999999870001</v>
      </c>
      <c r="GV4">
        <v>461.59999999870001</v>
      </c>
      <c r="GW4">
        <v>461.49999999940002</v>
      </c>
      <c r="GX4">
        <v>1</v>
      </c>
      <c r="GY4">
        <v>124.9000000007</v>
      </c>
      <c r="GZ4">
        <v>122.0999999987</v>
      </c>
      <c r="HA4">
        <v>122.0999999987</v>
      </c>
      <c r="HB4">
        <v>128.1999999992</v>
      </c>
      <c r="HC4">
        <v>123.75277116140001</v>
      </c>
      <c r="HD4">
        <v>-6.1000000004999997</v>
      </c>
      <c r="HE4">
        <v>461.49990257569999</v>
      </c>
      <c r="HF4">
        <v>309.02195280360002</v>
      </c>
      <c r="HG4">
        <v>102.4174604893</v>
      </c>
      <c r="HH4">
        <v>462.1999999999</v>
      </c>
      <c r="HI4">
        <v>462.1999999999</v>
      </c>
      <c r="HJ4">
        <v>461.69999999980001</v>
      </c>
      <c r="HK4">
        <v>462.1999999999</v>
      </c>
      <c r="HL4">
        <v>110.26392961880001</v>
      </c>
      <c r="HM4">
        <v>3.3546669762999999</v>
      </c>
      <c r="HN4">
        <v>3.2799238252</v>
      </c>
      <c r="HO4">
        <v>3.3209667763000001</v>
      </c>
      <c r="HP4">
        <v>3.2190827084000002</v>
      </c>
      <c r="HQ4">
        <v>3.5740080488000001</v>
      </c>
      <c r="HR4">
        <v>2.1763052787000001</v>
      </c>
      <c r="HS4">
        <v>21.3353106721</v>
      </c>
      <c r="HT4">
        <v>-30.4985337243</v>
      </c>
      <c r="HU4">
        <v>-208</v>
      </c>
      <c r="HV4">
        <v>432.77472396500002</v>
      </c>
      <c r="HW4">
        <v>96.187683284499997</v>
      </c>
      <c r="HX4">
        <v>656</v>
      </c>
      <c r="HY4">
        <v>21.3353106721</v>
      </c>
      <c r="HZ4">
        <v>-30.4985337243</v>
      </c>
      <c r="IA4">
        <v>-208</v>
      </c>
      <c r="IB4">
        <v>432.77472396500002</v>
      </c>
      <c r="IC4">
        <v>96.187683284499997</v>
      </c>
      <c r="ID4">
        <v>656</v>
      </c>
      <c r="IE4">
        <v>29.425276034900001</v>
      </c>
      <c r="IF4">
        <v>4.0097423675000003</v>
      </c>
      <c r="IG4">
        <v>-39.8826979472</v>
      </c>
      <c r="IH4">
        <v>-272</v>
      </c>
      <c r="II4">
        <v>454.84239012760003</v>
      </c>
      <c r="IJ4">
        <v>105.57184750730001</v>
      </c>
      <c r="IK4">
        <v>720</v>
      </c>
      <c r="IL4">
        <v>411.43941329289999</v>
      </c>
      <c r="IM4">
        <v>126.6862170088</v>
      </c>
      <c r="IN4">
        <v>436.20427581640001</v>
      </c>
      <c r="IO4">
        <v>136.0703812317</v>
      </c>
      <c r="IP4">
        <v>7.8999999987000002</v>
      </c>
      <c r="IQ4">
        <v>6.6000000005999997</v>
      </c>
      <c r="IR4">
        <v>9.8000000016000008</v>
      </c>
      <c r="IS4">
        <v>6.6805105395000002</v>
      </c>
      <c r="IT4">
        <v>6.6805105395000002</v>
      </c>
      <c r="IU4">
        <v>5.1999999996000001</v>
      </c>
      <c r="IV4">
        <v>-32.844574780099997</v>
      </c>
      <c r="IW4">
        <v>9.1999999985999992</v>
      </c>
      <c r="IX4">
        <v>63.3431085044</v>
      </c>
      <c r="IY4">
        <v>7.4999999997</v>
      </c>
      <c r="IZ4">
        <v>100.87976539589999</v>
      </c>
      <c r="JA4">
        <v>-37.374509494199998</v>
      </c>
      <c r="JB4">
        <v>0.33473595810000001</v>
      </c>
      <c r="JC4">
        <v>-3.5228180000000003E-4</v>
      </c>
      <c r="JD4">
        <v>6.7130000000000004E-7</v>
      </c>
      <c r="JE4">
        <v>0.29809218230000001</v>
      </c>
      <c r="JF4">
        <v>0.29410350870000002</v>
      </c>
      <c r="JG4">
        <v>0.15313984950000001</v>
      </c>
      <c r="JH4">
        <v>124.629621933</v>
      </c>
      <c r="JI4">
        <v>3.5740080488000001</v>
      </c>
      <c r="JJ4">
        <v>2.6688217999999999E-3</v>
      </c>
      <c r="JK4">
        <v>-6.8853699999999994E-5</v>
      </c>
      <c r="JL4">
        <v>3.3546669762999999</v>
      </c>
      <c r="JM4">
        <v>1.4276851525000001</v>
      </c>
      <c r="JN4">
        <v>0.73340159429999996</v>
      </c>
      <c r="JO4">
        <v>3.3673749994</v>
      </c>
      <c r="JP4">
        <v>2.8132500003000001</v>
      </c>
      <c r="JQ4">
        <v>4.1772500007</v>
      </c>
      <c r="JR4" s="17" t="s">
        <v>544</v>
      </c>
      <c r="JU4" s="17">
        <v>1</v>
      </c>
    </row>
    <row r="5" spans="1:281">
      <c r="A5" t="s">
        <v>611</v>
      </c>
      <c r="B5" t="s">
        <v>612</v>
      </c>
      <c r="C5" t="s">
        <v>613</v>
      </c>
      <c r="D5" t="s">
        <v>213</v>
      </c>
      <c r="E5">
        <v>3</v>
      </c>
      <c r="F5" t="s">
        <v>214</v>
      </c>
      <c r="G5" t="s">
        <v>215</v>
      </c>
      <c r="H5" t="s">
        <v>543</v>
      </c>
      <c r="I5" t="s">
        <v>217</v>
      </c>
      <c r="K5" t="s">
        <v>564</v>
      </c>
      <c r="L5" t="s">
        <v>565</v>
      </c>
      <c r="M5" t="s">
        <v>566</v>
      </c>
      <c r="N5" t="s">
        <v>567</v>
      </c>
      <c r="O5" t="s">
        <v>568</v>
      </c>
      <c r="P5">
        <v>0</v>
      </c>
      <c r="Q5">
        <v>0</v>
      </c>
      <c r="R5">
        <v>1.5000000003</v>
      </c>
      <c r="S5">
        <v>0.19999999860000001</v>
      </c>
      <c r="T5">
        <v>0.19999999860000001</v>
      </c>
      <c r="U5">
        <v>9.9999999300000003E-2</v>
      </c>
      <c r="V5">
        <v>0</v>
      </c>
      <c r="W5">
        <v>0.19999999860000001</v>
      </c>
      <c r="X5">
        <v>9.9999999300000003E-2</v>
      </c>
      <c r="Y5">
        <v>0.39999999899999999</v>
      </c>
      <c r="Z5">
        <v>9.9999999300000003E-2</v>
      </c>
      <c r="AA5">
        <v>0</v>
      </c>
      <c r="AB5">
        <v>0.19999999860000001</v>
      </c>
      <c r="AC5">
        <v>0.29999999970000002</v>
      </c>
      <c r="AD5">
        <v>0.29999999970000002</v>
      </c>
      <c r="AE5">
        <v>0.29999999970000002</v>
      </c>
      <c r="AF5">
        <v>0.39999999899999999</v>
      </c>
      <c r="AG5">
        <v>0.39999999899999999</v>
      </c>
      <c r="AH5">
        <v>0.50000000010000001</v>
      </c>
      <c r="AI5">
        <v>1.0000000002</v>
      </c>
      <c r="AJ5">
        <v>6.6999999999000002</v>
      </c>
      <c r="AK5">
        <v>13.699999999499999</v>
      </c>
      <c r="AL5">
        <v>21.199999999199999</v>
      </c>
      <c r="AM5">
        <v>28.0999999995</v>
      </c>
      <c r="AN5">
        <v>35.399999998799998</v>
      </c>
      <c r="AO5">
        <v>42.7</v>
      </c>
      <c r="AP5">
        <v>50.299999999000001</v>
      </c>
      <c r="AQ5">
        <v>57.499999999000003</v>
      </c>
      <c r="AR5">
        <v>65.499999998800007</v>
      </c>
      <c r="AS5">
        <v>73.899999999399995</v>
      </c>
      <c r="AT5">
        <v>81.500000000200004</v>
      </c>
      <c r="AU5">
        <v>89.3999999989</v>
      </c>
      <c r="AV5">
        <v>97.499999999899998</v>
      </c>
      <c r="AW5">
        <v>105.2</v>
      </c>
      <c r="AX5">
        <v>114.2999999993</v>
      </c>
      <c r="AY5">
        <v>124.4999999999</v>
      </c>
      <c r="AZ5">
        <v>132.7999999994</v>
      </c>
      <c r="BA5">
        <v>140.99999999959999</v>
      </c>
      <c r="BB5">
        <v>149.09999999870001</v>
      </c>
      <c r="BC5">
        <v>157.40000000009999</v>
      </c>
      <c r="BD5">
        <v>165.49999999920001</v>
      </c>
      <c r="BE5">
        <v>174.39999999989999</v>
      </c>
      <c r="BF5">
        <v>182.7999999987</v>
      </c>
      <c r="BG5">
        <v>191.1</v>
      </c>
      <c r="BH5">
        <v>199.49999999880001</v>
      </c>
      <c r="BI5">
        <v>208.6999999992</v>
      </c>
      <c r="BJ5">
        <v>216.8000000001</v>
      </c>
      <c r="BK5">
        <v>225.3000000001</v>
      </c>
      <c r="BL5">
        <v>232.69999999870001</v>
      </c>
      <c r="BM5">
        <v>240.59999999920001</v>
      </c>
      <c r="BN5">
        <v>248.39999999860001</v>
      </c>
      <c r="BO5">
        <v>257.49999999969998</v>
      </c>
      <c r="BP5">
        <v>265.40000000020001</v>
      </c>
      <c r="BQ5">
        <v>273.19999999959998</v>
      </c>
      <c r="BR5">
        <v>281.19999999940001</v>
      </c>
      <c r="BS5">
        <v>288.19999999909999</v>
      </c>
      <c r="BT5">
        <v>295.50000000019998</v>
      </c>
      <c r="BU5">
        <v>303.5</v>
      </c>
      <c r="BV5">
        <v>311.29999999939997</v>
      </c>
      <c r="BW5">
        <v>318.69999999980001</v>
      </c>
      <c r="BX5">
        <v>325.49999999900001</v>
      </c>
      <c r="BY5">
        <v>333.30000000019999</v>
      </c>
      <c r="BZ5">
        <v>339.5</v>
      </c>
      <c r="CA5">
        <v>346.2</v>
      </c>
      <c r="CB5">
        <v>352.99999999919999</v>
      </c>
      <c r="CC5">
        <v>360.69999999930002</v>
      </c>
      <c r="CD5">
        <v>367.19999999880002</v>
      </c>
      <c r="CE5">
        <v>373.70000000009998</v>
      </c>
      <c r="CF5">
        <v>379.89999999989999</v>
      </c>
      <c r="CG5">
        <v>386.69999999909999</v>
      </c>
      <c r="CH5">
        <v>391.99999999980002</v>
      </c>
      <c r="CI5">
        <v>398.19999999959998</v>
      </c>
      <c r="CJ5">
        <v>403.9999999986</v>
      </c>
      <c r="CK5">
        <v>411.09999999939998</v>
      </c>
      <c r="CL5">
        <v>416.69999999980001</v>
      </c>
      <c r="CM5">
        <v>422.39999999949998</v>
      </c>
      <c r="CN5">
        <v>427.79999999950002</v>
      </c>
      <c r="CO5">
        <v>433.60000000029999</v>
      </c>
      <c r="CP5">
        <v>439.699999999</v>
      </c>
      <c r="CQ5">
        <v>445.39999999870003</v>
      </c>
      <c r="CR5">
        <v>450.8999999998</v>
      </c>
      <c r="CS5">
        <v>453.7</v>
      </c>
      <c r="CT5">
        <v>453.79999999929998</v>
      </c>
      <c r="CU5">
        <v>453.79999999929998</v>
      </c>
      <c r="CV5">
        <v>453.79999999929998</v>
      </c>
      <c r="CW5">
        <v>453.89999999859998</v>
      </c>
      <c r="CX5">
        <v>453.99999999969998</v>
      </c>
      <c r="CY5">
        <v>453.89999999859998</v>
      </c>
      <c r="CZ5">
        <v>453.79999999929998</v>
      </c>
      <c r="DA5">
        <v>453.89999999859998</v>
      </c>
      <c r="DB5">
        <v>453.89999999859998</v>
      </c>
      <c r="DC5">
        <v>453.7</v>
      </c>
      <c r="DD5">
        <v>453.89999999859998</v>
      </c>
      <c r="DE5">
        <v>453.89999999859998</v>
      </c>
      <c r="DF5">
        <v>453.99999999969998</v>
      </c>
      <c r="DG5">
        <v>453.89999999859998</v>
      </c>
      <c r="DH5">
        <v>1.9999999986000001</v>
      </c>
      <c r="DI5">
        <v>1.0000000002</v>
      </c>
      <c r="DJ5">
        <v>1.0000000002</v>
      </c>
      <c r="DK5">
        <v>1.0999999995</v>
      </c>
      <c r="DL5">
        <v>1.0000000002</v>
      </c>
      <c r="DM5">
        <v>0.89999999909999995</v>
      </c>
      <c r="DN5">
        <v>1.1999999988000001</v>
      </c>
      <c r="DO5">
        <v>1.1999999988000001</v>
      </c>
      <c r="DP5">
        <v>1.0999999995</v>
      </c>
      <c r="DQ5">
        <v>1.0000000002</v>
      </c>
      <c r="DR5">
        <v>1.1999999988000001</v>
      </c>
      <c r="DS5">
        <v>1.0999999995</v>
      </c>
      <c r="DT5">
        <v>1.1999999988000001</v>
      </c>
      <c r="DU5">
        <v>1.1999999988000001</v>
      </c>
      <c r="DV5">
        <v>1.1999999988000001</v>
      </c>
      <c r="DW5">
        <v>1.2999999999</v>
      </c>
      <c r="DX5">
        <v>1.2999999999</v>
      </c>
      <c r="DY5">
        <v>4.1999999994000001</v>
      </c>
      <c r="DZ5">
        <v>11.800000000200001</v>
      </c>
      <c r="EA5">
        <v>19.0999999995</v>
      </c>
      <c r="EB5">
        <v>26.299999999499999</v>
      </c>
      <c r="EC5">
        <v>33.400000000299997</v>
      </c>
      <c r="ED5">
        <v>40.999999999300002</v>
      </c>
      <c r="EE5">
        <v>48.499999999000003</v>
      </c>
      <c r="EF5">
        <v>55.599999999700003</v>
      </c>
      <c r="EG5">
        <v>63.5999999995</v>
      </c>
      <c r="EH5">
        <v>72.099999999399998</v>
      </c>
      <c r="EI5">
        <v>79.700000000200006</v>
      </c>
      <c r="EJ5">
        <v>87.7</v>
      </c>
      <c r="EK5">
        <v>95.5999999987</v>
      </c>
      <c r="EL5">
        <v>103.4999999993</v>
      </c>
      <c r="EM5">
        <v>111.69999999949999</v>
      </c>
      <c r="EN5">
        <v>121.29999999890001</v>
      </c>
      <c r="EO5">
        <v>130.4999999993</v>
      </c>
      <c r="EP5">
        <v>138.89999999989999</v>
      </c>
      <c r="EQ5">
        <v>147.19999999940001</v>
      </c>
      <c r="ER5">
        <v>155.1999999992</v>
      </c>
      <c r="ES5">
        <v>163.39999999950001</v>
      </c>
      <c r="ET5">
        <v>172.19999999909999</v>
      </c>
      <c r="EU5">
        <v>181.30000000019999</v>
      </c>
      <c r="EV5">
        <v>189.699999999</v>
      </c>
      <c r="EW5">
        <v>199.09999999979999</v>
      </c>
      <c r="EX5">
        <v>207.19999999890001</v>
      </c>
      <c r="EY5">
        <v>214.3999999989</v>
      </c>
      <c r="EZ5">
        <v>222.49999999990001</v>
      </c>
      <c r="FA5">
        <v>231.59999999920001</v>
      </c>
      <c r="FB5">
        <v>239.599999999</v>
      </c>
      <c r="FC5">
        <v>248.7000000001</v>
      </c>
      <c r="FD5">
        <v>256.6999999999</v>
      </c>
      <c r="FE5">
        <v>264.69999999970003</v>
      </c>
      <c r="FF5">
        <v>272.2999999987</v>
      </c>
      <c r="FG5">
        <v>279.69999999909999</v>
      </c>
      <c r="FH5">
        <v>287.69999999890001</v>
      </c>
      <c r="FI5">
        <v>295.79999999990002</v>
      </c>
      <c r="FJ5">
        <v>303.79999999969999</v>
      </c>
      <c r="FK5">
        <v>311.20000000009998</v>
      </c>
      <c r="FL5">
        <v>318.59999999870001</v>
      </c>
      <c r="FM5">
        <v>325.69999999940001</v>
      </c>
      <c r="FN5">
        <v>332.699999999</v>
      </c>
      <c r="FO5">
        <v>340.50000000019998</v>
      </c>
      <c r="FP5">
        <v>347.49999999990001</v>
      </c>
      <c r="FQ5">
        <v>354.40000000020001</v>
      </c>
      <c r="FR5">
        <v>361.10000000010001</v>
      </c>
      <c r="FS5">
        <v>367.69999999890001</v>
      </c>
      <c r="FT5">
        <v>374.09999999910002</v>
      </c>
      <c r="FU5">
        <v>380.49999999929997</v>
      </c>
      <c r="FV5">
        <v>386.69999999909999</v>
      </c>
      <c r="FW5">
        <v>393.89999999909998</v>
      </c>
      <c r="FX5">
        <v>399.7999999992</v>
      </c>
      <c r="FY5">
        <v>405.69999999930002</v>
      </c>
      <c r="FZ5">
        <v>411.39999999899999</v>
      </c>
      <c r="GA5">
        <v>417.2999999992</v>
      </c>
      <c r="GB5">
        <v>423.19999999930002</v>
      </c>
      <c r="GC5">
        <v>428.5</v>
      </c>
      <c r="GD5">
        <v>433.99999999929997</v>
      </c>
      <c r="GE5">
        <v>439.99999999869999</v>
      </c>
      <c r="GF5">
        <v>445.20000000009998</v>
      </c>
      <c r="GG5">
        <v>450.19999999930002</v>
      </c>
      <c r="GH5">
        <v>453.59999999889999</v>
      </c>
      <c r="GI5">
        <v>453.7</v>
      </c>
      <c r="GJ5">
        <v>453.79999999929998</v>
      </c>
      <c r="GK5">
        <v>453.79999999929998</v>
      </c>
      <c r="GL5">
        <v>453.79999999929998</v>
      </c>
      <c r="GM5">
        <v>453.79999999929998</v>
      </c>
      <c r="GN5">
        <v>453.7</v>
      </c>
      <c r="GO5">
        <v>453.7</v>
      </c>
      <c r="GP5">
        <v>453.79999999929998</v>
      </c>
      <c r="GQ5">
        <v>453.79999999929998</v>
      </c>
      <c r="GR5">
        <v>453.79999999929998</v>
      </c>
      <c r="GS5">
        <v>453.89999999859998</v>
      </c>
      <c r="GT5">
        <v>453.99999999969998</v>
      </c>
      <c r="GU5">
        <v>453.99999999969998</v>
      </c>
      <c r="GV5">
        <v>453.89999999859998</v>
      </c>
      <c r="GW5">
        <v>453.89999999859998</v>
      </c>
      <c r="GX5">
        <v>1</v>
      </c>
      <c r="GY5">
        <v>115.70000000029999</v>
      </c>
      <c r="GZ5">
        <v>114.2999999993</v>
      </c>
      <c r="HA5">
        <v>114.2999999993</v>
      </c>
      <c r="HB5">
        <v>121.29999999890001</v>
      </c>
      <c r="HC5">
        <v>116.1164996137</v>
      </c>
      <c r="HD5">
        <v>-6.9999999996</v>
      </c>
      <c r="HE5">
        <v>453.89999999859998</v>
      </c>
      <c r="HF5">
        <v>306.59666262820002</v>
      </c>
      <c r="HG5">
        <v>102.2214120494</v>
      </c>
      <c r="HH5">
        <v>453.99999999969998</v>
      </c>
      <c r="HI5">
        <v>453.99999999969998</v>
      </c>
      <c r="HJ5">
        <v>453.99999999969998</v>
      </c>
      <c r="HK5">
        <v>453.99999999969998</v>
      </c>
      <c r="HL5">
        <v>107.91788856300001</v>
      </c>
      <c r="HM5">
        <v>3.3958153753999998</v>
      </c>
      <c r="HN5">
        <v>3.3131046052999999</v>
      </c>
      <c r="HO5">
        <v>3.3555436582999998</v>
      </c>
      <c r="HP5">
        <v>3.1811256289999998</v>
      </c>
      <c r="HQ5">
        <v>3.5932878083999999</v>
      </c>
      <c r="HR5">
        <v>2.2275008837999999</v>
      </c>
      <c r="HS5">
        <v>13.895087564200001</v>
      </c>
      <c r="HT5">
        <v>-30.4985337243</v>
      </c>
      <c r="HU5">
        <v>-208</v>
      </c>
      <c r="HV5">
        <v>422.71316224179998</v>
      </c>
      <c r="HW5">
        <v>93.841642228699996</v>
      </c>
      <c r="HX5">
        <v>640</v>
      </c>
      <c r="HY5">
        <v>13.895087564200001</v>
      </c>
      <c r="HZ5">
        <v>-30.4985337243</v>
      </c>
      <c r="IA5">
        <v>-208</v>
      </c>
      <c r="IB5">
        <v>422.71316224179998</v>
      </c>
      <c r="IC5">
        <v>93.841642228699996</v>
      </c>
      <c r="ID5">
        <v>640</v>
      </c>
      <c r="IE5">
        <v>31.286837757899999</v>
      </c>
      <c r="IF5">
        <v>0.40168520660000001</v>
      </c>
      <c r="IG5">
        <v>-39.8826979472</v>
      </c>
      <c r="IH5">
        <v>-272</v>
      </c>
      <c r="II5">
        <v>445.06066747450001</v>
      </c>
      <c r="IJ5">
        <v>103.22580645159999</v>
      </c>
      <c r="IK5">
        <v>704</v>
      </c>
      <c r="IL5">
        <v>408.81807467760001</v>
      </c>
      <c r="IM5">
        <v>124.3401759531</v>
      </c>
      <c r="IN5">
        <v>432.66685758249997</v>
      </c>
      <c r="IO5">
        <v>133.724340176</v>
      </c>
      <c r="IP5">
        <v>7.6000000007999997</v>
      </c>
      <c r="IQ5">
        <v>6.0999999987000004</v>
      </c>
      <c r="IR5">
        <v>10.200000000599999</v>
      </c>
      <c r="IS5">
        <v>6.3690312931999999</v>
      </c>
      <c r="IT5">
        <v>6.3690312931999999</v>
      </c>
      <c r="IU5">
        <v>5.1000000002999997</v>
      </c>
      <c r="IV5">
        <v>-32.844574780099997</v>
      </c>
      <c r="IW5">
        <v>8.3000000013000008</v>
      </c>
      <c r="IX5">
        <v>37.536656891500002</v>
      </c>
      <c r="IY5">
        <v>6.3999999984000002</v>
      </c>
      <c r="IZ5">
        <v>100.87976539589999</v>
      </c>
      <c r="JA5">
        <v>-34.892780432499997</v>
      </c>
      <c r="JB5">
        <v>0.33137554400000002</v>
      </c>
      <c r="JC5">
        <v>-3.5237689999999998E-4</v>
      </c>
      <c r="JD5">
        <v>6.8309999999999997E-7</v>
      </c>
      <c r="JE5">
        <v>0.29448008489999999</v>
      </c>
      <c r="JF5">
        <v>0.3561354551</v>
      </c>
      <c r="JG5">
        <v>0.13043373080000001</v>
      </c>
      <c r="JH5">
        <v>117.03381651710001</v>
      </c>
      <c r="JI5">
        <v>3.5932878083999999</v>
      </c>
      <c r="JJ5">
        <v>3.3147393999999998E-3</v>
      </c>
      <c r="JK5">
        <v>-7.5246099999999998E-5</v>
      </c>
      <c r="JL5">
        <v>3.3958153753999998</v>
      </c>
      <c r="JM5">
        <v>1.8701621651</v>
      </c>
      <c r="JN5">
        <v>0.72316549900000004</v>
      </c>
      <c r="JO5">
        <v>3.2395000003000001</v>
      </c>
      <c r="JP5">
        <v>2.6001249994000002</v>
      </c>
      <c r="JQ5">
        <v>4.3477500002999996</v>
      </c>
      <c r="JR5" s="17" t="s">
        <v>544</v>
      </c>
      <c r="JU5" s="17">
        <v>1</v>
      </c>
    </row>
    <row r="6" spans="1:281">
      <c r="A6" t="s">
        <v>614</v>
      </c>
      <c r="B6" t="s">
        <v>615</v>
      </c>
      <c r="C6" t="s">
        <v>616</v>
      </c>
      <c r="D6" t="s">
        <v>213</v>
      </c>
      <c r="E6">
        <v>3</v>
      </c>
      <c r="F6" t="s">
        <v>214</v>
      </c>
      <c r="G6" t="s">
        <v>215</v>
      </c>
      <c r="H6" t="s">
        <v>543</v>
      </c>
      <c r="I6" t="s">
        <v>217</v>
      </c>
      <c r="K6" t="s">
        <v>572</v>
      </c>
      <c r="L6" t="s">
        <v>573</v>
      </c>
      <c r="M6" t="s">
        <v>574</v>
      </c>
      <c r="N6" t="s">
        <v>575</v>
      </c>
      <c r="O6" t="s">
        <v>576</v>
      </c>
      <c r="P6">
        <v>0</v>
      </c>
      <c r="Q6">
        <v>0</v>
      </c>
      <c r="R6">
        <v>1.9999999986000001</v>
      </c>
      <c r="S6">
        <v>1.3999999992000001</v>
      </c>
      <c r="T6">
        <v>1.4999999985000001</v>
      </c>
      <c r="U6">
        <v>1.5999999996000001</v>
      </c>
      <c r="V6">
        <v>1.3999999992000001</v>
      </c>
      <c r="W6">
        <v>1.4999999985000001</v>
      </c>
      <c r="X6">
        <v>1.3999999992000001</v>
      </c>
      <c r="Y6">
        <v>1.4999999985000001</v>
      </c>
      <c r="Z6">
        <v>1.4999999985000001</v>
      </c>
      <c r="AA6">
        <v>1.3999999992000001</v>
      </c>
      <c r="AB6">
        <v>1.4999999985000001</v>
      </c>
      <c r="AC6">
        <v>1.3999999992000001</v>
      </c>
      <c r="AD6">
        <v>1.2999999999</v>
      </c>
      <c r="AE6">
        <v>1.1999999988000001</v>
      </c>
      <c r="AF6">
        <v>1.0999999995</v>
      </c>
      <c r="AG6">
        <v>0.50000000010000001</v>
      </c>
      <c r="AH6">
        <v>0</v>
      </c>
      <c r="AI6">
        <v>2.3000000000999998</v>
      </c>
      <c r="AJ6">
        <v>7.5999999989999996</v>
      </c>
      <c r="AK6">
        <v>14.5999999986</v>
      </c>
      <c r="AL6">
        <v>21.499999998900002</v>
      </c>
      <c r="AM6">
        <v>28.399999999199999</v>
      </c>
      <c r="AN6">
        <v>35.299999999599997</v>
      </c>
      <c r="AO6">
        <v>42.799999999299999</v>
      </c>
      <c r="AP6">
        <v>50.299999999000001</v>
      </c>
      <c r="AQ6">
        <v>57.899999999800002</v>
      </c>
      <c r="AR6">
        <v>65.299999998399997</v>
      </c>
      <c r="AS6">
        <v>73.099999999600001</v>
      </c>
      <c r="AT6">
        <v>80.899999999000002</v>
      </c>
      <c r="AU6">
        <v>88.399999998699997</v>
      </c>
      <c r="AV6">
        <v>96.700000000100005</v>
      </c>
      <c r="AW6">
        <v>104.7999999992</v>
      </c>
      <c r="AX6">
        <v>113.49999999950001</v>
      </c>
      <c r="AY6">
        <v>121.9999999994</v>
      </c>
      <c r="AZ6">
        <v>130.29999999890001</v>
      </c>
      <c r="BA6">
        <v>138.59999999839999</v>
      </c>
      <c r="BB6">
        <v>146.49999999889999</v>
      </c>
      <c r="BC6">
        <v>155.09999999990001</v>
      </c>
      <c r="BD6">
        <v>163.19999999909999</v>
      </c>
      <c r="BE6">
        <v>171.3</v>
      </c>
      <c r="BF6">
        <v>179.29999999980001</v>
      </c>
      <c r="BG6">
        <v>187.5999999993</v>
      </c>
      <c r="BH6">
        <v>195.59999999909999</v>
      </c>
      <c r="BI6">
        <v>203.59999999889999</v>
      </c>
      <c r="BJ6">
        <v>211.49999999939999</v>
      </c>
      <c r="BK6">
        <v>219.19999999949999</v>
      </c>
      <c r="BL6">
        <v>227.69999999949999</v>
      </c>
      <c r="BM6">
        <v>235.79999999859999</v>
      </c>
      <c r="BN6">
        <v>243.3000000001</v>
      </c>
      <c r="BO6">
        <v>251.0999999995</v>
      </c>
      <c r="BP6">
        <v>259</v>
      </c>
      <c r="BQ6">
        <v>266.79999999939997</v>
      </c>
      <c r="BR6">
        <v>273.89999999830002</v>
      </c>
      <c r="BS6">
        <v>281.79999999879999</v>
      </c>
      <c r="BT6">
        <v>289.10000000000002</v>
      </c>
      <c r="BU6">
        <v>296.4999999986</v>
      </c>
      <c r="BV6">
        <v>303.2999999996</v>
      </c>
      <c r="BW6">
        <v>310.79999999929998</v>
      </c>
      <c r="BX6">
        <v>317.19999999949999</v>
      </c>
      <c r="BY6">
        <v>324.39999999949998</v>
      </c>
      <c r="BZ6">
        <v>331.49999999840003</v>
      </c>
      <c r="CA6">
        <v>338.09999999899998</v>
      </c>
      <c r="CB6">
        <v>344.99999999929997</v>
      </c>
      <c r="CC6">
        <v>351.49999999890002</v>
      </c>
      <c r="CD6">
        <v>357.79999999979998</v>
      </c>
      <c r="CE6">
        <v>364.2</v>
      </c>
      <c r="CF6">
        <v>369.99999999900001</v>
      </c>
      <c r="CG6">
        <v>376.19999999880002</v>
      </c>
      <c r="CH6">
        <v>382.59999999899998</v>
      </c>
      <c r="CI6">
        <v>388.69999999949999</v>
      </c>
      <c r="CJ6">
        <v>394.8</v>
      </c>
      <c r="CK6">
        <v>400.69999999829997</v>
      </c>
      <c r="CL6">
        <v>406.2999999987</v>
      </c>
      <c r="CM6">
        <v>412.09999999960002</v>
      </c>
      <c r="CN6">
        <v>417.39999999849999</v>
      </c>
      <c r="CO6">
        <v>423.39999999970001</v>
      </c>
      <c r="CP6">
        <v>428.79999999969999</v>
      </c>
      <c r="CQ6">
        <v>433.9</v>
      </c>
      <c r="CR6">
        <v>438.99999999850002</v>
      </c>
      <c r="CS6">
        <v>444.39999999849999</v>
      </c>
      <c r="CT6">
        <v>449.09999999979999</v>
      </c>
      <c r="CU6">
        <v>451.49999999919999</v>
      </c>
      <c r="CV6">
        <v>451.59999999849998</v>
      </c>
      <c r="CW6">
        <v>451.59999999849998</v>
      </c>
      <c r="CX6">
        <v>451.49999999919999</v>
      </c>
      <c r="CY6">
        <v>451.59999999849998</v>
      </c>
      <c r="CZ6">
        <v>451.59999999849998</v>
      </c>
      <c r="DA6">
        <v>451.79999999889998</v>
      </c>
      <c r="DB6">
        <v>451.79999999889998</v>
      </c>
      <c r="DC6">
        <v>451.69999999959998</v>
      </c>
      <c r="DD6">
        <v>451.79999999889998</v>
      </c>
      <c r="DE6">
        <v>451.79999999889998</v>
      </c>
      <c r="DF6">
        <v>451.79999999889998</v>
      </c>
      <c r="DG6">
        <v>451.9</v>
      </c>
      <c r="DH6">
        <v>2.5999999998000001</v>
      </c>
      <c r="DI6">
        <v>2.3999999993999999</v>
      </c>
      <c r="DJ6">
        <v>2.4999999986999999</v>
      </c>
      <c r="DK6">
        <v>2.4999999986999999</v>
      </c>
      <c r="DL6">
        <v>2.3999999993999999</v>
      </c>
      <c r="DM6">
        <v>2.3999999993999999</v>
      </c>
      <c r="DN6">
        <v>2.3999999993999999</v>
      </c>
      <c r="DO6">
        <v>2.5999999998000001</v>
      </c>
      <c r="DP6">
        <v>2.3000000000999998</v>
      </c>
      <c r="DQ6">
        <v>2.3000000000999998</v>
      </c>
      <c r="DR6">
        <v>2.4999999986999999</v>
      </c>
      <c r="DS6">
        <v>2.3000000000999998</v>
      </c>
      <c r="DT6">
        <v>2.0999999997000001</v>
      </c>
      <c r="DU6">
        <v>2.6999999991000001</v>
      </c>
      <c r="DV6">
        <v>2.1999999990000001</v>
      </c>
      <c r="DW6">
        <v>1.4999999985000001</v>
      </c>
      <c r="DX6">
        <v>0.89999999909999995</v>
      </c>
      <c r="DY6">
        <v>5.6999999997000002</v>
      </c>
      <c r="DZ6">
        <v>13.299999998700001</v>
      </c>
      <c r="EA6">
        <v>20.0999999997</v>
      </c>
      <c r="EB6">
        <v>27.0999999993</v>
      </c>
      <c r="EC6">
        <v>34.499999999800004</v>
      </c>
      <c r="ED6">
        <v>41.899999998299997</v>
      </c>
      <c r="EE6">
        <v>49.199999999500001</v>
      </c>
      <c r="EF6">
        <v>56.399999999499997</v>
      </c>
      <c r="EG6">
        <v>63.299999999800001</v>
      </c>
      <c r="EH6">
        <v>71.199999998500004</v>
      </c>
      <c r="EI6">
        <v>79.099999999000005</v>
      </c>
      <c r="EJ6">
        <v>86.799999999099995</v>
      </c>
      <c r="EK6">
        <v>94.699999999599996</v>
      </c>
      <c r="EL6">
        <v>102.69999999949999</v>
      </c>
      <c r="EM6">
        <v>110.7999999986</v>
      </c>
      <c r="EN6">
        <v>119.49999999889999</v>
      </c>
      <c r="EO6">
        <v>128.2999999985</v>
      </c>
      <c r="EP6">
        <v>136.49999999869999</v>
      </c>
      <c r="EQ6">
        <v>144.9999999986</v>
      </c>
      <c r="ER6">
        <v>153.2999999999</v>
      </c>
      <c r="ES6">
        <v>161.29999999980001</v>
      </c>
      <c r="ET6">
        <v>169.3999999989</v>
      </c>
      <c r="EU6">
        <v>178.09999999920001</v>
      </c>
      <c r="EV6">
        <v>186.099999999</v>
      </c>
      <c r="EW6">
        <v>194.79999999930001</v>
      </c>
      <c r="EX6">
        <v>203.0999999988</v>
      </c>
      <c r="EY6">
        <v>211.0999999986</v>
      </c>
      <c r="EZ6">
        <v>218.29999999859999</v>
      </c>
      <c r="FA6">
        <v>227.19999999940001</v>
      </c>
      <c r="FB6">
        <v>234.89999999950001</v>
      </c>
      <c r="FC6">
        <v>243.0999999997</v>
      </c>
      <c r="FD6">
        <v>250.69999999870001</v>
      </c>
      <c r="FE6">
        <v>258.7999999996</v>
      </c>
      <c r="FF6">
        <v>266.29999999929998</v>
      </c>
      <c r="FG6">
        <v>274.29999999910001</v>
      </c>
      <c r="FH6">
        <v>281.99999999919999</v>
      </c>
      <c r="FI6">
        <v>289.69999999940001</v>
      </c>
      <c r="FJ6">
        <v>296.99999999869999</v>
      </c>
      <c r="FK6">
        <v>304.29999999979998</v>
      </c>
      <c r="FL6">
        <v>311.49999999980002</v>
      </c>
      <c r="FM6">
        <v>318.79999999910001</v>
      </c>
      <c r="FN6">
        <v>325.69999999940001</v>
      </c>
      <c r="FO6">
        <v>333.09999999979999</v>
      </c>
      <c r="FP6">
        <v>339.79999999969999</v>
      </c>
      <c r="FQ6">
        <v>346.70000000009998</v>
      </c>
      <c r="FR6">
        <v>353.09999999839999</v>
      </c>
      <c r="FS6">
        <v>359.89999999949998</v>
      </c>
      <c r="FT6">
        <v>366.0999999993</v>
      </c>
      <c r="FU6">
        <v>372.49999999950001</v>
      </c>
      <c r="FV6">
        <v>378.89999999970001</v>
      </c>
      <c r="FW6">
        <v>385.19999999880002</v>
      </c>
      <c r="FX6">
        <v>390.99999999959999</v>
      </c>
      <c r="FY6">
        <v>397.19999999940001</v>
      </c>
      <c r="FZ6">
        <v>402.89999999909998</v>
      </c>
      <c r="GA6">
        <v>408.5999999988</v>
      </c>
      <c r="GB6">
        <v>414.29999999850003</v>
      </c>
      <c r="GC6">
        <v>419.2999999996</v>
      </c>
      <c r="GD6">
        <v>424.79999999889998</v>
      </c>
      <c r="GE6">
        <v>429.79999999990002</v>
      </c>
      <c r="GF6">
        <v>435.39999999849999</v>
      </c>
      <c r="GG6">
        <v>440.39999999949998</v>
      </c>
      <c r="GH6">
        <v>445.20000000009998</v>
      </c>
      <c r="GI6">
        <v>449.59999999989998</v>
      </c>
      <c r="GJ6">
        <v>451.59999999849998</v>
      </c>
      <c r="GK6">
        <v>451.49999999919999</v>
      </c>
      <c r="GL6">
        <v>451.79999999889998</v>
      </c>
      <c r="GM6">
        <v>451.69999999959998</v>
      </c>
      <c r="GN6">
        <v>451.79999999889998</v>
      </c>
      <c r="GO6">
        <v>451.69999999959998</v>
      </c>
      <c r="GP6">
        <v>451.79999999889998</v>
      </c>
      <c r="GQ6">
        <v>451.79999999889998</v>
      </c>
      <c r="GR6">
        <v>451.79999999889998</v>
      </c>
      <c r="GS6">
        <v>451.79999999889998</v>
      </c>
      <c r="GT6">
        <v>451.79999999889998</v>
      </c>
      <c r="GU6">
        <v>451.99999999929997</v>
      </c>
      <c r="GV6">
        <v>451.69999999959998</v>
      </c>
      <c r="GW6">
        <v>451.69999999959998</v>
      </c>
      <c r="GX6">
        <v>1</v>
      </c>
      <c r="GY6">
        <v>113.800000001</v>
      </c>
      <c r="GZ6">
        <v>113.49999999950001</v>
      </c>
      <c r="HA6">
        <v>113.49999999950001</v>
      </c>
      <c r="HB6">
        <v>119.49999999889999</v>
      </c>
      <c r="HC6">
        <v>115.0468023892</v>
      </c>
      <c r="HD6">
        <v>-5.9999999994</v>
      </c>
      <c r="HE6">
        <v>451.70004425719998</v>
      </c>
      <c r="HF6">
        <v>303.67643283939998</v>
      </c>
      <c r="HG6">
        <v>100.23563841630001</v>
      </c>
      <c r="HH6">
        <v>451.99999999929997</v>
      </c>
      <c r="HI6">
        <v>451.99999999929997</v>
      </c>
      <c r="HJ6">
        <v>451.9</v>
      </c>
      <c r="HK6">
        <v>451.99999999929997</v>
      </c>
      <c r="HL6">
        <v>112.6099706745</v>
      </c>
      <c r="HM6">
        <v>3.2939307743000001</v>
      </c>
      <c r="HN6">
        <v>3.2176674342</v>
      </c>
      <c r="HO6">
        <v>3.2833776729999999</v>
      </c>
      <c r="HP6">
        <v>3.1440640065999998</v>
      </c>
      <c r="HQ6">
        <v>3.4961647600000001</v>
      </c>
      <c r="HR6">
        <v>2.1738609243</v>
      </c>
      <c r="HS6">
        <v>14.811163972999999</v>
      </c>
      <c r="HT6">
        <v>-30.4985337243</v>
      </c>
      <c r="HU6">
        <v>-208</v>
      </c>
      <c r="HV6">
        <v>418.7232352286</v>
      </c>
      <c r="HW6">
        <v>96.187683284499997</v>
      </c>
      <c r="HX6">
        <v>656</v>
      </c>
      <c r="HY6">
        <v>14.811163972999999</v>
      </c>
      <c r="HZ6">
        <v>-30.4985337243</v>
      </c>
      <c r="IA6">
        <v>-208</v>
      </c>
      <c r="IB6">
        <v>418.7232352286</v>
      </c>
      <c r="IC6">
        <v>96.187683284499997</v>
      </c>
      <c r="ID6">
        <v>656</v>
      </c>
      <c r="IE6">
        <v>33.276764770699998</v>
      </c>
      <c r="IF6">
        <v>0.50221287910000001</v>
      </c>
      <c r="IG6">
        <v>-39.8826979472</v>
      </c>
      <c r="IH6">
        <v>-272</v>
      </c>
      <c r="II6">
        <v>440.18784022969999</v>
      </c>
      <c r="IJ6">
        <v>105.57184750730001</v>
      </c>
      <c r="IK6">
        <v>720</v>
      </c>
      <c r="IL6">
        <v>403.91207125559998</v>
      </c>
      <c r="IM6">
        <v>126.6862170088</v>
      </c>
      <c r="IN6">
        <v>427.1115954855</v>
      </c>
      <c r="IO6">
        <v>136.0703812317</v>
      </c>
      <c r="IP6">
        <v>7.5999999989999996</v>
      </c>
      <c r="IQ6">
        <v>5.5999999986000004</v>
      </c>
      <c r="IR6">
        <v>8.9000000007000004</v>
      </c>
      <c r="IS6">
        <v>6.3145983264999996</v>
      </c>
      <c r="IT6">
        <v>6.3145983264999996</v>
      </c>
      <c r="IU6">
        <v>5.6999999997000002</v>
      </c>
      <c r="IV6">
        <v>-32.844574780099997</v>
      </c>
      <c r="IW6">
        <v>9</v>
      </c>
      <c r="IX6">
        <v>82.1114369501</v>
      </c>
      <c r="IY6">
        <v>6.5999999988000004</v>
      </c>
      <c r="IZ6">
        <v>103.22580645159999</v>
      </c>
      <c r="JA6">
        <v>-35.195998220699998</v>
      </c>
      <c r="JB6">
        <v>0.33672623439999999</v>
      </c>
      <c r="JC6">
        <v>-3.4520520000000003E-4</v>
      </c>
      <c r="JD6">
        <v>6.9019999999999997E-7</v>
      </c>
      <c r="JE6">
        <v>0.30358865089999998</v>
      </c>
      <c r="JF6">
        <v>0.24153579040000001</v>
      </c>
      <c r="JG6">
        <v>0.1085096987</v>
      </c>
      <c r="JH6">
        <v>115.5217168977</v>
      </c>
      <c r="JI6">
        <v>3.4961647600000001</v>
      </c>
      <c r="JJ6">
        <v>2.7280179E-3</v>
      </c>
      <c r="JK6">
        <v>-6.6547500000000006E-5</v>
      </c>
      <c r="JL6">
        <v>3.2939307743000001</v>
      </c>
      <c r="JM6">
        <v>1.4919954600000001</v>
      </c>
      <c r="JN6">
        <v>0.60789846319999996</v>
      </c>
      <c r="JO6">
        <v>3.2394999996</v>
      </c>
      <c r="JP6">
        <v>2.3869999994</v>
      </c>
      <c r="JQ6">
        <v>3.7936250003</v>
      </c>
      <c r="JR6" s="17" t="s">
        <v>544</v>
      </c>
      <c r="JU6" s="17">
        <v>1</v>
      </c>
    </row>
    <row r="7" spans="1:281">
      <c r="A7" t="s">
        <v>617</v>
      </c>
      <c r="B7" t="s">
        <v>618</v>
      </c>
      <c r="C7" t="s">
        <v>619</v>
      </c>
      <c r="D7" t="s">
        <v>213</v>
      </c>
      <c r="E7">
        <v>3</v>
      </c>
      <c r="F7" t="s">
        <v>214</v>
      </c>
      <c r="G7" t="s">
        <v>215</v>
      </c>
      <c r="H7" t="s">
        <v>543</v>
      </c>
      <c r="I7" t="s">
        <v>217</v>
      </c>
      <c r="K7" t="s">
        <v>580</v>
      </c>
      <c r="L7" t="s">
        <v>581</v>
      </c>
      <c r="M7" t="s">
        <v>582</v>
      </c>
      <c r="N7" t="s">
        <v>583</v>
      </c>
      <c r="O7" t="s">
        <v>584</v>
      </c>
      <c r="P7">
        <v>0</v>
      </c>
      <c r="Q7">
        <v>0</v>
      </c>
      <c r="R7">
        <v>3.2999999985000001</v>
      </c>
      <c r="S7">
        <v>2.4999999986999999</v>
      </c>
      <c r="T7">
        <v>2.4999999986999999</v>
      </c>
      <c r="U7">
        <v>2.3999999993999999</v>
      </c>
      <c r="V7">
        <v>2.4999999986999999</v>
      </c>
      <c r="W7">
        <v>2.3000000000999998</v>
      </c>
      <c r="X7">
        <v>2.3000000000999998</v>
      </c>
      <c r="Y7">
        <v>2.4999999986999999</v>
      </c>
      <c r="Z7">
        <v>2.3000000000999998</v>
      </c>
      <c r="AA7">
        <v>2.3000000000999998</v>
      </c>
      <c r="AB7">
        <v>2.0999999997000001</v>
      </c>
      <c r="AC7">
        <v>2.1999999990000001</v>
      </c>
      <c r="AD7">
        <v>2.0999999997000001</v>
      </c>
      <c r="AE7">
        <v>1.8999999993000001</v>
      </c>
      <c r="AF7">
        <v>1.2999999999</v>
      </c>
      <c r="AG7">
        <v>0.39999999899999999</v>
      </c>
      <c r="AH7">
        <v>0</v>
      </c>
      <c r="AI7">
        <v>4.1999999994000001</v>
      </c>
      <c r="AJ7">
        <v>10.8</v>
      </c>
      <c r="AK7">
        <v>17.0999999991</v>
      </c>
      <c r="AL7">
        <v>24.0999999987</v>
      </c>
      <c r="AM7">
        <v>31.100000000200001</v>
      </c>
      <c r="AN7">
        <v>39.299999998499999</v>
      </c>
      <c r="AO7">
        <v>46.499999998600003</v>
      </c>
      <c r="AP7">
        <v>53.5</v>
      </c>
      <c r="AQ7">
        <v>60.599999998900003</v>
      </c>
      <c r="AR7">
        <v>68.5999999987</v>
      </c>
      <c r="AS7">
        <v>75.600000000099996</v>
      </c>
      <c r="AT7">
        <v>83.699999999200003</v>
      </c>
      <c r="AU7">
        <v>91.399999999299993</v>
      </c>
      <c r="AV7">
        <v>100.0999999997</v>
      </c>
      <c r="AW7">
        <v>107.5000000001</v>
      </c>
      <c r="AX7">
        <v>115.8999999989</v>
      </c>
      <c r="AY7">
        <v>123.7999999994</v>
      </c>
      <c r="AZ7">
        <v>132.09999999889999</v>
      </c>
      <c r="BA7">
        <v>140.19999999980001</v>
      </c>
      <c r="BB7">
        <v>149.6999999999</v>
      </c>
      <c r="BC7">
        <v>157.29999999890001</v>
      </c>
      <c r="BD7">
        <v>164.8999999998</v>
      </c>
      <c r="BE7">
        <v>173.19999999929999</v>
      </c>
      <c r="BF7">
        <v>180.89999999939999</v>
      </c>
      <c r="BG7">
        <v>189.3</v>
      </c>
      <c r="BH7">
        <v>198.3</v>
      </c>
      <c r="BI7">
        <v>206.3999999991</v>
      </c>
      <c r="BJ7">
        <v>213.69999999839999</v>
      </c>
      <c r="BK7">
        <v>221.59999999889999</v>
      </c>
      <c r="BL7">
        <v>228.90000000009999</v>
      </c>
      <c r="BM7">
        <v>236.79999999879999</v>
      </c>
      <c r="BN7">
        <v>244.99999999900001</v>
      </c>
      <c r="BO7">
        <v>253.2999999985</v>
      </c>
      <c r="BP7">
        <v>260.59999999960002</v>
      </c>
      <c r="BQ7">
        <v>267.7999999996</v>
      </c>
      <c r="BR7">
        <v>275.09999999889999</v>
      </c>
      <c r="BS7">
        <v>281.99999999919999</v>
      </c>
      <c r="BT7">
        <v>289.49999999900001</v>
      </c>
      <c r="BU7">
        <v>297.49999999879998</v>
      </c>
      <c r="BV7">
        <v>304.99999999850002</v>
      </c>
      <c r="BW7">
        <v>311.99999999990001</v>
      </c>
      <c r="BX7">
        <v>318.49999999940002</v>
      </c>
      <c r="BY7">
        <v>325.19999999930002</v>
      </c>
      <c r="BZ7">
        <v>331.79999999990002</v>
      </c>
      <c r="CA7">
        <v>338.09999999899998</v>
      </c>
      <c r="CB7">
        <v>344.79999999889998</v>
      </c>
      <c r="CC7">
        <v>352.3999999998</v>
      </c>
      <c r="CD7">
        <v>359.0999999997</v>
      </c>
      <c r="CE7">
        <v>365.20000000020002</v>
      </c>
      <c r="CF7">
        <v>370.89999999989999</v>
      </c>
      <c r="CG7">
        <v>376.9999999986</v>
      </c>
      <c r="CH7">
        <v>382.79999999939997</v>
      </c>
      <c r="CI7">
        <v>388.69999999949999</v>
      </c>
      <c r="CJ7">
        <v>394.39999999920002</v>
      </c>
      <c r="CK7">
        <v>400.49999999969998</v>
      </c>
      <c r="CL7">
        <v>407.40000000010002</v>
      </c>
      <c r="CM7">
        <v>412.8000000001</v>
      </c>
      <c r="CN7">
        <v>417.99999999969998</v>
      </c>
      <c r="CO7">
        <v>423.29999999860001</v>
      </c>
      <c r="CP7">
        <v>428.2999999996</v>
      </c>
      <c r="CQ7">
        <v>433.69999999959998</v>
      </c>
      <c r="CR7">
        <v>439.3</v>
      </c>
      <c r="CS7">
        <v>443.49999999940002</v>
      </c>
      <c r="CT7">
        <v>448.699999999</v>
      </c>
      <c r="CU7">
        <v>453.89999999859998</v>
      </c>
      <c r="CV7">
        <v>453.99999999969998</v>
      </c>
      <c r="CW7">
        <v>454.20000000009998</v>
      </c>
      <c r="CX7">
        <v>454.20000000009998</v>
      </c>
      <c r="CY7">
        <v>453.99999999969998</v>
      </c>
      <c r="CZ7">
        <v>454.20000000009998</v>
      </c>
      <c r="DA7">
        <v>454.20000000009998</v>
      </c>
      <c r="DB7">
        <v>454.09999999899998</v>
      </c>
      <c r="DC7">
        <v>454.09999999899998</v>
      </c>
      <c r="DD7">
        <v>454.09999999899998</v>
      </c>
      <c r="DE7">
        <v>453.99999999969998</v>
      </c>
      <c r="DF7">
        <v>453.89999999859998</v>
      </c>
      <c r="DG7">
        <v>453.89999999859998</v>
      </c>
      <c r="DH7">
        <v>4.2999999986999997</v>
      </c>
      <c r="DI7">
        <v>3.6999999993000001</v>
      </c>
      <c r="DJ7">
        <v>3.6</v>
      </c>
      <c r="DK7">
        <v>3.6</v>
      </c>
      <c r="DL7">
        <v>3.3999999995999999</v>
      </c>
      <c r="DM7">
        <v>3.3999999995999999</v>
      </c>
      <c r="DN7">
        <v>3.2999999985000001</v>
      </c>
      <c r="DO7">
        <v>3.4999999988999999</v>
      </c>
      <c r="DP7">
        <v>3.0999999999000001</v>
      </c>
      <c r="DQ7">
        <v>3.2999999985000001</v>
      </c>
      <c r="DR7">
        <v>3.1999999992000001</v>
      </c>
      <c r="DS7">
        <v>2.8999999994999999</v>
      </c>
      <c r="DT7">
        <v>2.9999999987999999</v>
      </c>
      <c r="DU7">
        <v>2.9999999987999999</v>
      </c>
      <c r="DV7">
        <v>1.8999999993000001</v>
      </c>
      <c r="DW7">
        <v>1.2999999999</v>
      </c>
      <c r="DX7">
        <v>2.1999999990000001</v>
      </c>
      <c r="DY7">
        <v>8.5999999991999996</v>
      </c>
      <c r="DZ7">
        <v>15.199999999799999</v>
      </c>
      <c r="EA7">
        <v>22.299999998699999</v>
      </c>
      <c r="EB7">
        <v>30.0999999999</v>
      </c>
      <c r="EC7">
        <v>37.800000000099999</v>
      </c>
      <c r="ED7">
        <v>45.199999998700001</v>
      </c>
      <c r="EE7">
        <v>51.899999998600002</v>
      </c>
      <c r="EF7">
        <v>59.099999998599998</v>
      </c>
      <c r="EG7">
        <v>65.799999998499999</v>
      </c>
      <c r="EH7">
        <v>73.599999999700003</v>
      </c>
      <c r="EI7">
        <v>82.399999999299993</v>
      </c>
      <c r="EJ7">
        <v>90.299999999799994</v>
      </c>
      <c r="EK7">
        <v>98.199999998500004</v>
      </c>
      <c r="EL7">
        <v>105.599999999</v>
      </c>
      <c r="EM7">
        <v>113.2999999991</v>
      </c>
      <c r="EN7">
        <v>121.5999999986</v>
      </c>
      <c r="EO7">
        <v>130.09999999850001</v>
      </c>
      <c r="EP7">
        <v>139.4</v>
      </c>
      <c r="EQ7">
        <v>147.69999999949999</v>
      </c>
      <c r="ER7">
        <v>155.49999999889999</v>
      </c>
      <c r="ES7">
        <v>163.19999999909999</v>
      </c>
      <c r="ET7">
        <v>170.5000000002</v>
      </c>
      <c r="EU7">
        <v>179.3999999991</v>
      </c>
      <c r="EV7">
        <v>188.29999999980001</v>
      </c>
      <c r="EW7">
        <v>196.69999999859999</v>
      </c>
      <c r="EX7">
        <v>204.89999999880001</v>
      </c>
      <c r="EY7">
        <v>212.7</v>
      </c>
      <c r="EZ7">
        <v>220.29999999899999</v>
      </c>
      <c r="FA7">
        <v>227.99999999920001</v>
      </c>
      <c r="FB7">
        <v>235.89999999969999</v>
      </c>
      <c r="FC7">
        <v>244.89999999969999</v>
      </c>
      <c r="FD7">
        <v>252.80000000019999</v>
      </c>
      <c r="FE7">
        <v>260.39999999920002</v>
      </c>
      <c r="FF7">
        <v>267.8999999989</v>
      </c>
      <c r="FG7">
        <v>275.29999999929998</v>
      </c>
      <c r="FH7">
        <v>282.19999999959998</v>
      </c>
      <c r="FI7">
        <v>290.29999999879999</v>
      </c>
      <c r="FJ7">
        <v>298.19999999930002</v>
      </c>
      <c r="FK7">
        <v>305.699999999</v>
      </c>
      <c r="FL7">
        <v>312.5999999993</v>
      </c>
      <c r="FM7">
        <v>319.39999999849999</v>
      </c>
      <c r="FN7">
        <v>326.1000000002</v>
      </c>
      <c r="FO7">
        <v>332.699999999</v>
      </c>
      <c r="FP7">
        <v>339.2999999996</v>
      </c>
      <c r="FQ7">
        <v>346.99999999980002</v>
      </c>
      <c r="FR7">
        <v>353.90000000010002</v>
      </c>
      <c r="FS7">
        <v>360.69999999930002</v>
      </c>
      <c r="FT7">
        <v>366.79999999979998</v>
      </c>
      <c r="FU7">
        <v>372.6999999999</v>
      </c>
      <c r="FV7">
        <v>378.6</v>
      </c>
      <c r="FW7">
        <v>384.19999999859999</v>
      </c>
      <c r="FX7">
        <v>390.40000000020001</v>
      </c>
      <c r="FY7">
        <v>397.19999999940001</v>
      </c>
      <c r="FZ7">
        <v>403.39999999920002</v>
      </c>
      <c r="GA7">
        <v>409.09999999889999</v>
      </c>
      <c r="GB7">
        <v>414.39999999970001</v>
      </c>
      <c r="GC7">
        <v>419.79999999969999</v>
      </c>
      <c r="GD7">
        <v>424.79999999889998</v>
      </c>
      <c r="GE7">
        <v>430.09999999960002</v>
      </c>
      <c r="GF7">
        <v>435.39999999849999</v>
      </c>
      <c r="GG7">
        <v>439.8000000001</v>
      </c>
      <c r="GH7">
        <v>444.49999999959999</v>
      </c>
      <c r="GI7">
        <v>449.89999999960003</v>
      </c>
      <c r="GJ7">
        <v>453.49999999959999</v>
      </c>
      <c r="GK7">
        <v>453.99999999969998</v>
      </c>
      <c r="GL7">
        <v>453.99999999969998</v>
      </c>
      <c r="GM7">
        <v>454.09999999899998</v>
      </c>
      <c r="GN7">
        <v>453.99999999969998</v>
      </c>
      <c r="GO7">
        <v>453.79999999929998</v>
      </c>
      <c r="GP7">
        <v>453.89999999859998</v>
      </c>
      <c r="GQ7">
        <v>453.89999999859998</v>
      </c>
      <c r="GR7">
        <v>453.7</v>
      </c>
      <c r="GS7">
        <v>453.79999999929998</v>
      </c>
      <c r="GT7">
        <v>453.7</v>
      </c>
      <c r="GU7">
        <v>453.79999999929998</v>
      </c>
      <c r="GV7">
        <v>453.99999999969998</v>
      </c>
      <c r="GW7">
        <v>453.89999999859998</v>
      </c>
      <c r="GX7">
        <v>1</v>
      </c>
      <c r="GY7">
        <v>113.60000000060001</v>
      </c>
      <c r="GZ7">
        <v>115.8999999989</v>
      </c>
      <c r="HA7">
        <v>115.8999999989</v>
      </c>
      <c r="HB7">
        <v>121.5999999986</v>
      </c>
      <c r="HC7">
        <v>117.3904216656</v>
      </c>
      <c r="HD7">
        <v>-5.6999999997000002</v>
      </c>
      <c r="HE7">
        <v>453.89999999859998</v>
      </c>
      <c r="HF7">
        <v>290.77506330530002</v>
      </c>
      <c r="HG7">
        <v>100.0648574257</v>
      </c>
      <c r="HH7">
        <v>454.20000000009998</v>
      </c>
      <c r="HI7">
        <v>454.09999999899998</v>
      </c>
      <c r="HJ7">
        <v>454.20000000009998</v>
      </c>
      <c r="HK7">
        <v>454.09999999899998</v>
      </c>
      <c r="HL7">
        <v>112.6099706745</v>
      </c>
      <c r="HM7">
        <v>3.2915318075000002</v>
      </c>
      <c r="HN7">
        <v>3.2300690210999998</v>
      </c>
      <c r="HO7">
        <v>3.2679441622000001</v>
      </c>
      <c r="HP7">
        <v>3.1238741197</v>
      </c>
      <c r="HQ7">
        <v>3.4713375599999998</v>
      </c>
      <c r="HR7">
        <v>2.2782534771999998</v>
      </c>
      <c r="HS7">
        <v>17.325564239999999</v>
      </c>
      <c r="HT7">
        <v>-30.4985337243</v>
      </c>
      <c r="HU7">
        <v>-208</v>
      </c>
      <c r="HV7">
        <v>408.16548497100001</v>
      </c>
      <c r="HW7">
        <v>91.495601172999997</v>
      </c>
      <c r="HX7">
        <v>624</v>
      </c>
      <c r="HY7">
        <v>17.325564239999999</v>
      </c>
      <c r="HZ7">
        <v>-30.4985337243</v>
      </c>
      <c r="IA7">
        <v>-208</v>
      </c>
      <c r="IB7">
        <v>408.16548497100001</v>
      </c>
      <c r="IC7">
        <v>91.495601172999997</v>
      </c>
      <c r="ID7">
        <v>624</v>
      </c>
      <c r="IE7">
        <v>45.934515028100002</v>
      </c>
      <c r="IF7">
        <v>0.4016844645</v>
      </c>
      <c r="IG7">
        <v>-39.8826979472</v>
      </c>
      <c r="IH7">
        <v>-272</v>
      </c>
      <c r="II7">
        <v>429.6889904212</v>
      </c>
      <c r="IJ7">
        <v>100.87976539589999</v>
      </c>
      <c r="IK7">
        <v>688</v>
      </c>
      <c r="IL7">
        <v>390.83992073100001</v>
      </c>
      <c r="IM7">
        <v>121.9941348974</v>
      </c>
      <c r="IN7">
        <v>414.95459649930001</v>
      </c>
      <c r="IO7">
        <v>131.37829912020001</v>
      </c>
      <c r="IP7">
        <v>6.6000000005999997</v>
      </c>
      <c r="IQ7">
        <v>5.6000000003999997</v>
      </c>
      <c r="IR7">
        <v>9.5000000001</v>
      </c>
      <c r="IS7">
        <v>6.0827128185000001</v>
      </c>
      <c r="IT7">
        <v>6.0827128185000001</v>
      </c>
      <c r="IU7">
        <v>4.3999999998000003</v>
      </c>
      <c r="IV7">
        <v>-35.190615835800003</v>
      </c>
      <c r="IW7">
        <v>9.1000000010999997</v>
      </c>
      <c r="IX7">
        <v>70.381231671600005</v>
      </c>
      <c r="IY7">
        <v>7.0999999989000004</v>
      </c>
      <c r="IZ7">
        <v>103.22580645159999</v>
      </c>
      <c r="JA7">
        <v>-36.204862279799997</v>
      </c>
      <c r="JB7">
        <v>0.33808471229999998</v>
      </c>
      <c r="JC7">
        <v>-3.3719320000000002E-4</v>
      </c>
      <c r="JD7">
        <v>6.7670000000000002E-7</v>
      </c>
      <c r="JE7">
        <v>0.30380991540000002</v>
      </c>
      <c r="JF7">
        <v>0.28648107839999998</v>
      </c>
      <c r="JG7">
        <v>0.13461021949999999</v>
      </c>
      <c r="JH7">
        <v>118.0549736844</v>
      </c>
      <c r="JI7">
        <v>3.4713375599999998</v>
      </c>
      <c r="JJ7">
        <v>2.6423222E-3</v>
      </c>
      <c r="JK7">
        <v>-6.6758899999999995E-5</v>
      </c>
      <c r="JL7">
        <v>3.2915318075000002</v>
      </c>
      <c r="JM7">
        <v>1.5123577497</v>
      </c>
      <c r="JN7">
        <v>0.65188940529999995</v>
      </c>
      <c r="JO7">
        <v>2.8132500003000001</v>
      </c>
      <c r="JP7">
        <v>2.3870000002</v>
      </c>
      <c r="JQ7">
        <v>4.0493750000000004</v>
      </c>
      <c r="JR7" s="17" t="s">
        <v>544</v>
      </c>
      <c r="JU7" s="17">
        <v>1</v>
      </c>
    </row>
    <row r="8" spans="1:281">
      <c r="A8" t="s">
        <v>631</v>
      </c>
      <c r="B8" t="s">
        <v>632</v>
      </c>
      <c r="C8" t="s">
        <v>633</v>
      </c>
      <c r="D8" t="s">
        <v>213</v>
      </c>
      <c r="E8">
        <v>3</v>
      </c>
      <c r="F8" t="s">
        <v>214</v>
      </c>
      <c r="G8" t="s">
        <v>215</v>
      </c>
      <c r="H8" t="s">
        <v>543</v>
      </c>
      <c r="I8" t="s">
        <v>217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0</v>
      </c>
      <c r="S8">
        <v>0.39999999899999999</v>
      </c>
      <c r="T8">
        <v>0.39999999899999999</v>
      </c>
      <c r="U8">
        <v>0.39999999899999999</v>
      </c>
      <c r="V8">
        <v>0.39999999899999999</v>
      </c>
      <c r="W8">
        <v>0.39999999899999999</v>
      </c>
      <c r="X8">
        <v>0.50000000010000001</v>
      </c>
      <c r="Y8">
        <v>0.39999999899999999</v>
      </c>
      <c r="Z8">
        <v>0.50000000010000001</v>
      </c>
      <c r="AA8">
        <v>0.69999999869999996</v>
      </c>
      <c r="AB8">
        <v>0.79999999980000003</v>
      </c>
      <c r="AC8">
        <v>0.69999999869999996</v>
      </c>
      <c r="AD8">
        <v>0.79999999980000003</v>
      </c>
      <c r="AE8">
        <v>0.79999999980000003</v>
      </c>
      <c r="AF8">
        <v>0.89999999909999995</v>
      </c>
      <c r="AG8">
        <v>0.89999999909999995</v>
      </c>
      <c r="AH8">
        <v>1.6999999989000001</v>
      </c>
      <c r="AI8">
        <v>4.7999999987999997</v>
      </c>
      <c r="AJ8">
        <v>10.699999998899999</v>
      </c>
      <c r="AK8">
        <v>18.0999999993</v>
      </c>
      <c r="AL8">
        <v>24.699999999900001</v>
      </c>
      <c r="AM8">
        <v>31.9</v>
      </c>
      <c r="AN8">
        <v>39.600000000100003</v>
      </c>
      <c r="AO8">
        <v>46.899999999400002</v>
      </c>
      <c r="AP8">
        <v>54.5999999995</v>
      </c>
      <c r="AQ8">
        <v>61.5999999991</v>
      </c>
      <c r="AR8">
        <v>69.7</v>
      </c>
      <c r="AS8">
        <v>77.699999999799999</v>
      </c>
      <c r="AT8">
        <v>85.4999999992</v>
      </c>
      <c r="AU8">
        <v>93.999999999099998</v>
      </c>
      <c r="AV8">
        <v>101.8999999997</v>
      </c>
      <c r="AW8">
        <v>109.8999999995</v>
      </c>
      <c r="AX8">
        <v>118.00000000039999</v>
      </c>
      <c r="AY8">
        <v>126.89999999929999</v>
      </c>
      <c r="AZ8">
        <v>135.1999999988</v>
      </c>
      <c r="BA8">
        <v>144.0000000002</v>
      </c>
      <c r="BB8">
        <v>152.69999999870001</v>
      </c>
      <c r="BC8">
        <v>160.8999999989</v>
      </c>
      <c r="BD8">
        <v>168.89999999880001</v>
      </c>
      <c r="BE8">
        <v>177.3999999987</v>
      </c>
      <c r="BF8">
        <v>185.49999999959999</v>
      </c>
      <c r="BG8">
        <v>194.0999999988</v>
      </c>
      <c r="BH8">
        <v>202.79999999910001</v>
      </c>
      <c r="BI8">
        <v>210.9</v>
      </c>
      <c r="BJ8">
        <v>218.7999999987</v>
      </c>
      <c r="BK8">
        <v>226.6</v>
      </c>
      <c r="BL8">
        <v>234.99999999880001</v>
      </c>
      <c r="BM8">
        <v>242.89999999930001</v>
      </c>
      <c r="BN8">
        <v>251.50000000029999</v>
      </c>
      <c r="BO8">
        <v>259.29999999969999</v>
      </c>
      <c r="BP8">
        <v>267.09999999910002</v>
      </c>
      <c r="BQ8">
        <v>274.49999999950001</v>
      </c>
      <c r="BR8">
        <v>281.99999999919999</v>
      </c>
      <c r="BS8">
        <v>289.69999999940001</v>
      </c>
      <c r="BT8">
        <v>297.19999999909999</v>
      </c>
      <c r="BU8">
        <v>305.00000000030002</v>
      </c>
      <c r="BV8">
        <v>312.5999999993</v>
      </c>
      <c r="BW8">
        <v>319.7</v>
      </c>
      <c r="BX8">
        <v>326.69999999959998</v>
      </c>
      <c r="BY8">
        <v>333.49999999879998</v>
      </c>
      <c r="BZ8">
        <v>340.59999999950003</v>
      </c>
      <c r="CA8">
        <v>347.70000000030001</v>
      </c>
      <c r="CB8">
        <v>355.2</v>
      </c>
      <c r="CC8">
        <v>361.99999999919999</v>
      </c>
      <c r="CD8">
        <v>368.59999999979999</v>
      </c>
      <c r="CE8">
        <v>374.59999999920001</v>
      </c>
      <c r="CF8">
        <v>380.99999999940002</v>
      </c>
      <c r="CG8">
        <v>386.89999999949998</v>
      </c>
      <c r="CH8">
        <v>393.0999999993</v>
      </c>
      <c r="CI8">
        <v>399.49999999950001</v>
      </c>
      <c r="CJ8">
        <v>405.69999999930002</v>
      </c>
      <c r="CK8">
        <v>412.19999999880002</v>
      </c>
      <c r="CL8">
        <v>417.90000000039998</v>
      </c>
      <c r="CM8">
        <v>423.19999999930002</v>
      </c>
      <c r="CN8">
        <v>429.00000000009999</v>
      </c>
      <c r="CO8">
        <v>434.40000000010002</v>
      </c>
      <c r="CP8">
        <v>439.699999999</v>
      </c>
      <c r="CQ8">
        <v>444.90000000039998</v>
      </c>
      <c r="CR8">
        <v>450.39999999970001</v>
      </c>
      <c r="CS8">
        <v>456.19999999869998</v>
      </c>
      <c r="CT8">
        <v>456.69999999880002</v>
      </c>
      <c r="CU8">
        <v>457.00000000030002</v>
      </c>
      <c r="CV8">
        <v>456.89999999920002</v>
      </c>
      <c r="CW8">
        <v>457.19999999890001</v>
      </c>
      <c r="CX8">
        <v>457.09999999960002</v>
      </c>
      <c r="CY8">
        <v>457.09999999960002</v>
      </c>
      <c r="CZ8">
        <v>457.3</v>
      </c>
      <c r="DA8">
        <v>457.39999999930001</v>
      </c>
      <c r="DB8">
        <v>457.3</v>
      </c>
      <c r="DC8">
        <v>457.19999999890001</v>
      </c>
      <c r="DD8">
        <v>457.19999999890001</v>
      </c>
      <c r="DE8">
        <v>457.39999999930001</v>
      </c>
      <c r="DF8">
        <v>457.3</v>
      </c>
      <c r="DG8">
        <v>457.3</v>
      </c>
      <c r="DH8">
        <v>0.59999999940000004</v>
      </c>
      <c r="DI8">
        <v>1.1999999988000001</v>
      </c>
      <c r="DJ8">
        <v>1.1999999988000001</v>
      </c>
      <c r="DK8">
        <v>1.1999999988000001</v>
      </c>
      <c r="DL8">
        <v>1.1999999988000001</v>
      </c>
      <c r="DM8">
        <v>1.3999999992000001</v>
      </c>
      <c r="DN8">
        <v>1.5000000003</v>
      </c>
      <c r="DO8">
        <v>1.3999999992000001</v>
      </c>
      <c r="DP8">
        <v>1.5999999996000001</v>
      </c>
      <c r="DQ8">
        <v>1.5999999996000001</v>
      </c>
      <c r="DR8">
        <v>1.5999999996000001</v>
      </c>
      <c r="DS8">
        <v>1.8</v>
      </c>
      <c r="DT8">
        <v>1.6999999989000001</v>
      </c>
      <c r="DU8">
        <v>1.8999999993000001</v>
      </c>
      <c r="DV8">
        <v>1.8999999993000001</v>
      </c>
      <c r="DW8">
        <v>2.0000000004</v>
      </c>
      <c r="DX8">
        <v>4.1999999994000001</v>
      </c>
      <c r="DY8">
        <v>9</v>
      </c>
      <c r="DZ8">
        <v>15.9999999996</v>
      </c>
      <c r="EA8">
        <v>23.199999999599999</v>
      </c>
      <c r="EB8">
        <v>30.399999999599999</v>
      </c>
      <c r="EC8">
        <v>37.800000000099999</v>
      </c>
      <c r="ED8">
        <v>45.399999999099997</v>
      </c>
      <c r="EE8">
        <v>52.700000000199999</v>
      </c>
      <c r="EF8">
        <v>59.999999999499998</v>
      </c>
      <c r="EG8">
        <v>67.799999998900006</v>
      </c>
      <c r="EH8">
        <v>75.499999998999996</v>
      </c>
      <c r="EI8">
        <v>83.399999999499997</v>
      </c>
      <c r="EJ8">
        <v>91.800000000099999</v>
      </c>
      <c r="EK8">
        <v>99.899999999299993</v>
      </c>
      <c r="EL8">
        <v>107.79999999979999</v>
      </c>
      <c r="EM8">
        <v>115.3999999988</v>
      </c>
      <c r="EN8">
        <v>124.3999999988</v>
      </c>
      <c r="EO8">
        <v>132.7999999994</v>
      </c>
      <c r="EP8">
        <v>141.7000000001</v>
      </c>
      <c r="EQ8">
        <v>150.19999999999999</v>
      </c>
      <c r="ER8">
        <v>158.49999999950001</v>
      </c>
      <c r="ES8">
        <v>166.59999999870001</v>
      </c>
      <c r="ET8">
        <v>175.1999999997</v>
      </c>
      <c r="EU8">
        <v>183.39999999989999</v>
      </c>
      <c r="EV8">
        <v>191.8999999998</v>
      </c>
      <c r="EW8">
        <v>200.60000000010001</v>
      </c>
      <c r="EX8">
        <v>209.1</v>
      </c>
      <c r="EY8">
        <v>217.19999999909999</v>
      </c>
      <c r="EZ8">
        <v>225.19999999890001</v>
      </c>
      <c r="FA8">
        <v>233.50000000029999</v>
      </c>
      <c r="FB8">
        <v>241.79999999980001</v>
      </c>
      <c r="FC8">
        <v>250.50000000009999</v>
      </c>
      <c r="FD8">
        <v>258.7999999996</v>
      </c>
      <c r="FE8">
        <v>266.40000000039998</v>
      </c>
      <c r="FF8">
        <v>274.29999999910001</v>
      </c>
      <c r="FG8">
        <v>281.60000000029999</v>
      </c>
      <c r="FH8">
        <v>289.60000000010001</v>
      </c>
      <c r="FI8">
        <v>297.19999999909999</v>
      </c>
      <c r="FJ8">
        <v>305.39999999930001</v>
      </c>
      <c r="FK8">
        <v>312.79999999969999</v>
      </c>
      <c r="FL8">
        <v>319.90000000039998</v>
      </c>
      <c r="FM8">
        <v>327.29999999900002</v>
      </c>
      <c r="FN8">
        <v>334.19999999930002</v>
      </c>
      <c r="FO8">
        <v>341.3</v>
      </c>
      <c r="FP8">
        <v>348.2000000004</v>
      </c>
      <c r="FQ8">
        <v>355.70000000009998</v>
      </c>
      <c r="FR8">
        <v>362.69999999970003</v>
      </c>
      <c r="FS8">
        <v>369.30000000029997</v>
      </c>
      <c r="FT8">
        <v>375.69999999869998</v>
      </c>
      <c r="FU8">
        <v>382.09999999889999</v>
      </c>
      <c r="FV8">
        <v>388.19999999940001</v>
      </c>
      <c r="FW8">
        <v>394.69999999890001</v>
      </c>
      <c r="FX8">
        <v>400.70000000009998</v>
      </c>
      <c r="FY8">
        <v>407.29999999889998</v>
      </c>
      <c r="FZ8">
        <v>413.39999999949998</v>
      </c>
      <c r="GA8">
        <v>419.20000000030001</v>
      </c>
      <c r="GB8">
        <v>424.69999999959998</v>
      </c>
      <c r="GC8">
        <v>430.09999999960002</v>
      </c>
      <c r="GD8">
        <v>435.1999999999</v>
      </c>
      <c r="GE8">
        <v>440.49999999879998</v>
      </c>
      <c r="GF8">
        <v>445.70000000020002</v>
      </c>
      <c r="GG8">
        <v>450.60000000010001</v>
      </c>
      <c r="GH8">
        <v>455.79999999969999</v>
      </c>
      <c r="GI8">
        <v>456.69999999880002</v>
      </c>
      <c r="GJ8">
        <v>456.59999999950003</v>
      </c>
      <c r="GK8">
        <v>456.89999999920002</v>
      </c>
      <c r="GL8">
        <v>456.69999999880002</v>
      </c>
      <c r="GM8">
        <v>456.79999999990002</v>
      </c>
      <c r="GN8">
        <v>456.89999999920002</v>
      </c>
      <c r="GO8">
        <v>456.79999999990002</v>
      </c>
      <c r="GP8">
        <v>456.89999999920002</v>
      </c>
      <c r="GQ8">
        <v>457.00000000030002</v>
      </c>
      <c r="GR8">
        <v>456.89999999920002</v>
      </c>
      <c r="GS8">
        <v>456.89999999920002</v>
      </c>
      <c r="GT8">
        <v>457.00000000030002</v>
      </c>
      <c r="GU8">
        <v>457.19999999890001</v>
      </c>
      <c r="GV8">
        <v>457.3</v>
      </c>
      <c r="GW8">
        <v>457.39999999930001</v>
      </c>
      <c r="GX8">
        <v>1</v>
      </c>
      <c r="GY8">
        <v>120.2999999987</v>
      </c>
      <c r="GZ8">
        <v>118.00000000039999</v>
      </c>
      <c r="HA8">
        <v>118.00000000039999</v>
      </c>
      <c r="HB8">
        <v>124.3999999988</v>
      </c>
      <c r="HC8">
        <v>119.6960314857</v>
      </c>
      <c r="HD8">
        <v>-6.3999999984000002</v>
      </c>
      <c r="HE8">
        <v>457.39999999930001</v>
      </c>
      <c r="HF8">
        <v>304.46796763930001</v>
      </c>
      <c r="HG8">
        <v>101.365759266</v>
      </c>
      <c r="HH8">
        <v>457.39999999930001</v>
      </c>
      <c r="HI8">
        <v>457.39999999930001</v>
      </c>
      <c r="HJ8">
        <v>457.39999999930001</v>
      </c>
      <c r="HK8">
        <v>457.39999999930001</v>
      </c>
      <c r="HL8">
        <v>110.26392961880001</v>
      </c>
      <c r="HM8">
        <v>3.3670598348</v>
      </c>
      <c r="HN8">
        <v>3.2830762687999999</v>
      </c>
      <c r="HO8">
        <v>3.3553903704999999</v>
      </c>
      <c r="HP8">
        <v>3.1843318946000001</v>
      </c>
      <c r="HQ8">
        <v>3.5552078327999999</v>
      </c>
      <c r="HR8">
        <v>2.2821990391</v>
      </c>
      <c r="HS8">
        <v>18.330272219699999</v>
      </c>
      <c r="HT8">
        <v>-30.4985337243</v>
      </c>
      <c r="HU8">
        <v>-208</v>
      </c>
      <c r="HV8">
        <v>424.16399912499998</v>
      </c>
      <c r="HW8">
        <v>93.841642228699996</v>
      </c>
      <c r="HX8">
        <v>640</v>
      </c>
      <c r="HY8">
        <v>18.330272219699999</v>
      </c>
      <c r="HZ8">
        <v>-30.4985337243</v>
      </c>
      <c r="IA8">
        <v>-208</v>
      </c>
      <c r="IB8">
        <v>424.16399912499998</v>
      </c>
      <c r="IC8">
        <v>93.841642228699996</v>
      </c>
      <c r="ID8">
        <v>640</v>
      </c>
      <c r="IE8">
        <v>33.236000874299997</v>
      </c>
      <c r="IF8">
        <v>0.90348748130000001</v>
      </c>
      <c r="IG8">
        <v>-39.8826979472</v>
      </c>
      <c r="IH8">
        <v>-272</v>
      </c>
      <c r="II8">
        <v>445.5078058382</v>
      </c>
      <c r="IJ8">
        <v>103.22580645159999</v>
      </c>
      <c r="IK8">
        <v>704</v>
      </c>
      <c r="IL8">
        <v>405.83372690530001</v>
      </c>
      <c r="IM8">
        <v>124.3401759531</v>
      </c>
      <c r="IN8">
        <v>429.99433694219999</v>
      </c>
      <c r="IO8">
        <v>133.724340176</v>
      </c>
      <c r="IP8">
        <v>7.4000000004000004</v>
      </c>
      <c r="IQ8">
        <v>5.7999999989999997</v>
      </c>
      <c r="IR8">
        <v>9</v>
      </c>
      <c r="IS8">
        <v>6.0257581310999999</v>
      </c>
      <c r="IT8">
        <v>6.0257581310999999</v>
      </c>
      <c r="IU8">
        <v>5.3000000006999999</v>
      </c>
      <c r="IV8">
        <v>-32.844574780099997</v>
      </c>
      <c r="IW8">
        <v>8.2000000001999993</v>
      </c>
      <c r="IX8">
        <v>51.612903225799997</v>
      </c>
      <c r="IY8">
        <v>6.0999999987000004</v>
      </c>
      <c r="IZ8">
        <v>100.87976539589999</v>
      </c>
      <c r="JA8">
        <v>-36.250228696400001</v>
      </c>
      <c r="JB8">
        <v>0.33261867839999998</v>
      </c>
      <c r="JC8">
        <v>-3.342954E-4</v>
      </c>
      <c r="JD8">
        <v>6.4300000000000003E-7</v>
      </c>
      <c r="JE8">
        <v>0.29699501909999998</v>
      </c>
      <c r="JF8">
        <v>0.23693331970000001</v>
      </c>
      <c r="JG8">
        <v>9.7339771699999994E-2</v>
      </c>
      <c r="JH8">
        <v>120.63293508060001</v>
      </c>
      <c r="JI8">
        <v>3.5552078327999999</v>
      </c>
      <c r="JJ8">
        <v>2.9251562E-3</v>
      </c>
      <c r="JK8">
        <v>-6.8966600000000005E-5</v>
      </c>
      <c r="JL8">
        <v>3.3670598348</v>
      </c>
      <c r="JM8">
        <v>1.4486173783</v>
      </c>
      <c r="JN8">
        <v>0.60785897229999997</v>
      </c>
      <c r="JO8">
        <v>3.1542500001999998</v>
      </c>
      <c r="JP8">
        <v>2.4722499995999998</v>
      </c>
      <c r="JQ8">
        <v>3.8362500000000002</v>
      </c>
      <c r="JR8" s="17" t="s">
        <v>544</v>
      </c>
      <c r="JU8" s="17">
        <v>1</v>
      </c>
    </row>
    <row r="9" spans="1:281">
      <c r="A9" t="s">
        <v>647</v>
      </c>
      <c r="B9" t="s">
        <v>648</v>
      </c>
      <c r="C9" t="s">
        <v>649</v>
      </c>
      <c r="D9" t="s">
        <v>213</v>
      </c>
      <c r="E9">
        <v>3</v>
      </c>
      <c r="F9" t="s">
        <v>214</v>
      </c>
      <c r="G9" t="s">
        <v>215</v>
      </c>
      <c r="H9" t="s">
        <v>543</v>
      </c>
      <c r="I9" t="s">
        <v>217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0</v>
      </c>
      <c r="S9">
        <v>0.7000000005</v>
      </c>
      <c r="T9">
        <v>0.7000000005</v>
      </c>
      <c r="U9">
        <v>0.7000000005</v>
      </c>
      <c r="V9">
        <v>0.7000000005</v>
      </c>
      <c r="W9">
        <v>0.79999999980000003</v>
      </c>
      <c r="X9">
        <v>0.79999999980000003</v>
      </c>
      <c r="Y9">
        <v>1.0000000002</v>
      </c>
      <c r="Z9">
        <v>0.90000000089999999</v>
      </c>
      <c r="AA9">
        <v>1.0000000002</v>
      </c>
      <c r="AB9">
        <v>1.0000000002</v>
      </c>
      <c r="AC9">
        <v>1.0000000002</v>
      </c>
      <c r="AD9">
        <v>1.1000000013</v>
      </c>
      <c r="AE9">
        <v>1.2000000006</v>
      </c>
      <c r="AF9">
        <v>1.5000000003</v>
      </c>
      <c r="AG9">
        <v>1.6000000014</v>
      </c>
      <c r="AH9">
        <v>3.3000000002999998</v>
      </c>
      <c r="AI9">
        <v>6.1000000004999997</v>
      </c>
      <c r="AJ9">
        <v>12.800000000400001</v>
      </c>
      <c r="AK9">
        <v>19.299999999899999</v>
      </c>
      <c r="AL9">
        <v>25.9000000005</v>
      </c>
      <c r="AM9">
        <v>33.199999999900001</v>
      </c>
      <c r="AN9">
        <v>40.399999999899997</v>
      </c>
      <c r="AO9">
        <v>47.700000000999999</v>
      </c>
      <c r="AP9">
        <v>54.200000000499998</v>
      </c>
      <c r="AQ9">
        <v>61.4000000005</v>
      </c>
      <c r="AR9">
        <v>70.200000000100005</v>
      </c>
      <c r="AS9">
        <v>77.800000000899999</v>
      </c>
      <c r="AT9">
        <v>85.800000000699995</v>
      </c>
      <c r="AU9">
        <v>93.500000000900002</v>
      </c>
      <c r="AV9">
        <v>101.5000000007</v>
      </c>
      <c r="AW9">
        <v>109.5999999998</v>
      </c>
      <c r="AX9">
        <v>117.9000000011</v>
      </c>
      <c r="AY9">
        <v>126.0000000002</v>
      </c>
      <c r="AZ9">
        <v>133.80000000140001</v>
      </c>
      <c r="BA9">
        <v>142.30000000129999</v>
      </c>
      <c r="BB9">
        <v>150.49999999970001</v>
      </c>
      <c r="BC9">
        <v>158.80000000109999</v>
      </c>
      <c r="BD9">
        <v>167.00000000130001</v>
      </c>
      <c r="BE9">
        <v>175.2000000015</v>
      </c>
      <c r="BF9">
        <v>183.30000000059999</v>
      </c>
      <c r="BG9">
        <v>191.30000000039999</v>
      </c>
      <c r="BH9">
        <v>199.50000000060001</v>
      </c>
      <c r="BI9">
        <v>207.8000000001</v>
      </c>
      <c r="BJ9">
        <v>216.00000000029999</v>
      </c>
      <c r="BK9">
        <v>223.90000000090001</v>
      </c>
      <c r="BL9">
        <v>231.9000000007</v>
      </c>
      <c r="BM9">
        <v>239.7000000001</v>
      </c>
      <c r="BN9">
        <v>247.30000000090001</v>
      </c>
      <c r="BO9">
        <v>255.30000000070001</v>
      </c>
      <c r="BP9">
        <v>263.20000000120001</v>
      </c>
      <c r="BQ9">
        <v>270.90000000129999</v>
      </c>
      <c r="BR9">
        <v>278.40000000110001</v>
      </c>
      <c r="BS9">
        <v>285.8000000015</v>
      </c>
      <c r="BT9">
        <v>293.00000000149998</v>
      </c>
      <c r="BU9">
        <v>300.50000000120002</v>
      </c>
      <c r="BV9">
        <v>307.60000000010001</v>
      </c>
      <c r="BW9">
        <v>315.00000000049999</v>
      </c>
      <c r="BX9">
        <v>322.29999999979998</v>
      </c>
      <c r="BY9">
        <v>329.20000000009998</v>
      </c>
      <c r="BZ9">
        <v>336.00000000109998</v>
      </c>
      <c r="CA9">
        <v>342.50000000070003</v>
      </c>
      <c r="CB9">
        <v>349.10000000129997</v>
      </c>
      <c r="CC9">
        <v>355.70000000009998</v>
      </c>
      <c r="CD9">
        <v>362.30000000069998</v>
      </c>
      <c r="CE9">
        <v>368.90000000129999</v>
      </c>
      <c r="CF9">
        <v>375.50000000009999</v>
      </c>
      <c r="CG9">
        <v>381.6999999999</v>
      </c>
      <c r="CH9">
        <v>387.30000000029997</v>
      </c>
      <c r="CI9">
        <v>393.2000000004</v>
      </c>
      <c r="CJ9">
        <v>399.40000000020001</v>
      </c>
      <c r="CK9">
        <v>404.80000000029997</v>
      </c>
      <c r="CL9">
        <v>410.90000000079999</v>
      </c>
      <c r="CM9">
        <v>416.80000000090001</v>
      </c>
      <c r="CN9">
        <v>422.40000000129999</v>
      </c>
      <c r="CO9">
        <v>428.20000000030001</v>
      </c>
      <c r="CP9">
        <v>433.30000000059999</v>
      </c>
      <c r="CQ9">
        <v>438.70000000060003</v>
      </c>
      <c r="CR9">
        <v>444.00000000130001</v>
      </c>
      <c r="CS9">
        <v>449.00000000049999</v>
      </c>
      <c r="CT9">
        <v>453.99999999969998</v>
      </c>
      <c r="CU9">
        <v>457.50000000040001</v>
      </c>
      <c r="CV9">
        <v>459.00000000070003</v>
      </c>
      <c r="CW9">
        <v>459.1</v>
      </c>
      <c r="CX9">
        <v>459.1</v>
      </c>
      <c r="CY9">
        <v>459.20000000110002</v>
      </c>
      <c r="CZ9">
        <v>459.30000000040002</v>
      </c>
      <c r="DA9">
        <v>459.20000000110002</v>
      </c>
      <c r="DB9">
        <v>459.20000000110002</v>
      </c>
      <c r="DC9">
        <v>459.1</v>
      </c>
      <c r="DD9">
        <v>459.20000000110002</v>
      </c>
      <c r="DE9">
        <v>459.00000000070003</v>
      </c>
      <c r="DF9">
        <v>459.00000000070003</v>
      </c>
      <c r="DG9">
        <v>459.1</v>
      </c>
      <c r="DH9">
        <v>0.90000000089999999</v>
      </c>
      <c r="DI9">
        <v>2.7000000008999998</v>
      </c>
      <c r="DJ9">
        <v>2.8000000001999998</v>
      </c>
      <c r="DK9">
        <v>3.0999999999000001</v>
      </c>
      <c r="DL9">
        <v>3.0000000006</v>
      </c>
      <c r="DM9">
        <v>2.9000000013</v>
      </c>
      <c r="DN9">
        <v>2.7000000008999998</v>
      </c>
      <c r="DO9">
        <v>2.7000000008999998</v>
      </c>
      <c r="DP9">
        <v>2.8000000001999998</v>
      </c>
      <c r="DQ9">
        <v>2.8000000001999998</v>
      </c>
      <c r="DR9">
        <v>3.0999999999000001</v>
      </c>
      <c r="DS9">
        <v>3.2000000009999998</v>
      </c>
      <c r="DT9">
        <v>3.2000000009999998</v>
      </c>
      <c r="DU9">
        <v>3.0999999999000001</v>
      </c>
      <c r="DV9">
        <v>3.0000000006</v>
      </c>
      <c r="DW9">
        <v>3.3000000002999998</v>
      </c>
      <c r="DX9">
        <v>6.3000000008999999</v>
      </c>
      <c r="DY9">
        <v>10.700000000699999</v>
      </c>
      <c r="DZ9">
        <v>17.499999999900002</v>
      </c>
      <c r="EA9">
        <v>24.000000001299998</v>
      </c>
      <c r="EB9">
        <v>31.399999999799999</v>
      </c>
      <c r="EC9">
        <v>38.5999999999</v>
      </c>
      <c r="ED9">
        <v>45.900000001000002</v>
      </c>
      <c r="EE9">
        <v>52.4000000005</v>
      </c>
      <c r="EF9">
        <v>60.800000001100003</v>
      </c>
      <c r="EG9">
        <v>68.500000001199993</v>
      </c>
      <c r="EH9">
        <v>76.000000000900002</v>
      </c>
      <c r="EI9">
        <v>83.800000000300003</v>
      </c>
      <c r="EJ9">
        <v>91.700000000900005</v>
      </c>
      <c r="EK9">
        <v>99.400000000999995</v>
      </c>
      <c r="EL9">
        <v>107.3000000015</v>
      </c>
      <c r="EM9">
        <v>115.70000000029999</v>
      </c>
      <c r="EN9">
        <v>123.9000000005</v>
      </c>
      <c r="EO9">
        <v>131.800000001</v>
      </c>
      <c r="EP9">
        <v>140.30000000090001</v>
      </c>
      <c r="EQ9">
        <v>148.6999999997</v>
      </c>
      <c r="ER9">
        <v>156.80000000070001</v>
      </c>
      <c r="ES9">
        <v>165.0000000009</v>
      </c>
      <c r="ET9">
        <v>173.40000000149999</v>
      </c>
      <c r="EU9">
        <v>181.59999999990001</v>
      </c>
      <c r="EV9">
        <v>190.00000000049999</v>
      </c>
      <c r="EW9">
        <v>198.20000000069999</v>
      </c>
      <c r="EX9">
        <v>206.7000000006</v>
      </c>
      <c r="EY9">
        <v>215.00000000009999</v>
      </c>
      <c r="EZ9">
        <v>222.9000000007</v>
      </c>
      <c r="FA9">
        <v>231.1000000009</v>
      </c>
      <c r="FB9">
        <v>238.800000001</v>
      </c>
      <c r="FC9">
        <v>247.00000000119999</v>
      </c>
      <c r="FD9">
        <v>255.20000000140001</v>
      </c>
      <c r="FE9">
        <v>262.89999999970001</v>
      </c>
      <c r="FF9">
        <v>270.90000000129999</v>
      </c>
      <c r="FG9">
        <v>278.7000000008</v>
      </c>
      <c r="FH9">
        <v>286.20000000049998</v>
      </c>
      <c r="FI9">
        <v>293.30000000119998</v>
      </c>
      <c r="FJ9">
        <v>301.00000000130001</v>
      </c>
      <c r="FK9">
        <v>308.70000000139999</v>
      </c>
      <c r="FL9">
        <v>316.00000000070003</v>
      </c>
      <c r="FM9">
        <v>323.40000000110001</v>
      </c>
      <c r="FN9">
        <v>330.4000000007</v>
      </c>
      <c r="FO9">
        <v>337.30000000109999</v>
      </c>
      <c r="FP9">
        <v>344.00000000099999</v>
      </c>
      <c r="FQ9">
        <v>350.80000000019999</v>
      </c>
      <c r="FR9">
        <v>357.60000000119999</v>
      </c>
      <c r="FS9">
        <v>364.2</v>
      </c>
      <c r="FT9">
        <v>370.80000000059999</v>
      </c>
      <c r="FU9">
        <v>377.50000000049999</v>
      </c>
      <c r="FV9">
        <v>383.49999999990001</v>
      </c>
      <c r="FW9">
        <v>389.90000000010002</v>
      </c>
      <c r="FX9">
        <v>395.4000000012</v>
      </c>
      <c r="FY9">
        <v>401.30000000140001</v>
      </c>
      <c r="FZ9">
        <v>407.20000000149997</v>
      </c>
      <c r="GA9">
        <v>413.09999999979999</v>
      </c>
      <c r="GB9">
        <v>419.10000000100001</v>
      </c>
      <c r="GC9">
        <v>424.70000000139999</v>
      </c>
      <c r="GD9">
        <v>430.20000000070002</v>
      </c>
      <c r="GE9">
        <v>435.4000000003</v>
      </c>
      <c r="GF9">
        <v>440.40000000129999</v>
      </c>
      <c r="GG9">
        <v>445.40000000049997</v>
      </c>
      <c r="GH9">
        <v>450.30000000040002</v>
      </c>
      <c r="GI9">
        <v>454.70000000020002</v>
      </c>
      <c r="GJ9">
        <v>457.7000000008</v>
      </c>
      <c r="GK9">
        <v>459.00000000070003</v>
      </c>
      <c r="GL9">
        <v>458.80000000029997</v>
      </c>
      <c r="GM9">
        <v>459.1</v>
      </c>
      <c r="GN9">
        <v>459.1</v>
      </c>
      <c r="GO9">
        <v>459.1</v>
      </c>
      <c r="GP9">
        <v>459.1</v>
      </c>
      <c r="GQ9">
        <v>459.20000000110002</v>
      </c>
      <c r="GR9">
        <v>459.30000000040002</v>
      </c>
      <c r="GS9">
        <v>459.30000000040002</v>
      </c>
      <c r="GT9">
        <v>459.20000000110002</v>
      </c>
      <c r="GU9">
        <v>459.1</v>
      </c>
      <c r="GV9">
        <v>459.20000000110002</v>
      </c>
      <c r="GW9">
        <v>459.1</v>
      </c>
      <c r="GX9">
        <v>1</v>
      </c>
      <c r="GY9">
        <v>120.0000000008</v>
      </c>
      <c r="GZ9">
        <v>117.9000000011</v>
      </c>
      <c r="HA9">
        <v>117.9000000011</v>
      </c>
      <c r="HB9">
        <v>123.9000000005</v>
      </c>
      <c r="HC9">
        <v>119.47953184639999</v>
      </c>
      <c r="HD9">
        <v>-5.9999999994</v>
      </c>
      <c r="HE9">
        <v>459.1</v>
      </c>
      <c r="HF9">
        <v>298.83037561240002</v>
      </c>
      <c r="HG9">
        <v>99.957964072799996</v>
      </c>
      <c r="HH9">
        <v>459.30000000040002</v>
      </c>
      <c r="HI9">
        <v>459.30000000040002</v>
      </c>
      <c r="HJ9">
        <v>459.30000000040002</v>
      </c>
      <c r="HK9">
        <v>459.30000000040002</v>
      </c>
      <c r="HL9">
        <v>114.9560117302</v>
      </c>
      <c r="HM9">
        <v>3.3075936550999998</v>
      </c>
      <c r="HN9">
        <v>3.219524812</v>
      </c>
      <c r="HO9">
        <v>3.2855889412999999</v>
      </c>
      <c r="HP9">
        <v>3.0967169055000001</v>
      </c>
      <c r="HQ9">
        <v>3.4842018132999999</v>
      </c>
      <c r="HR9">
        <v>2.2382609430999998</v>
      </c>
      <c r="HS9">
        <v>19.521567773499999</v>
      </c>
      <c r="HT9">
        <v>-30.4985337243</v>
      </c>
      <c r="HU9">
        <v>-208</v>
      </c>
      <c r="HV9">
        <v>418.30990745880001</v>
      </c>
      <c r="HW9">
        <v>93.841642228699996</v>
      </c>
      <c r="HX9">
        <v>640</v>
      </c>
      <c r="HY9">
        <v>19.521567773499999</v>
      </c>
      <c r="HZ9">
        <v>-30.4985337243</v>
      </c>
      <c r="IA9">
        <v>-208</v>
      </c>
      <c r="IB9">
        <v>418.30990745880001</v>
      </c>
      <c r="IC9">
        <v>93.841642228699996</v>
      </c>
      <c r="ID9">
        <v>640</v>
      </c>
      <c r="IE9">
        <v>40.990092541700001</v>
      </c>
      <c r="IF9">
        <v>1.6090691359</v>
      </c>
      <c r="IG9">
        <v>-39.8826979472</v>
      </c>
      <c r="IH9">
        <v>-272</v>
      </c>
      <c r="II9">
        <v>440.0536962452</v>
      </c>
      <c r="IJ9">
        <v>103.22580645159999</v>
      </c>
      <c r="IK9">
        <v>704</v>
      </c>
      <c r="IL9">
        <v>398.78833968520001</v>
      </c>
      <c r="IM9">
        <v>124.3401759531</v>
      </c>
      <c r="IN9">
        <v>423.45623298880002</v>
      </c>
      <c r="IO9">
        <v>133.724340176</v>
      </c>
      <c r="IP9">
        <v>6.7999999991999998</v>
      </c>
      <c r="IQ9">
        <v>5.6000000003999997</v>
      </c>
      <c r="IR9">
        <v>8.7999999996000007</v>
      </c>
      <c r="IS9">
        <v>5.5535847827999998</v>
      </c>
      <c r="IT9">
        <v>5.5535847827999998</v>
      </c>
      <c r="IU9">
        <v>4.6999999995000001</v>
      </c>
      <c r="IV9">
        <v>-32.844574780099997</v>
      </c>
      <c r="IW9">
        <v>8.5999999991999996</v>
      </c>
      <c r="IX9">
        <v>77.419354838700002</v>
      </c>
      <c r="IY9">
        <v>7.2</v>
      </c>
      <c r="IZ9">
        <v>100.87976539589999</v>
      </c>
      <c r="JA9">
        <v>-36.878001439899997</v>
      </c>
      <c r="JB9">
        <v>0.34262845679999998</v>
      </c>
      <c r="JC9">
        <v>-3.6135950000000002E-4</v>
      </c>
      <c r="JD9">
        <v>6.9169999999999998E-7</v>
      </c>
      <c r="JE9">
        <v>0.3023345986</v>
      </c>
      <c r="JF9">
        <v>0.31341553709999997</v>
      </c>
      <c r="JG9">
        <v>8.6476852600000001E-2</v>
      </c>
      <c r="JH9">
        <v>119.6772514797</v>
      </c>
      <c r="JI9">
        <v>3.4842018132999999</v>
      </c>
      <c r="JJ9">
        <v>3.1660340999999999E-3</v>
      </c>
      <c r="JK9">
        <v>-6.9653200000000006E-5</v>
      </c>
      <c r="JL9">
        <v>3.3075936550999998</v>
      </c>
      <c r="JM9">
        <v>1.3495151584</v>
      </c>
      <c r="JN9">
        <v>0.49140944650000001</v>
      </c>
      <c r="JO9">
        <v>2.8984999996999998</v>
      </c>
      <c r="JP9">
        <v>2.3870000002</v>
      </c>
      <c r="JQ9">
        <v>3.7509999997999999</v>
      </c>
      <c r="JR9" s="17" t="s">
        <v>544</v>
      </c>
      <c r="JU9" s="17">
        <v>1</v>
      </c>
    </row>
    <row r="10" spans="1:281">
      <c r="A10" t="s">
        <v>658</v>
      </c>
      <c r="B10" t="s">
        <v>659</v>
      </c>
      <c r="C10" t="s">
        <v>660</v>
      </c>
      <c r="D10" t="s">
        <v>213</v>
      </c>
      <c r="E10">
        <v>3</v>
      </c>
      <c r="F10" t="s">
        <v>214</v>
      </c>
      <c r="G10" t="s">
        <v>215</v>
      </c>
      <c r="H10" t="s">
        <v>543</v>
      </c>
      <c r="I10" t="s">
        <v>217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0.1000000011</v>
      </c>
      <c r="S10">
        <v>0.29999999970000002</v>
      </c>
      <c r="T10">
        <v>0.29999999970000002</v>
      </c>
      <c r="U10">
        <v>0.29999999970000002</v>
      </c>
      <c r="V10">
        <v>0.29999999970000002</v>
      </c>
      <c r="W10">
        <v>0.40000000079999998</v>
      </c>
      <c r="X10">
        <v>0.50000000010000001</v>
      </c>
      <c r="Y10">
        <v>0.50000000010000001</v>
      </c>
      <c r="Z10">
        <v>0.40000000079999998</v>
      </c>
      <c r="AA10">
        <v>0.50000000010000001</v>
      </c>
      <c r="AB10">
        <v>0.40000000079999998</v>
      </c>
      <c r="AC10">
        <v>0.50000000010000001</v>
      </c>
      <c r="AD10">
        <v>0.79999999980000003</v>
      </c>
      <c r="AE10">
        <v>0.50000000010000001</v>
      </c>
      <c r="AF10">
        <v>0.29999999970000002</v>
      </c>
      <c r="AG10">
        <v>0.20000000039999999</v>
      </c>
      <c r="AH10">
        <v>0</v>
      </c>
      <c r="AI10">
        <v>2.0999999997000001</v>
      </c>
      <c r="AJ10">
        <v>7.3000000010999999</v>
      </c>
      <c r="AK10">
        <v>13.700000001299999</v>
      </c>
      <c r="AL10">
        <v>20.599999999800001</v>
      </c>
      <c r="AM10">
        <v>27.299999999699999</v>
      </c>
      <c r="AN10">
        <v>34.200000000099998</v>
      </c>
      <c r="AO10">
        <v>41.699999999799999</v>
      </c>
      <c r="AP10">
        <v>49.500000000999997</v>
      </c>
      <c r="AQ10">
        <v>57.000000000699998</v>
      </c>
      <c r="AR10">
        <v>64.900000001199999</v>
      </c>
      <c r="AS10">
        <v>72.200000000499998</v>
      </c>
      <c r="AT10">
        <v>80.100000000999998</v>
      </c>
      <c r="AU10">
        <v>87.800000001200004</v>
      </c>
      <c r="AV10">
        <v>96.100000000700007</v>
      </c>
      <c r="AW10">
        <v>104.4000000002</v>
      </c>
      <c r="AX10">
        <v>113.1999999998</v>
      </c>
      <c r="AY10">
        <v>121.8000000008</v>
      </c>
      <c r="AZ10">
        <v>129.6000000002</v>
      </c>
      <c r="BA10">
        <v>138.00000000079999</v>
      </c>
      <c r="BB10">
        <v>145.90000000129999</v>
      </c>
      <c r="BC10">
        <v>154.40000000129999</v>
      </c>
      <c r="BD10">
        <v>163.09999999979999</v>
      </c>
      <c r="BE10">
        <v>171.20000000069999</v>
      </c>
      <c r="BF10">
        <v>179.20000000050001</v>
      </c>
      <c r="BG10">
        <v>187.2999999996</v>
      </c>
      <c r="BH10">
        <v>195.3000000012</v>
      </c>
      <c r="BI10">
        <v>203.60000000069999</v>
      </c>
      <c r="BJ10">
        <v>212.0000000014</v>
      </c>
      <c r="BK10">
        <v>220.30000000090001</v>
      </c>
      <c r="BL10">
        <v>227.89999999989999</v>
      </c>
      <c r="BM10">
        <v>235.89999999969999</v>
      </c>
      <c r="BN10">
        <v>243.50000000049999</v>
      </c>
      <c r="BO10">
        <v>251.1000000013</v>
      </c>
      <c r="BP10">
        <v>259.1000000011</v>
      </c>
      <c r="BQ10">
        <v>266.90000000049997</v>
      </c>
      <c r="BR10">
        <v>274.5000000014</v>
      </c>
      <c r="BS10">
        <v>282.10000000039997</v>
      </c>
      <c r="BT10">
        <v>289.39999999970001</v>
      </c>
      <c r="BU10">
        <v>296.7000000008</v>
      </c>
      <c r="BV10">
        <v>303.79999999969999</v>
      </c>
      <c r="BW10">
        <v>311.10000000079998</v>
      </c>
      <c r="BX10">
        <v>318.40000000010002</v>
      </c>
      <c r="BY10">
        <v>325.39999999970001</v>
      </c>
      <c r="BZ10">
        <v>332.09999999960002</v>
      </c>
      <c r="CA10">
        <v>338.80000000140001</v>
      </c>
      <c r="CB10">
        <v>345.30000000090001</v>
      </c>
      <c r="CC10">
        <v>352.00000000080001</v>
      </c>
      <c r="CD10">
        <v>358.20000000060003</v>
      </c>
      <c r="CE10">
        <v>364.60000000079998</v>
      </c>
      <c r="CF10">
        <v>371.30000000069998</v>
      </c>
      <c r="CG10">
        <v>377.4000000012</v>
      </c>
      <c r="CH10">
        <v>383.30000000130002</v>
      </c>
      <c r="CI10">
        <v>389.50000000109998</v>
      </c>
      <c r="CJ10">
        <v>395.2000000008</v>
      </c>
      <c r="CK10">
        <v>401.10000000100001</v>
      </c>
      <c r="CL10">
        <v>406.80000000069998</v>
      </c>
      <c r="CM10">
        <v>412.3</v>
      </c>
      <c r="CN10">
        <v>418.20000000009998</v>
      </c>
      <c r="CO10">
        <v>423.80000000050001</v>
      </c>
      <c r="CP10">
        <v>429.10000000119999</v>
      </c>
      <c r="CQ10">
        <v>434.50000000120002</v>
      </c>
      <c r="CR10">
        <v>439.8000000001</v>
      </c>
      <c r="CS10">
        <v>444.90000000039998</v>
      </c>
      <c r="CT10">
        <v>448.5999999997</v>
      </c>
      <c r="CU10">
        <v>452.19999999970003</v>
      </c>
      <c r="CV10">
        <v>452.30000000080003</v>
      </c>
      <c r="CW10">
        <v>452.19999999970003</v>
      </c>
      <c r="CX10">
        <v>452.00000000109998</v>
      </c>
      <c r="CY10">
        <v>452.00000000109998</v>
      </c>
      <c r="CZ10">
        <v>451.9</v>
      </c>
      <c r="DA10">
        <v>452.00000000109998</v>
      </c>
      <c r="DB10">
        <v>452.00000000109998</v>
      </c>
      <c r="DC10">
        <v>451.69999999959998</v>
      </c>
      <c r="DD10">
        <v>451.80000000069998</v>
      </c>
      <c r="DE10">
        <v>452.00000000109998</v>
      </c>
      <c r="DF10">
        <v>452.00000000109998</v>
      </c>
      <c r="DG10">
        <v>451.60000000029999</v>
      </c>
      <c r="DH10">
        <v>1.1000000013</v>
      </c>
      <c r="DI10">
        <v>1.400000001</v>
      </c>
      <c r="DJ10">
        <v>1.400000001</v>
      </c>
      <c r="DK10">
        <v>1.400000001</v>
      </c>
      <c r="DL10">
        <v>1.2999999999</v>
      </c>
      <c r="DM10">
        <v>1.5000000003</v>
      </c>
      <c r="DN10">
        <v>1.5000000003</v>
      </c>
      <c r="DO10">
        <v>1.5999999996000001</v>
      </c>
      <c r="DP10">
        <v>1.7000000007</v>
      </c>
      <c r="DQ10">
        <v>1.5999999996000001</v>
      </c>
      <c r="DR10">
        <v>1.5000000003</v>
      </c>
      <c r="DS10">
        <v>1.5999999996000001</v>
      </c>
      <c r="DT10">
        <v>1.5000000003</v>
      </c>
      <c r="DU10">
        <v>1.400000001</v>
      </c>
      <c r="DV10">
        <v>1.5999999996000001</v>
      </c>
      <c r="DW10">
        <v>1.2000000006</v>
      </c>
      <c r="DX10">
        <v>1.400000001</v>
      </c>
      <c r="DY10">
        <v>5.1000000002999997</v>
      </c>
      <c r="DZ10">
        <v>12.0000000006</v>
      </c>
      <c r="EA10">
        <v>18.799999999800001</v>
      </c>
      <c r="EB10">
        <v>25.9000000005</v>
      </c>
      <c r="EC10">
        <v>32.4000000001</v>
      </c>
      <c r="ED10">
        <v>40.100000000199998</v>
      </c>
      <c r="EE10">
        <v>47.5999999999</v>
      </c>
      <c r="EF10">
        <v>55.400000001099997</v>
      </c>
      <c r="EG10">
        <v>62.799999999699999</v>
      </c>
      <c r="EH10">
        <v>70.499999999799996</v>
      </c>
      <c r="EI10">
        <v>78.300000001000001</v>
      </c>
      <c r="EJ10">
        <v>85.699999999599996</v>
      </c>
      <c r="EK10">
        <v>93.700000001299998</v>
      </c>
      <c r="EL10">
        <v>102.2000000012</v>
      </c>
      <c r="EM10">
        <v>110.6</v>
      </c>
      <c r="EN10">
        <v>119.20000000100001</v>
      </c>
      <c r="EO10">
        <v>127.8000000002</v>
      </c>
      <c r="EP10">
        <v>135.80000000000001</v>
      </c>
      <c r="EQ10">
        <v>143.90000000090001</v>
      </c>
      <c r="ER10">
        <v>152.29999999969999</v>
      </c>
      <c r="ES10">
        <v>161.00000000009999</v>
      </c>
      <c r="ET10">
        <v>169.4000000007</v>
      </c>
      <c r="EU10">
        <v>177.3000000012</v>
      </c>
      <c r="EV10">
        <v>185.80000000109999</v>
      </c>
      <c r="EW10">
        <v>193.80000000090001</v>
      </c>
      <c r="EX10">
        <v>202.1999999997</v>
      </c>
      <c r="EY10">
        <v>210.9</v>
      </c>
      <c r="EZ10">
        <v>219.00000000099999</v>
      </c>
      <c r="FA10">
        <v>227.10000000010001</v>
      </c>
      <c r="FB10">
        <v>234.90000000129999</v>
      </c>
      <c r="FC10">
        <v>242.90000000110001</v>
      </c>
      <c r="FD10">
        <v>251.0000000002</v>
      </c>
      <c r="FE10">
        <v>258.7999999996</v>
      </c>
      <c r="FF10">
        <v>266.90000000049997</v>
      </c>
      <c r="FG10">
        <v>274.6999999999</v>
      </c>
      <c r="FH10">
        <v>282.10000000039997</v>
      </c>
      <c r="FI10">
        <v>289.70000000120001</v>
      </c>
      <c r="FJ10">
        <v>297.09999999979999</v>
      </c>
      <c r="FK10">
        <v>304.70000000060003</v>
      </c>
      <c r="FL10">
        <v>312.10000000100001</v>
      </c>
      <c r="FM10">
        <v>319.49999999959999</v>
      </c>
      <c r="FN10">
        <v>326.50000000099999</v>
      </c>
      <c r="FO10">
        <v>333.80000000029997</v>
      </c>
      <c r="FP10">
        <v>340.29999999979998</v>
      </c>
      <c r="FQ10">
        <v>346.99999999980002</v>
      </c>
      <c r="FR10">
        <v>354.00000000120002</v>
      </c>
      <c r="FS10">
        <v>360.30000000029997</v>
      </c>
      <c r="FT10">
        <v>366.79999999979998</v>
      </c>
      <c r="FU10">
        <v>373.30000000109999</v>
      </c>
      <c r="FV10">
        <v>379.7000000013</v>
      </c>
      <c r="FW10">
        <v>385.70000000070002</v>
      </c>
      <c r="FX10">
        <v>391.49999999969998</v>
      </c>
      <c r="FY10">
        <v>397.70000000139999</v>
      </c>
      <c r="FZ10">
        <v>403.7000000008</v>
      </c>
      <c r="GA10">
        <v>408.99999999969998</v>
      </c>
      <c r="GB10">
        <v>414.70000000120001</v>
      </c>
      <c r="GC10">
        <v>420.10000000119999</v>
      </c>
      <c r="GD10">
        <v>425.69999999980001</v>
      </c>
      <c r="GE10">
        <v>430.9000000012</v>
      </c>
      <c r="GF10">
        <v>436.10000000079998</v>
      </c>
      <c r="GG10">
        <v>441.20000000110002</v>
      </c>
      <c r="GH10">
        <v>445.70000000020002</v>
      </c>
      <c r="GI10">
        <v>449.30000000019999</v>
      </c>
      <c r="GJ10">
        <v>451.60000000029999</v>
      </c>
      <c r="GK10">
        <v>451.80000000069998</v>
      </c>
      <c r="GL10">
        <v>451.80000000069998</v>
      </c>
      <c r="GM10">
        <v>452.00000000109998</v>
      </c>
      <c r="GN10">
        <v>452.00000000109998</v>
      </c>
      <c r="GO10">
        <v>451.9</v>
      </c>
      <c r="GP10">
        <v>451.80000000069998</v>
      </c>
      <c r="GQ10">
        <v>452.00000000109998</v>
      </c>
      <c r="GR10">
        <v>451.80000000069998</v>
      </c>
      <c r="GS10">
        <v>451.69999999959998</v>
      </c>
      <c r="GT10">
        <v>451.80000000069998</v>
      </c>
      <c r="GU10">
        <v>452.00000000109998</v>
      </c>
      <c r="GV10">
        <v>451.9</v>
      </c>
      <c r="GW10">
        <v>451.80000000069998</v>
      </c>
      <c r="GX10">
        <v>1</v>
      </c>
      <c r="GY10">
        <v>114.9999999998</v>
      </c>
      <c r="GZ10">
        <v>113.1999999998</v>
      </c>
      <c r="HA10">
        <v>113.1999999998</v>
      </c>
      <c r="HB10">
        <v>119.20000000100001</v>
      </c>
      <c r="HC10">
        <v>114.74213669549999</v>
      </c>
      <c r="HD10">
        <v>-6.0000000012000001</v>
      </c>
      <c r="HE10">
        <v>451.79982304869998</v>
      </c>
      <c r="HF10">
        <v>299.23531298490002</v>
      </c>
      <c r="HG10">
        <v>100.85882547990001</v>
      </c>
      <c r="HH10">
        <v>452.30000000080003</v>
      </c>
      <c r="HI10">
        <v>452.00000000109998</v>
      </c>
      <c r="HJ10">
        <v>452.30000000080003</v>
      </c>
      <c r="HK10">
        <v>452.00000000109998</v>
      </c>
      <c r="HL10">
        <v>112.6099706745</v>
      </c>
      <c r="HM10">
        <v>3.3234393707000001</v>
      </c>
      <c r="HN10">
        <v>3.2297294643000001</v>
      </c>
      <c r="HO10">
        <v>3.2874118973000002</v>
      </c>
      <c r="HP10">
        <v>3.1400764644999999</v>
      </c>
      <c r="HQ10">
        <v>3.5158217812000001</v>
      </c>
      <c r="HR10">
        <v>2.2186701955000001</v>
      </c>
      <c r="HS10">
        <v>13.883311215599999</v>
      </c>
      <c r="HT10">
        <v>-30.4985337243</v>
      </c>
      <c r="HU10">
        <v>-208</v>
      </c>
      <c r="HV10">
        <v>413.97744968040001</v>
      </c>
      <c r="HW10">
        <v>93.841642228699996</v>
      </c>
      <c r="HX10">
        <v>640</v>
      </c>
      <c r="HY10">
        <v>13.883311215599999</v>
      </c>
      <c r="HZ10">
        <v>-30.4985337243</v>
      </c>
      <c r="IA10">
        <v>-208</v>
      </c>
      <c r="IB10">
        <v>413.97744968040001</v>
      </c>
      <c r="IC10">
        <v>93.841642228699996</v>
      </c>
      <c r="ID10">
        <v>640</v>
      </c>
      <c r="IE10">
        <v>38.022550320699999</v>
      </c>
      <c r="IF10">
        <v>0.2015483304</v>
      </c>
      <c r="IG10">
        <v>-39.8826979472</v>
      </c>
      <c r="IH10">
        <v>-272</v>
      </c>
      <c r="II10">
        <v>435.79807564779998</v>
      </c>
      <c r="IJ10">
        <v>103.22580645159999</v>
      </c>
      <c r="IK10">
        <v>704</v>
      </c>
      <c r="IL10">
        <v>400.09413846479998</v>
      </c>
      <c r="IM10">
        <v>124.3401759531</v>
      </c>
      <c r="IN10">
        <v>423.0759455873</v>
      </c>
      <c r="IO10">
        <v>133.724340176</v>
      </c>
      <c r="IP10">
        <v>6.9000000003000004</v>
      </c>
      <c r="IQ10">
        <v>5.5999999986000004</v>
      </c>
      <c r="IR10">
        <v>8.7999999996000007</v>
      </c>
      <c r="IS10">
        <v>6.1082430222999999</v>
      </c>
      <c r="IT10">
        <v>6.1082430222999999</v>
      </c>
      <c r="IU10">
        <v>5.0999999985000004</v>
      </c>
      <c r="IV10">
        <v>-30.4985337243</v>
      </c>
      <c r="IW10">
        <v>8.7000000002999993</v>
      </c>
      <c r="IX10">
        <v>70.381231671600005</v>
      </c>
      <c r="IY10">
        <v>7.1000000006999997</v>
      </c>
      <c r="IZ10">
        <v>100.87976539589999</v>
      </c>
      <c r="JA10">
        <v>-34.835664547999997</v>
      </c>
      <c r="JB10">
        <v>0.33515582030000002</v>
      </c>
      <c r="JC10">
        <v>-3.4596559999999999E-4</v>
      </c>
      <c r="JD10">
        <v>6.919E-7</v>
      </c>
      <c r="JE10">
        <v>0.30089310749999998</v>
      </c>
      <c r="JF10">
        <v>0.25110969189999999</v>
      </c>
      <c r="JG10">
        <v>0.1044944366</v>
      </c>
      <c r="JH10">
        <v>114.86695209760001</v>
      </c>
      <c r="JI10">
        <v>3.5158217812000001</v>
      </c>
      <c r="JJ10">
        <v>2.9538529000000002E-3</v>
      </c>
      <c r="JK10">
        <v>-7.0084299999999996E-5</v>
      </c>
      <c r="JL10">
        <v>3.3234393707000001</v>
      </c>
      <c r="JM10">
        <v>1.5080220634999999</v>
      </c>
      <c r="JN10">
        <v>0.56681200099999995</v>
      </c>
      <c r="JO10">
        <v>2.9411250001</v>
      </c>
      <c r="JP10">
        <v>2.3869999994</v>
      </c>
      <c r="JQ10">
        <v>3.7509999997999999</v>
      </c>
      <c r="JR10" s="17" t="s">
        <v>544</v>
      </c>
      <c r="JU10" s="17">
        <v>1</v>
      </c>
    </row>
    <row r="11" spans="1:281">
      <c r="A11" t="s">
        <v>673</v>
      </c>
      <c r="B11" t="s">
        <v>674</v>
      </c>
      <c r="C11" t="s">
        <v>675</v>
      </c>
      <c r="D11" t="s">
        <v>213</v>
      </c>
      <c r="E11">
        <v>3</v>
      </c>
      <c r="F11" t="s">
        <v>214</v>
      </c>
      <c r="G11" t="s">
        <v>215</v>
      </c>
      <c r="H11" t="s">
        <v>543</v>
      </c>
      <c r="I11" t="s">
        <v>217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0</v>
      </c>
      <c r="S11">
        <v>0.20000000039999999</v>
      </c>
      <c r="T11">
        <v>0.50000000010000001</v>
      </c>
      <c r="U11">
        <v>0.59999999940000004</v>
      </c>
      <c r="V11">
        <v>0.59999999940000004</v>
      </c>
      <c r="W11">
        <v>0.50000000010000001</v>
      </c>
      <c r="X11">
        <v>0.50000000010000001</v>
      </c>
      <c r="Y11">
        <v>0.59999999940000004</v>
      </c>
      <c r="Z11">
        <v>0.50000000010000001</v>
      </c>
      <c r="AA11">
        <v>0.59999999940000004</v>
      </c>
      <c r="AB11">
        <v>0.7000000005</v>
      </c>
      <c r="AC11">
        <v>0.59999999940000004</v>
      </c>
      <c r="AD11">
        <v>0.7000000005</v>
      </c>
      <c r="AE11">
        <v>0.59999999940000004</v>
      </c>
      <c r="AF11">
        <v>0.7000000005</v>
      </c>
      <c r="AG11">
        <v>0.7000000005</v>
      </c>
      <c r="AH11">
        <v>0.50000000010000001</v>
      </c>
      <c r="AI11">
        <v>3.3000000002999998</v>
      </c>
      <c r="AJ11">
        <v>9.5000000001</v>
      </c>
      <c r="AK11">
        <v>16.299999999299999</v>
      </c>
      <c r="AL11">
        <v>23.499999999300002</v>
      </c>
      <c r="AM11">
        <v>30.800000000499999</v>
      </c>
      <c r="AN11">
        <v>37.699999998899997</v>
      </c>
      <c r="AO11">
        <v>45.399999999099997</v>
      </c>
      <c r="AP11">
        <v>52.499999999800004</v>
      </c>
      <c r="AQ11">
        <v>60.299999999199997</v>
      </c>
      <c r="AR11">
        <v>68.100000000400001</v>
      </c>
      <c r="AS11">
        <v>75.899999999800002</v>
      </c>
      <c r="AT11">
        <v>83.999999998899995</v>
      </c>
      <c r="AU11">
        <v>91.399999999299993</v>
      </c>
      <c r="AV11">
        <v>99.599999999600001</v>
      </c>
      <c r="AW11">
        <v>107.0999999993</v>
      </c>
      <c r="AX11">
        <v>115.8999999989</v>
      </c>
      <c r="AY11">
        <v>124.8999999989</v>
      </c>
      <c r="AZ11">
        <v>133.09999999909999</v>
      </c>
      <c r="BA11">
        <v>140.9000000003</v>
      </c>
      <c r="BB11">
        <v>149.29999999910001</v>
      </c>
      <c r="BC11">
        <v>156.99999999920001</v>
      </c>
      <c r="BD11">
        <v>165.19999999949999</v>
      </c>
      <c r="BE11">
        <v>173.8999999998</v>
      </c>
      <c r="BF11">
        <v>182.30000000039999</v>
      </c>
      <c r="BG11">
        <v>190.49999999880001</v>
      </c>
      <c r="BH11">
        <v>198.699999999</v>
      </c>
      <c r="BI11">
        <v>206.5999999995</v>
      </c>
      <c r="BJ11">
        <v>214.5</v>
      </c>
      <c r="BK11">
        <v>222.70000000030001</v>
      </c>
      <c r="BL11">
        <v>231.09999999909999</v>
      </c>
      <c r="BM11">
        <v>239.09999999889999</v>
      </c>
      <c r="BN11">
        <v>246.29999999890001</v>
      </c>
      <c r="BO11">
        <v>254.3999999998</v>
      </c>
      <c r="BP11">
        <v>262.09999999989998</v>
      </c>
      <c r="BQ11">
        <v>269.69999999890001</v>
      </c>
      <c r="BR11">
        <v>277.29999999969999</v>
      </c>
      <c r="BS11">
        <v>284.90000000060002</v>
      </c>
      <c r="BT11">
        <v>292.49999999959999</v>
      </c>
      <c r="BU11">
        <v>299.60000000029999</v>
      </c>
      <c r="BV11">
        <v>307.10000000000002</v>
      </c>
      <c r="BW11">
        <v>313.79999999990002</v>
      </c>
      <c r="BX11">
        <v>320.70000000020002</v>
      </c>
      <c r="BY11">
        <v>327.90000000020001</v>
      </c>
      <c r="BZ11">
        <v>334.9999999991</v>
      </c>
      <c r="CA11">
        <v>342.00000000059998</v>
      </c>
      <c r="CB11">
        <v>348.50000000009999</v>
      </c>
      <c r="CC11">
        <v>354.99999999959999</v>
      </c>
      <c r="CD11">
        <v>361.4999999991</v>
      </c>
      <c r="CE11">
        <v>367.89999999930001</v>
      </c>
      <c r="CF11">
        <v>374.20000000020002</v>
      </c>
      <c r="CG11">
        <v>380.49999999929997</v>
      </c>
      <c r="CH11">
        <v>386.69999999909999</v>
      </c>
      <c r="CI11">
        <v>392.70000000030001</v>
      </c>
      <c r="CJ11">
        <v>398.60000000039997</v>
      </c>
      <c r="CK11">
        <v>404.50000000059998</v>
      </c>
      <c r="CL11">
        <v>410.39999999880001</v>
      </c>
      <c r="CM11">
        <v>415.9</v>
      </c>
      <c r="CN11">
        <v>421.09999999960002</v>
      </c>
      <c r="CO11">
        <v>426.59999999889999</v>
      </c>
      <c r="CP11">
        <v>432.1</v>
      </c>
      <c r="CQ11">
        <v>437.7000000004</v>
      </c>
      <c r="CR11">
        <v>443.10000000039997</v>
      </c>
      <c r="CS11">
        <v>448.39999999930001</v>
      </c>
      <c r="CT11">
        <v>452.79999999910001</v>
      </c>
      <c r="CU11">
        <v>453.90000000039998</v>
      </c>
      <c r="CV11">
        <v>453.79999999929998</v>
      </c>
      <c r="CW11">
        <v>453.90000000039998</v>
      </c>
      <c r="CX11">
        <v>454.09999999899998</v>
      </c>
      <c r="CY11">
        <v>453.90000000039998</v>
      </c>
      <c r="CZ11">
        <v>453.7</v>
      </c>
      <c r="DA11">
        <v>453.99999999969998</v>
      </c>
      <c r="DB11">
        <v>453.99999999969998</v>
      </c>
      <c r="DC11">
        <v>453.79999999929998</v>
      </c>
      <c r="DD11">
        <v>453.90000000039998</v>
      </c>
      <c r="DE11">
        <v>454.09999999899998</v>
      </c>
      <c r="DF11">
        <v>453.79999999929998</v>
      </c>
      <c r="DG11">
        <v>453.79999999929998</v>
      </c>
      <c r="DH11">
        <v>0.89999999909999995</v>
      </c>
      <c r="DI11">
        <v>1.1999999988000001</v>
      </c>
      <c r="DJ11">
        <v>1.0999999995</v>
      </c>
      <c r="DK11">
        <v>1.3999999992000001</v>
      </c>
      <c r="DL11">
        <v>1.2999999999</v>
      </c>
      <c r="DM11">
        <v>1.1999999988000001</v>
      </c>
      <c r="DN11">
        <v>1.5000000003</v>
      </c>
      <c r="DO11">
        <v>1.2999999999</v>
      </c>
      <c r="DP11">
        <v>1.2999999999</v>
      </c>
      <c r="DQ11">
        <v>1.3999999992000001</v>
      </c>
      <c r="DR11">
        <v>1.2999999999</v>
      </c>
      <c r="DS11">
        <v>1.3999999992000001</v>
      </c>
      <c r="DT11">
        <v>1.5000000003</v>
      </c>
      <c r="DU11">
        <v>1.2999999999</v>
      </c>
      <c r="DV11">
        <v>1.2999999999</v>
      </c>
      <c r="DW11">
        <v>1.2999999999</v>
      </c>
      <c r="DX11">
        <v>1.8999999993000001</v>
      </c>
      <c r="DY11">
        <v>7.0999999989000004</v>
      </c>
      <c r="DZ11">
        <v>14.299999998900001</v>
      </c>
      <c r="EA11">
        <v>21.699999999300001</v>
      </c>
      <c r="EB11">
        <v>28.8</v>
      </c>
      <c r="EC11">
        <v>35.700000000400003</v>
      </c>
      <c r="ED11">
        <v>43.4000000005</v>
      </c>
      <c r="EE11">
        <v>50.4000000001</v>
      </c>
      <c r="EF11">
        <v>57.800000000499999</v>
      </c>
      <c r="EG11">
        <v>65.699999999200003</v>
      </c>
      <c r="EH11">
        <v>73.399999999299993</v>
      </c>
      <c r="EI11">
        <v>81.500000000200004</v>
      </c>
      <c r="EJ11">
        <v>89.099999999199994</v>
      </c>
      <c r="EK11">
        <v>97.400000000600002</v>
      </c>
      <c r="EL11">
        <v>104.99999999960001</v>
      </c>
      <c r="EM11">
        <v>113.2999999991</v>
      </c>
      <c r="EN11">
        <v>121.9999999994</v>
      </c>
      <c r="EO11">
        <v>130.79999999899999</v>
      </c>
      <c r="EP11">
        <v>138.69999999949999</v>
      </c>
      <c r="EQ11">
        <v>147.3999999998</v>
      </c>
      <c r="ER11">
        <v>155.30000000039999</v>
      </c>
      <c r="ES11">
        <v>163.50000000060001</v>
      </c>
      <c r="ET11">
        <v>172.09999999979999</v>
      </c>
      <c r="EU11">
        <v>180.39999999930001</v>
      </c>
      <c r="EV11">
        <v>188.6999999988</v>
      </c>
      <c r="EW11">
        <v>196.7000000004</v>
      </c>
      <c r="EX11">
        <v>205.09999999920001</v>
      </c>
      <c r="EY11">
        <v>213.4000000005</v>
      </c>
      <c r="EZ11">
        <v>221.2</v>
      </c>
      <c r="FA11">
        <v>229.99999999959999</v>
      </c>
      <c r="FB11">
        <v>237.99999999939999</v>
      </c>
      <c r="FC11">
        <v>245.80000000059999</v>
      </c>
      <c r="FD11">
        <v>253.99999999900001</v>
      </c>
      <c r="FE11">
        <v>261.69999999909999</v>
      </c>
      <c r="FF11">
        <v>269.19999999880002</v>
      </c>
      <c r="FG11">
        <v>277.2000000004</v>
      </c>
      <c r="FH11">
        <v>285.09999999910002</v>
      </c>
      <c r="FI11">
        <v>292.90000000039998</v>
      </c>
      <c r="FJ11">
        <v>299.99999999929997</v>
      </c>
      <c r="FK11">
        <v>307.8999999998</v>
      </c>
      <c r="FL11">
        <v>314.50000000040001</v>
      </c>
      <c r="FM11">
        <v>321.89999999899999</v>
      </c>
      <c r="FN11">
        <v>328.99999999969998</v>
      </c>
      <c r="FO11">
        <v>336.49999999940002</v>
      </c>
      <c r="FP11">
        <v>343.6000000002</v>
      </c>
      <c r="FQ11">
        <v>349.8</v>
      </c>
      <c r="FR11">
        <v>356.70000000030001</v>
      </c>
      <c r="FS11">
        <v>363.19999999980001</v>
      </c>
      <c r="FT11">
        <v>369.6</v>
      </c>
      <c r="FU11">
        <v>375.79999999979998</v>
      </c>
      <c r="FV11">
        <v>382.40000000039998</v>
      </c>
      <c r="FW11">
        <v>389.10000000029999</v>
      </c>
      <c r="FX11">
        <v>394.69999999890001</v>
      </c>
      <c r="FY11">
        <v>400.40000000039998</v>
      </c>
      <c r="FZ11">
        <v>406.60000000029999</v>
      </c>
      <c r="GA11">
        <v>412.39999999930001</v>
      </c>
      <c r="GB11">
        <v>417.90000000039998</v>
      </c>
      <c r="GC11">
        <v>422.99999999890002</v>
      </c>
      <c r="GD11">
        <v>428.5</v>
      </c>
      <c r="GE11">
        <v>433.99999999929997</v>
      </c>
      <c r="GF11">
        <v>439.39999999930001</v>
      </c>
      <c r="GG11">
        <v>444.4000000003</v>
      </c>
      <c r="GH11">
        <v>448.8000000001</v>
      </c>
      <c r="GI11">
        <v>452.99999999950001</v>
      </c>
      <c r="GJ11">
        <v>453.59999999889999</v>
      </c>
      <c r="GK11">
        <v>453.49999999959999</v>
      </c>
      <c r="GL11">
        <v>453.59999999889999</v>
      </c>
      <c r="GM11">
        <v>453.7</v>
      </c>
      <c r="GN11">
        <v>453.7</v>
      </c>
      <c r="GO11">
        <v>453.79999999929998</v>
      </c>
      <c r="GP11">
        <v>453.79999999929998</v>
      </c>
      <c r="GQ11">
        <v>453.79999999929998</v>
      </c>
      <c r="GR11">
        <v>453.7</v>
      </c>
      <c r="GS11">
        <v>453.90000000039998</v>
      </c>
      <c r="GT11">
        <v>453.90000000039998</v>
      </c>
      <c r="GU11">
        <v>453.7</v>
      </c>
      <c r="GV11">
        <v>454.09999999899998</v>
      </c>
      <c r="GW11">
        <v>454.20000000009998</v>
      </c>
      <c r="GX11">
        <v>1</v>
      </c>
      <c r="GY11">
        <v>118.0999999997</v>
      </c>
      <c r="GZ11">
        <v>115.8999999989</v>
      </c>
      <c r="HA11">
        <v>115.8999999989</v>
      </c>
      <c r="HB11">
        <v>121.9999999994</v>
      </c>
      <c r="HC11">
        <v>117.4982268712</v>
      </c>
      <c r="HD11">
        <v>-6.1000000004999997</v>
      </c>
      <c r="HE11">
        <v>454.20000000009998</v>
      </c>
      <c r="HF11">
        <v>304.96145374439999</v>
      </c>
      <c r="HG11">
        <v>100.9722356825</v>
      </c>
      <c r="HH11">
        <v>454.20000000009998</v>
      </c>
      <c r="HI11">
        <v>454.20000000009998</v>
      </c>
      <c r="HJ11">
        <v>454.09999999899998</v>
      </c>
      <c r="HK11">
        <v>454.20000000009998</v>
      </c>
      <c r="HL11">
        <v>112.6099706745</v>
      </c>
      <c r="HM11">
        <v>3.306789985</v>
      </c>
      <c r="HN11">
        <v>3.2180134415000001</v>
      </c>
      <c r="HO11">
        <v>3.2880912698000002</v>
      </c>
      <c r="HP11">
        <v>3.1538446154000002</v>
      </c>
      <c r="HQ11">
        <v>3.50798421</v>
      </c>
      <c r="HR11">
        <v>2.1872739878999998</v>
      </c>
      <c r="HS11">
        <v>16.525991188700001</v>
      </c>
      <c r="HT11">
        <v>-30.4985337243</v>
      </c>
      <c r="HU11">
        <v>-208</v>
      </c>
      <c r="HV11">
        <v>422.45968061569999</v>
      </c>
      <c r="HW11">
        <v>96.187683284499997</v>
      </c>
      <c r="HX11">
        <v>656</v>
      </c>
      <c r="HY11">
        <v>16.525991188700001</v>
      </c>
      <c r="HZ11">
        <v>-30.4985337243</v>
      </c>
      <c r="IA11">
        <v>-208</v>
      </c>
      <c r="IB11">
        <v>422.45968061569999</v>
      </c>
      <c r="IC11">
        <v>96.187683284499997</v>
      </c>
      <c r="ID11">
        <v>656</v>
      </c>
      <c r="IE11">
        <v>31.740319384399999</v>
      </c>
      <c r="IF11">
        <v>0.70132158639999997</v>
      </c>
      <c r="IG11">
        <v>-39.8826979472</v>
      </c>
      <c r="IH11">
        <v>-272</v>
      </c>
      <c r="II11">
        <v>444.20888766550001</v>
      </c>
      <c r="IJ11">
        <v>105.57184750730001</v>
      </c>
      <c r="IK11">
        <v>720</v>
      </c>
      <c r="IL11">
        <v>405.9336894269</v>
      </c>
      <c r="IM11">
        <v>126.6862170088</v>
      </c>
      <c r="IN11">
        <v>430.2701762104</v>
      </c>
      <c r="IO11">
        <v>136.0703812317</v>
      </c>
      <c r="IP11">
        <v>7.2</v>
      </c>
      <c r="IQ11">
        <v>5.6000000003999997</v>
      </c>
      <c r="IR11">
        <v>9</v>
      </c>
      <c r="IS11">
        <v>6.3080402189999996</v>
      </c>
      <c r="IT11">
        <v>6.3080402189999996</v>
      </c>
      <c r="IU11">
        <v>4.7999999987999997</v>
      </c>
      <c r="IV11">
        <v>-32.844574780099997</v>
      </c>
      <c r="IW11">
        <v>8.6000000009999997</v>
      </c>
      <c r="IX11">
        <v>65.689149560100006</v>
      </c>
      <c r="IY11">
        <v>7.2999999992999998</v>
      </c>
      <c r="IZ11">
        <v>103.22580645159999</v>
      </c>
      <c r="JA11">
        <v>-35.919198601799998</v>
      </c>
      <c r="JB11">
        <v>0.33688571309999998</v>
      </c>
      <c r="JC11">
        <v>-3.456488E-4</v>
      </c>
      <c r="JD11">
        <v>6.7909999999999999E-7</v>
      </c>
      <c r="JE11">
        <v>0.30240807689999999</v>
      </c>
      <c r="JF11">
        <v>0.2759074822</v>
      </c>
      <c r="JG11">
        <v>9.2331072200000003E-2</v>
      </c>
      <c r="JH11">
        <v>118.0751039105</v>
      </c>
      <c r="JI11">
        <v>3.50798421</v>
      </c>
      <c r="JJ11">
        <v>2.7553906000000001E-3</v>
      </c>
      <c r="JK11">
        <v>-6.6679800000000005E-5</v>
      </c>
      <c r="JL11">
        <v>3.306789985</v>
      </c>
      <c r="JM11">
        <v>1.2563214254999999</v>
      </c>
      <c r="JN11">
        <v>0.52035132750000002</v>
      </c>
      <c r="JO11">
        <v>3.069</v>
      </c>
      <c r="JP11">
        <v>2.3870000002</v>
      </c>
      <c r="JQ11">
        <v>3.8362500000000002</v>
      </c>
      <c r="JR11" s="17" t="s">
        <v>544</v>
      </c>
      <c r="JU11" s="17">
        <v>1</v>
      </c>
    </row>
    <row r="12" spans="1:281">
      <c r="A12" t="s">
        <v>688</v>
      </c>
      <c r="B12" t="s">
        <v>689</v>
      </c>
      <c r="C12" t="s">
        <v>690</v>
      </c>
      <c r="D12" t="s">
        <v>213</v>
      </c>
      <c r="E12">
        <v>3</v>
      </c>
      <c r="F12" t="s">
        <v>214</v>
      </c>
      <c r="G12" t="s">
        <v>215</v>
      </c>
      <c r="H12" t="s">
        <v>543</v>
      </c>
      <c r="I12" t="s">
        <v>217</v>
      </c>
      <c r="K12" t="s">
        <v>683</v>
      </c>
      <c r="L12" t="s">
        <v>684</v>
      </c>
      <c r="M12" t="s">
        <v>685</v>
      </c>
      <c r="N12" t="s">
        <v>686</v>
      </c>
      <c r="O12" t="s">
        <v>687</v>
      </c>
      <c r="P12">
        <v>0</v>
      </c>
      <c r="Q12">
        <v>0</v>
      </c>
      <c r="R12">
        <v>0</v>
      </c>
      <c r="S12">
        <v>0.19999999860000001</v>
      </c>
      <c r="T12">
        <v>9.9999999300000003E-2</v>
      </c>
      <c r="U12">
        <v>0.29999999970000002</v>
      </c>
      <c r="V12">
        <v>0.19999999860000001</v>
      </c>
      <c r="W12">
        <v>0.19999999860000001</v>
      </c>
      <c r="X12">
        <v>9.9999999300000003E-2</v>
      </c>
      <c r="Y12">
        <v>0.19999999860000001</v>
      </c>
      <c r="Z12">
        <v>9.9999999300000003E-2</v>
      </c>
      <c r="AA12">
        <v>0.19999999860000001</v>
      </c>
      <c r="AB12">
        <v>9.9999999300000003E-2</v>
      </c>
      <c r="AC12">
        <v>0.19999999860000001</v>
      </c>
      <c r="AD12">
        <v>9.9999999300000003E-2</v>
      </c>
      <c r="AE12">
        <v>0.29999999970000002</v>
      </c>
      <c r="AF12">
        <v>0.19999999860000001</v>
      </c>
      <c r="AG12">
        <v>0</v>
      </c>
      <c r="AH12">
        <v>9.9999999300000003E-2</v>
      </c>
      <c r="AI12">
        <v>2.5999999998000001</v>
      </c>
      <c r="AJ12">
        <v>7.4999999997</v>
      </c>
      <c r="AK12">
        <v>13.799999998800001</v>
      </c>
      <c r="AL12">
        <v>20.399999999399999</v>
      </c>
      <c r="AM12">
        <v>27.399999998999998</v>
      </c>
      <c r="AN12">
        <v>34.399999998600002</v>
      </c>
      <c r="AO12">
        <v>41.899999998299997</v>
      </c>
      <c r="AP12">
        <v>49.599999998500003</v>
      </c>
      <c r="AQ12">
        <v>57.499999999000003</v>
      </c>
      <c r="AR12">
        <v>65.099999999800005</v>
      </c>
      <c r="AS12">
        <v>72.5999999995</v>
      </c>
      <c r="AT12">
        <v>80.299999999600004</v>
      </c>
      <c r="AU12">
        <v>88.199999998300001</v>
      </c>
      <c r="AV12">
        <v>96.2</v>
      </c>
      <c r="AW12">
        <v>104.1999999998</v>
      </c>
      <c r="AX12">
        <v>113.5999999988</v>
      </c>
      <c r="AY12">
        <v>121.6999999997</v>
      </c>
      <c r="AZ12">
        <v>129.99999999920001</v>
      </c>
      <c r="BA12">
        <v>138.3999999998</v>
      </c>
      <c r="BB12">
        <v>146.2999999985</v>
      </c>
      <c r="BC12">
        <v>154.79999999840001</v>
      </c>
      <c r="BD12">
        <v>163.39999999950001</v>
      </c>
      <c r="BE12">
        <v>171.99999999869999</v>
      </c>
      <c r="BF12">
        <v>180.5999999997</v>
      </c>
      <c r="BG12">
        <v>187.89999999899999</v>
      </c>
      <c r="BH12">
        <v>195.89999999880001</v>
      </c>
      <c r="BI12">
        <v>204.2999999994</v>
      </c>
      <c r="BJ12">
        <v>212.1999999999</v>
      </c>
      <c r="BK12">
        <v>220.99999999950001</v>
      </c>
      <c r="BL12">
        <v>229.09999999870001</v>
      </c>
      <c r="BM12">
        <v>236.4999999991</v>
      </c>
      <c r="BN12">
        <v>243.99999999880001</v>
      </c>
      <c r="BO12">
        <v>251.69999999890001</v>
      </c>
      <c r="BP12">
        <v>259.69999999869998</v>
      </c>
      <c r="BQ12">
        <v>267.6999999985</v>
      </c>
      <c r="BR12">
        <v>275.79999999939997</v>
      </c>
      <c r="BS12">
        <v>283.7999999992</v>
      </c>
      <c r="BT12">
        <v>290.99999999929997</v>
      </c>
      <c r="BU12">
        <v>297.79999999850003</v>
      </c>
      <c r="BV12">
        <v>304.79999999990002</v>
      </c>
      <c r="BW12">
        <v>311.89999999880001</v>
      </c>
      <c r="BX12">
        <v>318.99999999950001</v>
      </c>
      <c r="BY12">
        <v>326.39999999989999</v>
      </c>
      <c r="BZ12">
        <v>333.89999999960003</v>
      </c>
      <c r="CA12">
        <v>340.39999999909998</v>
      </c>
      <c r="CB12">
        <v>347.39999999870003</v>
      </c>
      <c r="CC12">
        <v>352.99999999919999</v>
      </c>
      <c r="CD12">
        <v>359.69999999909999</v>
      </c>
      <c r="CE12">
        <v>365.8999999989</v>
      </c>
      <c r="CF12">
        <v>372.09999999870001</v>
      </c>
      <c r="CG12">
        <v>378.99999999900001</v>
      </c>
      <c r="CH12">
        <v>385.69999999890001</v>
      </c>
      <c r="CI12">
        <v>391.29999999929998</v>
      </c>
      <c r="CJ12">
        <v>397.2999999987</v>
      </c>
      <c r="CK12">
        <v>402.29999999969999</v>
      </c>
      <c r="CL12">
        <v>407.99999999940002</v>
      </c>
      <c r="CM12">
        <v>413.69999999919997</v>
      </c>
      <c r="CN12">
        <v>419.1999999985</v>
      </c>
      <c r="CO12">
        <v>424.69999999959998</v>
      </c>
      <c r="CP12">
        <v>430.4999999986</v>
      </c>
      <c r="CQ12">
        <v>436.89999999880001</v>
      </c>
      <c r="CR12">
        <v>441.9999999991</v>
      </c>
      <c r="CS12">
        <v>446.89999999899999</v>
      </c>
      <c r="CT12">
        <v>450.49999999900001</v>
      </c>
      <c r="CU12">
        <v>451.9</v>
      </c>
      <c r="CV12">
        <v>451.99999999929997</v>
      </c>
      <c r="CW12">
        <v>451.9</v>
      </c>
      <c r="CX12">
        <v>452.09999999860003</v>
      </c>
      <c r="CY12">
        <v>451.9</v>
      </c>
      <c r="CZ12">
        <v>451.99999999929997</v>
      </c>
      <c r="DA12">
        <v>452.29999999900002</v>
      </c>
      <c r="DB12">
        <v>452.09999999860003</v>
      </c>
      <c r="DC12">
        <v>452.19999999970003</v>
      </c>
      <c r="DD12">
        <v>452.29999999900002</v>
      </c>
      <c r="DE12">
        <v>452.29999999900002</v>
      </c>
      <c r="DF12">
        <v>452.29999999900002</v>
      </c>
      <c r="DG12">
        <v>452.19999999970003</v>
      </c>
      <c r="DH12">
        <v>0.69999999869999996</v>
      </c>
      <c r="DI12">
        <v>1.2999999999</v>
      </c>
      <c r="DJ12">
        <v>0.99999999839999998</v>
      </c>
      <c r="DK12">
        <v>1.0999999995</v>
      </c>
      <c r="DL12">
        <v>1.0999999995</v>
      </c>
      <c r="DM12">
        <v>1.1999999988000001</v>
      </c>
      <c r="DN12">
        <v>1.1999999988000001</v>
      </c>
      <c r="DO12">
        <v>1.3999999992000001</v>
      </c>
      <c r="DP12">
        <v>1.3999999992000001</v>
      </c>
      <c r="DQ12">
        <v>1.4999999985000001</v>
      </c>
      <c r="DR12">
        <v>1.4999999985000001</v>
      </c>
      <c r="DS12">
        <v>1.3999999992000001</v>
      </c>
      <c r="DT12">
        <v>1.4999999985000001</v>
      </c>
      <c r="DU12">
        <v>1.2999999999</v>
      </c>
      <c r="DV12">
        <v>1.2999999999</v>
      </c>
      <c r="DW12">
        <v>1.1999999988000001</v>
      </c>
      <c r="DX12">
        <v>1.4999999985000001</v>
      </c>
      <c r="DY12">
        <v>4.8999999999000003</v>
      </c>
      <c r="DZ12">
        <v>11.5999999998</v>
      </c>
      <c r="EA12">
        <v>18.699999998700001</v>
      </c>
      <c r="EB12">
        <v>25.399999998599998</v>
      </c>
      <c r="EC12">
        <v>32.899999998299997</v>
      </c>
      <c r="ED12">
        <v>40.199999999500001</v>
      </c>
      <c r="EE12">
        <v>47.5999999999</v>
      </c>
      <c r="EF12">
        <v>55.599999999700003</v>
      </c>
      <c r="EG12">
        <v>63.399999999099997</v>
      </c>
      <c r="EH12">
        <v>70.699999998400003</v>
      </c>
      <c r="EI12">
        <v>78.299999999199997</v>
      </c>
      <c r="EJ12">
        <v>86.099999998599998</v>
      </c>
      <c r="EK12">
        <v>94.099999998399994</v>
      </c>
      <c r="EL12">
        <v>102.2999999986</v>
      </c>
      <c r="EM12">
        <v>111.1000000001</v>
      </c>
      <c r="EN12">
        <v>119.49999999889999</v>
      </c>
      <c r="EO12">
        <v>127.8999999995</v>
      </c>
      <c r="EP12">
        <v>136.199999999</v>
      </c>
      <c r="EQ12">
        <v>144.39999999919999</v>
      </c>
      <c r="ER12">
        <v>152.59999999940001</v>
      </c>
      <c r="ES12">
        <v>161.09999999940001</v>
      </c>
      <c r="ET12">
        <v>169.89999999899999</v>
      </c>
      <c r="EU12">
        <v>177.69999999839999</v>
      </c>
      <c r="EV12">
        <v>185.99999999970001</v>
      </c>
      <c r="EW12">
        <v>194.39999999849999</v>
      </c>
      <c r="EX12">
        <v>202.69999999980001</v>
      </c>
      <c r="EY12">
        <v>210.9999999993</v>
      </c>
      <c r="EZ12">
        <v>219.49999999920001</v>
      </c>
      <c r="FA12">
        <v>228.4999999993</v>
      </c>
      <c r="FB12">
        <v>235.49999999889999</v>
      </c>
      <c r="FC12">
        <v>243.49999999869999</v>
      </c>
      <c r="FD12">
        <v>251.49999999849999</v>
      </c>
      <c r="FE12">
        <v>259.59999999939998</v>
      </c>
      <c r="FF12">
        <v>267.39999999880001</v>
      </c>
      <c r="FG12">
        <v>276.6999999985</v>
      </c>
      <c r="FH12">
        <v>283.89999999849999</v>
      </c>
      <c r="FI12">
        <v>290.59999999839999</v>
      </c>
      <c r="FJ12">
        <v>298.10000000000002</v>
      </c>
      <c r="FK12">
        <v>305.5999999997</v>
      </c>
      <c r="FL12">
        <v>312.89999999899999</v>
      </c>
      <c r="FM12">
        <v>320.29999999939997</v>
      </c>
      <c r="FN12">
        <v>327.89999999840001</v>
      </c>
      <c r="FO12">
        <v>335.49999999919999</v>
      </c>
      <c r="FP12">
        <v>340.89999999920002</v>
      </c>
      <c r="FQ12">
        <v>348</v>
      </c>
      <c r="FR12">
        <v>354.5999999988</v>
      </c>
      <c r="FS12">
        <v>361.59999999839999</v>
      </c>
      <c r="FT12">
        <v>367.69999999890001</v>
      </c>
      <c r="FU12">
        <v>374.39999999880001</v>
      </c>
      <c r="FV12">
        <v>381.7999999992</v>
      </c>
      <c r="FW12">
        <v>387.99999999900001</v>
      </c>
      <c r="FX12">
        <v>393.69999999869998</v>
      </c>
      <c r="FY12">
        <v>398.99999999940002</v>
      </c>
      <c r="FZ12">
        <v>404.49999999869999</v>
      </c>
      <c r="GA12">
        <v>410.5</v>
      </c>
      <c r="GB12">
        <v>416.19999999970003</v>
      </c>
      <c r="GC12">
        <v>421.4999999986</v>
      </c>
      <c r="GD12">
        <v>426.7</v>
      </c>
      <c r="GE12">
        <v>433.39999999989999</v>
      </c>
      <c r="GF12">
        <v>438.39999999909998</v>
      </c>
      <c r="GG12">
        <v>443.09999999860003</v>
      </c>
      <c r="GH12">
        <v>447.49999999840003</v>
      </c>
      <c r="GI12">
        <v>450.69999999940001</v>
      </c>
      <c r="GJ12">
        <v>451.9</v>
      </c>
      <c r="GK12">
        <v>451.9</v>
      </c>
      <c r="GL12">
        <v>451.9</v>
      </c>
      <c r="GM12">
        <v>451.99999999929997</v>
      </c>
      <c r="GN12">
        <v>451.9</v>
      </c>
      <c r="GO12">
        <v>451.9</v>
      </c>
      <c r="GP12">
        <v>452.09999999860003</v>
      </c>
      <c r="GQ12">
        <v>452.09999999860003</v>
      </c>
      <c r="GR12">
        <v>452.09999999860003</v>
      </c>
      <c r="GS12">
        <v>452.09999999860003</v>
      </c>
      <c r="GT12">
        <v>452.19999999970003</v>
      </c>
      <c r="GU12">
        <v>452.19999999970003</v>
      </c>
      <c r="GV12">
        <v>452.09999999860003</v>
      </c>
      <c r="GW12">
        <v>452.19999999970003</v>
      </c>
      <c r="GX12">
        <v>1</v>
      </c>
      <c r="GY12">
        <v>116</v>
      </c>
      <c r="GZ12">
        <v>113.5999999988</v>
      </c>
      <c r="HA12">
        <v>113.5999999988</v>
      </c>
      <c r="HB12">
        <v>119.49999999889999</v>
      </c>
      <c r="HC12">
        <v>115.1204975112</v>
      </c>
      <c r="HD12">
        <v>-5.9000000001000004</v>
      </c>
      <c r="HE12">
        <v>452.19999999970003</v>
      </c>
      <c r="HF12">
        <v>305.78189054709998</v>
      </c>
      <c r="HG12">
        <v>94.467318960200004</v>
      </c>
      <c r="HH12">
        <v>452.29999999900002</v>
      </c>
      <c r="HI12">
        <v>452.19999999970003</v>
      </c>
      <c r="HJ12">
        <v>452.29999999900002</v>
      </c>
      <c r="HK12">
        <v>452.19999999970003</v>
      </c>
      <c r="HL12">
        <v>112.6099706745</v>
      </c>
      <c r="HM12">
        <v>3.3207980306999998</v>
      </c>
      <c r="HN12">
        <v>3.2430274801999999</v>
      </c>
      <c r="HO12">
        <v>3.3004942871999998</v>
      </c>
      <c r="HP12">
        <v>3.2226276355999999</v>
      </c>
      <c r="HQ12">
        <v>3.5340357325</v>
      </c>
      <c r="HR12">
        <v>2.1806671374</v>
      </c>
      <c r="HS12">
        <v>20.653178551100002</v>
      </c>
      <c r="HT12">
        <v>-28.152492668600001</v>
      </c>
      <c r="HU12">
        <v>-192</v>
      </c>
      <c r="HV12">
        <v>420.90238805830001</v>
      </c>
      <c r="HW12">
        <v>96.187683284499997</v>
      </c>
      <c r="HX12">
        <v>656</v>
      </c>
      <c r="HY12">
        <v>20.653178551100002</v>
      </c>
      <c r="HZ12">
        <v>-28.152492668600001</v>
      </c>
      <c r="IA12">
        <v>-192</v>
      </c>
      <c r="IB12">
        <v>420.90238805830001</v>
      </c>
      <c r="IC12">
        <v>96.187683284499997</v>
      </c>
      <c r="ID12">
        <v>656</v>
      </c>
      <c r="IE12">
        <v>31.2976119414</v>
      </c>
      <c r="IF12">
        <v>0.1024765056</v>
      </c>
      <c r="IG12">
        <v>-37.536656891500002</v>
      </c>
      <c r="IH12">
        <v>-256</v>
      </c>
      <c r="II12">
        <v>442.93206191119998</v>
      </c>
      <c r="IJ12">
        <v>105.57184750730001</v>
      </c>
      <c r="IK12">
        <v>720</v>
      </c>
      <c r="IL12">
        <v>400.24920950720002</v>
      </c>
      <c r="IM12">
        <v>124.3401759531</v>
      </c>
      <c r="IN12">
        <v>425.36711995590002</v>
      </c>
      <c r="IO12">
        <v>133.724340176</v>
      </c>
      <c r="IP12">
        <v>7.0999999989000004</v>
      </c>
      <c r="IQ12">
        <v>6.6999999999000002</v>
      </c>
      <c r="IR12">
        <v>9.3999999990000003</v>
      </c>
      <c r="IS12">
        <v>6.1147407097000004</v>
      </c>
      <c r="IT12">
        <v>6.1147407097000004</v>
      </c>
      <c r="IU12">
        <v>4.8999999999000003</v>
      </c>
      <c r="IV12">
        <v>-30.4985337243</v>
      </c>
      <c r="IW12">
        <v>9.7000000004999993</v>
      </c>
      <c r="IX12">
        <v>79.765395894400001</v>
      </c>
      <c r="IY12">
        <v>8.7000000002999993</v>
      </c>
      <c r="IZ12">
        <v>100.87976539589999</v>
      </c>
      <c r="JA12">
        <v>-34.782820912200002</v>
      </c>
      <c r="JB12">
        <v>0.33389667249999999</v>
      </c>
      <c r="JC12">
        <v>-3.445988E-4</v>
      </c>
      <c r="JD12">
        <v>6.8680000000000004E-7</v>
      </c>
      <c r="JE12">
        <v>0.3011324359</v>
      </c>
      <c r="JF12">
        <v>0.38453097920000001</v>
      </c>
      <c r="JG12">
        <v>0.13765754180000001</v>
      </c>
      <c r="JH12">
        <v>115.2346452334</v>
      </c>
      <c r="JI12">
        <v>3.5340357325</v>
      </c>
      <c r="JJ12">
        <v>2.6856556000000001E-3</v>
      </c>
      <c r="JK12">
        <v>-6.73731E-5</v>
      </c>
      <c r="JL12">
        <v>3.3207980306999998</v>
      </c>
      <c r="JM12">
        <v>1.2786266967</v>
      </c>
      <c r="JN12">
        <v>0.58423755450000003</v>
      </c>
      <c r="JO12">
        <v>3.0263749995000002</v>
      </c>
      <c r="JP12">
        <v>2.8558750000000002</v>
      </c>
      <c r="JQ12">
        <v>4.0067499996000002</v>
      </c>
      <c r="JR12" s="17" t="s">
        <v>544</v>
      </c>
      <c r="JU12" s="17">
        <v>1</v>
      </c>
    </row>
    <row r="13" spans="1:281">
      <c r="A13" t="s">
        <v>707</v>
      </c>
      <c r="B13" t="s">
        <v>708</v>
      </c>
      <c r="C13" t="s">
        <v>709</v>
      </c>
      <c r="D13" t="s">
        <v>213</v>
      </c>
      <c r="E13">
        <v>3</v>
      </c>
      <c r="F13" t="s">
        <v>214</v>
      </c>
      <c r="G13" t="s">
        <v>215</v>
      </c>
      <c r="H13" t="s">
        <v>543</v>
      </c>
      <c r="I13" t="s">
        <v>217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2.3000000000999998</v>
      </c>
      <c r="S13">
        <v>2.5000000005</v>
      </c>
      <c r="T13">
        <v>2.5000000005</v>
      </c>
      <c r="U13">
        <v>2.5999999998000001</v>
      </c>
      <c r="V13">
        <v>2.5000000005</v>
      </c>
      <c r="W13">
        <v>2.5000000005</v>
      </c>
      <c r="X13">
        <v>2.5000000005</v>
      </c>
      <c r="Y13">
        <v>2.5000000005</v>
      </c>
      <c r="Z13">
        <v>2.5999999998000001</v>
      </c>
      <c r="AA13">
        <v>2.7000000008999998</v>
      </c>
      <c r="AB13">
        <v>2.5000000005</v>
      </c>
      <c r="AC13">
        <v>2.5999999998000001</v>
      </c>
      <c r="AD13">
        <v>2.5000000005</v>
      </c>
      <c r="AE13">
        <v>2.2000000007999998</v>
      </c>
      <c r="AF13">
        <v>1.6000000014</v>
      </c>
      <c r="AG13">
        <v>1.0000000002</v>
      </c>
      <c r="AH13">
        <v>0.7000000005</v>
      </c>
      <c r="AI13">
        <v>1.0000000002</v>
      </c>
      <c r="AJ13">
        <v>2.0000000004</v>
      </c>
      <c r="AK13">
        <v>4.6000000001999997</v>
      </c>
      <c r="AL13">
        <v>10.200000000599999</v>
      </c>
      <c r="AM13">
        <v>16.9000000005</v>
      </c>
      <c r="AN13">
        <v>23.300000000699999</v>
      </c>
      <c r="AO13">
        <v>30.200000001100001</v>
      </c>
      <c r="AP13">
        <v>37.800000000099999</v>
      </c>
      <c r="AQ13">
        <v>45.200000000499998</v>
      </c>
      <c r="AR13">
        <v>52.499999999800004</v>
      </c>
      <c r="AS13">
        <v>60.7</v>
      </c>
      <c r="AT13">
        <v>68.800000000899999</v>
      </c>
      <c r="AU13">
        <v>76.200000001299998</v>
      </c>
      <c r="AV13">
        <v>83.900000001400002</v>
      </c>
      <c r="AW13">
        <v>91.9000000013</v>
      </c>
      <c r="AX13">
        <v>100.8000000002</v>
      </c>
      <c r="AY13">
        <v>109.5999999998</v>
      </c>
      <c r="AZ13">
        <v>118.5999999998</v>
      </c>
      <c r="BA13">
        <v>126.60000000140001</v>
      </c>
      <c r="BB13">
        <v>134.40000000079999</v>
      </c>
      <c r="BC13">
        <v>142.20000000019999</v>
      </c>
      <c r="BD13">
        <v>150.9000000005</v>
      </c>
      <c r="BE13">
        <v>158.69999999999999</v>
      </c>
      <c r="BF13">
        <v>167.4000000003</v>
      </c>
      <c r="BG13">
        <v>176.1999999999</v>
      </c>
      <c r="BH13">
        <v>183.9</v>
      </c>
      <c r="BI13">
        <v>191.60000000010001</v>
      </c>
      <c r="BJ13">
        <v>199.59999999990001</v>
      </c>
      <c r="BK13">
        <v>207.8000000001</v>
      </c>
      <c r="BL13">
        <v>216.00000000029999</v>
      </c>
      <c r="BM13">
        <v>224.400000001</v>
      </c>
      <c r="BN13">
        <v>232.40000000079999</v>
      </c>
      <c r="BO13">
        <v>239.60000000080001</v>
      </c>
      <c r="BP13">
        <v>247.19999999980001</v>
      </c>
      <c r="BQ13">
        <v>254.89999999989999</v>
      </c>
      <c r="BR13">
        <v>262.60000000000002</v>
      </c>
      <c r="BS13">
        <v>270.50000000049999</v>
      </c>
      <c r="BT13">
        <v>278.20000000070002</v>
      </c>
      <c r="BU13">
        <v>285.8000000015</v>
      </c>
      <c r="BV13">
        <v>292.5000000014</v>
      </c>
      <c r="BW13">
        <v>299.50000000099999</v>
      </c>
      <c r="BX13">
        <v>306.50000000059998</v>
      </c>
      <c r="BY13">
        <v>313.70000000060003</v>
      </c>
      <c r="BZ13">
        <v>320.49999999980002</v>
      </c>
      <c r="CA13">
        <v>327.80000000090001</v>
      </c>
      <c r="CB13">
        <v>335.1000000002</v>
      </c>
      <c r="CC13">
        <v>341.8000000001</v>
      </c>
      <c r="CD13">
        <v>347.80000000140001</v>
      </c>
      <c r="CE13">
        <v>354.00000000120002</v>
      </c>
      <c r="CF13">
        <v>360.50000000070003</v>
      </c>
      <c r="CG13">
        <v>367.60000000140002</v>
      </c>
      <c r="CH13">
        <v>373.70000000009998</v>
      </c>
      <c r="CI13">
        <v>380.10000000029999</v>
      </c>
      <c r="CJ13">
        <v>386.3000000001</v>
      </c>
      <c r="CK13">
        <v>391.90000000049997</v>
      </c>
      <c r="CL13">
        <v>397.3999999998</v>
      </c>
      <c r="CM13">
        <v>402.79999999979998</v>
      </c>
      <c r="CN13">
        <v>408.10000000060001</v>
      </c>
      <c r="CO13">
        <v>414.1</v>
      </c>
      <c r="CP13">
        <v>419.90000000079999</v>
      </c>
      <c r="CQ13">
        <v>425.10000000039997</v>
      </c>
      <c r="CR13">
        <v>430.40000000110001</v>
      </c>
      <c r="CS13">
        <v>436.30000000119998</v>
      </c>
      <c r="CT13">
        <v>441.50000000080001</v>
      </c>
      <c r="CU13">
        <v>446.5</v>
      </c>
      <c r="CV13">
        <v>449.80000000029997</v>
      </c>
      <c r="CW13">
        <v>450.80000000050001</v>
      </c>
      <c r="CX13">
        <v>450.80000000050001</v>
      </c>
      <c r="CY13">
        <v>451.1000000002</v>
      </c>
      <c r="CZ13">
        <v>451.1000000002</v>
      </c>
      <c r="DA13">
        <v>450.8999999998</v>
      </c>
      <c r="DB13">
        <v>450.8999999998</v>
      </c>
      <c r="DC13">
        <v>451.0000000009</v>
      </c>
      <c r="DD13">
        <v>450.8999999998</v>
      </c>
      <c r="DE13">
        <v>451.0000000009</v>
      </c>
      <c r="DF13">
        <v>451.2000000013</v>
      </c>
      <c r="DG13">
        <v>451.0000000009</v>
      </c>
      <c r="DH13">
        <v>3.3000000002999998</v>
      </c>
      <c r="DI13">
        <v>3.6</v>
      </c>
      <c r="DJ13">
        <v>3.7000000010999998</v>
      </c>
      <c r="DK13">
        <v>3.6</v>
      </c>
      <c r="DL13">
        <v>3.7000000010999998</v>
      </c>
      <c r="DM13">
        <v>3.6</v>
      </c>
      <c r="DN13">
        <v>3.0999999999000001</v>
      </c>
      <c r="DO13">
        <v>3.0000000006</v>
      </c>
      <c r="DP13">
        <v>3.0999999999000001</v>
      </c>
      <c r="DQ13">
        <v>3.0999999999000001</v>
      </c>
      <c r="DR13">
        <v>3.0000000006</v>
      </c>
      <c r="DS13">
        <v>2.8000000001999998</v>
      </c>
      <c r="DT13">
        <v>2.7000000008999998</v>
      </c>
      <c r="DU13">
        <v>1.5000000003</v>
      </c>
      <c r="DV13">
        <v>1.0000000002</v>
      </c>
      <c r="DW13">
        <v>0.60000000119999997</v>
      </c>
      <c r="DX13">
        <v>0</v>
      </c>
      <c r="DY13">
        <v>2.0000000004</v>
      </c>
      <c r="DZ13">
        <v>4.7000000013000003</v>
      </c>
      <c r="EA13">
        <v>9.1000000010999997</v>
      </c>
      <c r="EB13">
        <v>16.300000001099999</v>
      </c>
      <c r="EC13">
        <v>22.600000000200001</v>
      </c>
      <c r="ED13">
        <v>29.800000000299999</v>
      </c>
      <c r="EE13">
        <v>37.000000000299998</v>
      </c>
      <c r="EF13">
        <v>44.700000000400003</v>
      </c>
      <c r="EG13">
        <v>51.800000001100003</v>
      </c>
      <c r="EH13">
        <v>59.699999999799999</v>
      </c>
      <c r="EI13">
        <v>67.900000000000006</v>
      </c>
      <c r="EJ13">
        <v>75.300000000400004</v>
      </c>
      <c r="EK13">
        <v>83.000000000499995</v>
      </c>
      <c r="EL13">
        <v>90.900000001099997</v>
      </c>
      <c r="EM13">
        <v>99.000000000200004</v>
      </c>
      <c r="EN13">
        <v>107.79999999979999</v>
      </c>
      <c r="EO13">
        <v>117.7000000007</v>
      </c>
      <c r="EP13">
        <v>125.7000000005</v>
      </c>
      <c r="EQ13">
        <v>133.40000000059999</v>
      </c>
      <c r="ER13">
        <v>141.60000000080001</v>
      </c>
      <c r="ES13">
        <v>150.00000000150001</v>
      </c>
      <c r="ET13">
        <v>158.10000000060001</v>
      </c>
      <c r="EU13">
        <v>166.60000000049999</v>
      </c>
      <c r="EV13">
        <v>175.1000000004</v>
      </c>
      <c r="EW13">
        <v>183.1000000002</v>
      </c>
      <c r="EX13">
        <v>191.1</v>
      </c>
      <c r="EY13">
        <v>199.40000000129999</v>
      </c>
      <c r="EZ13">
        <v>207.10000000139999</v>
      </c>
      <c r="FA13">
        <v>215.400000001</v>
      </c>
      <c r="FB13">
        <v>224.2000000006</v>
      </c>
      <c r="FC13">
        <v>232.40000000079999</v>
      </c>
      <c r="FD13">
        <v>239.8000000012</v>
      </c>
      <c r="FE13">
        <v>247.40000000020001</v>
      </c>
      <c r="FF13">
        <v>255.4</v>
      </c>
      <c r="FG13">
        <v>263.10000000010001</v>
      </c>
      <c r="FH13">
        <v>270.70000000089999</v>
      </c>
      <c r="FI13">
        <v>278.7000000008</v>
      </c>
      <c r="FJ13">
        <v>286.50000000019998</v>
      </c>
      <c r="FK13">
        <v>293.49999999980002</v>
      </c>
      <c r="FL13">
        <v>300.60000000050002</v>
      </c>
      <c r="FM13">
        <v>308.2000000013</v>
      </c>
      <c r="FN13">
        <v>315.20000000089999</v>
      </c>
      <c r="FO13">
        <v>322.40000000089998</v>
      </c>
      <c r="FP13">
        <v>329.70000000020002</v>
      </c>
      <c r="FQ13">
        <v>336.80000000090001</v>
      </c>
      <c r="FR13">
        <v>344.20000000139999</v>
      </c>
      <c r="FS13">
        <v>350.90000000129999</v>
      </c>
      <c r="FT13">
        <v>357.1000000011</v>
      </c>
      <c r="FU13">
        <v>363.800000001</v>
      </c>
      <c r="FV13">
        <v>370.10000000010001</v>
      </c>
      <c r="FW13">
        <v>376.20000000060003</v>
      </c>
      <c r="FX13">
        <v>382.60000000079998</v>
      </c>
      <c r="FY13">
        <v>389.00000000099999</v>
      </c>
      <c r="FZ13">
        <v>395.00000000040001</v>
      </c>
      <c r="GA13">
        <v>400.40000000039998</v>
      </c>
      <c r="GB13">
        <v>405.90000000160001</v>
      </c>
      <c r="GC13">
        <v>411.20000000049998</v>
      </c>
      <c r="GD13">
        <v>416.90000000020001</v>
      </c>
      <c r="GE13">
        <v>422.40000000129999</v>
      </c>
      <c r="GF13">
        <v>427.10000000079998</v>
      </c>
      <c r="GG13">
        <v>432.50000000080001</v>
      </c>
      <c r="GH13">
        <v>437.7000000004</v>
      </c>
      <c r="GI13">
        <v>442.60000000029999</v>
      </c>
      <c r="GJ13">
        <v>447.10000000119999</v>
      </c>
      <c r="GK13">
        <v>450.00000000070003</v>
      </c>
      <c r="GL13">
        <v>450.8999999998</v>
      </c>
      <c r="GM13">
        <v>450.8999999998</v>
      </c>
      <c r="GN13">
        <v>450.8999999998</v>
      </c>
      <c r="GO13">
        <v>450.8999999998</v>
      </c>
      <c r="GP13">
        <v>451.0000000009</v>
      </c>
      <c r="GQ13">
        <v>450.8999999998</v>
      </c>
      <c r="GR13">
        <v>451.0000000009</v>
      </c>
      <c r="GS13">
        <v>451.0000000009</v>
      </c>
      <c r="GT13">
        <v>451.0000000009</v>
      </c>
      <c r="GU13">
        <v>451.1000000002</v>
      </c>
      <c r="GV13">
        <v>451.2000000013</v>
      </c>
      <c r="GW13">
        <v>451.2000000013</v>
      </c>
      <c r="GX13">
        <v>1</v>
      </c>
      <c r="GY13">
        <v>100.7000000009</v>
      </c>
      <c r="GZ13">
        <v>100.8000000002</v>
      </c>
      <c r="HA13">
        <v>100.8000000002</v>
      </c>
      <c r="HB13">
        <v>107.79999999979999</v>
      </c>
      <c r="HC13">
        <v>102.4181294327</v>
      </c>
      <c r="HD13">
        <v>-6.9999999996</v>
      </c>
      <c r="HE13">
        <v>451.1999556751</v>
      </c>
      <c r="HF13">
        <v>313.72708333349999</v>
      </c>
      <c r="HG13">
        <v>85.268628102400001</v>
      </c>
      <c r="HH13">
        <v>451.2000000013</v>
      </c>
      <c r="HI13">
        <v>451.2000000013</v>
      </c>
      <c r="HJ13">
        <v>451.2000000013</v>
      </c>
      <c r="HK13">
        <v>451.2000000013</v>
      </c>
      <c r="HL13">
        <v>117.3020527859</v>
      </c>
      <c r="HM13">
        <v>3.3100756545999999</v>
      </c>
      <c r="HN13">
        <v>3.2149461935999999</v>
      </c>
      <c r="HO13">
        <v>3.2951132176</v>
      </c>
      <c r="HP13">
        <v>3.2727481894000001</v>
      </c>
      <c r="HQ13">
        <v>3.5200085016</v>
      </c>
      <c r="HR13">
        <v>2.2304453269</v>
      </c>
      <c r="HS13">
        <v>17.149501330300001</v>
      </c>
      <c r="HT13">
        <v>-25.806451612899998</v>
      </c>
      <c r="HU13">
        <v>-176</v>
      </c>
      <c r="HV13">
        <v>416.14521276609997</v>
      </c>
      <c r="HW13">
        <v>98.533724340199996</v>
      </c>
      <c r="HX13">
        <v>672</v>
      </c>
      <c r="HY13">
        <v>17.149501330300001</v>
      </c>
      <c r="HZ13">
        <v>-25.806451612899998</v>
      </c>
      <c r="IA13">
        <v>-176</v>
      </c>
      <c r="IB13">
        <v>416.14521276609997</v>
      </c>
      <c r="IC13">
        <v>98.533724340199996</v>
      </c>
      <c r="ID13">
        <v>672</v>
      </c>
      <c r="IE13">
        <v>35.054787235200003</v>
      </c>
      <c r="IF13">
        <v>1.0033244683</v>
      </c>
      <c r="IG13">
        <v>-35.190615835800003</v>
      </c>
      <c r="IH13">
        <v>-240</v>
      </c>
      <c r="II13">
        <v>437.42252881249999</v>
      </c>
      <c r="IJ13">
        <v>107.91788856300001</v>
      </c>
      <c r="IK13">
        <v>736</v>
      </c>
      <c r="IL13">
        <v>398.99571143579999</v>
      </c>
      <c r="IM13">
        <v>124.3401759531</v>
      </c>
      <c r="IN13">
        <v>421.98966090480002</v>
      </c>
      <c r="IO13">
        <v>133.724340176</v>
      </c>
      <c r="IP13">
        <v>7.2</v>
      </c>
      <c r="IQ13">
        <v>5.9000000001000004</v>
      </c>
      <c r="IR13">
        <v>9.9000000009000004</v>
      </c>
      <c r="IS13">
        <v>6.4665902789</v>
      </c>
      <c r="IT13">
        <v>6.4665902789</v>
      </c>
      <c r="IU13">
        <v>6.1000000004999997</v>
      </c>
      <c r="IV13">
        <v>-28.152492668600001</v>
      </c>
      <c r="IW13">
        <v>9.7999999998000007</v>
      </c>
      <c r="IX13">
        <v>77.419354838700002</v>
      </c>
      <c r="IY13">
        <v>7.4000000004000004</v>
      </c>
      <c r="IZ13">
        <v>105.57184750730001</v>
      </c>
      <c r="JA13">
        <v>-30.9015281816</v>
      </c>
      <c r="JB13">
        <v>0.32498314070000001</v>
      </c>
      <c r="JC13">
        <v>-2.9839089999999998E-4</v>
      </c>
      <c r="JD13">
        <v>6.3190000000000004E-7</v>
      </c>
      <c r="JE13">
        <v>0.30210789850000003</v>
      </c>
      <c r="JF13">
        <v>0.39365127220000001</v>
      </c>
      <c r="JG13">
        <v>0.17102005610000001</v>
      </c>
      <c r="JH13">
        <v>103.2243092531</v>
      </c>
      <c r="JI13">
        <v>3.5200085016</v>
      </c>
      <c r="JJ13">
        <v>2.4382388E-3</v>
      </c>
      <c r="JK13">
        <v>-6.0771099999999998E-5</v>
      </c>
      <c r="JL13">
        <v>3.3100756545999999</v>
      </c>
      <c r="JM13">
        <v>2.0958836903</v>
      </c>
      <c r="JN13">
        <v>0.63689211050000005</v>
      </c>
      <c r="JO13">
        <v>3.069</v>
      </c>
      <c r="JP13">
        <v>2.514875</v>
      </c>
      <c r="JQ13">
        <v>4.2198750004000001</v>
      </c>
      <c r="JR13" s="17" t="s">
        <v>544</v>
      </c>
      <c r="JU13" s="17">
        <v>1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7" t="s">
        <v>24</v>
      </c>
      <c r="C4" s="3"/>
    </row>
    <row r="5" spans="1:7">
      <c r="B5" s="98"/>
      <c r="C5" s="3"/>
    </row>
    <row r="6" spans="1:7">
      <c r="B6" s="98"/>
      <c r="C6" s="3"/>
    </row>
    <row r="7" spans="1:7">
      <c r="B7" s="99"/>
      <c r="C7" s="3"/>
    </row>
    <row r="8" spans="1:7">
      <c r="B8" s="100" t="s">
        <v>25</v>
      </c>
      <c r="C8" s="3"/>
    </row>
    <row r="9" spans="1:7">
      <c r="B9" s="100"/>
      <c r="C9" s="3"/>
    </row>
    <row r="10" spans="1:7">
      <c r="B10" s="100"/>
      <c r="C10" s="3"/>
    </row>
    <row r="11" spans="1:7">
      <c r="B11" s="100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109</v>
      </c>
    </row>
    <row r="16" spans="1:7">
      <c r="A16" s="1" t="s">
        <v>29</v>
      </c>
      <c r="C16" s="8">
        <f>'Summary(3pcs)'!D35</f>
        <v>77.123183725299995</v>
      </c>
      <c r="D16" s="9">
        <f>AVERAGE(C18:C20)</f>
        <v>80.782920336566661</v>
      </c>
      <c r="E16" s="1" t="s">
        <v>31</v>
      </c>
      <c r="G16" s="7" t="s">
        <v>110</v>
      </c>
    </row>
    <row r="17" spans="1:7" ht="17.25" thickBot="1">
      <c r="A17" s="1" t="s">
        <v>29</v>
      </c>
      <c r="C17" s="10">
        <f>'Summary(3pcs)'!D36</f>
        <v>73.933912644399996</v>
      </c>
      <c r="D17" s="9">
        <f>AVERAGE(C21:C23)</f>
        <v>78.563235802999998</v>
      </c>
      <c r="E17" s="1" t="s">
        <v>32</v>
      </c>
      <c r="G17" s="7" t="s">
        <v>111</v>
      </c>
    </row>
    <row r="18" spans="1:7" ht="17.25" thickBot="1">
      <c r="A18" s="1" t="s">
        <v>33</v>
      </c>
      <c r="C18" s="5">
        <f>'Summary(3pcs)'!D37</f>
        <v>76.047156269200002</v>
      </c>
      <c r="D18" s="11">
        <f>AVERAGE(C24:C26)</f>
        <v>72.315224497800003</v>
      </c>
      <c r="E18" s="1" t="s">
        <v>34</v>
      </c>
      <c r="G18" s="7" t="s">
        <v>112</v>
      </c>
    </row>
    <row r="19" spans="1:7">
      <c r="A19" s="1" t="s">
        <v>33</v>
      </c>
      <c r="C19" s="8">
        <f>'Summary(3pcs)'!D38</f>
        <v>84.0391563811</v>
      </c>
      <c r="D19" s="6">
        <f>AVERAGE('Summary(3pcs)'!E35:E36)</f>
        <v>142.21583847428789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'Summary(3pcs)'!D39</f>
        <v>82.262448359399997</v>
      </c>
      <c r="D20" s="9">
        <f>AVERAGE('Summary(3pcs)'!E37:E39)</f>
        <v>147.77049381537125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'Summary(3pcs)'!D40</f>
        <v>74.441666432100007</v>
      </c>
      <c r="D21" s="9">
        <f>AVERAGE('Summary(3pcs)'!E40:E42)</f>
        <v>140.4209877141046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'Summary(3pcs)'!D41</f>
        <v>83.449614524099999</v>
      </c>
      <c r="D22" s="11">
        <f>AVERAGE('Summary(3pcs)'!E43:E45)</f>
        <v>150.27401571177126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'Summary(3pcs)'!D42</f>
        <v>77.798426452800001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'Summary(3pcs)'!D43</f>
        <v>74.308632887100003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'Summary(3pcs)'!D44</f>
        <v>74.9273632604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'Summary(3pcs)'!D45</f>
        <v>67.709677345899991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5.6255330102999999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1.7652764602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3.1149160629999999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1.3250759382999999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0.58144966229999995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-6.8943456196000001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-6.5815641266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-3.3059164987999998</v>
      </c>
      <c r="E38" s="1" t="s">
        <v>52</v>
      </c>
      <c r="G38" s="1" t="s">
        <v>52</v>
      </c>
    </row>
    <row r="39" spans="1:7" ht="17.25" thickBot="1">
      <c r="A39" s="1" t="s">
        <v>49</v>
      </c>
      <c r="B39" s="94">
        <f>AVERAGE(C39:C42)</f>
        <v>2.9577003679499998</v>
      </c>
      <c r="C39" s="5">
        <f>'Summary(3pcs)'!M35</f>
        <v>5.6255330102999999</v>
      </c>
      <c r="D39" s="11">
        <f t="shared" si="0"/>
        <v>-1.5943668166</v>
      </c>
      <c r="E39" s="1" t="s">
        <v>52</v>
      </c>
      <c r="G39" s="1" t="s">
        <v>52</v>
      </c>
    </row>
    <row r="40" spans="1:7">
      <c r="A40" s="1" t="s">
        <v>49</v>
      </c>
      <c r="B40" s="95"/>
      <c r="C40" s="8">
        <f>'Summary(3pcs)'!M36</f>
        <v>1.7652764602</v>
      </c>
      <c r="D40" s="6">
        <f t="shared" si="0"/>
        <v>-5.8547069337000002</v>
      </c>
      <c r="E40" s="1" t="s">
        <v>53</v>
      </c>
      <c r="G40" s="1" t="s">
        <v>53</v>
      </c>
    </row>
    <row r="41" spans="1:7" ht="17.25" thickBot="1">
      <c r="A41" s="1" t="s">
        <v>49</v>
      </c>
      <c r="B41" s="95"/>
      <c r="C41" s="10">
        <f>'Summary(3pcs)'!M38</f>
        <v>3.1149160629999999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6"/>
      <c r="C42" s="5">
        <f>'Summary(3pcs)'!M39</f>
        <v>1.3250759382999999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4">
        <f>AVERAGE(C43:C46)</f>
        <v>-4.0500941456749997</v>
      </c>
      <c r="C43" s="8">
        <f>'Summary(3pcs)'!M40</f>
        <v>0.58144966229999995</v>
      </c>
      <c r="D43" s="6">
        <f t="shared" ref="D43:D54" si="2">C55</f>
        <v>0.66061105379999985</v>
      </c>
      <c r="E43" s="1" t="s">
        <v>55</v>
      </c>
      <c r="G43" s="1" t="s">
        <v>55</v>
      </c>
    </row>
    <row r="44" spans="1:7" ht="17.25" thickBot="1">
      <c r="A44" s="1" t="s">
        <v>51</v>
      </c>
      <c r="B44" s="95"/>
      <c r="C44" s="10">
        <f>'Summary(3pcs)'!M42</f>
        <v>-6.8943456196000001</v>
      </c>
      <c r="D44" s="9">
        <f t="shared" si="2"/>
        <v>-5.8384487240999992</v>
      </c>
      <c r="E44" s="1" t="s">
        <v>55</v>
      </c>
      <c r="G44" s="1" t="s">
        <v>55</v>
      </c>
    </row>
    <row r="45" spans="1:7" ht="17.25" thickBot="1">
      <c r="A45" s="1" t="s">
        <v>52</v>
      </c>
      <c r="B45" s="95"/>
      <c r="C45" s="5">
        <f>'Summary(3pcs)'!M43</f>
        <v>-6.5815641266</v>
      </c>
      <c r="D45" s="11">
        <f t="shared" si="2"/>
        <v>0.3079464516999999</v>
      </c>
      <c r="E45" s="1" t="s">
        <v>55</v>
      </c>
      <c r="G45" s="1" t="s">
        <v>55</v>
      </c>
    </row>
    <row r="46" spans="1:7">
      <c r="A46" s="1" t="s">
        <v>52</v>
      </c>
      <c r="B46" s="96"/>
      <c r="C46" s="8">
        <f>'Summary(3pcs)'!M44</f>
        <v>-3.3059164987999998</v>
      </c>
      <c r="D46" s="6">
        <f t="shared" si="2"/>
        <v>0.52151840179999986</v>
      </c>
      <c r="E46" s="1" t="s">
        <v>59</v>
      </c>
      <c r="G46" s="1" t="s">
        <v>59</v>
      </c>
    </row>
    <row r="47" spans="1:7" ht="17.25" thickBot="1">
      <c r="A47" s="1" t="s">
        <v>52</v>
      </c>
      <c r="B47" s="94" t="e">
        <f>AVERAGE(C47:C50)</f>
        <v>#REF!</v>
      </c>
      <c r="C47" s="10">
        <f>'Summary(3pcs)'!M45</f>
        <v>-1.5943668166</v>
      </c>
      <c r="D47" s="9">
        <f t="shared" si="2"/>
        <v>-3.6644779453999998</v>
      </c>
      <c r="E47" s="1" t="s">
        <v>59</v>
      </c>
      <c r="G47" s="1" t="s">
        <v>59</v>
      </c>
    </row>
    <row r="48" spans="1:7" ht="17.25" thickBot="1">
      <c r="A48" s="1" t="s">
        <v>53</v>
      </c>
      <c r="B48" s="95"/>
      <c r="C48" s="5">
        <f>'Summary(3pcs)'!M46</f>
        <v>-5.8547069337000002</v>
      </c>
      <c r="D48" s="11">
        <f t="shared" si="2"/>
        <v>2.3188919954</v>
      </c>
      <c r="E48" s="1" t="s">
        <v>59</v>
      </c>
      <c r="G48" s="1" t="s">
        <v>59</v>
      </c>
    </row>
    <row r="49" spans="1:7">
      <c r="A49" s="1" t="s">
        <v>53</v>
      </c>
      <c r="B49" s="95"/>
      <c r="C49" s="8" t="e">
        <f>'Summary(3pcs)'!#REF!</f>
        <v>#REF!</v>
      </c>
      <c r="D49" s="6">
        <f t="shared" si="2"/>
        <v>4.1488041276000001</v>
      </c>
      <c r="E49" s="1" t="s">
        <v>63</v>
      </c>
      <c r="G49" s="1" t="s">
        <v>63</v>
      </c>
    </row>
    <row r="50" spans="1:7" ht="17.25" thickBot="1">
      <c r="A50" s="1" t="s">
        <v>53</v>
      </c>
      <c r="B50" s="96"/>
      <c r="C50" s="10" t="e">
        <f>'Summary(3pcs)'!#REF!</f>
        <v>#REF!</v>
      </c>
      <c r="D50" s="9">
        <f t="shared" si="2"/>
        <v>11.2397187716</v>
      </c>
      <c r="E50" s="1" t="s">
        <v>63</v>
      </c>
      <c r="G50" s="1" t="s">
        <v>63</v>
      </c>
    </row>
    <row r="51" spans="1:7" ht="17.25" thickBot="1">
      <c r="B51" s="94">
        <f>AVERAGE(C51:C54)</f>
        <v>0</v>
      </c>
      <c r="C51" s="12">
        <f>[2]Result!Z15</f>
        <v>0</v>
      </c>
      <c r="D51" s="11">
        <f t="shared" si="2"/>
        <v>10.229459196600001</v>
      </c>
      <c r="E51" s="1" t="s">
        <v>63</v>
      </c>
      <c r="G51" s="1" t="s">
        <v>63</v>
      </c>
    </row>
    <row r="52" spans="1:7">
      <c r="B52" s="95"/>
      <c r="C52" s="8">
        <f>[2]Result!Z16</f>
        <v>0</v>
      </c>
      <c r="D52" s="6">
        <f t="shared" si="2"/>
        <v>7.8868207987000005</v>
      </c>
      <c r="E52" s="1" t="s">
        <v>65</v>
      </c>
      <c r="G52" s="1" t="s">
        <v>65</v>
      </c>
    </row>
    <row r="53" spans="1:7">
      <c r="B53" s="95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6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4">
        <f>AVERAGE(C55:C58)</f>
        <v>-1.0870932041999999</v>
      </c>
      <c r="C55" s="5">
        <f>'Summary(3pcs)'!N35</f>
        <v>0.66061105379999985</v>
      </c>
      <c r="D55" s="6">
        <f>AVERAGE(D31:D33)</f>
        <v>3.5019085111666666</v>
      </c>
      <c r="E55" s="1" t="s">
        <v>66</v>
      </c>
      <c r="G55" s="1" t="s">
        <v>67</v>
      </c>
    </row>
    <row r="56" spans="1:7">
      <c r="A56" s="1" t="s">
        <v>55</v>
      </c>
      <c r="B56" s="95"/>
      <c r="C56" s="8">
        <f>'Summary(3pcs)'!N36</f>
        <v>-5.8384487240999992</v>
      </c>
      <c r="D56" s="9">
        <f>AVERAGE(D34:D36)</f>
        <v>-1.6626066730000002</v>
      </c>
      <c r="E56" s="1" t="s">
        <v>68</v>
      </c>
      <c r="G56" s="1" t="s">
        <v>69</v>
      </c>
    </row>
    <row r="57" spans="1:7" ht="17.25" thickBot="1">
      <c r="A57" s="1" t="s">
        <v>55</v>
      </c>
      <c r="B57" s="95"/>
      <c r="C57" s="10">
        <f>'Summary(3pcs)'!N38</f>
        <v>0.3079464516999999</v>
      </c>
      <c r="D57" s="9">
        <f>AVERAGE(D37:D39)</f>
        <v>-3.8272824806666663</v>
      </c>
      <c r="E57" s="1" t="s">
        <v>70</v>
      </c>
      <c r="G57" s="1" t="s">
        <v>71</v>
      </c>
    </row>
    <row r="58" spans="1:7">
      <c r="A58" s="1" t="s">
        <v>59</v>
      </c>
      <c r="B58" s="96"/>
      <c r="C58" s="5">
        <f>'Summary(3pcs)'!N39</f>
        <v>0.52151840179999986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4">
        <f>AVERAGE(C59:C62)</f>
        <v>3.5107342372999999</v>
      </c>
      <c r="C59" s="8">
        <f>'Summary(3pcs)'!N40</f>
        <v>-3.6644779453999998</v>
      </c>
      <c r="D59" s="9">
        <f>AVERAGE(D43:D45)</f>
        <v>-1.6232970728666665</v>
      </c>
      <c r="E59" s="1" t="s">
        <v>74</v>
      </c>
      <c r="G59" s="1" t="s">
        <v>75</v>
      </c>
    </row>
    <row r="60" spans="1:7" ht="17.25" thickBot="1">
      <c r="A60" s="1" t="s">
        <v>59</v>
      </c>
      <c r="B60" s="95"/>
      <c r="C60" s="10">
        <f>'Summary(3pcs)'!N42</f>
        <v>2.3188919954</v>
      </c>
      <c r="D60" s="9">
        <f>AVERAGE(D46:D48)</f>
        <v>-0.27468918273333331</v>
      </c>
      <c r="E60" s="7" t="s">
        <v>113</v>
      </c>
      <c r="G60" s="1" t="s">
        <v>77</v>
      </c>
    </row>
    <row r="61" spans="1:7">
      <c r="A61" s="1" t="s">
        <v>63</v>
      </c>
      <c r="B61" s="95"/>
      <c r="C61" s="5">
        <f>'Summary(3pcs)'!N43</f>
        <v>4.1488041276000001</v>
      </c>
      <c r="D61" s="9">
        <f>AVERAGE(D49:D51)</f>
        <v>8.5393273652666668</v>
      </c>
      <c r="E61" s="1" t="s">
        <v>76</v>
      </c>
      <c r="G61" s="1" t="s">
        <v>77</v>
      </c>
    </row>
    <row r="62" spans="1:7" ht="17.25" thickBot="1">
      <c r="A62" s="1" t="s">
        <v>63</v>
      </c>
      <c r="B62" s="96"/>
      <c r="C62" s="8">
        <f>'Summary(3pcs)'!N44</f>
        <v>11.2397187716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4" t="e">
        <f>AVERAGE(C63:C66)</f>
        <v>#REF!</v>
      </c>
      <c r="C63" s="10">
        <f>'Summary(3pcs)'!N45</f>
        <v>10.229459196600001</v>
      </c>
      <c r="D63" s="6">
        <f>AVERAGE(C71:C73)</f>
        <v>-1.1908078193666667</v>
      </c>
      <c r="E63" s="1" t="s">
        <v>80</v>
      </c>
      <c r="G63" s="1" t="s">
        <v>80</v>
      </c>
    </row>
    <row r="64" spans="1:7">
      <c r="A64" s="1" t="s">
        <v>65</v>
      </c>
      <c r="B64" s="95"/>
      <c r="C64" s="5">
        <f>'Summary(3pcs)'!N46</f>
        <v>7.8868207987000005</v>
      </c>
      <c r="D64" s="9">
        <f>AVERAGE(C74:C76)</f>
        <v>1.0254530906333335</v>
      </c>
      <c r="E64" s="1" t="s">
        <v>81</v>
      </c>
      <c r="G64" s="1" t="s">
        <v>81</v>
      </c>
    </row>
    <row r="65" spans="1:7">
      <c r="A65" s="1" t="s">
        <v>65</v>
      </c>
      <c r="B65" s="95"/>
      <c r="C65" s="8" t="e">
        <f>'Summary(3pcs)'!#REF!</f>
        <v>#REF!</v>
      </c>
      <c r="D65" s="9">
        <f>AVERAGE(C77:C79)</f>
        <v>-5.438270648333333</v>
      </c>
      <c r="E65" s="1" t="s">
        <v>82</v>
      </c>
      <c r="G65" s="1" t="s">
        <v>82</v>
      </c>
    </row>
    <row r="66" spans="1:7" ht="17.25" thickBot="1">
      <c r="A66" s="1" t="s">
        <v>65</v>
      </c>
      <c r="B66" s="96"/>
      <c r="C66" s="10" t="e">
        <f>'Summary(3pcs)'!#REF!</f>
        <v>#REF!</v>
      </c>
      <c r="D66" s="11">
        <f>AVERAGE(C80:C82)</f>
        <v>1.0064629713666668</v>
      </c>
      <c r="E66" s="1" t="s">
        <v>83</v>
      </c>
      <c r="G66" s="1" t="s">
        <v>83</v>
      </c>
    </row>
    <row r="67" spans="1:7">
      <c r="B67" s="94">
        <f>AVERAGE(C67:C70)</f>
        <v>0</v>
      </c>
      <c r="C67" s="12">
        <f>[2]Result!AA15</f>
        <v>0</v>
      </c>
      <c r="D67" s="6">
        <f>AVERAGE(C87:C89)</f>
        <v>5.5859273274666661</v>
      </c>
      <c r="E67" s="1" t="s">
        <v>84</v>
      </c>
      <c r="G67" s="1" t="s">
        <v>84</v>
      </c>
    </row>
    <row r="68" spans="1:7">
      <c r="B68" s="95"/>
      <c r="C68" s="8">
        <f>[2]Result!AA16</f>
        <v>0</v>
      </c>
      <c r="D68" s="9">
        <f>AVERAGE(C90:C92)</f>
        <v>5.7310845057333344</v>
      </c>
      <c r="E68" s="1" t="s">
        <v>85</v>
      </c>
      <c r="G68" s="1" t="s">
        <v>85</v>
      </c>
    </row>
    <row r="69" spans="1:7">
      <c r="B69" s="95"/>
      <c r="C69" s="8">
        <f>[2]Result!AA17</f>
        <v>0</v>
      </c>
      <c r="D69" s="9">
        <f>AVERAGE(C93:C95)</f>
        <v>2.7568221092333332</v>
      </c>
      <c r="E69" s="1" t="s">
        <v>86</v>
      </c>
      <c r="G69" s="1" t="s">
        <v>86</v>
      </c>
    </row>
    <row r="70" spans="1:7" ht="17.25" thickBot="1">
      <c r="B70" s="96"/>
      <c r="C70" s="13">
        <f>[2]Result!AA18</f>
        <v>0</v>
      </c>
      <c r="D70" s="11">
        <f>AVERAGE(C96:C98)</f>
        <v>0.64018750186666684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'Summary(3pcs)'!V35</f>
        <v>-4.1857287884000005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'Summary(3pcs)'!V36</f>
        <v>-0.26834058760000001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'Summary(3pcs)'!V37</f>
        <v>0.88164591790000024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'Summary(3pcs)'!V38</f>
        <v>3.0031661986999998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'Summary(3pcs)'!V39</f>
        <v>-1.5422625541999997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'Summary(3pcs)'!V40</f>
        <v>1.6154556274000003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'Summary(3pcs)'!V41</f>
        <v>-5.0369319915999995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'Summary(3pcs)'!V42</f>
        <v>-5.4578263759999999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'Summary(3pcs)'!V43</f>
        <v>-5.8200535773999995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'Summary(3pcs)'!V44</f>
        <v>3.5020685195999999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'Summary(3pcs)'!V45</f>
        <v>-5.0246298313000004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'Summary(3pcs)'!V46</f>
        <v>4.5419502258000009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'Summary(3pcs)'!W35</f>
        <v>6.0811624526999992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'Summary(3pcs)'!W36</f>
        <v>8.7334232329999999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'Summary(3pcs)'!W37</f>
        <v>1.9431962967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'Summary(3pcs)'!W38</f>
        <v>3.8908824921000003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'Summary(3pcs)'!W39</f>
        <v>5.0212402344000004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'Summary(3pcs)'!W40</f>
        <v>8.2811307907000007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'Summary(3pcs)'!W41</f>
        <v>4.0386013985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'Summary(3pcs)'!W42</f>
        <v>1.4539823531999998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'Summary(3pcs)'!W43</f>
        <v>2.7778825759999997</v>
      </c>
    </row>
    <row r="96" spans="1:7">
      <c r="A96" s="1" t="s">
        <v>87</v>
      </c>
      <c r="C96" s="5">
        <f>'Summary(3pcs)'!W44</f>
        <v>-3.0901036262999999</v>
      </c>
    </row>
    <row r="97" spans="1:3">
      <c r="A97" s="1" t="s">
        <v>87</v>
      </c>
      <c r="C97" s="8">
        <f>'Summary(3pcs)'!W45</f>
        <v>-0.64456915859999997</v>
      </c>
    </row>
    <row r="98" spans="1:3" ht="17.25" thickBot="1">
      <c r="A98" s="1" t="s">
        <v>87</v>
      </c>
      <c r="C98" s="10">
        <f>'Summary(3pcs)'!W46</f>
        <v>5.6552352905000003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6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40"/>
      <c r="B1" s="40" t="s">
        <v>147</v>
      </c>
      <c r="C1" s="40" t="s">
        <v>138</v>
      </c>
      <c r="D1" s="40" t="s">
        <v>139</v>
      </c>
    </row>
    <row r="2" spans="1:4">
      <c r="A2" s="40">
        <v>4</v>
      </c>
      <c r="B2" s="40">
        <v>0</v>
      </c>
      <c r="C2" s="40">
        <v>0</v>
      </c>
      <c r="D2" s="40">
        <v>0</v>
      </c>
    </row>
    <row r="3" spans="1:4">
      <c r="A3" s="40">
        <v>5</v>
      </c>
      <c r="B3" s="40">
        <v>0</v>
      </c>
      <c r="C3" s="40">
        <v>-1</v>
      </c>
      <c r="D3" s="40">
        <v>0</v>
      </c>
    </row>
    <row r="4" spans="1:4">
      <c r="A4" s="40">
        <v>6</v>
      </c>
      <c r="B4" s="40">
        <v>-8</v>
      </c>
      <c r="C4" s="40">
        <v>0</v>
      </c>
      <c r="D4" s="40">
        <v>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2022-09-23T14:24:21Z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