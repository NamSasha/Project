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<sst xmlns="http://schemas.openxmlformats.org/spreadsheetml/2006/main" count="1419" uniqueCount="671">
  <si>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</si>
  <si>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</si>
  <si>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</si>
  <si>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</si>
  <si>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</si>
  <si>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</si>
  <si>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</si>
  <si>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</si>
  <si>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</si>
  <si>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</si>
  <si>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</si>
  <si>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</si>
  <si>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</si>
  <si>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</si>
  <si>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</si>
  <si>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</si>
  <si>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</si>
  <si>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</si>
  <si>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</si>
  <si>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</si>
  <si>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</si>
  <si>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</si>
  <si>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</si>
  <si>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</si>
  <si>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</si>
  <si>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</si>
  <si>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</si>
  <si>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</si>
  <si>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</si>
  <si>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</si>
  <si>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</si>
  <si>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</si>
  <si>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</si>
  <si>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</si>
  <si>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</si>
  <si>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</si>
  <si>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</si>
  <si>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</si>
  <si>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</si>
  <si>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</si>
  <si>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</si>
  <si>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</si>
  <si>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</si>
  <si>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</si>
  <si>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</si>
  <si>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</si>
  <si>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</si>
  <si>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</si>
  <si>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</si>
  <si>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</si>
  <si>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</si>
  <si>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</si>
  <si>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</si>
  <si>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</si>
  <si>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</si>
  <si>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</si>
  <si>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</si>
  <si>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</si>
  <si>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</si>
  <si>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</si>
  <si>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</si>
  <si>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</si>
  <si>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</si>
  <si>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</si>
  <si>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</si>
  <si>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</si>
  <si>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</si>
  <si>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</si>
  <si>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</si>
  <si>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</si>
  <si>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</si>
  <si>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</si>
  <si>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</si>
  <si>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</si>
  <si>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</si>
  <si>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</si>
  <si>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</si>
  <si>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</si>
  <si>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</si>
  <si>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</si>
  <si>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</si>
  <si>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</si>
  <si>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</si>
  <si>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</si>
  <si>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</si>
  <si>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</si>
  <si>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</si>
  <si>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</si>
  <si>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</si>
  <si>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</si>
  <si>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</si>
  <si>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</si>
  <si>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</si>
  <si>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</si>
  <si>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</si>
  <si>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</si>
  <si>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</si>
  <si>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</si>
  <si>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</si>
  <si>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</si>
  <si>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</si>
  <si>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</si>
  <si>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</si>
  <si>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</si>
  <si>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</si>
  <si>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</si>
  <si>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</si>
  <si>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</si>
  <si>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</si>
  <si>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</si>
  <si>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</si>
  <si>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</si>
  <si>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</si>
  <si>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</si>
  <si>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</si>
  <si>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</si>
  <si>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</si>
  <si>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</si>
  <si>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</si>
  <si>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</si>
  <si>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</si>
  <si>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</si>
  <si>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</si>
  <si>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</si>
  <si>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</si>
  <si>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</si>
  <si>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</si>
  <si>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</si>
  <si>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</si>
  <si>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</si>
  <si>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</si>
  <si>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</si>
  <si>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</si>
  <si>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</si>
  <si>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</si>
  <si>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</si>
  <si>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</si>
  <si>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</si>
  <si>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</si>
  <si>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</si>
  <si>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</si>
  <si>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</si>
  <si>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</si>
  <si>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</si>
  <si>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</si>
  <si>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</si>
  <si>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</si>
  <si>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</si>
  <si>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</si>
  <si>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</si>
  <si>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</si>
  <si>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</si>
  <si>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</si>
  <si>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</si>
  <si>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</si>
  <si>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</si>
  <si>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</si>
  <si>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</si>
  <si>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</si>
  <si>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</si>
  <si>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</si>
  <si>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</si>
  <si>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</si>
  <si>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</si>
  <si>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</si>
  <si>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</si>
  <si>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</si>
  <si>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</si>
  <si>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</si>
  <si>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</si>
  <si>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</si>
  <si>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</si>
  <si>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</si>
  <si>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 VSY841XN9NGS_2022092319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</si>
  <si>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</si>
  <si>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</si>
  <si>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</si>
  <si>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</si>
  <si>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</si>
  <si>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</si>
  <si>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</si>
  <si>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</si>
  <si>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</si>
  <si>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</si>
  <si>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</si>
  <si>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</si>
  <si>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</si>
  <si>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</si>
  <si>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</si>
  <si>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</si>
  <si>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</si>
  <si>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</si>
  <si>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</si>
  <si>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</si>
  <si>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</si>
  <si>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</si>
  <si>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</si>
  <si>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</si>
  <si>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</si>
  <si>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</si>
  <si>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</si>
  <si>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</si>
  <si>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</si>
  <si>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</si>
  <si>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</si>
  <si>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</si>
  <si>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</si>
  <si>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</si>
  <si>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</si>
  <si>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</si>
  <si>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T220923193529844VCMLEBC060</t>
  </si>
  <si>
    <t>'2022-09-23 19:35:38:874</t>
  </si>
  <si>
    <t>VCMLEBC060A</t>
  </si>
  <si>
    <t>DB_C1001</t>
  </si>
  <si>
    <t>210615ADOE</t>
  </si>
  <si>
    <t>R13A_OC_MFG_C10_21091603_b1779c9</t>
  </si>
  <si>
    <t xml:space="preserve"> VSY841XN9NGS</t>
  </si>
  <si>
    <t>22cd12150625</t>
  </si>
  <si>
    <t>0x5280156270c29308</t>
  </si>
  <si>
    <t>MFAC364AB8W8B4B6B937101127</t>
  </si>
  <si>
    <t>MF7C3517BDEV13A7A633</t>
  </si>
  <si>
    <t>DNA22303104090J09A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</si>
  <si>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</si>
  <si>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</si>
  <si>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</si>
  <si>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</si>
  <si>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</si>
  <si>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</si>
  <si>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T220923193635504VCMLEBC060</t>
  </si>
  <si>
    <t>'2022-09-23 19:36:44:371</t>
  </si>
  <si>
    <t>22cd12140248</t>
  </si>
  <si>
    <t>0x52801562782dc004</t>
  </si>
  <si>
    <t>MFAC364AB8VRB4B6B744025001</t>
  </si>
  <si>
    <t>MF7C3517BDB513A7A641</t>
  </si>
  <si>
    <t>DNA22301053610K11A</t>
  </si>
  <si>
    <t>T220923193739447VCMLEBC060</t>
  </si>
  <si>
    <t>'2022-09-23 19:37:48:610</t>
  </si>
  <si>
    <t>22cd12150601</t>
  </si>
  <si>
    <t>0x5280186279eefc04</t>
  </si>
  <si>
    <t>MFAC364AB8SUB4B6B743026117</t>
  </si>
  <si>
    <t>MF7C3517BDET13A7A637</t>
  </si>
  <si>
    <t>DNA22252063720F09A</t>
  </si>
  <si>
    <t>T220923193852645VCMLEBC060</t>
  </si>
  <si>
    <t>'2022-09-23 19:39:01:591</t>
  </si>
  <si>
    <t>22cd12150717</t>
  </si>
  <si>
    <t>0x5280156270c15707</t>
  </si>
  <si>
    <t>MFAC364AB8T7B4B6B739027101</t>
  </si>
  <si>
    <t>MF7C3517BDFY13A7A630</t>
  </si>
  <si>
    <t>DNA22303103900F01A</t>
  </si>
  <si>
    <t>T220923193957032VCMLEBC060</t>
  </si>
  <si>
    <t>'2022-09-23 19:40:06:014</t>
  </si>
  <si>
    <t>22cd12150571</t>
  </si>
  <si>
    <t>0x52801562782d2108</t>
  </si>
  <si>
    <t>MFAC364AB8SWB4B6D042004127</t>
  </si>
  <si>
    <t>MF7C3517BDF613A7A639</t>
  </si>
  <si>
    <t>DNA22252063700D03A</t>
  </si>
  <si>
    <t>T220923194102996VCMLEBC060</t>
  </si>
  <si>
    <t>'2022-09-23 19:41:11:771</t>
  </si>
  <si>
    <t>22cd12150050</t>
  </si>
  <si>
    <t>0x528015627838eb07</t>
  </si>
  <si>
    <t>MFAC364AB8Z1B4B6C043064104</t>
  </si>
  <si>
    <t>MF7C3517BDEZ13A7A635</t>
  </si>
  <si>
    <t>DNA22303104090J02A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</si>
  <si>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</si>
  <si>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</si>
  <si>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</si>
  <si>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</si>
  <si>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</si>
  <si>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</si>
  <si>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</si>
  <si>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</si>
  <si>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</si>
  <si>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</si>
  <si>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</si>
  <si>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</si>
  <si>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</si>
  <si>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</si>
  <si>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</si>
  <si>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</si>
  <si>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</si>
  <si>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</si>
  <si>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</si>
  <si>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</si>
  <si>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</si>
  <si>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</si>
  <si>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</si>
  <si>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</si>
  <si>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</si>
  <si>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</si>
  <si>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</si>
  <si>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</si>
  <si>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</si>
  <si>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</si>
  <si>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</si>
  <si>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T220923193556375VCMLEBC060</t>
  </si>
  <si>
    <t>'2022-09-23 19:36:25:643</t>
  </si>
  <si>
    <t>R13A_IPQC_MFG_SFR_InfDn_C10_21090805_b1779c9</t>
  </si>
  <si>
    <t>D6x_Wide</t>
  </si>
  <si>
    <t>Normal</t>
  </si>
  <si>
    <t>T220923193701870VCMLEBC060</t>
  </si>
  <si>
    <t>'2022-09-23 19:37:31:017</t>
  </si>
  <si>
    <t>T220923193806011VCMLEBC060</t>
  </si>
  <si>
    <t>'2022-09-23 19:38:35:427</t>
  </si>
  <si>
    <t>T220923193918985VCMLEBC060</t>
  </si>
  <si>
    <t>'2022-09-23 19:39:47:864</t>
  </si>
  <si>
    <t>T220923194023468VCMLEBC060</t>
  </si>
  <si>
    <t>'2022-09-23 19:40:51:958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</si>
  <si>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</si>
  <si>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</si>
  <si>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</si>
  <si>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</si>
  <si>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</si>
  <si>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</si>
  <si>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</si>
  <si>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</si>
  <si>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</si>
  <si>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</si>
  <si>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</si>
  <si>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</si>
  <si>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</si>
  <si>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19:36:15:618</t>
  </si>
  <si>
    <t>'2022-09-23 19:37:20:988</t>
  </si>
  <si>
    <t>'2022-09-23 19:38:25:397</t>
  </si>
  <si>
    <t>'2022-09-23 19:39:37:838</t>
  </si>
  <si>
    <t>'2022-09-23 19:40:41:899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</si>
  <si>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</si>
  <si>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</si>
  <si>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</si>
  <si>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</si>
  <si>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</si>
  <si>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</si>
  <si>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</si>
  <si>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</si>
  <si>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</si>
  <si>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</si>
  <si>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</si>
  <si>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</si>
  <si>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</si>
  <si>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</si>
  <si>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</si>
  <si>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</si>
  <si>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</si>
  <si>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</si>
  <si>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</si>
  <si>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</si>
  <si>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</si>
  <si>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</si>
  <si>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</si>
  <si>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</si>
  <si>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</si>
  <si>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</si>
  <si>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</si>
  <si>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</si>
  <si>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</si>
  <si>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</si>
  <si>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</si>
  <si>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</si>
  <si>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</si>
  <si>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</si>
  <si>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</si>
  <si>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</si>
  <si>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</si>
  <si>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</si>
  <si>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</si>
  <si>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</si>
  <si>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</si>
  <si>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</si>
  <si>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</si>
  <si>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</si>
  <si>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</si>
  <si>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</si>
  <si>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</si>
  <si>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</si>
  <si>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</si>
  <si>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</si>
  <si>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</si>
  <si>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</si>
  <si>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</si>
  <si>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</si>
  <si>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</si>
  <si>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</si>
  <si>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</si>
  <si>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</si>
  <si>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</si>
  <si>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</si>
  <si>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</si>
  <si>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</si>
  <si>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</si>
  <si>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</si>
  <si>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</si>
  <si>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</si>
  <si>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</si>
  <si>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</si>
  <si>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</si>
  <si>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</si>
  <si>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</si>
  <si>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</si>
  <si>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</si>
  <si>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</si>
  <si>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</si>
  <si>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</si>
  <si>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</si>
  <si>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</si>
  <si>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</si>
  <si>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</si>
  <si>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</si>
  <si>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</si>
  <si>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</si>
  <si>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</si>
  <si>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</si>
  <si>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</si>
  <si>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</si>
  <si>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</si>
  <si>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</si>
  <si>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</si>
  <si>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</si>
  <si>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</si>
  <si>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</si>
  <si>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</si>
  <si>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</si>
  <si>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</si>
  <si>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</si>
  <si>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</si>
  <si>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</si>
  <si>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</si>
  <si>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</si>
  <si>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</si>
  <si>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</si>
  <si>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</si>
  <si>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</si>
  <si>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</si>
  <si>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</si>
  <si>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</si>
  <si>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</si>
  <si>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</si>
  <si>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</si>
  <si>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</si>
  <si>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</si>
  <si>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</si>
  <si>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</si>
  <si>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</si>
  <si>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</si>
  <si>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</si>
  <si>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</si>
  <si>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</si>
  <si>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</si>
  <si>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</si>
  <si>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</si>
  <si>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</si>
  <si>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</si>
  <si>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</si>
  <si>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</si>
  <si>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</si>
  <si>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</si>
  <si>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</si>
  <si>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</si>
  <si>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</si>
  <si>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</si>
  <si>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</si>
  <si>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</si>
  <si>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</si>
  <si>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</si>
  <si>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</si>
  <si>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</si>
  <si>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</si>
  <si>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</si>
  <si>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</si>
  <si>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</si>
  <si>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</si>
  <si>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</si>
  <si>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</si>
  <si>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</si>
  <si>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</si>
  <si>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</si>
  <si>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</si>
  <si>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</si>
  <si>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</si>
  <si>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</si>
  <si>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</si>
  <si>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</si>
  <si>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</si>
  <si>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</si>
  <si>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</si>
  <si>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</si>
  <si>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</si>
  <si>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</si>
  <si>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</si>
  <si>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</si>
  <si>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</si>
  <si>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</si>
  <si>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</si>
  <si>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</si>
  <si>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</si>
  <si>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</si>
  <si>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</si>
  <si>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</si>
  <si>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</si>
  <si>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</si>
  <si>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</si>
  <si>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</si>
  <si>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</si>
  <si>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</si>
  <si>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</si>
  <si>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</si>
  <si>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</si>
  <si>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</si>
  <si>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</si>
  <si>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</si>
  <si>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</si>
  <si>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</si>
  <si>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</si>
  <si>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</si>
  <si>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</si>
  <si>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</si>
  <si>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</si>
  <si>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</si>
  <si>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</si>
  <si>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</si>
  <si>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</si>
  <si>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</si>
  <si>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</si>
  <si>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</si>
  <si>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</si>
  <si>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</si>
  <si>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</si>
  <si>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</si>
  <si>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</si>
  <si>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</si>
  <si>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</si>
  <si>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</si>
  <si>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</si>
  <si>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</si>
  <si>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</si>
  <si>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</si>
  <si>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</si>
  <si>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</si>
  <si>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</si>
  <si>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</si>
  <si>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</si>
  <si>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</si>
  <si>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</si>
  <si>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</si>
  <si>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</si>
  <si>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</si>
  <si>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</si>
  <si>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</si>
  <si>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</si>
  <si>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</si>
  <si>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</si>
  <si>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</si>
  <si>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</si>
  <si>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</si>
  <si>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</si>
  <si>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</si>
  <si>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</si>
  <si>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</si>
  <si>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</si>
  <si>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</si>
  <si>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</si>
  <si>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</si>
  <si>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</si>
  <si>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</si>
  <si>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</si>
  <si>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</si>
  <si>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</si>
  <si>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</si>
  <si>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</si>
  <si>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</si>
  <si>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</si>
  <si>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</si>
  <si>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</si>
  <si>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</si>
  <si>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</si>
  <si>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</si>
  <si>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</si>
  <si>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</si>
  <si>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</si>
  <si>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</si>
  <si>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</si>
  <si>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</si>
  <si>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</si>
  <si>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</si>
  <si>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T220923193541610VCMLEBC060</t>
  </si>
  <si>
    <t>'2022-09-23 19:35:54:156</t>
  </si>
  <si>
    <t>R13A_IPQC_MFG_Laser_C10_21090805_b1779c9</t>
  </si>
  <si>
    <t>v9p4</t>
  </si>
  <si>
    <t>T220923193647054VCMLEBC060</t>
  </si>
  <si>
    <t>'2022-09-23 19:36:59:591</t>
  </si>
  <si>
    <t>T220923193751239VCMLEBC060</t>
  </si>
  <si>
    <t>'2022-09-23 19:38:03:782</t>
  </si>
  <si>
    <t>T220923193904228VCMLEBC060</t>
  </si>
  <si>
    <t>'2022-09-23 19:39:16:764</t>
  </si>
  <si>
    <t>T220923194008705VCMLEBC060</t>
  </si>
  <si>
    <t>'2022-09-23 19:40:21:237</t>
  </si>
  <si>
    <t>T220923194114444VCMLEBC060</t>
  </si>
  <si>
    <t>'2022-09-23 19:41:26:974</t>
  </si>
  <si>
    <t>T220923194129220VCMLEBC060</t>
  </si>
  <si>
    <t>'2022-09-23 19:41:48:542</t>
  </si>
  <si>
    <t>T220923194209946VCMLEBC060</t>
  </si>
  <si>
    <t>'2022-09-23 19:42:19:189</t>
  </si>
  <si>
    <t>22cd12150964</t>
  </si>
  <si>
    <t>0x5280156278354d03</t>
  </si>
  <si>
    <t>MFAC364AB8TWB4B6B540041107</t>
  </si>
  <si>
    <t>MF7C3517BDEY13A7A654</t>
  </si>
  <si>
    <t>DNA22252063720G02A</t>
  </si>
  <si>
    <t>T220923194317012VCMLEBC060</t>
  </si>
  <si>
    <t>'2022-09-23 19:43:25:870</t>
  </si>
  <si>
    <t>22cd12150934</t>
  </si>
  <si>
    <t>0x5280156278299801</t>
  </si>
  <si>
    <t>MFAC364AB8TTB4B6B336018101</t>
  </si>
  <si>
    <t>MF7C3517BDB413A7A633</t>
  </si>
  <si>
    <t>DNA22297012070L06A</t>
  </si>
  <si>
    <t>T220923194421337VCMLEBC060</t>
  </si>
  <si>
    <t>'2022-09-23 19:44:30:591</t>
  </si>
  <si>
    <t>22cd12140672</t>
  </si>
  <si>
    <t>0x528015627828d604</t>
  </si>
  <si>
    <t>MF9C3579B72H42B6B839019023</t>
  </si>
  <si>
    <t>MF4C3544B7V622A7A652</t>
  </si>
  <si>
    <t>DNA22253042340I08A</t>
  </si>
  <si>
    <t>'2022-09-23 19:41:58:565</t>
  </si>
  <si>
    <t>T220923194236596VCMLEBC060</t>
  </si>
  <si>
    <t>'2022-09-23 19:43:05:847</t>
  </si>
  <si>
    <t>T220923194343279VCMLEBC060</t>
  </si>
  <si>
    <t>'2022-09-23 19:44:12:671</t>
  </si>
  <si>
    <t>'2022-09-23 19:42:55:823</t>
  </si>
  <si>
    <t>'2022-09-23 19:44:02:647</t>
  </si>
  <si>
    <t>T220923194221830VCMLEBC060</t>
  </si>
  <si>
    <t>'2022-09-23 19:42:34:361</t>
  </si>
  <si>
    <t>T220923194328512VCMLEBC060</t>
  </si>
  <si>
    <t>'2022-09-23 19:43:41:050</t>
  </si>
  <si>
    <t>T220923194433224VCMLEBC060</t>
  </si>
  <si>
    <t>'2022-09-23 19:44:45:757</t>
  </si>
  <si>
    <t>T220923194447989VCMLEBC060</t>
  </si>
  <si>
    <t>'2022-09-23 19:45:17:133</t>
  </si>
  <si>
    <t>'2022-09-23 19:45:07:110</t>
  </si>
  <si>
    <t>T220923190524252VCMLEBC060</t>
  </si>
  <si>
    <t>'2022-09-23 19:05:33:190</t>
  </si>
  <si>
    <t>22cd12150741</t>
  </si>
  <si>
    <t>0x528015627836cc03</t>
  </si>
  <si>
    <t>MFAC364AB8UPB4B6B445012103</t>
  </si>
  <si>
    <t>MF7C3517BDEW13A7A636</t>
  </si>
  <si>
    <t>DNA22301050880B01A</t>
  </si>
  <si>
    <t>T220923190551693VCMLEBC060</t>
  </si>
  <si>
    <t>'2022-09-23 19:06:11:177</t>
  </si>
  <si>
    <t>T220923190536929VCMLEBC060</t>
  </si>
  <si>
    <t>'2022-09-23 19:05:49:461</t>
  </si>
  <si>
    <t>T220923190629339VCMLEBC060</t>
  </si>
  <si>
    <t>'2022-09-23 19:06:38:169</t>
  </si>
  <si>
    <t>22cd12150713</t>
  </si>
  <si>
    <t>0x5280136278316708</t>
  </si>
  <si>
    <t>MFAC364AB8T1B4B6C341080002</t>
  </si>
  <si>
    <t>MF7C3517BDF213A7A659</t>
  </si>
  <si>
    <t>DNA22252063700B12A</t>
  </si>
  <si>
    <t>'2022-09-23 19:06:21:207</t>
  </si>
  <si>
    <t>T220923190655670VCMLEBC060</t>
  </si>
  <si>
    <t>'2022-09-23 19:07:23:968</t>
  </si>
  <si>
    <t>'2022-09-23 19:07:13:939</t>
  </si>
  <si>
    <t>T220923190640900VCMLEBC060</t>
  </si>
  <si>
    <t>'2022-09-23 19:06:53:433</t>
  </si>
  <si>
    <t>T220923190732968VCMLEBC060</t>
  </si>
  <si>
    <t>'2022-09-23 19:07:42:085</t>
  </si>
  <si>
    <t>22cd12150595</t>
  </si>
  <si>
    <t>0x5280156278382807</t>
  </si>
  <si>
    <t>MFAC364AB8VSB4B6B840042114</t>
  </si>
  <si>
    <t>MF7C3517BDBC13A7A636</t>
  </si>
  <si>
    <t>DNA22301075160G07A</t>
  </si>
  <si>
    <t>T220923190745034VCMLEBC060</t>
  </si>
  <si>
    <t>'2022-09-23 19:07:57:566</t>
  </si>
  <si>
    <t>T220923190759800VCMLEBC060</t>
  </si>
  <si>
    <t>'2022-09-23 19:08:28:902</t>
  </si>
  <si>
    <t>'2022-09-23 19:08:18:877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</si>
</sst>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-2.2466381485000002</c:v>
                </c:pt>
                <c:pt idx="1">
                  <c:v>2.3852397157</c:v>
                </c:pt>
                <c:pt idx="2">
                  <c:v>3.9061483453000001</c:v>
                </c:pt>
                <c:pt idx="3">
                  <c:v>-3.6727246415999999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-2.6687702698000004</c:v>
                </c:pt>
                <c:pt idx="1">
                  <c:v>1.8320354700000001</c:v>
                </c:pt>
                <c:pt idx="2">
                  <c:v>9.1448415714000006</c:v>
                </c:pt>
                <c:pt idx="3">
                  <c:v>-15.2708930543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1.3482499708333335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2.7693689238666668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22528"/>
        <c:axId val="50424064"/>
      </c:scatterChart>
      <c:valAx>
        <c:axId val="504225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424064"/>
        <c:crosses val="autoZero"/>
        <c:crossBetween val="midCat"/>
        <c:majorUnit val="10"/>
      </c:valAx>
      <c:valAx>
        <c:axId val="5042406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422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-5.3743909256000002</c:v>
                </c:pt>
                <c:pt idx="1">
                  <c:v>-7.7304910803000002</c:v>
                </c:pt>
                <c:pt idx="2">
                  <c:v>3.8822117184999998</c:v>
                </c:pt>
                <c:pt idx="3">
                  <c:v>3.4847229725000002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-1.0565277804999997</c:v>
                </c:pt>
                <c:pt idx="1">
                  <c:v>-7.2101163009999993</c:v>
                </c:pt>
                <c:pt idx="2">
                  <c:v>-0.22063893780000043</c:v>
                </c:pt>
                <c:pt idx="3">
                  <c:v>-5.6470412157999998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-5.5925355491666666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-7.8458457119333334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19712"/>
        <c:axId val="60829696"/>
      </c:scatterChart>
      <c:valAx>
        <c:axId val="6081971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829696"/>
        <c:crosses val="autoZero"/>
        <c:crossBetween val="midCat"/>
        <c:majorUnit val="10"/>
      </c:valAx>
      <c:valAx>
        <c:axId val="6082969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819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0.23247523319999999</c:v>
                </c:pt>
                <c:pt idx="1">
                  <c:v>-4.1178708683999998</c:v>
                </c:pt>
                <c:pt idx="2">
                  <c:v>-5.1085018433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0.40517862090000012</c:v>
                </c:pt>
                <c:pt idx="1">
                  <c:v>-6.5555472290000001</c:v>
                </c:pt>
                <c:pt idx="2">
                  <c:v>-1.9201360766000004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2.5331366414000001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-1.8208338442333334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58368"/>
        <c:axId val="60859904"/>
      </c:scatterChart>
      <c:valAx>
        <c:axId val="608583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859904"/>
        <c:crosses val="autoZero"/>
        <c:crossBetween val="midCat"/>
        <c:majorUnit val="10"/>
      </c:valAx>
      <c:valAx>
        <c:axId val="6085990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858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-5.2450543525000004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-4.5244471913000002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-4.8238090213999998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-4.3333768322999999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53120"/>
        <c:axId val="61254656"/>
      </c:scatterChart>
      <c:valAx>
        <c:axId val="6125312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254656"/>
        <c:crosses val="autoZero"/>
        <c:crossBetween val="midCat"/>
        <c:majorUnit val="10"/>
      </c:valAx>
      <c:valAx>
        <c:axId val="612546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253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91.677858189999995</c:v>
                </c:pt>
                <c:pt idx="1">
                  <c:v>93.43669328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94.588433456666664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69728"/>
        <c:axId val="60971264"/>
      </c:scatterChart>
      <c:valAx>
        <c:axId val="6096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971264"/>
        <c:crosses val="autoZero"/>
        <c:crossBetween val="midCat"/>
      </c:valAx>
      <c:valAx>
        <c:axId val="6097126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96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98.650748899999996</c:v>
                </c:pt>
                <c:pt idx="1">
                  <c:v>96.929472599999997</c:v>
                </c:pt>
                <c:pt idx="2">
                  <c:v>89.129083969999996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93.143453336666667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12608"/>
        <c:axId val="61014400"/>
      </c:scatterChart>
      <c:valAx>
        <c:axId val="6101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014400"/>
        <c:crosses val="autoZero"/>
        <c:crossBetween val="midCat"/>
      </c:valAx>
      <c:valAx>
        <c:axId val="6101440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01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93.371803439999994</c:v>
                </c:pt>
                <c:pt idx="1">
                  <c:v>91.488357230000005</c:v>
                </c:pt>
                <c:pt idx="2">
                  <c:v>96.826012430000006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93.422537586666678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71744"/>
        <c:axId val="61073280"/>
      </c:scatterChart>
      <c:valAx>
        <c:axId val="6107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073280"/>
        <c:crosses val="autoZero"/>
        <c:crossBetween val="midCat"/>
      </c:valAx>
      <c:valAx>
        <c:axId val="6107328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071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91.953243099999995</c:v>
                </c:pt>
                <c:pt idx="1">
                  <c:v>99.453103299999995</c:v>
                </c:pt>
                <c:pt idx="2">
                  <c:v>91.247346609999994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96.004797376666659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04128"/>
        <c:axId val="61105664"/>
      </c:scatterChart>
      <c:valAx>
        <c:axId val="6110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105664"/>
        <c:crosses val="autoZero"/>
        <c:crossBetween val="midCat"/>
      </c:valAx>
      <c:valAx>
        <c:axId val="6110566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10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-11.4448862076</c:v>
                </c:pt>
                <c:pt idx="1">
                  <c:v>5.5436611200000208E-2</c:v>
                </c:pt>
                <c:pt idx="2">
                  <c:v>-2.7681896686999998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5.6764678955000001</c:v>
                </c:pt>
                <c:pt idx="1">
                  <c:v>1.3428716659999997</c:v>
                </c:pt>
                <c:pt idx="2">
                  <c:v>-0.57714414600000019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-4.7192130883666659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2.1473984718333332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5888"/>
        <c:axId val="61287424"/>
      </c:scatterChart>
      <c:valAx>
        <c:axId val="6128588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287424"/>
        <c:crosses val="autoZero"/>
        <c:crossBetween val="midCat"/>
        <c:majorUnit val="10"/>
      </c:valAx>
      <c:valAx>
        <c:axId val="612874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285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-3.6941037178</c:v>
                </c:pt>
                <c:pt idx="1">
                  <c:v>-0.7387876511</c:v>
                </c:pt>
                <c:pt idx="2">
                  <c:v>-1.6857247353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-2.1993665695</c:v>
                </c:pt>
                <c:pt idx="1">
                  <c:v>-0.75184655189999994</c:v>
                </c:pt>
                <c:pt idx="2">
                  <c:v>5.5757656096999995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-2.0395387014000002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0.87485082943333314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11616"/>
        <c:axId val="61337984"/>
      </c:scatterChart>
      <c:valAx>
        <c:axId val="6131161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337984"/>
        <c:crosses val="autoZero"/>
        <c:crossBetween val="midCat"/>
        <c:majorUnit val="10"/>
      </c:valAx>
      <c:valAx>
        <c:axId val="613379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31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1.1265697478999996</c:v>
                </c:pt>
                <c:pt idx="1">
                  <c:v>-6.8832917809000005</c:v>
                </c:pt>
                <c:pt idx="2">
                  <c:v>-0.23584795000000014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7.6093578339000008</c:v>
                </c:pt>
                <c:pt idx="1">
                  <c:v>8.0125131606999993</c:v>
                </c:pt>
                <c:pt idx="2">
                  <c:v>-4.0640175342999996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-1.9975233276666671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3.8526178201000003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78944"/>
        <c:axId val="61380480"/>
      </c:scatterChart>
      <c:valAx>
        <c:axId val="613789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380480"/>
        <c:crosses val="autoZero"/>
        <c:crossBetween val="midCat"/>
        <c:majorUnit val="10"/>
      </c:valAx>
      <c:valAx>
        <c:axId val="613804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378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-7.9716360568999995</c:v>
                </c:pt>
                <c:pt idx="1">
                  <c:v>-0.62259101869999967</c:v>
                </c:pt>
                <c:pt idx="2">
                  <c:v>-3.4680075645000001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8.2887573242000006</c:v>
                </c:pt>
                <c:pt idx="1">
                  <c:v>-2.5909435451</c:v>
                </c:pt>
                <c:pt idx="2">
                  <c:v>-0.87458348269999986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-4.020744880033333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1.6077434321333335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88384"/>
        <c:axId val="61889920"/>
      </c:scatterChart>
      <c:valAx>
        <c:axId val="6188838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889920"/>
        <c:crosses val="autoZero"/>
        <c:crossBetween val="midCat"/>
        <c:majorUnit val="10"/>
      </c:valAx>
      <c:valAx>
        <c:axId val="6188992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888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>
      <selection activeCell="C20" sqref="C20"/>
    </sheetView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VSY841XN9NGS_2022092319_D50_ON_OC.csv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VSY841XN9NGS_2022092319_FPDC_INFD_normal.csv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VSY841XN9NGS_2022092319_INFDMargin_IPQC.csv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VSY841XN9NGS_2022092319_VCM_MEASURE.csv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M31" sqref="M31:M32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22cd12150625</v>
      </c>
      <c r="C34" s="44">
        <f>IPQC!S2+VLOOKUP($R$31,$AD$38:$AK$42,6,FALSE)+VLOOKUP('File location'!$B$1,'Tester offset'!$A$2:$D$4,2,FALSE)</f>
        <v>91.677858189999995</v>
      </c>
      <c r="D34" s="44">
        <f>IPQC!Z2+VLOOKUP($R$31,$AD$38:$AK$42,6,FALSE)</f>
        <v>81.202151169999993</v>
      </c>
      <c r="E34" s="44">
        <f>VCM!HU2-'Summary(3pcs)'!C34-'Summary(3pcs)'!$D$32</f>
        <v>143.88796021523791</v>
      </c>
      <c r="F34" s="90">
        <f>AVERAGEIF($A$34:$A$45,1,$C$34:$C$45)</f>
        <v>94.588433456666664</v>
      </c>
      <c r="G34" s="91">
        <f>AVERAGEIF($A$34:$A$45,1,$D$34:$D$45)</f>
        <v>89.097978463333334</v>
      </c>
      <c r="H34" s="91">
        <f>AVERAGEIF($A$34:$A$45,1,$E$34:$E$45)</f>
        <v>141.41743170967126</v>
      </c>
      <c r="I34" s="91">
        <f>85-F34</f>
        <v>-9.5884334566666638</v>
      </c>
      <c r="J34"/>
      <c r="K34" s="79">
        <f>T34</f>
        <v>1</v>
      </c>
      <c r="L34" s="80" t="str">
        <f>OC!J2</f>
        <v>22cd12150625</v>
      </c>
      <c r="M34" s="44">
        <f>OC!S2+VLOOKUP($R$31,$AD$38:$AK$42,4,FALSE)</f>
        <v>-2.2466381485000002</v>
      </c>
      <c r="N34" s="44">
        <f>OC!T2+VLOOKUP($R$31,$AD$38:$AK$42,5,FALSE)</f>
        <v>-2.6687702698000004</v>
      </c>
      <c r="O34" s="92">
        <f>AVERAGEIF($K$34:$K$45,1,$M$34:$M$45)</f>
        <v>1.3482499708333335</v>
      </c>
      <c r="P34" s="92">
        <f>AVERAGEIF($K$34:$K$45,1,$N$34:$N$45)</f>
        <v>2.7693689238666668</v>
      </c>
      <c r="Q34" s="90">
        <f>P34*0.001</f>
        <v>2.7693689238666667E-3</v>
      </c>
      <c r="R34" s="90">
        <f>O34*0.001</f>
        <v>1.3482499708333336E-3</v>
      </c>
      <c r="T34" s="79">
        <v>1</v>
      </c>
      <c r="U34" s="80" t="str">
        <f>FPDC!J2</f>
        <v>22cd12150625</v>
      </c>
      <c r="V34" s="75">
        <f>FPDC!R2+VLOOKUP($R$31,$AD$38:$AK$42,2,FALSE)+VLOOKUP($R$31,$AD$38:$AK$42,7,FALSE)+VLOOKUP('File location'!$B$1,'Tester offset'!$A$2:$D$4,3,FALSE)</f>
        <v>-7.9716360568999995</v>
      </c>
      <c r="W34" s="76">
        <f>FPDC!S2+VLOOKUP($R$31,$AD$38:$AK$42,3,FALSE)+VLOOKUP($R$31,$AD$38:$AK$42,8,FALSE)+VLOOKUP('File location'!$B$1,'Tester offset'!$A$2:$D$4,4,FALSE)</f>
        <v>8.2887573242000006</v>
      </c>
      <c r="X34" s="92">
        <f>AVERAGEIF($T$34:$T$45,1,$V$34:$V$45)</f>
        <v>-4.020744880033333</v>
      </c>
      <c r="Y34" s="92">
        <f>AVERAGEIF($T$34:$T$45,1,$W$34:$W$45)</f>
        <v>1.6077434321333335</v>
      </c>
      <c r="Z34" s="90">
        <f>(X34*-0.01)/4</f>
        <v>1.0051862200083332E-2</v>
      </c>
      <c r="AA34" s="90">
        <f>(Y34*-0.01)/4</f>
        <v>-4.0193585803333341E-3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22cd12140248</v>
      </c>
      <c r="C35" s="44">
        <f>IPQC!S3+VLOOKUP($R$31,$AD$38:$AK$42,6,FALSE)+VLOOKUP('File location'!$B$1,'Tester offset'!$A$2:$D$4,2,FALSE)</f>
        <v>93.43669328</v>
      </c>
      <c r="D35" s="44">
        <f>IPQC!Z3+VLOOKUP($R$31,$AD$38:$AK$42,6,FALSE)</f>
        <v>96.073977900000003</v>
      </c>
      <c r="E35" s="44">
        <f>VCM!HU3-'Summary(3pcs)'!C35-'Summary(3pcs)'!$D$32</f>
        <v>141.27683144633795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22cd12140248</v>
      </c>
      <c r="M35" s="44">
        <f>OC!S3+VLOOKUP($R$31,$AD$38:$AK$42,4,FALSE)</f>
        <v>2.3852397157</v>
      </c>
      <c r="N35" s="44">
        <f>OC!T3+VLOOKUP($R$31,$AD$38:$AK$42,5,FALSE)</f>
        <v>1.8320354700000001</v>
      </c>
      <c r="O35" s="92"/>
      <c r="P35" s="92"/>
      <c r="Q35" s="90"/>
      <c r="R35" s="90"/>
      <c r="T35" s="79">
        <v>1</v>
      </c>
      <c r="U35" s="80" t="str">
        <f>FPDC!J3</f>
        <v>22cd12140248</v>
      </c>
      <c r="V35" s="75">
        <f>FPDC!R3+VLOOKUP($R$31,$AD$38:$AK$42,2,FALSE)+VLOOKUP($R$31,$AD$38:$AK$42,7,FALSE)+VLOOKUP('File location'!$B$1,'Tester offset'!$A$2:$D$4,3,FALSE)</f>
        <v>-0.62259101869999967</v>
      </c>
      <c r="W35" s="76">
        <f>FPDC!S3+VLOOKUP($R$31,$AD$38:$AK$42,3,FALSE)+VLOOKUP($R$31,$AD$38:$AK$42,8,FALSE)+VLOOKUP('File location'!$B$1,'Tester offset'!$A$2:$D$4,4,FALSE)</f>
        <v>-2.5909435451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22cd12150601</v>
      </c>
      <c r="C36" s="44">
        <f>IPQC!S4+VLOOKUP($R$31,$AD$38:$AK$42,6,FALSE)+VLOOKUP('File location'!$B$1,'Tester offset'!$A$2:$D$4,2,FALSE)</f>
        <v>98.650748899999996</v>
      </c>
      <c r="D36" s="44">
        <f>IPQC!Z4+VLOOKUP($R$31,$AD$38:$AK$42,6,FALSE)</f>
        <v>90.017806320000005</v>
      </c>
      <c r="E36" s="44">
        <f>VCM!HU4-'Summary(3pcs)'!C36-'Summary(3pcs)'!$D$32</f>
        <v>139.0875034674379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22cd12150601</v>
      </c>
      <c r="M36" s="44">
        <f>OC!S4+VLOOKUP($R$31,$AD$38:$AK$42,4,FALSE)</f>
        <v>3.9061483453000001</v>
      </c>
      <c r="N36" s="44">
        <f>OC!T4+VLOOKUP($R$31,$AD$38:$AK$42,5,FALSE)</f>
        <v>9.1448415714000006</v>
      </c>
      <c r="O36" s="92"/>
      <c r="P36" s="92"/>
      <c r="Q36" s="90"/>
      <c r="R36" s="90"/>
      <c r="T36" s="79">
        <v>1</v>
      </c>
      <c r="U36" s="80" t="str">
        <f>FPDC!J4</f>
        <v>22cd12150601</v>
      </c>
      <c r="V36" s="75">
        <f>FPDC!R4+VLOOKUP($R$31,$AD$38:$AK$42,2,FALSE)+VLOOKUP($R$31,$AD$38:$AK$42,7,FALSE)+VLOOKUP('File location'!$B$1,'Tester offset'!$A$2:$D$4,3,FALSE)</f>
        <v>-3.4680075645000001</v>
      </c>
      <c r="W36" s="76">
        <f>FPDC!S4+VLOOKUP($R$31,$AD$38:$AK$42,3,FALSE)+VLOOKUP($R$31,$AD$38:$AK$42,8,FALSE)+VLOOKUP('File location'!$B$1,'Tester offset'!$A$2:$D$4,4,FALSE)</f>
        <v>-0.87458348269999986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22cd12150717</v>
      </c>
      <c r="C37" s="44">
        <f>IPQC!S5+VLOOKUP($R$31,$AD$38:$AK$42,6,FALSE)+VLOOKUP('File location'!$B$1,'Tester offset'!$A$2:$D$4,2,FALSE)</f>
        <v>96.929472599999997</v>
      </c>
      <c r="D37" s="44">
        <f>IPQC!Z5+VLOOKUP($R$31,$AD$38:$AK$42,6,FALSE)</f>
        <v>90.742363310000002</v>
      </c>
      <c r="E37" s="44">
        <f>VCM!HU5-'Summary(3pcs)'!C37-'Summary(3pcs)'!$D$32</f>
        <v>136.26824202833791</v>
      </c>
      <c r="F37" s="90">
        <f>AVERAGEIF($A$34:$A$45,2,$C$34:$C$45)</f>
        <v>93.143453336666667</v>
      </c>
      <c r="G37" s="91">
        <f>AVERAGEIF($A$34:$A$45,2,$D$34:$D$45)</f>
        <v>86.174949776666665</v>
      </c>
      <c r="H37" s="91">
        <f>AVERAGEIF($A$34:$A$45,2,$E$34:$E$45)</f>
        <v>140.13599799400455</v>
      </c>
      <c r="I37" s="91">
        <f>85-F37</f>
        <v>-8.143453336666667</v>
      </c>
      <c r="J37"/>
      <c r="K37" s="79">
        <f t="shared" si="1"/>
        <v>2</v>
      </c>
      <c r="L37" s="80" t="str">
        <f>OC!J5</f>
        <v>22cd12150717</v>
      </c>
      <c r="M37" s="44">
        <f>OC!S5+VLOOKUP($R$31,$AD$38:$AK$42,4,FALSE)</f>
        <v>-3.6727246415999999</v>
      </c>
      <c r="N37" s="44">
        <f>OC!T5+VLOOKUP($R$31,$AD$38:$AK$42,5,FALSE)</f>
        <v>-15.2708930543</v>
      </c>
      <c r="O37" s="92">
        <f>AVERAGEIF($K$34:$K$45,2,$M$34:$M$45)</f>
        <v>-5.5925355491666666</v>
      </c>
      <c r="P37" s="92">
        <f>AVERAGEIF($K$34:$K$45,2,$N$34:$N$45)</f>
        <v>-7.8458457119333334</v>
      </c>
      <c r="Q37" s="90">
        <f>P37*0.001</f>
        <v>-7.8458457119333341E-3</v>
      </c>
      <c r="R37" s="90">
        <f>O37*0.001</f>
        <v>-5.592535549166667E-3</v>
      </c>
      <c r="T37" s="79">
        <v>2</v>
      </c>
      <c r="U37" s="80" t="str">
        <f>FPDC!J5</f>
        <v>22cd12150717</v>
      </c>
      <c r="V37" s="75">
        <f>FPDC!R5+VLOOKUP($R$31,$AD$38:$AK$42,2,FALSE)+VLOOKUP($R$31,$AD$38:$AK$42,7,FALSE)+VLOOKUP('File location'!$B$1,'Tester offset'!$A$2:$D$4,3,FALSE)</f>
        <v>-11.4448862076</v>
      </c>
      <c r="W37" s="76">
        <f>FPDC!S5+VLOOKUP($R$31,$AD$38:$AK$42,3,FALSE)+VLOOKUP($R$31,$AD$38:$AK$42,8,FALSE)+VLOOKUP('File location'!$B$1,'Tester offset'!$A$2:$D$4,4,FALSE)</f>
        <v>5.6764678955000001</v>
      </c>
      <c r="X37" s="92">
        <f>AVERAGEIF($T$34:$T$45,2,$V$34:$V$45)</f>
        <v>-4.7192130883666659</v>
      </c>
      <c r="Y37" s="92">
        <f>AVERAGEIF($T$34:$T$45,2,$W$34:$W$45)</f>
        <v>2.1473984718333332</v>
      </c>
      <c r="Z37" s="90">
        <f>(X37*-0.01)/4</f>
        <v>1.1798032720916665E-2</v>
      </c>
      <c r="AA37" s="90">
        <f>(Y37*-0.01)/4</f>
        <v>-5.368496179583333E-3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22cd12150571</v>
      </c>
      <c r="C38" s="44">
        <f>IPQC!S6+VLOOKUP($R$31,$AD$38:$AK$42,6,FALSE)+VLOOKUP('File location'!$B$1,'Tester offset'!$A$2:$D$4,2,FALSE)</f>
        <v>89.129083969999996</v>
      </c>
      <c r="D38" s="44">
        <f>IPQC!Z6+VLOOKUP($R$31,$AD$38:$AK$42,6,FALSE)</f>
        <v>80.099342489999998</v>
      </c>
      <c r="E38" s="44">
        <f>VCM!HU6-'Summary(3pcs)'!C38-'Summary(3pcs)'!$D$32</f>
        <v>135.77802884793789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22cd12150571</v>
      </c>
      <c r="M38" s="44">
        <f>OC!S6+VLOOKUP($R$31,$AD$38:$AK$42,4,FALSE)</f>
        <v>-5.3743909256000002</v>
      </c>
      <c r="N38" s="44">
        <f>OC!T6+VLOOKUP($R$31,$AD$38:$AK$42,5,FALSE)</f>
        <v>-1.0565277804999997</v>
      </c>
      <c r="O38" s="92"/>
      <c r="P38" s="92"/>
      <c r="Q38" s="90"/>
      <c r="R38" s="90"/>
      <c r="T38" s="79">
        <v>2</v>
      </c>
      <c r="U38" s="80" t="str">
        <f>FPDC!J6</f>
        <v>22cd12150571</v>
      </c>
      <c r="V38" s="75">
        <f>FPDC!R6+VLOOKUP($R$31,$AD$38:$AK$42,2,FALSE)+VLOOKUP($R$31,$AD$38:$AK$42,7,FALSE)+VLOOKUP('File location'!$B$1,'Tester offset'!$A$2:$D$4,3,FALSE)</f>
        <v>5.5436611200000208E-2</v>
      </c>
      <c r="W38" s="76">
        <f>FPDC!S6+VLOOKUP($R$31,$AD$38:$AK$42,3,FALSE)+VLOOKUP($R$31,$AD$38:$AK$42,8,FALSE)+VLOOKUP('File location'!$B$1,'Tester offset'!$A$2:$D$4,4,FALSE)</f>
        <v>1.3428716659999997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22cd12150050</v>
      </c>
      <c r="C39" s="44">
        <f>IPQC!S7+VLOOKUP($R$31,$AD$38:$AK$42,6,FALSE)+VLOOKUP('File location'!$B$1,'Tester offset'!$A$2:$D$4,2,FALSE)</f>
        <v>93.371803439999994</v>
      </c>
      <c r="D39" s="44">
        <f>IPQC!Z7+VLOOKUP($R$31,$AD$38:$AK$42,6,FALSE)</f>
        <v>87.683143529999995</v>
      </c>
      <c r="E39" s="44">
        <f>VCM!HU7-'Summary(3pcs)'!C39-'Summary(3pcs)'!$D$32</f>
        <v>148.36172310573789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22cd12150050</v>
      </c>
      <c r="M39" s="44">
        <f>OC!S7+VLOOKUP($R$31,$AD$38:$AK$42,4,FALSE)</f>
        <v>-7.7304910803000002</v>
      </c>
      <c r="N39" s="44">
        <f>OC!T7+VLOOKUP($R$31,$AD$38:$AK$42,5,FALSE)</f>
        <v>-7.2101163009999993</v>
      </c>
      <c r="O39" s="92"/>
      <c r="P39" s="92"/>
      <c r="Q39" s="90"/>
      <c r="R39" s="90"/>
      <c r="T39" s="79">
        <v>2</v>
      </c>
      <c r="U39" s="80" t="str">
        <f>FPDC!J7</f>
        <v>22cd12150050</v>
      </c>
      <c r="V39" s="75">
        <f>FPDC!R7+VLOOKUP($R$31,$AD$38:$AK$42,2,FALSE)+VLOOKUP($R$31,$AD$38:$AK$42,7,FALSE)+VLOOKUP('File location'!$B$1,'Tester offset'!$A$2:$D$4,3,FALSE)</f>
        <v>-2.7681896686999998</v>
      </c>
      <c r="W39" s="76">
        <f>FPDC!S7+VLOOKUP($R$31,$AD$38:$AK$42,3,FALSE)+VLOOKUP($R$31,$AD$38:$AK$42,8,FALSE)+VLOOKUP('File location'!$B$1,'Tester offset'!$A$2:$D$4,4,FALSE)</f>
        <v>-0.57714414600000019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22cd12150964</v>
      </c>
      <c r="C40" s="44">
        <f>IPQC!S8+VLOOKUP($R$31,$AD$38:$AK$42,6,FALSE)+VLOOKUP('File location'!$B$1,'Tester offset'!$A$2:$D$4,2,FALSE)</f>
        <v>91.488357230000005</v>
      </c>
      <c r="D40" s="44">
        <f>IPQC!Z8+VLOOKUP($R$31,$AD$38:$AK$42,6,FALSE)</f>
        <v>86.988922450000004</v>
      </c>
      <c r="E40" s="44">
        <f>VCM!HU8-'Summary(3pcs)'!C40-'Summary(3pcs)'!$D$32</f>
        <v>145.23041460333786</v>
      </c>
      <c r="F40" s="90">
        <f>AVERAGEIF($A$34:$A$45,3,$C$34:$C$45)</f>
        <v>93.422537586666678</v>
      </c>
      <c r="G40" s="91">
        <f>AVERAGEIF($A$34:$A$45,3,$D$34:$D$45)</f>
        <v>84.257196449999995</v>
      </c>
      <c r="H40" s="91">
        <f>AVERAGEIF($A$34:$A$45,3,$E$34:$E$45)</f>
        <v>137.36371214027122</v>
      </c>
      <c r="I40" s="91">
        <f>85-F40</f>
        <v>-8.4225375866666781</v>
      </c>
      <c r="J40"/>
      <c r="K40" s="79">
        <f t="shared" si="1"/>
        <v>3</v>
      </c>
      <c r="L40" s="80" t="str">
        <f>OC!J8</f>
        <v>22cd12150964</v>
      </c>
      <c r="M40" s="44">
        <f>OC!S8+VLOOKUP($R$31,$AD$38:$AK$42,4,FALSE)</f>
        <v>3.8822117184999998</v>
      </c>
      <c r="N40" s="44">
        <f>OC!T8+VLOOKUP($R$31,$AD$38:$AK$42,5,FALSE)</f>
        <v>-0.22063893780000043</v>
      </c>
      <c r="O40" s="92">
        <f>AVERAGEIF($K$34:$K$45,3,$M$34:$M$45)</f>
        <v>2.5331366414000001</v>
      </c>
      <c r="P40" s="92">
        <f>AVERAGEIF($K$34:$K$45,3,$N$34:$N$45)</f>
        <v>-1.8208338442333334</v>
      </c>
      <c r="Q40" s="90">
        <f>P40*0.001</f>
        <v>-1.8208338442333334E-3</v>
      </c>
      <c r="R40" s="90">
        <f>O40*0.001</f>
        <v>2.5331366414E-3</v>
      </c>
      <c r="T40" s="79">
        <v>3</v>
      </c>
      <c r="U40" s="80" t="str">
        <f>FPDC!J8</f>
        <v>22cd12150964</v>
      </c>
      <c r="V40" s="75">
        <f>FPDC!R8+VLOOKUP($R$31,$AD$38:$AK$42,2,FALSE)+VLOOKUP($R$31,$AD$38:$AK$42,7,FALSE)+VLOOKUP('File location'!$B$1,'Tester offset'!$A$2:$D$4,3,FALSE)</f>
        <v>-3.6941037178</v>
      </c>
      <c r="W40" s="76">
        <f>FPDC!S8+VLOOKUP($R$31,$AD$38:$AK$42,3,FALSE)+VLOOKUP($R$31,$AD$38:$AK$42,8,FALSE)+VLOOKUP('File location'!$B$1,'Tester offset'!$A$2:$D$4,4,FALSE)</f>
        <v>-2.1993665695</v>
      </c>
      <c r="X40" s="92">
        <f>AVERAGEIF($T$34:$T$45,3,$V$34:$V$45)</f>
        <v>-2.0395387014000002</v>
      </c>
      <c r="Y40" s="92">
        <f>AVERAGEIF($T$34:$T$45,3,$W$34:$W$45)</f>
        <v>0.87485082943333314</v>
      </c>
      <c r="Z40" s="90">
        <f>(X40*-0.01)/4</f>
        <v>5.0988467535000009E-3</v>
      </c>
      <c r="AA40" s="90">
        <f>(Y40*-0.01)/4</f>
        <v>-2.1871270735833331E-3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22cd12150934</v>
      </c>
      <c r="C41" s="44">
        <f>IPQC!S9+VLOOKUP($R$31,$AD$38:$AK$42,6,FALSE)+VLOOKUP('File location'!$B$1,'Tester offset'!$A$2:$D$4,2,FALSE)</f>
        <v>96.826012430000006</v>
      </c>
      <c r="D41" s="44">
        <f>IPQC!Z9+VLOOKUP($R$31,$AD$38:$AK$42,6,FALSE)</f>
        <v>86.874783930000007</v>
      </c>
      <c r="E41" s="44">
        <f>VCM!HU9-'Summary(3pcs)'!C41-'Summary(3pcs)'!$D$32</f>
        <v>130.84131977313791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22cd12150934</v>
      </c>
      <c r="M41" s="44">
        <f>OC!S9+VLOOKUP($R$31,$AD$38:$AK$42,4,FALSE)</f>
        <v>3.4847229725000002</v>
      </c>
      <c r="N41" s="44">
        <f>OC!T9+VLOOKUP($R$31,$AD$38:$AK$42,5,FALSE)</f>
        <v>-5.6470412157999998</v>
      </c>
      <c r="O41" s="92"/>
      <c r="P41" s="92"/>
      <c r="Q41" s="90"/>
      <c r="R41" s="90"/>
      <c r="T41" s="79">
        <v>3</v>
      </c>
      <c r="U41" s="80" t="str">
        <f>FPDC!J9</f>
        <v>22cd12150934</v>
      </c>
      <c r="V41" s="75">
        <f>FPDC!R9+VLOOKUP($R$31,$AD$38:$AK$42,2,FALSE)+VLOOKUP($R$31,$AD$38:$AK$42,7,FALSE)+VLOOKUP('File location'!$B$1,'Tester offset'!$A$2:$D$4,3,FALSE)</f>
        <v>-0.7387876511</v>
      </c>
      <c r="W41" s="76">
        <f>FPDC!S9+VLOOKUP($R$31,$AD$38:$AK$42,3,FALSE)+VLOOKUP($R$31,$AD$38:$AK$42,8,FALSE)+VLOOKUP('File location'!$B$1,'Tester offset'!$A$2:$D$4,4,FALSE)</f>
        <v>-0.75184655189999994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22cd12140672</v>
      </c>
      <c r="C42" s="44">
        <f>IPQC!S10+VLOOKUP($R$31,$AD$38:$AK$42,6,FALSE)+VLOOKUP('File location'!$B$1,'Tester offset'!$A$2:$D$4,2,FALSE)</f>
        <v>91.953243099999995</v>
      </c>
      <c r="D42" s="44">
        <f>IPQC!Z10+VLOOKUP($R$31,$AD$38:$AK$42,6,FALSE)</f>
        <v>78.907882970000003</v>
      </c>
      <c r="E42" s="44">
        <f>VCM!HU10-'Summary(3pcs)'!C42-'Summary(3pcs)'!$D$32</f>
        <v>136.01940204433788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22cd12140672</v>
      </c>
      <c r="M42" s="44">
        <f>OC!S10+VLOOKUP($R$31,$AD$38:$AK$42,4,FALSE)</f>
        <v>0.23247523319999999</v>
      </c>
      <c r="N42" s="44">
        <f>OC!T10+VLOOKUP($R$31,$AD$38:$AK$42,5,FALSE)</f>
        <v>0.40517862090000012</v>
      </c>
      <c r="O42" s="92"/>
      <c r="P42" s="92"/>
      <c r="Q42" s="90"/>
      <c r="R42" s="90"/>
      <c r="T42" s="79">
        <v>3</v>
      </c>
      <c r="U42" s="80" t="str">
        <f>FPDC!J10</f>
        <v>22cd12140672</v>
      </c>
      <c r="V42" s="75">
        <f>FPDC!R10+VLOOKUP($R$31,$AD$38:$AK$42,2,FALSE)+VLOOKUP($R$31,$AD$38:$AK$42,7,FALSE)+VLOOKUP('File location'!$B$1,'Tester offset'!$A$2:$D$4,3,FALSE)</f>
        <v>-1.6857247353</v>
      </c>
      <c r="W42" s="76">
        <f>FPDC!S10+VLOOKUP($R$31,$AD$38:$AK$42,3,FALSE)+VLOOKUP($R$31,$AD$38:$AK$42,8,FALSE)+VLOOKUP('File location'!$B$1,'Tester offset'!$A$2:$D$4,4,FALSE)</f>
        <v>5.5757656096999995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22cd12150741</v>
      </c>
      <c r="C43" s="44">
        <f>IPQC!S11+VLOOKUP($R$31,$AD$38:$AK$42,6,FALSE)+VLOOKUP('File location'!$B$1,'Tester offset'!$A$2:$D$4,2,FALSE)</f>
        <v>99.453103299999995</v>
      </c>
      <c r="D43" s="44">
        <f>IPQC!Z11+VLOOKUP($R$31,$AD$38:$AK$42,6,FALSE)</f>
        <v>88.511588169999996</v>
      </c>
      <c r="E43" s="44">
        <f>VCM!HU11-'Summary(3pcs)'!C43-'Summary(3pcs)'!$D$32</f>
        <v>133.93667550893792</v>
      </c>
      <c r="F43" s="90">
        <f>AVERAGEIF($A$34:$A$45,4,$C$34:$C$45)</f>
        <v>96.004797376666659</v>
      </c>
      <c r="G43" s="91">
        <f>AVERAGEIF($A$34:$A$45,4,$D$34:$D$45)</f>
        <v>85.644237239999995</v>
      </c>
      <c r="H43" s="91">
        <f>AVERAGEIF($A$34:$A$45,4,$E$34:$E$45)</f>
        <v>138.97496764037123</v>
      </c>
      <c r="I43" s="91">
        <f>85-F43</f>
        <v>-11.004797376666659</v>
      </c>
      <c r="J43"/>
      <c r="K43" s="79">
        <f t="shared" si="1"/>
        <v>4</v>
      </c>
      <c r="L43" s="80" t="str">
        <f>OC!J11</f>
        <v>22cd12150741</v>
      </c>
      <c r="M43" s="44">
        <f>OC!S11+VLOOKUP($R$31,$AD$38:$AK$42,4,FALSE)</f>
        <v>-4.1178708683999998</v>
      </c>
      <c r="N43" s="44">
        <f>OC!T11+VLOOKUP($R$31,$AD$38:$AK$42,5,FALSE)</f>
        <v>-6.5555472290000001</v>
      </c>
      <c r="O43" s="92">
        <f>AVERAGEIF($K$34:$K$45,4,$M$34:$M$45)</f>
        <v>-4.8238090213999998</v>
      </c>
      <c r="P43" s="92">
        <f>AVERAGEIF($K$34:$K$45,4,$N$34:$N$45)</f>
        <v>-4.3333768322999999</v>
      </c>
      <c r="Q43" s="90">
        <f>P43*0.001</f>
        <v>-4.3333768322999996E-3</v>
      </c>
      <c r="R43" s="90">
        <f>O43*0.001</f>
        <v>-4.8238090213999999E-3</v>
      </c>
      <c r="T43" s="79">
        <v>4</v>
      </c>
      <c r="U43" s="80" t="str">
        <f>FPDC!J11</f>
        <v>22cd12150741</v>
      </c>
      <c r="V43" s="75">
        <f>FPDC!R11+VLOOKUP($R$31,$AD$38:$AK$42,2,FALSE)+VLOOKUP($R$31,$AD$38:$AK$42,7,FALSE)+VLOOKUP('File location'!$B$1,'Tester offset'!$A$2:$D$4,3,FALSE)</f>
        <v>1.1265697478999996</v>
      </c>
      <c r="W43" s="76">
        <f>FPDC!S11+VLOOKUP($R$31,$AD$38:$AK$42,3,FALSE)+VLOOKUP($R$31,$AD$38:$AK$42,8,FALSE)+VLOOKUP('File location'!$B$1,'Tester offset'!$A$2:$D$4,4,FALSE)</f>
        <v>7.6093578339000008</v>
      </c>
      <c r="X43" s="92">
        <f>AVERAGEIF($T$34:$T$45,4,$V$34:$V$45)</f>
        <v>-1.9975233276666671</v>
      </c>
      <c r="Y43" s="92">
        <f>AVERAGEIF($T$34:$T$45,4,$W$34:$W$45)</f>
        <v>3.8526178201000003</v>
      </c>
      <c r="Z43" s="90">
        <f>(X43*-0.01)/4</f>
        <v>4.9938083191666677E-3</v>
      </c>
      <c r="AA43" s="90">
        <f>(Y43*-0.01)/4</f>
        <v>-9.6315445502500006E-3</v>
      </c>
    </row>
    <row r="44" spans="1:37" s="32" customFormat="1" ht="17.100000000000001" customHeight="1">
      <c r="A44" s="79">
        <f t="shared" si="0"/>
        <v>4</v>
      </c>
      <c r="B44" s="80" t="str">
        <f>IPQC!J12</f>
        <v>22cd12150713</v>
      </c>
      <c r="C44" s="44">
        <f>IPQC!S12+VLOOKUP($R$31,$AD$38:$AK$42,6,FALSE)+VLOOKUP('File location'!$B$1,'Tester offset'!$A$2:$D$4,2,FALSE)</f>
        <v>91.247346609999994</v>
      </c>
      <c r="D44" s="44">
        <f>IPQC!Z12+VLOOKUP($R$31,$AD$38:$AK$42,6,FALSE)</f>
        <v>82.904374509999997</v>
      </c>
      <c r="E44" s="44">
        <f>VCM!HU12-'Summary(3pcs)'!C44-'Summary(3pcs)'!$D$32</f>
        <v>150.55552288463787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22cd12150713</v>
      </c>
      <c r="M44" s="44">
        <f>OC!S12+VLOOKUP($R$31,$AD$38:$AK$42,4,FALSE)</f>
        <v>-5.1085018433</v>
      </c>
      <c r="N44" s="44">
        <f>OC!T12+VLOOKUP($R$31,$AD$38:$AK$42,5,FALSE)</f>
        <v>-1.9201360766000004</v>
      </c>
      <c r="O44" s="92"/>
      <c r="P44" s="92"/>
      <c r="Q44" s="90"/>
      <c r="R44" s="90"/>
      <c r="T44" s="79">
        <v>4</v>
      </c>
      <c r="U44" s="80" t="str">
        <f>FPDC!J12</f>
        <v>22cd12150713</v>
      </c>
      <c r="V44" s="75">
        <f>FPDC!R12+VLOOKUP($R$31,$AD$38:$AK$42,2,FALSE)+VLOOKUP($R$31,$AD$38:$AK$42,7,FALSE)+VLOOKUP('File location'!$B$1,'Tester offset'!$A$2:$D$4,3,FALSE)</f>
        <v>-6.8832917809000005</v>
      </c>
      <c r="W44" s="76">
        <f>FPDC!S12+VLOOKUP($R$31,$AD$38:$AK$42,3,FALSE)+VLOOKUP($R$31,$AD$38:$AK$42,8,FALSE)+VLOOKUP('File location'!$B$1,'Tester offset'!$A$2:$D$4,4,FALSE)</f>
        <v>8.0125131606999993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22cd12150595</v>
      </c>
      <c r="C45" s="44">
        <f>IPQC!S13+VLOOKUP($R$31,$AD$38:$AK$42,6,FALSE)+VLOOKUP('File location'!$B$1,'Tester offset'!$A$2:$D$4,2,FALSE)</f>
        <v>97.313942220000001</v>
      </c>
      <c r="D45" s="44">
        <f>IPQC!Z13+VLOOKUP($R$31,$AD$38:$AK$42,6,FALSE)</f>
        <v>85.516749039999993</v>
      </c>
      <c r="E45" s="44">
        <f>VCM!HU13-'Summary(3pcs)'!C45-'Summary(3pcs)'!$D$32</f>
        <v>132.43270452753791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22cd12150595</v>
      </c>
      <c r="M45" s="44">
        <f>OC!S13+VLOOKUP($R$31,$AD$38:$AK$42,4,FALSE)</f>
        <v>-5.2450543525000004</v>
      </c>
      <c r="N45" s="44">
        <f>OC!T13+VLOOKUP($R$31,$AD$38:$AK$42,5,FALSE)</f>
        <v>-4.5244471913000002</v>
      </c>
      <c r="O45" s="92"/>
      <c r="P45" s="92"/>
      <c r="Q45" s="90"/>
      <c r="R45" s="90"/>
      <c r="T45" s="79">
        <v>4</v>
      </c>
      <c r="U45" s="80" t="str">
        <f>FPDC!J13</f>
        <v>22cd12150595</v>
      </c>
      <c r="V45" s="75">
        <f>FPDC!R13+VLOOKUP($R$31,$AD$38:$AK$42,2,FALSE)+VLOOKUP($R$31,$AD$38:$AK$42,7,FALSE)+VLOOKUP('File location'!$B$1,'Tester offset'!$A$2:$D$4,3,FALSE)</f>
        <v>-0.23584795000000014</v>
      </c>
      <c r="W45" s="76">
        <f>FPDC!S13+VLOOKUP($R$31,$AD$38:$AK$42,3,FALSE)+VLOOKUP($R$31,$AD$38:$AK$42,8,FALSE)+VLOOKUP('File location'!$B$1,'Tester offset'!$A$2:$D$4,4,FALSE)</f>
        <v>-4.0640175342999996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91.677858189999995</v>
      </c>
      <c r="L54" s="49">
        <f t="shared" ref="L54:L65" si="4">D34</f>
        <v>81.202151169999993</v>
      </c>
      <c r="M54" s="49">
        <f t="shared" ref="M54:M65" si="5">E34</f>
        <v>143.88796021523791</v>
      </c>
      <c r="N54" s="49">
        <f t="shared" ref="N54:O65" si="6">M34</f>
        <v>-2.2466381485000002</v>
      </c>
      <c r="O54" s="49">
        <f t="shared" si="6"/>
        <v>-2.6687702698000004</v>
      </c>
      <c r="P54" s="49">
        <f t="shared" ref="P54:P65" si="7">V34</f>
        <v>-7.9716360568999995</v>
      </c>
      <c r="Q54" s="50">
        <f t="shared" ref="Q54:Q65" si="8">W34</f>
        <v>8.2887573242000006</v>
      </c>
    </row>
    <row r="55" spans="6:27" ht="19.5">
      <c r="I55" s="47">
        <f t="shared" si="2"/>
        <v>1</v>
      </c>
      <c r="J55" s="46"/>
      <c r="K55" s="51">
        <f t="shared" si="3"/>
        <v>93.43669328</v>
      </c>
      <c r="L55" s="52">
        <f t="shared" si="4"/>
        <v>96.073977900000003</v>
      </c>
      <c r="M55" s="52">
        <f t="shared" si="5"/>
        <v>141.27683144633795</v>
      </c>
      <c r="N55" s="52">
        <f t="shared" si="6"/>
        <v>2.3852397157</v>
      </c>
      <c r="O55" s="52">
        <f t="shared" si="6"/>
        <v>1.8320354700000001</v>
      </c>
      <c r="P55" s="52">
        <f t="shared" si="7"/>
        <v>-0.62259101869999967</v>
      </c>
      <c r="Q55" s="53">
        <f t="shared" si="8"/>
        <v>-2.5909435451</v>
      </c>
    </row>
    <row r="56" spans="6:27" ht="19.5">
      <c r="I56" s="47">
        <f t="shared" si="2"/>
        <v>1</v>
      </c>
      <c r="J56" s="46"/>
      <c r="K56" s="54">
        <f t="shared" si="3"/>
        <v>98.650748899999996</v>
      </c>
      <c r="L56" s="55">
        <f t="shared" si="4"/>
        <v>90.017806320000005</v>
      </c>
      <c r="M56" s="55">
        <f t="shared" si="5"/>
        <v>139.0875034674379</v>
      </c>
      <c r="N56" s="55">
        <f t="shared" si="6"/>
        <v>3.9061483453000001</v>
      </c>
      <c r="O56" s="55">
        <f t="shared" si="6"/>
        <v>9.1448415714000006</v>
      </c>
      <c r="P56" s="55">
        <f t="shared" si="7"/>
        <v>-3.4680075645000001</v>
      </c>
      <c r="Q56" s="56">
        <f t="shared" si="8"/>
        <v>-0.87458348269999986</v>
      </c>
    </row>
    <row r="57" spans="6:27" ht="19.5">
      <c r="I57" s="47">
        <f t="shared" si="2"/>
        <v>2</v>
      </c>
      <c r="J57" s="46"/>
      <c r="K57" s="57">
        <f t="shared" si="3"/>
        <v>96.929472599999997</v>
      </c>
      <c r="L57" s="58">
        <f t="shared" si="4"/>
        <v>90.742363310000002</v>
      </c>
      <c r="M57" s="58">
        <f t="shared" si="5"/>
        <v>136.26824202833791</v>
      </c>
      <c r="N57" s="58">
        <f t="shared" si="6"/>
        <v>-3.6727246415999999</v>
      </c>
      <c r="O57" s="58">
        <f t="shared" si="6"/>
        <v>-15.2708930543</v>
      </c>
      <c r="P57" s="58">
        <f t="shared" si="7"/>
        <v>-11.4448862076</v>
      </c>
      <c r="Q57" s="59">
        <f t="shared" si="8"/>
        <v>5.6764678955000001</v>
      </c>
    </row>
    <row r="58" spans="6:27" ht="19.5">
      <c r="I58" s="47">
        <f t="shared" si="2"/>
        <v>2</v>
      </c>
      <c r="J58" s="46"/>
      <c r="K58" s="57">
        <f t="shared" si="3"/>
        <v>89.129083969999996</v>
      </c>
      <c r="L58" s="58">
        <f t="shared" si="4"/>
        <v>80.099342489999998</v>
      </c>
      <c r="M58" s="58">
        <f t="shared" si="5"/>
        <v>135.77802884793789</v>
      </c>
      <c r="N58" s="58">
        <f t="shared" si="6"/>
        <v>-5.3743909256000002</v>
      </c>
      <c r="O58" s="58">
        <f t="shared" si="6"/>
        <v>-1.0565277804999997</v>
      </c>
      <c r="P58" s="58">
        <f t="shared" si="7"/>
        <v>5.5436611200000208E-2</v>
      </c>
      <c r="Q58" s="59">
        <f t="shared" si="8"/>
        <v>1.3428716659999997</v>
      </c>
    </row>
    <row r="59" spans="6:27" ht="19.5">
      <c r="I59" s="47">
        <f t="shared" si="2"/>
        <v>2</v>
      </c>
      <c r="J59" s="46"/>
      <c r="K59" s="57">
        <f t="shared" si="3"/>
        <v>93.371803439999994</v>
      </c>
      <c r="L59" s="58">
        <f t="shared" si="4"/>
        <v>87.683143529999995</v>
      </c>
      <c r="M59" s="58">
        <f t="shared" si="5"/>
        <v>148.36172310573789</v>
      </c>
      <c r="N59" s="58">
        <f t="shared" si="6"/>
        <v>-7.7304910803000002</v>
      </c>
      <c r="O59" s="58">
        <f t="shared" si="6"/>
        <v>-7.2101163009999993</v>
      </c>
      <c r="P59" s="58">
        <f t="shared" si="7"/>
        <v>-2.7681896686999998</v>
      </c>
      <c r="Q59" s="59">
        <f t="shared" si="8"/>
        <v>-0.57714414600000019</v>
      </c>
    </row>
    <row r="60" spans="6:27" ht="19.5">
      <c r="I60" s="47">
        <f t="shared" si="2"/>
        <v>3</v>
      </c>
      <c r="J60" s="46"/>
      <c r="K60" s="60">
        <f t="shared" si="3"/>
        <v>91.488357230000005</v>
      </c>
      <c r="L60" s="61">
        <f t="shared" si="4"/>
        <v>86.988922450000004</v>
      </c>
      <c r="M60" s="61">
        <f t="shared" si="5"/>
        <v>145.23041460333786</v>
      </c>
      <c r="N60" s="61">
        <f t="shared" si="6"/>
        <v>3.8822117184999998</v>
      </c>
      <c r="O60" s="61">
        <f t="shared" si="6"/>
        <v>-0.22063893780000043</v>
      </c>
      <c r="P60" s="61">
        <f t="shared" si="7"/>
        <v>-3.6941037178</v>
      </c>
      <c r="Q60" s="62">
        <f t="shared" si="8"/>
        <v>-2.1993665695</v>
      </c>
    </row>
    <row r="61" spans="6:27" ht="19.5">
      <c r="I61" s="47">
        <f t="shared" si="2"/>
        <v>3</v>
      </c>
      <c r="J61" s="46"/>
      <c r="K61" s="63">
        <f t="shared" si="3"/>
        <v>96.826012430000006</v>
      </c>
      <c r="L61" s="64">
        <f t="shared" si="4"/>
        <v>86.874783930000007</v>
      </c>
      <c r="M61" s="64">
        <f t="shared" si="5"/>
        <v>130.84131977313791</v>
      </c>
      <c r="N61" s="64">
        <f t="shared" si="6"/>
        <v>3.4847229725000002</v>
      </c>
      <c r="O61" s="64">
        <f t="shared" si="6"/>
        <v>-5.6470412157999998</v>
      </c>
      <c r="P61" s="64">
        <f t="shared" si="7"/>
        <v>-0.7387876511</v>
      </c>
      <c r="Q61" s="65">
        <f t="shared" si="8"/>
        <v>-0.75184655189999994</v>
      </c>
    </row>
    <row r="62" spans="6:27" ht="19.5">
      <c r="I62" s="47">
        <f t="shared" si="2"/>
        <v>3</v>
      </c>
      <c r="J62" s="46"/>
      <c r="K62" s="66">
        <f t="shared" si="3"/>
        <v>91.953243099999995</v>
      </c>
      <c r="L62" s="67">
        <f t="shared" si="4"/>
        <v>78.907882970000003</v>
      </c>
      <c r="M62" s="67">
        <f t="shared" si="5"/>
        <v>136.01940204433788</v>
      </c>
      <c r="N62" s="67">
        <f t="shared" si="6"/>
        <v>0.23247523319999999</v>
      </c>
      <c r="O62" s="67">
        <f t="shared" si="6"/>
        <v>0.40517862090000012</v>
      </c>
      <c r="P62" s="67">
        <f t="shared" si="7"/>
        <v>-1.6857247353</v>
      </c>
      <c r="Q62" s="68">
        <f t="shared" si="8"/>
        <v>5.5757656096999995</v>
      </c>
    </row>
    <row r="63" spans="6:27" ht="19.5">
      <c r="I63" s="47">
        <f t="shared" si="2"/>
        <v>4</v>
      </c>
      <c r="J63" s="46"/>
      <c r="K63" s="57">
        <f t="shared" si="3"/>
        <v>99.453103299999995</v>
      </c>
      <c r="L63" s="58">
        <f t="shared" si="4"/>
        <v>88.511588169999996</v>
      </c>
      <c r="M63" s="58">
        <f t="shared" si="5"/>
        <v>133.93667550893792</v>
      </c>
      <c r="N63" s="58">
        <f t="shared" si="6"/>
        <v>-4.1178708683999998</v>
      </c>
      <c r="O63" s="58">
        <f t="shared" si="6"/>
        <v>-6.5555472290000001</v>
      </c>
      <c r="P63" s="58">
        <f t="shared" si="7"/>
        <v>1.1265697478999996</v>
      </c>
      <c r="Q63" s="59">
        <f t="shared" si="8"/>
        <v>7.6093578339000008</v>
      </c>
    </row>
    <row r="64" spans="6:27" ht="19.5">
      <c r="I64" s="47">
        <f t="shared" si="2"/>
        <v>4</v>
      </c>
      <c r="J64" s="46"/>
      <c r="K64" s="57">
        <f t="shared" si="3"/>
        <v>91.247346609999994</v>
      </c>
      <c r="L64" s="58">
        <f t="shared" si="4"/>
        <v>82.904374509999997</v>
      </c>
      <c r="M64" s="58">
        <f t="shared" si="5"/>
        <v>150.55552288463787</v>
      </c>
      <c r="N64" s="58">
        <f t="shared" si="6"/>
        <v>-5.1085018433</v>
      </c>
      <c r="O64" s="58">
        <f t="shared" si="6"/>
        <v>-1.9201360766000004</v>
      </c>
      <c r="P64" s="58">
        <f t="shared" si="7"/>
        <v>-6.8832917809000005</v>
      </c>
      <c r="Q64" s="59">
        <f t="shared" si="8"/>
        <v>8.0125131606999993</v>
      </c>
    </row>
    <row r="65" spans="9:17" ht="20.25" thickBot="1">
      <c r="I65" s="47">
        <f t="shared" si="2"/>
        <v>4</v>
      </c>
      <c r="J65" s="46"/>
      <c r="K65" s="69">
        <f t="shared" si="3"/>
        <v>97.313942220000001</v>
      </c>
      <c r="L65" s="70">
        <f t="shared" si="4"/>
        <v>85.516749039999993</v>
      </c>
      <c r="M65" s="70">
        <f t="shared" si="5"/>
        <v>132.43270452753791</v>
      </c>
      <c r="N65" s="70">
        <f t="shared" si="6"/>
        <v>-5.2450543525000004</v>
      </c>
      <c r="O65" s="70">
        <f t="shared" si="6"/>
        <v>-4.5244471913000002</v>
      </c>
      <c r="P65" s="70">
        <f t="shared" si="7"/>
        <v>-0.23584795000000014</v>
      </c>
      <c r="Q65" s="71">
        <f t="shared" si="8"/>
        <v>-4.0640175342999996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2110.2533618514999</v>
      </c>
      <c r="R2">
        <v>1519.1687702698</v>
      </c>
      <c r="S2">
        <v>-2.2466381485000002</v>
      </c>
      <c r="T2">
        <v>-6.6687702698000004</v>
      </c>
      <c r="U2">
        <v>7.0370362996000004</v>
      </c>
      <c r="V2">
        <v>742.11069999999995</v>
      </c>
      <c r="W2">
        <v>394.56349999999998</v>
      </c>
      <c r="X2">
        <v>401.49689999999998</v>
      </c>
      <c r="Y2">
        <v>397.20890000000003</v>
      </c>
      <c r="Z2">
        <v>396.1123</v>
      </c>
      <c r="AA2">
        <v>569.72805000000005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228</v>
      </c>
      <c r="B3" t="s">
        <v>229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2114.8852397157002</v>
      </c>
      <c r="R3">
        <v>1514.6679645300001</v>
      </c>
      <c r="S3">
        <v>2.3852397157</v>
      </c>
      <c r="T3">
        <v>-2.1679645299999999</v>
      </c>
      <c r="U3">
        <v>3.2232652240999999</v>
      </c>
      <c r="V3">
        <v>733.64549999999997</v>
      </c>
      <c r="W3">
        <v>393.84690000000001</v>
      </c>
      <c r="X3">
        <v>392.3818</v>
      </c>
      <c r="Y3">
        <v>392.04199999999997</v>
      </c>
      <c r="Z3">
        <v>391.76299999999998</v>
      </c>
      <c r="AA3">
        <v>563.07696250000004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235</v>
      </c>
      <c r="B4" t="s">
        <v>236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2116.4061483453002</v>
      </c>
      <c r="R4">
        <v>1507.3551584285999</v>
      </c>
      <c r="S4">
        <v>3.9061483453000001</v>
      </c>
      <c r="T4">
        <v>5.1448415713999998</v>
      </c>
      <c r="U4">
        <v>6.4596741164000004</v>
      </c>
      <c r="V4">
        <v>734.59349999999995</v>
      </c>
      <c r="W4">
        <v>393.41609999999997</v>
      </c>
      <c r="X4">
        <v>394.61410000000001</v>
      </c>
      <c r="Y4">
        <v>393.17180000000002</v>
      </c>
      <c r="Z4">
        <v>392.61829999999998</v>
      </c>
      <c r="AA4">
        <v>564.02428750000001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  <row r="5" spans="1:36">
      <c r="A5" t="s">
        <v>242</v>
      </c>
      <c r="B5" t="s">
        <v>243</v>
      </c>
      <c r="C5" t="s">
        <v>212</v>
      </c>
      <c r="D5">
        <v>3</v>
      </c>
      <c r="E5" t="s">
        <v>213</v>
      </c>
      <c r="F5" t="s">
        <v>214</v>
      </c>
      <c r="G5" t="s">
        <v>215</v>
      </c>
      <c r="H5" t="s">
        <v>216</v>
      </c>
      <c r="J5" t="s">
        <v>244</v>
      </c>
      <c r="K5" t="s">
        <v>245</v>
      </c>
      <c r="L5" t="s">
        <v>246</v>
      </c>
      <c r="M5" t="s">
        <v>247</v>
      </c>
      <c r="N5" t="s">
        <v>248</v>
      </c>
      <c r="O5">
        <v>0</v>
      </c>
      <c r="P5">
        <v>0</v>
      </c>
      <c r="Q5">
        <v>2108.8272753584001</v>
      </c>
      <c r="R5">
        <v>1531.7708930542999</v>
      </c>
      <c r="S5">
        <v>-3.6727246415999999</v>
      </c>
      <c r="T5">
        <v>-19.2708930543</v>
      </c>
      <c r="U5">
        <v>19.617752812300001</v>
      </c>
      <c r="V5">
        <v>740.71400000000006</v>
      </c>
      <c r="W5">
        <v>391.06389999999999</v>
      </c>
      <c r="X5">
        <v>404.9828</v>
      </c>
      <c r="Y5">
        <v>397.23039999999997</v>
      </c>
      <c r="Z5">
        <v>395.75360000000001</v>
      </c>
      <c r="AA5">
        <v>568.9858375</v>
      </c>
      <c r="AB5" t="s">
        <v>222</v>
      </c>
      <c r="AC5" t="s">
        <v>223</v>
      </c>
      <c r="AD5" t="s">
        <v>224</v>
      </c>
      <c r="AE5" t="s">
        <v>225</v>
      </c>
      <c r="AF5" t="s">
        <v>226</v>
      </c>
      <c r="AG5">
        <v>7</v>
      </c>
      <c r="AH5" t="s">
        <v>227</v>
      </c>
      <c r="AJ5">
        <v>1</v>
      </c>
    </row>
    <row r="6" spans="1:36">
      <c r="A6" t="s">
        <v>249</v>
      </c>
      <c r="B6" t="s">
        <v>250</v>
      </c>
      <c r="C6" t="s">
        <v>212</v>
      </c>
      <c r="D6">
        <v>3</v>
      </c>
      <c r="E6" t="s">
        <v>213</v>
      </c>
      <c r="F6" t="s">
        <v>214</v>
      </c>
      <c r="G6" t="s">
        <v>215</v>
      </c>
      <c r="H6" t="s">
        <v>216</v>
      </c>
      <c r="J6" t="s">
        <v>251</v>
      </c>
      <c r="K6" t="s">
        <v>252</v>
      </c>
      <c r="L6" t="s">
        <v>253</v>
      </c>
      <c r="M6" t="s">
        <v>254</v>
      </c>
      <c r="N6" t="s">
        <v>255</v>
      </c>
      <c r="O6">
        <v>0</v>
      </c>
      <c r="P6">
        <v>0</v>
      </c>
      <c r="Q6">
        <v>2107.1256090744</v>
      </c>
      <c r="R6">
        <v>1517.5565277804999</v>
      </c>
      <c r="S6">
        <v>-5.3743909256000002</v>
      </c>
      <c r="T6">
        <v>-5.0565277804999997</v>
      </c>
      <c r="U6">
        <v>7.3791971796000002</v>
      </c>
      <c r="V6">
        <v>732.77</v>
      </c>
      <c r="W6">
        <v>392.77229999999997</v>
      </c>
      <c r="X6">
        <v>395.39389999999997</v>
      </c>
      <c r="Y6">
        <v>394.22280000000001</v>
      </c>
      <c r="Z6">
        <v>390.36250000000001</v>
      </c>
      <c r="AA6">
        <v>562.97893750000003</v>
      </c>
      <c r="AB6" t="s">
        <v>222</v>
      </c>
      <c r="AC6" t="s">
        <v>223</v>
      </c>
      <c r="AD6" t="s">
        <v>224</v>
      </c>
      <c r="AE6" t="s">
        <v>225</v>
      </c>
      <c r="AF6" t="s">
        <v>226</v>
      </c>
      <c r="AG6">
        <v>7</v>
      </c>
      <c r="AH6" t="s">
        <v>227</v>
      </c>
      <c r="AJ6">
        <v>1</v>
      </c>
    </row>
    <row r="7" spans="1:36">
      <c r="A7" t="s">
        <v>256</v>
      </c>
      <c r="B7" t="s">
        <v>257</v>
      </c>
      <c r="C7" t="s">
        <v>212</v>
      </c>
      <c r="D7">
        <v>3</v>
      </c>
      <c r="E7" t="s">
        <v>213</v>
      </c>
      <c r="F7" t="s">
        <v>214</v>
      </c>
      <c r="G7" t="s">
        <v>215</v>
      </c>
      <c r="H7" t="s">
        <v>216</v>
      </c>
      <c r="J7" t="s">
        <v>258</v>
      </c>
      <c r="K7" t="s">
        <v>259</v>
      </c>
      <c r="L7" t="s">
        <v>260</v>
      </c>
      <c r="M7" t="s">
        <v>261</v>
      </c>
      <c r="N7" t="s">
        <v>262</v>
      </c>
      <c r="O7">
        <v>0</v>
      </c>
      <c r="P7">
        <v>0</v>
      </c>
      <c r="Q7">
        <v>2104.7695089197</v>
      </c>
      <c r="R7">
        <v>1523.710116301</v>
      </c>
      <c r="S7">
        <v>-7.7304910803000002</v>
      </c>
      <c r="T7">
        <v>-11.210116300999999</v>
      </c>
      <c r="U7">
        <v>13.617165631100001</v>
      </c>
      <c r="V7">
        <v>728.76729999999998</v>
      </c>
      <c r="W7">
        <v>389.55329999999998</v>
      </c>
      <c r="X7">
        <v>393.19690000000003</v>
      </c>
      <c r="Y7">
        <v>390.3449</v>
      </c>
      <c r="Z7">
        <v>387.66329999999999</v>
      </c>
      <c r="AA7">
        <v>559.47844999999995</v>
      </c>
      <c r="AB7" t="s">
        <v>222</v>
      </c>
      <c r="AC7" t="s">
        <v>223</v>
      </c>
      <c r="AD7" t="s">
        <v>224</v>
      </c>
      <c r="AE7" t="s">
        <v>225</v>
      </c>
      <c r="AF7" t="s">
        <v>226</v>
      </c>
      <c r="AG7">
        <v>7</v>
      </c>
      <c r="AH7" t="s">
        <v>227</v>
      </c>
      <c r="AJ7">
        <v>1</v>
      </c>
    </row>
    <row r="8" spans="1:36">
      <c r="A8" t="s">
        <v>598</v>
      </c>
      <c r="B8" t="s">
        <v>599</v>
      </c>
      <c r="C8" t="s">
        <v>212</v>
      </c>
      <c r="D8">
        <v>3</v>
      </c>
      <c r="E8" t="s">
        <v>213</v>
      </c>
      <c r="F8" t="s">
        <v>214</v>
      </c>
      <c r="G8" t="s">
        <v>215</v>
      </c>
      <c r="H8" t="s">
        <v>216</v>
      </c>
      <c r="J8" t="s">
        <v>600</v>
      </c>
      <c r="K8" t="s">
        <v>601</v>
      </c>
      <c r="L8" t="s">
        <v>602</v>
      </c>
      <c r="M8" t="s">
        <v>603</v>
      </c>
      <c r="N8" t="s">
        <v>604</v>
      </c>
      <c r="O8">
        <v>0</v>
      </c>
      <c r="P8">
        <v>0</v>
      </c>
      <c r="Q8">
        <v>2116.3822117185</v>
      </c>
      <c r="R8">
        <v>1516.7206389378</v>
      </c>
      <c r="S8">
        <v>3.8822117184999998</v>
      </c>
      <c r="T8">
        <v>-4.2206389378000004</v>
      </c>
      <c r="U8">
        <v>5.7345759103000002</v>
      </c>
      <c r="V8">
        <v>734.8</v>
      </c>
      <c r="W8">
        <v>393.96559999999999</v>
      </c>
      <c r="X8">
        <v>398.25240000000002</v>
      </c>
      <c r="Y8">
        <v>391.24250000000001</v>
      </c>
      <c r="Z8">
        <v>392.94439999999997</v>
      </c>
      <c r="AA8">
        <v>564.45061250000003</v>
      </c>
      <c r="AB8" t="s">
        <v>222</v>
      </c>
      <c r="AC8" t="s">
        <v>223</v>
      </c>
      <c r="AD8" t="s">
        <v>224</v>
      </c>
      <c r="AE8" t="s">
        <v>225</v>
      </c>
      <c r="AF8" t="s">
        <v>226</v>
      </c>
      <c r="AG8">
        <v>7</v>
      </c>
      <c r="AH8" t="s">
        <v>227</v>
      </c>
      <c r="AJ8">
        <v>1</v>
      </c>
    </row>
    <row r="9" spans="1:36">
      <c r="A9" t="s">
        <v>605</v>
      </c>
      <c r="B9" t="s">
        <v>606</v>
      </c>
      <c r="C9" t="s">
        <v>212</v>
      </c>
      <c r="D9">
        <v>3</v>
      </c>
      <c r="E9" t="s">
        <v>213</v>
      </c>
      <c r="F9" t="s">
        <v>214</v>
      </c>
      <c r="G9" t="s">
        <v>215</v>
      </c>
      <c r="H9" t="s">
        <v>216</v>
      </c>
      <c r="J9" t="s">
        <v>607</v>
      </c>
      <c r="K9" t="s">
        <v>608</v>
      </c>
      <c r="L9" t="s">
        <v>609</v>
      </c>
      <c r="M9" t="s">
        <v>610</v>
      </c>
      <c r="N9" t="s">
        <v>611</v>
      </c>
      <c r="O9">
        <v>0</v>
      </c>
      <c r="P9">
        <v>0</v>
      </c>
      <c r="Q9">
        <v>2115.9847229725001</v>
      </c>
      <c r="R9">
        <v>1522.1470412158001</v>
      </c>
      <c r="S9">
        <v>3.4847229725000002</v>
      </c>
      <c r="T9">
        <v>-9.6470412157999998</v>
      </c>
      <c r="U9">
        <v>10.257129150700001</v>
      </c>
      <c r="V9">
        <v>748.38840000000005</v>
      </c>
      <c r="W9">
        <v>399.73680000000002</v>
      </c>
      <c r="X9">
        <v>405.63920000000002</v>
      </c>
      <c r="Y9">
        <v>400.2921</v>
      </c>
      <c r="Z9">
        <v>400.51859999999999</v>
      </c>
      <c r="AA9">
        <v>574.96753750000005</v>
      </c>
      <c r="AB9" t="s">
        <v>222</v>
      </c>
      <c r="AC9" t="s">
        <v>223</v>
      </c>
      <c r="AD9" t="s">
        <v>224</v>
      </c>
      <c r="AE9" t="s">
        <v>225</v>
      </c>
      <c r="AF9" t="s">
        <v>226</v>
      </c>
      <c r="AG9">
        <v>7</v>
      </c>
      <c r="AH9" t="s">
        <v>227</v>
      </c>
      <c r="AJ9">
        <v>1</v>
      </c>
    </row>
    <row r="10" spans="1:36">
      <c r="A10" t="s">
        <v>612</v>
      </c>
      <c r="B10" t="s">
        <v>613</v>
      </c>
      <c r="C10" t="s">
        <v>212</v>
      </c>
      <c r="D10">
        <v>3</v>
      </c>
      <c r="E10" t="s">
        <v>213</v>
      </c>
      <c r="F10" t="s">
        <v>214</v>
      </c>
      <c r="G10" t="s">
        <v>215</v>
      </c>
      <c r="H10" t="s">
        <v>216</v>
      </c>
      <c r="J10" t="s">
        <v>614</v>
      </c>
      <c r="K10" t="s">
        <v>615</v>
      </c>
      <c r="L10" t="s">
        <v>616</v>
      </c>
      <c r="M10" t="s">
        <v>617</v>
      </c>
      <c r="N10" t="s">
        <v>618</v>
      </c>
      <c r="O10">
        <v>0</v>
      </c>
      <c r="P10">
        <v>0</v>
      </c>
      <c r="Q10">
        <v>2112.7324752332001</v>
      </c>
      <c r="R10">
        <v>1516.0948213791</v>
      </c>
      <c r="S10">
        <v>0.23247523319999999</v>
      </c>
      <c r="T10">
        <v>-3.5948213790999999</v>
      </c>
      <c r="U10">
        <v>3.6023305625000002</v>
      </c>
      <c r="V10">
        <v>734.27099999999996</v>
      </c>
      <c r="W10">
        <v>392.8245</v>
      </c>
      <c r="X10">
        <v>397.2432</v>
      </c>
      <c r="Y10">
        <v>395.16239999999999</v>
      </c>
      <c r="Z10">
        <v>392.77089999999998</v>
      </c>
      <c r="AA10">
        <v>564.385625</v>
      </c>
      <c r="AB10" t="s">
        <v>222</v>
      </c>
      <c r="AC10" t="s">
        <v>223</v>
      </c>
      <c r="AD10" t="s">
        <v>224</v>
      </c>
      <c r="AE10" t="s">
        <v>225</v>
      </c>
      <c r="AF10" t="s">
        <v>226</v>
      </c>
      <c r="AG10">
        <v>7</v>
      </c>
      <c r="AH10" t="s">
        <v>227</v>
      </c>
      <c r="AJ10">
        <v>1</v>
      </c>
    </row>
    <row r="11" spans="1:36">
      <c r="A11" t="s">
        <v>635</v>
      </c>
      <c r="B11" t="s">
        <v>636</v>
      </c>
      <c r="C11" t="s">
        <v>212</v>
      </c>
      <c r="D11">
        <v>3</v>
      </c>
      <c r="E11" t="s">
        <v>213</v>
      </c>
      <c r="F11" t="s">
        <v>214</v>
      </c>
      <c r="G11" t="s">
        <v>215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2108.3821291315999</v>
      </c>
      <c r="R11">
        <v>1523.055547229</v>
      </c>
      <c r="S11">
        <v>-4.1178708683999998</v>
      </c>
      <c r="T11">
        <v>-10.555547229</v>
      </c>
      <c r="U11">
        <v>11.3303326427</v>
      </c>
      <c r="V11">
        <v>749.53030000000001</v>
      </c>
      <c r="W11">
        <v>398.83460000000002</v>
      </c>
      <c r="X11">
        <v>405.06349999999998</v>
      </c>
      <c r="Y11">
        <v>400.90429999999998</v>
      </c>
      <c r="Z11">
        <v>398.74740000000003</v>
      </c>
      <c r="AA11">
        <v>575.20887500000003</v>
      </c>
      <c r="AB11" t="s">
        <v>222</v>
      </c>
      <c r="AC11" t="s">
        <v>223</v>
      </c>
      <c r="AD11" t="s">
        <v>224</v>
      </c>
      <c r="AE11" t="s">
        <v>225</v>
      </c>
      <c r="AF11" t="s">
        <v>226</v>
      </c>
      <c r="AG11">
        <v>7</v>
      </c>
      <c r="AH11" t="s">
        <v>227</v>
      </c>
      <c r="AJ11">
        <v>1</v>
      </c>
    </row>
    <row r="12" spans="1:36">
      <c r="A12" t="s">
        <v>646</v>
      </c>
      <c r="B12" t="s">
        <v>647</v>
      </c>
      <c r="C12" t="s">
        <v>212</v>
      </c>
      <c r="D12">
        <v>3</v>
      </c>
      <c r="E12" t="s">
        <v>213</v>
      </c>
      <c r="F12" t="s">
        <v>214</v>
      </c>
      <c r="G12" t="s">
        <v>215</v>
      </c>
      <c r="H12" t="s">
        <v>216</v>
      </c>
      <c r="J12" t="s">
        <v>648</v>
      </c>
      <c r="K12" t="s">
        <v>649</v>
      </c>
      <c r="L12" t="s">
        <v>650</v>
      </c>
      <c r="M12" t="s">
        <v>651</v>
      </c>
      <c r="N12" t="s">
        <v>652</v>
      </c>
      <c r="O12">
        <v>0</v>
      </c>
      <c r="P12">
        <v>0</v>
      </c>
      <c r="Q12">
        <v>2107.3914981567</v>
      </c>
      <c r="R12">
        <v>1518.4201360766001</v>
      </c>
      <c r="S12">
        <v>-5.1085018433</v>
      </c>
      <c r="T12">
        <v>-5.9201360766000004</v>
      </c>
      <c r="U12">
        <v>7.8195141952</v>
      </c>
      <c r="V12">
        <v>737.77340000000004</v>
      </c>
      <c r="W12">
        <v>392.95139999999998</v>
      </c>
      <c r="X12">
        <v>399.09690000000001</v>
      </c>
      <c r="Y12">
        <v>395.43770000000001</v>
      </c>
      <c r="Z12">
        <v>392.82389999999998</v>
      </c>
      <c r="AA12">
        <v>566.42543750000004</v>
      </c>
      <c r="AB12" t="s">
        <v>222</v>
      </c>
      <c r="AC12" t="s">
        <v>223</v>
      </c>
      <c r="AD12" t="s">
        <v>224</v>
      </c>
      <c r="AE12" t="s">
        <v>225</v>
      </c>
      <c r="AF12" t="s">
        <v>226</v>
      </c>
      <c r="AG12">
        <v>7</v>
      </c>
      <c r="AH12" t="s">
        <v>227</v>
      </c>
      <c r="AJ12">
        <v>1</v>
      </c>
    </row>
    <row r="13" spans="1:36">
      <c r="A13" t="s">
        <v>659</v>
      </c>
      <c r="B13" t="s">
        <v>660</v>
      </c>
      <c r="C13" t="s">
        <v>212</v>
      </c>
      <c r="D13">
        <v>3</v>
      </c>
      <c r="E13" t="s">
        <v>213</v>
      </c>
      <c r="F13" t="s">
        <v>214</v>
      </c>
      <c r="G13" t="s">
        <v>215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2107.2549456474999</v>
      </c>
      <c r="R13">
        <v>1521.0244471912999</v>
      </c>
      <c r="S13">
        <v>-5.2450543525000004</v>
      </c>
      <c r="T13">
        <v>-8.5244471913000002</v>
      </c>
      <c r="U13">
        <v>10.008835850300001</v>
      </c>
      <c r="V13">
        <v>735.79060000000004</v>
      </c>
      <c r="W13">
        <v>392.19290000000001</v>
      </c>
      <c r="X13">
        <v>398.625</v>
      </c>
      <c r="Y13">
        <v>396.68049999999999</v>
      </c>
      <c r="Z13">
        <v>392.81689999999998</v>
      </c>
      <c r="AA13">
        <v>565.43471250000005</v>
      </c>
      <c r="AB13" t="s">
        <v>222</v>
      </c>
      <c r="AC13" t="s">
        <v>223</v>
      </c>
      <c r="AD13" t="s">
        <v>224</v>
      </c>
      <c r="AE13" t="s">
        <v>225</v>
      </c>
      <c r="AF13" t="s">
        <v>226</v>
      </c>
      <c r="AG13">
        <v>7</v>
      </c>
      <c r="AH13" t="s">
        <v>227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263</v>
      </c>
      <c r="R1" t="s">
        <v>264</v>
      </c>
      <c r="S1" t="s">
        <v>265</v>
      </c>
      <c r="T1" t="s">
        <v>266</v>
      </c>
      <c r="U1" t="s">
        <v>267</v>
      </c>
      <c r="V1" t="s">
        <v>268</v>
      </c>
      <c r="W1" t="s">
        <v>269</v>
      </c>
      <c r="X1" t="s">
        <v>270</v>
      </c>
      <c r="Y1" t="s">
        <v>271</v>
      </c>
      <c r="Z1" t="s">
        <v>272</v>
      </c>
      <c r="AA1" t="s">
        <v>273</v>
      </c>
      <c r="AB1" t="s">
        <v>274</v>
      </c>
      <c r="AC1" t="s">
        <v>275</v>
      </c>
      <c r="AD1" t="s">
        <v>276</v>
      </c>
      <c r="AE1" t="s">
        <v>277</v>
      </c>
      <c r="AF1" t="s">
        <v>278</v>
      </c>
      <c r="AG1" t="s">
        <v>279</v>
      </c>
      <c r="AH1" t="s">
        <v>280</v>
      </c>
      <c r="AI1" t="s">
        <v>281</v>
      </c>
      <c r="AJ1" t="s">
        <v>282</v>
      </c>
      <c r="AK1" t="s">
        <v>283</v>
      </c>
      <c r="AL1" t="s">
        <v>284</v>
      </c>
      <c r="AM1" t="s">
        <v>285</v>
      </c>
      <c r="AN1" t="s">
        <v>286</v>
      </c>
      <c r="AO1" t="s">
        <v>287</v>
      </c>
      <c r="AP1" t="s">
        <v>288</v>
      </c>
      <c r="AQ1" t="s">
        <v>289</v>
      </c>
      <c r="AR1" t="s">
        <v>290</v>
      </c>
      <c r="AS1" t="s">
        <v>291</v>
      </c>
      <c r="AT1" t="s">
        <v>292</v>
      </c>
      <c r="AU1" t="s">
        <v>293</v>
      </c>
      <c r="AV1" t="s">
        <v>207</v>
      </c>
      <c r="AW1" t="s">
        <v>208</v>
      </c>
      <c r="AX1" t="s">
        <v>209</v>
      </c>
    </row>
    <row r="2" spans="1:50">
      <c r="A2" t="s">
        <v>294</v>
      </c>
      <c r="B2" t="s">
        <v>295</v>
      </c>
      <c r="C2" t="s">
        <v>212</v>
      </c>
      <c r="D2">
        <v>3</v>
      </c>
      <c r="E2" t="s">
        <v>213</v>
      </c>
      <c r="F2" t="s">
        <v>214</v>
      </c>
      <c r="G2" t="s">
        <v>296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2.3603399999999998E-5</v>
      </c>
      <c r="R2">
        <v>-1.9716360569</v>
      </c>
      <c r="S2">
        <v>11.288757324200001</v>
      </c>
      <c r="T2">
        <v>-3.5460329056000002</v>
      </c>
      <c r="U2">
        <v>1.768969059</v>
      </c>
      <c r="V2">
        <v>-2.8104193210999999</v>
      </c>
      <c r="W2">
        <v>3.2853708266999999</v>
      </c>
      <c r="X2">
        <v>-0.61804151539999996</v>
      </c>
      <c r="Y2">
        <v>0.81456601620000002</v>
      </c>
      <c r="Z2">
        <v>1.759553194</v>
      </c>
      <c r="AA2">
        <v>2.1356949805999998</v>
      </c>
      <c r="AB2">
        <v>-0.2878745794</v>
      </c>
      <c r="AC2">
        <v>0.240399003</v>
      </c>
      <c r="AD2">
        <v>-1.4514545202</v>
      </c>
      <c r="AE2">
        <v>0.13579910989999999</v>
      </c>
      <c r="AF2">
        <v>0.37674582000000001</v>
      </c>
      <c r="AG2">
        <v>1.1134772301</v>
      </c>
      <c r="AH2">
        <v>-1.0635498762</v>
      </c>
      <c r="AI2">
        <v>-1.1770479679000001</v>
      </c>
      <c r="AJ2">
        <v>-0.4149859548</v>
      </c>
      <c r="AK2">
        <v>1.8604989999999999E-4</v>
      </c>
      <c r="AL2">
        <v>4.4415645300000001E-2</v>
      </c>
      <c r="AM2">
        <v>8.9346543E-2</v>
      </c>
      <c r="AN2">
        <v>0.176155746</v>
      </c>
      <c r="AO2">
        <v>0.19830763339999999</v>
      </c>
      <c r="AP2">
        <v>0.19830763339999999</v>
      </c>
      <c r="AQ2">
        <v>11.459641821</v>
      </c>
      <c r="AR2" t="s">
        <v>297</v>
      </c>
      <c r="AS2" t="s">
        <v>298</v>
      </c>
      <c r="AT2">
        <v>4</v>
      </c>
      <c r="AU2">
        <v>2.9</v>
      </c>
      <c r="AX2">
        <v>1</v>
      </c>
    </row>
    <row r="3" spans="1:50">
      <c r="A3" t="s">
        <v>299</v>
      </c>
      <c r="B3" t="s">
        <v>300</v>
      </c>
      <c r="C3" t="s">
        <v>212</v>
      </c>
      <c r="D3">
        <v>3</v>
      </c>
      <c r="E3" t="s">
        <v>213</v>
      </c>
      <c r="F3" t="s">
        <v>214</v>
      </c>
      <c r="G3" t="s">
        <v>296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-1.6629700000000001E-5</v>
      </c>
      <c r="R3">
        <v>5.3774089813000003</v>
      </c>
      <c r="S3">
        <v>0.40905645489999998</v>
      </c>
      <c r="T3">
        <v>1.5942759514</v>
      </c>
      <c r="U3">
        <v>1.0403521061000001</v>
      </c>
      <c r="V3">
        <v>0.76360487939999999</v>
      </c>
      <c r="W3">
        <v>-1.8478207588</v>
      </c>
      <c r="X3">
        <v>0.2432474047</v>
      </c>
      <c r="Y3">
        <v>-0.95337265729999998</v>
      </c>
      <c r="Z3">
        <v>-6.6876232600000002E-2</v>
      </c>
      <c r="AA3">
        <v>0.2348768115</v>
      </c>
      <c r="AB3">
        <v>-0.29499977830000002</v>
      </c>
      <c r="AC3">
        <v>-1.0879261494000001</v>
      </c>
      <c r="AD3">
        <v>0.3559980392</v>
      </c>
      <c r="AE3">
        <v>-0.20232827959999999</v>
      </c>
      <c r="AF3">
        <v>0.44331210850000002</v>
      </c>
      <c r="AG3">
        <v>-0.21273539960000001</v>
      </c>
      <c r="AH3">
        <v>-0.19228038189999999</v>
      </c>
      <c r="AI3">
        <v>-0.16839632390000001</v>
      </c>
      <c r="AJ3">
        <v>-0.13232310119999999</v>
      </c>
      <c r="AK3">
        <v>1.5065130000000001E-4</v>
      </c>
      <c r="AL3">
        <v>4.0163416399999999E-2</v>
      </c>
      <c r="AM3">
        <v>9.8701119399999995E-2</v>
      </c>
      <c r="AN3">
        <v>3.2107360699999997E-2</v>
      </c>
      <c r="AO3">
        <v>9.8701119399999995E-2</v>
      </c>
      <c r="AP3">
        <v>9.8701119399999995E-2</v>
      </c>
      <c r="AQ3">
        <v>5.3929448853000004</v>
      </c>
      <c r="AR3" t="s">
        <v>297</v>
      </c>
      <c r="AS3" t="s">
        <v>298</v>
      </c>
      <c r="AT3">
        <v>3</v>
      </c>
      <c r="AU3">
        <v>2.9</v>
      </c>
      <c r="AX3">
        <v>1</v>
      </c>
    </row>
    <row r="4" spans="1:50">
      <c r="A4" t="s">
        <v>301</v>
      </c>
      <c r="B4" t="s">
        <v>302</v>
      </c>
      <c r="C4" t="s">
        <v>212</v>
      </c>
      <c r="D4">
        <v>3</v>
      </c>
      <c r="E4" t="s">
        <v>213</v>
      </c>
      <c r="F4" t="s">
        <v>214</v>
      </c>
      <c r="G4" t="s">
        <v>296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-7.8677999999999994E-6</v>
      </c>
      <c r="R4">
        <v>2.5319924354999999</v>
      </c>
      <c r="S4">
        <v>2.1254165173000001</v>
      </c>
      <c r="T4">
        <v>-1.6288326979000001</v>
      </c>
      <c r="U4">
        <v>2.1592097282</v>
      </c>
      <c r="V4">
        <v>-3.5703697205</v>
      </c>
      <c r="W4">
        <v>0.15204861759999999</v>
      </c>
      <c r="X4">
        <v>-0.31488823890000001</v>
      </c>
      <c r="Y4">
        <v>0.37947380539999997</v>
      </c>
      <c r="Z4">
        <v>-3.9097487899999998E-2</v>
      </c>
      <c r="AA4">
        <v>-0.55872547630000002</v>
      </c>
      <c r="AB4">
        <v>-0.35023385289999998</v>
      </c>
      <c r="AC4">
        <v>1.1703411341000001</v>
      </c>
      <c r="AD4">
        <v>-0.76921141150000005</v>
      </c>
      <c r="AE4">
        <v>-0.38027289510000001</v>
      </c>
      <c r="AF4">
        <v>0.2853267491</v>
      </c>
      <c r="AG4">
        <v>0.67920070889999995</v>
      </c>
      <c r="AH4">
        <v>-9.53043103E-2</v>
      </c>
      <c r="AI4">
        <v>0.5568448305</v>
      </c>
      <c r="AJ4">
        <v>0.86214911940000005</v>
      </c>
      <c r="AK4">
        <v>2.268479E-4</v>
      </c>
      <c r="AL4">
        <v>5.0834800999999999E-2</v>
      </c>
      <c r="AM4">
        <v>8.4312044099999997E-2</v>
      </c>
      <c r="AN4">
        <v>7.8461885499999995E-2</v>
      </c>
      <c r="AO4">
        <v>8.4312044099999997E-2</v>
      </c>
      <c r="AP4">
        <v>9.1333813999999999E-2</v>
      </c>
      <c r="AQ4">
        <v>3.3058101980000001</v>
      </c>
      <c r="AR4" t="s">
        <v>297</v>
      </c>
      <c r="AS4" t="s">
        <v>298</v>
      </c>
      <c r="AT4">
        <v>3</v>
      </c>
      <c r="AU4">
        <v>2.9</v>
      </c>
      <c r="AX4">
        <v>1</v>
      </c>
    </row>
    <row r="5" spans="1:50">
      <c r="A5" t="s">
        <v>303</v>
      </c>
      <c r="B5" t="s">
        <v>304</v>
      </c>
      <c r="C5" t="s">
        <v>212</v>
      </c>
      <c r="D5">
        <v>3</v>
      </c>
      <c r="E5" t="s">
        <v>213</v>
      </c>
      <c r="F5" t="s">
        <v>214</v>
      </c>
      <c r="G5" t="s">
        <v>296</v>
      </c>
      <c r="H5" t="s">
        <v>216</v>
      </c>
      <c r="J5" t="s">
        <v>244</v>
      </c>
      <c r="K5" t="s">
        <v>245</v>
      </c>
      <c r="L5" t="s">
        <v>246</v>
      </c>
      <c r="M5" t="s">
        <v>247</v>
      </c>
      <c r="N5" t="s">
        <v>248</v>
      </c>
      <c r="O5">
        <v>0</v>
      </c>
      <c r="P5">
        <v>0</v>
      </c>
      <c r="Q5">
        <v>-5.8413000000000003E-6</v>
      </c>
      <c r="R5">
        <v>-5.4448862075999998</v>
      </c>
      <c r="S5">
        <v>8.6764678955000001</v>
      </c>
      <c r="T5">
        <v>2.4069755076999999</v>
      </c>
      <c r="U5">
        <v>4.3940010071</v>
      </c>
      <c r="V5">
        <v>-4.6025314331000002</v>
      </c>
      <c r="W5">
        <v>4.727584362</v>
      </c>
      <c r="X5">
        <v>-0.61671495440000001</v>
      </c>
      <c r="Y5">
        <v>-0.76384472849999996</v>
      </c>
      <c r="Z5">
        <v>0.96184217930000004</v>
      </c>
      <c r="AA5">
        <v>2.0724513530999999</v>
      </c>
      <c r="AB5">
        <v>-1.8132508993000001</v>
      </c>
      <c r="AC5">
        <v>0.86504662040000002</v>
      </c>
      <c r="AD5">
        <v>-2.2400441170000001</v>
      </c>
      <c r="AE5">
        <v>0.69328808779999995</v>
      </c>
      <c r="AF5">
        <v>0.62957751750000002</v>
      </c>
      <c r="AG5">
        <v>-0.38973024490000002</v>
      </c>
      <c r="AH5">
        <v>-1.2365041970999999</v>
      </c>
      <c r="AI5">
        <v>-1.1413413286</v>
      </c>
      <c r="AJ5">
        <v>-0.4116421938</v>
      </c>
      <c r="AK5">
        <v>1.685592E-4</v>
      </c>
      <c r="AL5">
        <v>4.2574755800000003E-2</v>
      </c>
      <c r="AM5">
        <v>0.1430164129</v>
      </c>
      <c r="AN5">
        <v>0.1667500734</v>
      </c>
      <c r="AO5">
        <v>0.2003535628</v>
      </c>
      <c r="AP5">
        <v>0.2003535628</v>
      </c>
      <c r="AQ5">
        <v>10.2434311124</v>
      </c>
      <c r="AR5" t="s">
        <v>297</v>
      </c>
      <c r="AS5" t="s">
        <v>298</v>
      </c>
      <c r="AT5">
        <v>3</v>
      </c>
      <c r="AU5">
        <v>2.9</v>
      </c>
      <c r="AX5">
        <v>1</v>
      </c>
    </row>
    <row r="6" spans="1:50">
      <c r="A6" t="s">
        <v>305</v>
      </c>
      <c r="B6" t="s">
        <v>306</v>
      </c>
      <c r="C6" t="s">
        <v>212</v>
      </c>
      <c r="D6">
        <v>3</v>
      </c>
      <c r="E6" t="s">
        <v>213</v>
      </c>
      <c r="F6" t="s">
        <v>214</v>
      </c>
      <c r="G6" t="s">
        <v>296</v>
      </c>
      <c r="H6" t="s">
        <v>216</v>
      </c>
      <c r="J6" t="s">
        <v>251</v>
      </c>
      <c r="K6" t="s">
        <v>252</v>
      </c>
      <c r="L6" t="s">
        <v>253</v>
      </c>
      <c r="M6" t="s">
        <v>254</v>
      </c>
      <c r="N6" t="s">
        <v>255</v>
      </c>
      <c r="O6">
        <v>0</v>
      </c>
      <c r="P6">
        <v>0</v>
      </c>
      <c r="Q6">
        <v>-1.7285299999999999E-5</v>
      </c>
      <c r="R6">
        <v>6.0554366112000002</v>
      </c>
      <c r="S6">
        <v>4.3428716659999997</v>
      </c>
      <c r="T6">
        <v>-0.18201744559999999</v>
      </c>
      <c r="U6">
        <v>7.3771772384999998</v>
      </c>
      <c r="V6">
        <v>-6.2531867026999999</v>
      </c>
      <c r="W6">
        <v>-0.38321733470000002</v>
      </c>
      <c r="X6">
        <v>-2.0971297999999999E-3</v>
      </c>
      <c r="Y6">
        <v>0.75520467759999999</v>
      </c>
      <c r="Z6">
        <v>-1.0238530636000001</v>
      </c>
      <c r="AA6">
        <v>0.18762743470000001</v>
      </c>
      <c r="AB6">
        <v>-1.8717918396</v>
      </c>
      <c r="AC6">
        <v>2.0007598400000002</v>
      </c>
      <c r="AD6">
        <v>-0.95405352119999998</v>
      </c>
      <c r="AE6">
        <v>-0.53959012029999998</v>
      </c>
      <c r="AF6">
        <v>-0.33203595879999998</v>
      </c>
      <c r="AG6">
        <v>0.97592103480000003</v>
      </c>
      <c r="AH6">
        <v>5.4067969299999998E-2</v>
      </c>
      <c r="AI6">
        <v>0.78946661949999997</v>
      </c>
      <c r="AJ6">
        <v>0.77285194400000001</v>
      </c>
      <c r="AK6">
        <v>2.4079529999999999E-4</v>
      </c>
      <c r="AL6">
        <v>5.2176244599999998E-2</v>
      </c>
      <c r="AM6">
        <v>0.17863337700000001</v>
      </c>
      <c r="AN6">
        <v>0.15341588850000001</v>
      </c>
      <c r="AO6">
        <v>0.2068914771</v>
      </c>
      <c r="AP6">
        <v>0.2068914771</v>
      </c>
      <c r="AQ6">
        <v>7.4517680357999998</v>
      </c>
      <c r="AR6" t="s">
        <v>297</v>
      </c>
      <c r="AS6" t="s">
        <v>298</v>
      </c>
      <c r="AT6">
        <v>4</v>
      </c>
      <c r="AU6">
        <v>2.9</v>
      </c>
      <c r="AX6">
        <v>1</v>
      </c>
    </row>
    <row r="7" spans="1:50">
      <c r="A7" t="s">
        <v>596</v>
      </c>
      <c r="B7" t="s">
        <v>619</v>
      </c>
      <c r="C7" t="s">
        <v>212</v>
      </c>
      <c r="D7">
        <v>3</v>
      </c>
      <c r="E7" t="s">
        <v>213</v>
      </c>
      <c r="F7" t="s">
        <v>214</v>
      </c>
      <c r="G7" t="s">
        <v>296</v>
      </c>
      <c r="H7" t="s">
        <v>216</v>
      </c>
      <c r="J7" t="s">
        <v>258</v>
      </c>
      <c r="K7" t="s">
        <v>259</v>
      </c>
      <c r="L7" t="s">
        <v>260</v>
      </c>
      <c r="M7" t="s">
        <v>261</v>
      </c>
      <c r="N7" t="s">
        <v>262</v>
      </c>
      <c r="O7">
        <v>0</v>
      </c>
      <c r="P7">
        <v>0</v>
      </c>
      <c r="Q7">
        <v>1.0609599999999999E-5</v>
      </c>
      <c r="R7">
        <v>3.2318103313000002</v>
      </c>
      <c r="S7">
        <v>2.4228558539999998</v>
      </c>
      <c r="T7">
        <v>1.5191025734000001</v>
      </c>
      <c r="U7">
        <v>7.5077967644000001</v>
      </c>
      <c r="V7">
        <v>0.76402270790000004</v>
      </c>
      <c r="W7">
        <v>0.65574914220000002</v>
      </c>
      <c r="X7">
        <v>-0.6780576706</v>
      </c>
      <c r="Y7">
        <v>1.1073063612</v>
      </c>
      <c r="Z7">
        <v>-0.44629871850000002</v>
      </c>
      <c r="AA7">
        <v>-0.35976782439999999</v>
      </c>
      <c r="AB7">
        <v>-2.7911629677000001</v>
      </c>
      <c r="AC7">
        <v>0.41626936199999998</v>
      </c>
      <c r="AD7">
        <v>-1.2940149307</v>
      </c>
      <c r="AE7">
        <v>-0.48251765969999999</v>
      </c>
      <c r="AF7">
        <v>-0.66384279729999995</v>
      </c>
      <c r="AG7">
        <v>-0.40432679649999997</v>
      </c>
      <c r="AH7">
        <v>-9.8715335099999996E-2</v>
      </c>
      <c r="AI7">
        <v>0.97136557099999998</v>
      </c>
      <c r="AJ7">
        <v>0.54533392189999996</v>
      </c>
      <c r="AK7">
        <v>1.885503E-4</v>
      </c>
      <c r="AL7">
        <v>4.4959820800000001E-2</v>
      </c>
      <c r="AM7">
        <v>4.9809105700000002E-2</v>
      </c>
      <c r="AN7">
        <v>5.1711238899999998E-2</v>
      </c>
      <c r="AO7">
        <v>0.18630243839999999</v>
      </c>
      <c r="AP7">
        <v>0.18630243839999999</v>
      </c>
      <c r="AQ7">
        <v>4.0391618569999999</v>
      </c>
      <c r="AR7" t="s">
        <v>297</v>
      </c>
      <c r="AS7" t="s">
        <v>298</v>
      </c>
      <c r="AT7">
        <v>4</v>
      </c>
      <c r="AU7">
        <v>2.9</v>
      </c>
      <c r="AX7">
        <v>1</v>
      </c>
    </row>
    <row r="8" spans="1:50">
      <c r="A8" t="s">
        <v>620</v>
      </c>
      <c r="B8" t="s">
        <v>621</v>
      </c>
      <c r="C8" t="s">
        <v>212</v>
      </c>
      <c r="D8">
        <v>3</v>
      </c>
      <c r="E8" t="s">
        <v>213</v>
      </c>
      <c r="F8" t="s">
        <v>214</v>
      </c>
      <c r="G8" t="s">
        <v>296</v>
      </c>
      <c r="H8" t="s">
        <v>216</v>
      </c>
      <c r="J8" t="s">
        <v>600</v>
      </c>
      <c r="K8" t="s">
        <v>601</v>
      </c>
      <c r="L8" t="s">
        <v>602</v>
      </c>
      <c r="M8" t="s">
        <v>603</v>
      </c>
      <c r="N8" t="s">
        <v>604</v>
      </c>
      <c r="O8">
        <v>0</v>
      </c>
      <c r="P8">
        <v>0</v>
      </c>
      <c r="Q8">
        <v>-2.7120100000000001E-5</v>
      </c>
      <c r="R8">
        <v>2.3058962822</v>
      </c>
      <c r="S8">
        <v>0.80063343050000002</v>
      </c>
      <c r="T8">
        <v>-1.1993193626</v>
      </c>
      <c r="U8">
        <v>2.2008514404000001</v>
      </c>
      <c r="V8">
        <v>2.5348782539000001</v>
      </c>
      <c r="W8">
        <v>-0.14512440560000001</v>
      </c>
      <c r="X8">
        <v>-0.75074881319999998</v>
      </c>
      <c r="Y8">
        <v>1.005499959</v>
      </c>
      <c r="Z8">
        <v>1.2992579936999999</v>
      </c>
      <c r="AA8">
        <v>-0.52685743569999999</v>
      </c>
      <c r="AB8">
        <v>-1.2560689449</v>
      </c>
      <c r="AC8">
        <v>-0.63513696190000002</v>
      </c>
      <c r="AD8">
        <v>-0.15673634410000001</v>
      </c>
      <c r="AE8">
        <v>-3.4149438099999999E-2</v>
      </c>
      <c r="AF8">
        <v>-0.179252252</v>
      </c>
      <c r="AG8">
        <v>-0.1650390923</v>
      </c>
      <c r="AH8">
        <v>0.42166310550000002</v>
      </c>
      <c r="AI8">
        <v>-0.60143989320000002</v>
      </c>
      <c r="AJ8">
        <v>-1.92990005E-2</v>
      </c>
      <c r="AK8">
        <v>1.792641E-4</v>
      </c>
      <c r="AL8">
        <v>4.3617680700000001E-2</v>
      </c>
      <c r="AM8">
        <v>5.7991824999999997E-2</v>
      </c>
      <c r="AN8">
        <v>4.5381393300000003E-2</v>
      </c>
      <c r="AO8">
        <v>9.3236714600000006E-2</v>
      </c>
      <c r="AP8">
        <v>9.3236714600000006E-2</v>
      </c>
      <c r="AQ8">
        <v>2.4409366141</v>
      </c>
      <c r="AR8" t="s">
        <v>297</v>
      </c>
      <c r="AS8" t="s">
        <v>298</v>
      </c>
      <c r="AT8">
        <v>3</v>
      </c>
      <c r="AU8">
        <v>2.9</v>
      </c>
      <c r="AX8">
        <v>1</v>
      </c>
    </row>
    <row r="9" spans="1:50">
      <c r="A9" t="s">
        <v>622</v>
      </c>
      <c r="B9" t="s">
        <v>623</v>
      </c>
      <c r="C9" t="s">
        <v>212</v>
      </c>
      <c r="D9">
        <v>3</v>
      </c>
      <c r="E9" t="s">
        <v>213</v>
      </c>
      <c r="F9" t="s">
        <v>214</v>
      </c>
      <c r="G9" t="s">
        <v>296</v>
      </c>
      <c r="H9" t="s">
        <v>216</v>
      </c>
      <c r="J9" t="s">
        <v>607</v>
      </c>
      <c r="K9" t="s">
        <v>608</v>
      </c>
      <c r="L9" t="s">
        <v>609</v>
      </c>
      <c r="M9" t="s">
        <v>610</v>
      </c>
      <c r="N9" t="s">
        <v>611</v>
      </c>
      <c r="O9">
        <v>0</v>
      </c>
      <c r="P9">
        <v>0</v>
      </c>
      <c r="Q9">
        <v>-2.0503999999999999E-5</v>
      </c>
      <c r="R9">
        <v>5.2612123489</v>
      </c>
      <c r="S9">
        <v>2.2481534481000001</v>
      </c>
      <c r="T9">
        <v>-2.7864973544999998</v>
      </c>
      <c r="U9">
        <v>0.48413264750000001</v>
      </c>
      <c r="V9">
        <v>0.54393070939999999</v>
      </c>
      <c r="W9">
        <v>0.22719746830000001</v>
      </c>
      <c r="X9">
        <v>-0.23064422609999999</v>
      </c>
      <c r="Y9">
        <v>0.43202662469999997</v>
      </c>
      <c r="Z9">
        <v>1.1355621815000001</v>
      </c>
      <c r="AA9">
        <v>0.1503648162</v>
      </c>
      <c r="AB9">
        <v>-0.64169704910000003</v>
      </c>
      <c r="AC9">
        <v>-0.68115174769999998</v>
      </c>
      <c r="AD9">
        <v>-0.67677575349999997</v>
      </c>
      <c r="AE9">
        <v>0.16416031119999999</v>
      </c>
      <c r="AF9">
        <v>0.2768113613</v>
      </c>
      <c r="AG9">
        <v>0.38981902600000001</v>
      </c>
      <c r="AH9">
        <v>0.6481688619</v>
      </c>
      <c r="AI9">
        <v>-0.72857487200000004</v>
      </c>
      <c r="AJ9">
        <v>0.82207375760000001</v>
      </c>
      <c r="AK9">
        <v>1.595291E-4</v>
      </c>
      <c r="AL9">
        <v>4.2691513899999999E-2</v>
      </c>
      <c r="AM9">
        <v>9.5350772099999995E-2</v>
      </c>
      <c r="AN9">
        <v>4.71223183E-2</v>
      </c>
      <c r="AO9">
        <v>9.5350772099999995E-2</v>
      </c>
      <c r="AP9">
        <v>9.5350772099999995E-2</v>
      </c>
      <c r="AQ9">
        <v>5.7214114785000003</v>
      </c>
      <c r="AR9" t="s">
        <v>297</v>
      </c>
      <c r="AS9" t="s">
        <v>298</v>
      </c>
      <c r="AT9">
        <v>3</v>
      </c>
      <c r="AU9">
        <v>2.9</v>
      </c>
      <c r="AX9">
        <v>1</v>
      </c>
    </row>
    <row r="10" spans="1:50">
      <c r="A10" t="s">
        <v>632</v>
      </c>
      <c r="B10" t="s">
        <v>633</v>
      </c>
      <c r="C10" t="s">
        <v>212</v>
      </c>
      <c r="D10">
        <v>3</v>
      </c>
      <c r="E10" t="s">
        <v>213</v>
      </c>
      <c r="F10" t="s">
        <v>214</v>
      </c>
      <c r="G10" t="s">
        <v>296</v>
      </c>
      <c r="H10" t="s">
        <v>216</v>
      </c>
      <c r="J10" t="s">
        <v>614</v>
      </c>
      <c r="K10" t="s">
        <v>615</v>
      </c>
      <c r="L10" t="s">
        <v>616</v>
      </c>
      <c r="M10" t="s">
        <v>617</v>
      </c>
      <c r="N10" t="s">
        <v>618</v>
      </c>
      <c r="O10">
        <v>0</v>
      </c>
      <c r="P10">
        <v>0</v>
      </c>
      <c r="Q10">
        <v>-1.7643E-5</v>
      </c>
      <c r="R10">
        <v>4.3142752647</v>
      </c>
      <c r="S10">
        <v>8.5757656096999995</v>
      </c>
      <c r="T10">
        <v>-2.0852575301999998</v>
      </c>
      <c r="U10">
        <v>0.34172308439999999</v>
      </c>
      <c r="V10">
        <v>6.2245492935</v>
      </c>
      <c r="W10">
        <v>3.48709226E-2</v>
      </c>
      <c r="X10">
        <v>-2.4630703926000002</v>
      </c>
      <c r="Y10">
        <v>0.15433824060000001</v>
      </c>
      <c r="Z10">
        <v>0.34556469319999999</v>
      </c>
      <c r="AA10">
        <v>-1.85854435E-2</v>
      </c>
      <c r="AB10">
        <v>-1.4443805218000001</v>
      </c>
      <c r="AC10">
        <v>-1.7917091845999999</v>
      </c>
      <c r="AD10">
        <v>2.1966695800000002E-2</v>
      </c>
      <c r="AE10">
        <v>1.0575929879999999</v>
      </c>
      <c r="AF10">
        <v>0.89461004730000004</v>
      </c>
      <c r="AG10">
        <v>-0.18189819160000001</v>
      </c>
      <c r="AH10">
        <v>0.62746691700000001</v>
      </c>
      <c r="AI10">
        <v>-0.50768953559999996</v>
      </c>
      <c r="AJ10">
        <v>0.55834555630000005</v>
      </c>
      <c r="AK10">
        <v>2.2486270000000001E-4</v>
      </c>
      <c r="AL10">
        <v>5.09784296E-2</v>
      </c>
      <c r="AM10">
        <v>0.1199976057</v>
      </c>
      <c r="AN10">
        <v>0.19384059310000001</v>
      </c>
      <c r="AO10">
        <v>0.19384059310000001</v>
      </c>
      <c r="AP10">
        <v>0.19384059310000001</v>
      </c>
      <c r="AQ10">
        <v>9.5998295221000003</v>
      </c>
      <c r="AR10" t="s">
        <v>297</v>
      </c>
      <c r="AS10" t="s">
        <v>298</v>
      </c>
      <c r="AT10">
        <v>3</v>
      </c>
      <c r="AU10">
        <v>2.9</v>
      </c>
      <c r="AX10">
        <v>1</v>
      </c>
    </row>
    <row r="11" spans="1:50">
      <c r="A11" t="s">
        <v>642</v>
      </c>
      <c r="B11" t="s">
        <v>653</v>
      </c>
      <c r="C11" t="s">
        <v>212</v>
      </c>
      <c r="D11">
        <v>3</v>
      </c>
      <c r="E11" t="s">
        <v>213</v>
      </c>
      <c r="F11" t="s">
        <v>214</v>
      </c>
      <c r="G11" t="s">
        <v>296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1.5378000000000001E-5</v>
      </c>
      <c r="R11">
        <v>7.1265697478999996</v>
      </c>
      <c r="S11">
        <v>10.609357833900001</v>
      </c>
      <c r="T11">
        <v>0.52013611790000003</v>
      </c>
      <c r="U11">
        <v>7.1007356644000001</v>
      </c>
      <c r="V11">
        <v>1.2904391288999999</v>
      </c>
      <c r="W11">
        <v>0.73867106439999997</v>
      </c>
      <c r="X11">
        <v>0.42301726340000001</v>
      </c>
      <c r="Y11">
        <v>-0.25430178640000001</v>
      </c>
      <c r="Z11">
        <v>1.0164705515000001</v>
      </c>
      <c r="AA11">
        <v>1.9688017367999999</v>
      </c>
      <c r="AB11">
        <v>-2.2477574348</v>
      </c>
      <c r="AC11">
        <v>0.1944407225</v>
      </c>
      <c r="AD11">
        <v>-0.87038397789999999</v>
      </c>
      <c r="AE11">
        <v>-0.49576497079999998</v>
      </c>
      <c r="AF11">
        <v>0.27746883030000002</v>
      </c>
      <c r="AG11">
        <v>0.8922307491</v>
      </c>
      <c r="AH11">
        <v>0.29528629779999999</v>
      </c>
      <c r="AI11">
        <v>-0.26768672469999999</v>
      </c>
      <c r="AJ11">
        <v>-0.5427253246</v>
      </c>
      <c r="AK11">
        <v>2.2254520000000001E-4</v>
      </c>
      <c r="AL11">
        <v>4.8417359600000001E-2</v>
      </c>
      <c r="AM11">
        <v>0.1014908776</v>
      </c>
      <c r="AN11">
        <v>0.16015270349999999</v>
      </c>
      <c r="AO11">
        <v>0.24607701600000001</v>
      </c>
      <c r="AP11">
        <v>0.24607701600000001</v>
      </c>
      <c r="AQ11">
        <v>12.7807069452</v>
      </c>
      <c r="AR11" t="s">
        <v>297</v>
      </c>
      <c r="AS11" t="s">
        <v>298</v>
      </c>
      <c r="AT11">
        <v>3</v>
      </c>
      <c r="AU11">
        <v>2.9</v>
      </c>
      <c r="AX11">
        <v>1</v>
      </c>
    </row>
    <row r="12" spans="1:50">
      <c r="A12" t="s">
        <v>654</v>
      </c>
      <c r="B12" t="s">
        <v>655</v>
      </c>
      <c r="C12" t="s">
        <v>212</v>
      </c>
      <c r="D12">
        <v>3</v>
      </c>
      <c r="E12" t="s">
        <v>213</v>
      </c>
      <c r="F12" t="s">
        <v>214</v>
      </c>
      <c r="G12" t="s">
        <v>296</v>
      </c>
      <c r="H12" t="s">
        <v>216</v>
      </c>
      <c r="J12" t="s">
        <v>648</v>
      </c>
      <c r="K12" t="s">
        <v>649</v>
      </c>
      <c r="L12" t="s">
        <v>650</v>
      </c>
      <c r="M12" t="s">
        <v>651</v>
      </c>
      <c r="N12" t="s">
        <v>652</v>
      </c>
      <c r="O12">
        <v>0</v>
      </c>
      <c r="P12">
        <v>0</v>
      </c>
      <c r="Q12">
        <v>-4.5299999999999998E-6</v>
      </c>
      <c r="R12">
        <v>-0.88329178090000005</v>
      </c>
      <c r="S12">
        <v>11.012513160699999</v>
      </c>
      <c r="T12">
        <v>1.4350075722</v>
      </c>
      <c r="U12">
        <v>4.2728490828999997</v>
      </c>
      <c r="V12">
        <v>2.3853986263000002</v>
      </c>
      <c r="W12">
        <v>0.44954484700000003</v>
      </c>
      <c r="X12">
        <v>-4.9790029526000001</v>
      </c>
      <c r="Y12">
        <v>-1.03602314</v>
      </c>
      <c r="Z12">
        <v>1.5963129997000001</v>
      </c>
      <c r="AA12">
        <v>-1.4275038242</v>
      </c>
      <c r="AB12">
        <v>-1.8936195374</v>
      </c>
      <c r="AC12">
        <v>-0.39402568339999999</v>
      </c>
      <c r="AD12">
        <v>-0.27815803890000002</v>
      </c>
      <c r="AE12">
        <v>1.2924295664000001</v>
      </c>
      <c r="AF12">
        <v>0.6820667386</v>
      </c>
      <c r="AG12">
        <v>-0.2614753246</v>
      </c>
      <c r="AH12">
        <v>0.21455276009999999</v>
      </c>
      <c r="AI12">
        <v>-0.16624632480000001</v>
      </c>
      <c r="AJ12">
        <v>0.76725572350000004</v>
      </c>
      <c r="AK12">
        <v>1.814729E-4</v>
      </c>
      <c r="AL12">
        <v>4.35186028E-2</v>
      </c>
      <c r="AM12">
        <v>5.5504698300000002E-2</v>
      </c>
      <c r="AN12">
        <v>0.2704586685</v>
      </c>
      <c r="AO12">
        <v>0.2704586685</v>
      </c>
      <c r="AP12">
        <v>0.2704586685</v>
      </c>
      <c r="AQ12">
        <v>11.047879909100001</v>
      </c>
      <c r="AR12" t="s">
        <v>297</v>
      </c>
      <c r="AS12" t="s">
        <v>298</v>
      </c>
      <c r="AT12">
        <v>3</v>
      </c>
      <c r="AU12">
        <v>2.9</v>
      </c>
      <c r="AX12">
        <v>1</v>
      </c>
    </row>
    <row r="13" spans="1:50">
      <c r="A13" t="s">
        <v>668</v>
      </c>
      <c r="B13" t="s">
        <v>669</v>
      </c>
      <c r="C13" t="s">
        <v>212</v>
      </c>
      <c r="D13">
        <v>3</v>
      </c>
      <c r="E13" t="s">
        <v>213</v>
      </c>
      <c r="F13" t="s">
        <v>214</v>
      </c>
      <c r="G13" t="s">
        <v>296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1.19209E-5</v>
      </c>
      <c r="R13">
        <v>5.7641520499999999</v>
      </c>
      <c r="S13">
        <v>-1.0640175343</v>
      </c>
      <c r="T13">
        <v>-2.9886920452000001</v>
      </c>
      <c r="U13">
        <v>3.5231251716999998</v>
      </c>
      <c r="V13">
        <v>-5.1826248168999998</v>
      </c>
      <c r="W13">
        <v>0.91367948060000004</v>
      </c>
      <c r="X13">
        <v>5.1676330565999997</v>
      </c>
      <c r="Y13">
        <v>0.98549520970000004</v>
      </c>
      <c r="Z13">
        <v>1.2723383904000001</v>
      </c>
      <c r="AA13">
        <v>1.4042950868999999</v>
      </c>
      <c r="AB13">
        <v>-2.3404588699</v>
      </c>
      <c r="AC13">
        <v>1.3477864264999999</v>
      </c>
      <c r="AD13">
        <v>-1.0889338255000001</v>
      </c>
      <c r="AE13">
        <v>-1.8349550962000001</v>
      </c>
      <c r="AF13">
        <v>0.56913495059999997</v>
      </c>
      <c r="AG13">
        <v>0.36975497010000002</v>
      </c>
      <c r="AH13">
        <v>-1.0135940313</v>
      </c>
      <c r="AI13">
        <v>-0.2147008181</v>
      </c>
      <c r="AJ13">
        <v>5.72415888E-2</v>
      </c>
      <c r="AK13">
        <v>1.7451160000000001E-4</v>
      </c>
      <c r="AL13">
        <v>4.3631263099999998E-2</v>
      </c>
      <c r="AM13">
        <v>0.1200520992</v>
      </c>
      <c r="AN13">
        <v>0.10382507739999999</v>
      </c>
      <c r="AO13">
        <v>0.1704864502</v>
      </c>
      <c r="AP13">
        <v>0.1704864502</v>
      </c>
      <c r="AQ13">
        <v>5.8615341139000003</v>
      </c>
      <c r="AR13" t="s">
        <v>297</v>
      </c>
      <c r="AS13" t="s">
        <v>298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307</v>
      </c>
      <c r="R1" t="s">
        <v>308</v>
      </c>
      <c r="S1" t="s">
        <v>309</v>
      </c>
      <c r="T1" t="s">
        <v>310</v>
      </c>
      <c r="U1" t="s">
        <v>311</v>
      </c>
      <c r="V1" t="s">
        <v>312</v>
      </c>
      <c r="W1" t="s">
        <v>313</v>
      </c>
      <c r="X1" t="s">
        <v>314</v>
      </c>
      <c r="Y1" t="s">
        <v>315</v>
      </c>
      <c r="Z1" t="s">
        <v>316</v>
      </c>
      <c r="AA1" t="s">
        <v>317</v>
      </c>
      <c r="AB1" t="s">
        <v>318</v>
      </c>
      <c r="AC1" t="s">
        <v>319</v>
      </c>
      <c r="AD1" t="s">
        <v>207</v>
      </c>
      <c r="AE1" t="s">
        <v>208</v>
      </c>
      <c r="AF1" t="s">
        <v>209</v>
      </c>
    </row>
    <row r="2" spans="1:32">
      <c r="A2" t="s">
        <v>294</v>
      </c>
      <c r="B2" t="s">
        <v>320</v>
      </c>
      <c r="C2" t="s">
        <v>212</v>
      </c>
      <c r="D2">
        <v>3</v>
      </c>
      <c r="E2" t="s">
        <v>213</v>
      </c>
      <c r="F2" t="s">
        <v>214</v>
      </c>
      <c r="G2" t="s">
        <v>296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-5.8651026389999998</v>
      </c>
      <c r="R2">
        <v>-40</v>
      </c>
      <c r="S2">
        <v>93.677858189999995</v>
      </c>
      <c r="T2">
        <v>114.6708742</v>
      </c>
      <c r="U2">
        <v>3.6004562450000002</v>
      </c>
      <c r="V2">
        <v>3.1709199999999998E-3</v>
      </c>
      <c r="W2">
        <v>-7.4107099999999994E-5</v>
      </c>
      <c r="X2">
        <v>3.4130117339999999</v>
      </c>
      <c r="Y2">
        <v>92.675770259999993</v>
      </c>
      <c r="Z2">
        <v>75.202151169999993</v>
      </c>
      <c r="AA2">
        <v>321.39106579999998</v>
      </c>
      <c r="AB2">
        <v>343.05142819999998</v>
      </c>
      <c r="AC2">
        <v>1</v>
      </c>
      <c r="AF2">
        <v>1</v>
      </c>
    </row>
    <row r="3" spans="1:32">
      <c r="A3" t="s">
        <v>299</v>
      </c>
      <c r="B3" t="s">
        <v>321</v>
      </c>
      <c r="C3" t="s">
        <v>212</v>
      </c>
      <c r="D3">
        <v>3</v>
      </c>
      <c r="E3" t="s">
        <v>213</v>
      </c>
      <c r="F3" t="s">
        <v>214</v>
      </c>
      <c r="G3" t="s">
        <v>296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-3.5190615840000001</v>
      </c>
      <c r="R3">
        <v>-24</v>
      </c>
      <c r="S3">
        <v>95.43669328</v>
      </c>
      <c r="T3">
        <v>118.0148239</v>
      </c>
      <c r="U3">
        <v>3.5891848749999999</v>
      </c>
      <c r="V3">
        <v>3.9541660000000003E-3</v>
      </c>
      <c r="W3">
        <v>-7.9496499999999993E-5</v>
      </c>
      <c r="X3">
        <v>3.4386894190000001</v>
      </c>
      <c r="Y3">
        <v>104.6369986</v>
      </c>
      <c r="Z3">
        <v>90.073977900000003</v>
      </c>
      <c r="AA3">
        <v>308.77993700000002</v>
      </c>
      <c r="AB3">
        <v>331.42735249999998</v>
      </c>
      <c r="AC3">
        <v>1</v>
      </c>
      <c r="AF3">
        <v>1</v>
      </c>
    </row>
    <row r="4" spans="1:32">
      <c r="A4" t="s">
        <v>301</v>
      </c>
      <c r="B4" t="s">
        <v>322</v>
      </c>
      <c r="C4" t="s">
        <v>212</v>
      </c>
      <c r="D4">
        <v>3</v>
      </c>
      <c r="E4" t="s">
        <v>213</v>
      </c>
      <c r="F4" t="s">
        <v>214</v>
      </c>
      <c r="G4" t="s">
        <v>296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-4.6920821110000004</v>
      </c>
      <c r="R4">
        <v>-32</v>
      </c>
      <c r="S4">
        <v>100.6507489</v>
      </c>
      <c r="T4">
        <v>116.967416</v>
      </c>
      <c r="U4">
        <v>3.495645186</v>
      </c>
      <c r="V4">
        <v>3.5302630000000001E-3</v>
      </c>
      <c r="W4">
        <v>-7.2277499999999994E-5</v>
      </c>
      <c r="X4">
        <v>3.3278986270000002</v>
      </c>
      <c r="Y4">
        <v>100.6502071</v>
      </c>
      <c r="Z4">
        <v>84.017806320000005</v>
      </c>
      <c r="AA4">
        <v>316.59060899999997</v>
      </c>
      <c r="AB4">
        <v>338.5234853</v>
      </c>
      <c r="AC4">
        <v>1</v>
      </c>
      <c r="AF4">
        <v>1</v>
      </c>
    </row>
    <row r="5" spans="1:32">
      <c r="A5" t="s">
        <v>303</v>
      </c>
      <c r="B5" t="s">
        <v>323</v>
      </c>
      <c r="C5" t="s">
        <v>212</v>
      </c>
      <c r="D5">
        <v>3</v>
      </c>
      <c r="E5" t="s">
        <v>213</v>
      </c>
      <c r="F5" t="s">
        <v>214</v>
      </c>
      <c r="G5" t="s">
        <v>296</v>
      </c>
      <c r="H5" t="s">
        <v>216</v>
      </c>
      <c r="J5" t="s">
        <v>244</v>
      </c>
      <c r="K5" t="s">
        <v>245</v>
      </c>
      <c r="L5" t="s">
        <v>246</v>
      </c>
      <c r="M5" t="s">
        <v>247</v>
      </c>
      <c r="N5" t="s">
        <v>248</v>
      </c>
      <c r="O5">
        <v>0</v>
      </c>
      <c r="P5">
        <v>0</v>
      </c>
      <c r="Q5">
        <v>-4.6920821110000004</v>
      </c>
      <c r="R5">
        <v>-32</v>
      </c>
      <c r="S5">
        <v>98.929472599999997</v>
      </c>
      <c r="T5">
        <v>115.4420149</v>
      </c>
      <c r="U5">
        <v>3.5372182990000001</v>
      </c>
      <c r="V5">
        <v>3.4850739999999999E-3</v>
      </c>
      <c r="W5">
        <v>-7.4059299999999998E-5</v>
      </c>
      <c r="X5">
        <v>3.3715300890000002</v>
      </c>
      <c r="Y5">
        <v>98.127688070000005</v>
      </c>
      <c r="Z5">
        <v>84.742363310000002</v>
      </c>
      <c r="AA5">
        <v>313.77134760000001</v>
      </c>
      <c r="AB5">
        <v>336.17761009999998</v>
      </c>
      <c r="AC5">
        <v>1</v>
      </c>
      <c r="AF5">
        <v>1</v>
      </c>
    </row>
    <row r="6" spans="1:32">
      <c r="A6" t="s">
        <v>305</v>
      </c>
      <c r="B6" t="s">
        <v>324</v>
      </c>
      <c r="C6" t="s">
        <v>212</v>
      </c>
      <c r="D6">
        <v>3</v>
      </c>
      <c r="E6" t="s">
        <v>213</v>
      </c>
      <c r="F6" t="s">
        <v>214</v>
      </c>
      <c r="G6" t="s">
        <v>296</v>
      </c>
      <c r="H6" t="s">
        <v>216</v>
      </c>
      <c r="J6" t="s">
        <v>251</v>
      </c>
      <c r="K6" t="s">
        <v>252</v>
      </c>
      <c r="L6" t="s">
        <v>253</v>
      </c>
      <c r="M6" t="s">
        <v>254</v>
      </c>
      <c r="N6" t="s">
        <v>255</v>
      </c>
      <c r="O6">
        <v>0</v>
      </c>
      <c r="P6">
        <v>0</v>
      </c>
      <c r="Q6">
        <v>-9.3841642230000009</v>
      </c>
      <c r="R6">
        <v>-64</v>
      </c>
      <c r="S6">
        <v>91.129083969999996</v>
      </c>
      <c r="T6">
        <v>122.80122040000001</v>
      </c>
      <c r="U6">
        <v>3.410234966</v>
      </c>
      <c r="V6">
        <v>3.1095189999999998E-3</v>
      </c>
      <c r="W6">
        <v>-6.8050400000000002E-5</v>
      </c>
      <c r="X6">
        <v>3.2658312760000001</v>
      </c>
      <c r="Y6">
        <v>90.827000170000005</v>
      </c>
      <c r="Z6">
        <v>74.099342489999998</v>
      </c>
      <c r="AA6">
        <v>313.28113439999998</v>
      </c>
      <c r="AB6">
        <v>335.12271010000001</v>
      </c>
      <c r="AC6">
        <v>1</v>
      </c>
      <c r="AF6">
        <v>1</v>
      </c>
    </row>
    <row r="7" spans="1:32">
      <c r="A7" t="s">
        <v>596</v>
      </c>
      <c r="B7" t="s">
        <v>597</v>
      </c>
      <c r="C7" t="s">
        <v>212</v>
      </c>
      <c r="D7">
        <v>3</v>
      </c>
      <c r="E7" t="s">
        <v>213</v>
      </c>
      <c r="F7" t="s">
        <v>214</v>
      </c>
      <c r="G7" t="s">
        <v>296</v>
      </c>
      <c r="H7" t="s">
        <v>216</v>
      </c>
      <c r="J7" t="s">
        <v>258</v>
      </c>
      <c r="K7" t="s">
        <v>259</v>
      </c>
      <c r="L7" t="s">
        <v>260</v>
      </c>
      <c r="M7" t="s">
        <v>261</v>
      </c>
      <c r="N7" t="s">
        <v>262</v>
      </c>
      <c r="O7">
        <v>0</v>
      </c>
      <c r="P7">
        <v>0</v>
      </c>
      <c r="Q7">
        <v>-5.8651026389999998</v>
      </c>
      <c r="R7">
        <v>-40</v>
      </c>
      <c r="S7">
        <v>95.371803439999994</v>
      </c>
      <c r="T7">
        <v>116.3293185</v>
      </c>
      <c r="U7">
        <v>3.593110062</v>
      </c>
      <c r="V7">
        <v>2.9598950000000001E-3</v>
      </c>
      <c r="W7">
        <v>-7.2491100000000001E-5</v>
      </c>
      <c r="X7">
        <v>3.3880779219999999</v>
      </c>
      <c r="Y7">
        <v>94.569687500000001</v>
      </c>
      <c r="Z7">
        <v>81.683143529999995</v>
      </c>
      <c r="AA7">
        <v>325.86482869999998</v>
      </c>
      <c r="AB7">
        <v>347.4543372</v>
      </c>
      <c r="AC7">
        <v>1</v>
      </c>
      <c r="AF7">
        <v>1</v>
      </c>
    </row>
    <row r="8" spans="1:32">
      <c r="A8" t="s">
        <v>620</v>
      </c>
      <c r="B8" t="s">
        <v>624</v>
      </c>
      <c r="C8" t="s">
        <v>212</v>
      </c>
      <c r="D8">
        <v>3</v>
      </c>
      <c r="E8" t="s">
        <v>213</v>
      </c>
      <c r="F8" t="s">
        <v>214</v>
      </c>
      <c r="G8" t="s">
        <v>296</v>
      </c>
      <c r="H8" t="s">
        <v>216</v>
      </c>
      <c r="J8" t="s">
        <v>600</v>
      </c>
      <c r="K8" t="s">
        <v>601</v>
      </c>
      <c r="L8" t="s">
        <v>602</v>
      </c>
      <c r="M8" t="s">
        <v>603</v>
      </c>
      <c r="N8" t="s">
        <v>604</v>
      </c>
      <c r="O8">
        <v>0</v>
      </c>
      <c r="P8">
        <v>0</v>
      </c>
      <c r="Q8">
        <v>-5.8651026389999998</v>
      </c>
      <c r="R8">
        <v>-40</v>
      </c>
      <c r="S8">
        <v>93.488357230000005</v>
      </c>
      <c r="T8">
        <v>114.05153919999999</v>
      </c>
      <c r="U8">
        <v>3.5295558979999999</v>
      </c>
      <c r="V8">
        <v>3.5785650000000001E-3</v>
      </c>
      <c r="W8">
        <v>-7.3975700000000004E-5</v>
      </c>
      <c r="X8">
        <v>3.3556739580000001</v>
      </c>
      <c r="Y8">
        <v>92.786063089999999</v>
      </c>
      <c r="Z8">
        <v>80.988922450000004</v>
      </c>
      <c r="AA8">
        <v>322.73352019999999</v>
      </c>
      <c r="AB8">
        <v>345.39120609999998</v>
      </c>
      <c r="AC8">
        <v>1</v>
      </c>
      <c r="AF8">
        <v>1</v>
      </c>
    </row>
    <row r="9" spans="1:32">
      <c r="A9" t="s">
        <v>622</v>
      </c>
      <c r="B9" t="s">
        <v>625</v>
      </c>
      <c r="C9" t="s">
        <v>212</v>
      </c>
      <c r="D9">
        <v>3</v>
      </c>
      <c r="E9" t="s">
        <v>213</v>
      </c>
      <c r="F9" t="s">
        <v>214</v>
      </c>
      <c r="G9" t="s">
        <v>296</v>
      </c>
      <c r="H9" t="s">
        <v>216</v>
      </c>
      <c r="J9" t="s">
        <v>607</v>
      </c>
      <c r="K9" t="s">
        <v>608</v>
      </c>
      <c r="L9" t="s">
        <v>609</v>
      </c>
      <c r="M9" t="s">
        <v>610</v>
      </c>
      <c r="N9" t="s">
        <v>611</v>
      </c>
      <c r="O9">
        <v>0</v>
      </c>
      <c r="P9">
        <v>0</v>
      </c>
      <c r="Q9">
        <v>-3.5190615840000001</v>
      </c>
      <c r="R9">
        <v>-24</v>
      </c>
      <c r="S9">
        <v>98.826012430000006</v>
      </c>
      <c r="T9">
        <v>111.1031126</v>
      </c>
      <c r="U9">
        <v>3.5030458719999999</v>
      </c>
      <c r="V9">
        <v>3.802017E-3</v>
      </c>
      <c r="W9">
        <v>-7.4590099999999996E-5</v>
      </c>
      <c r="X9">
        <v>3.3530461100000002</v>
      </c>
      <c r="Y9">
        <v>98.824661079999998</v>
      </c>
      <c r="Z9">
        <v>80.874783930000007</v>
      </c>
      <c r="AA9">
        <v>308.34442539999998</v>
      </c>
      <c r="AB9">
        <v>330.85350510000001</v>
      </c>
      <c r="AC9">
        <v>1</v>
      </c>
      <c r="AF9">
        <v>1</v>
      </c>
    </row>
    <row r="10" spans="1:32">
      <c r="A10" t="s">
        <v>632</v>
      </c>
      <c r="B10" t="s">
        <v>634</v>
      </c>
      <c r="C10" t="s">
        <v>212</v>
      </c>
      <c r="D10">
        <v>3</v>
      </c>
      <c r="E10" t="s">
        <v>213</v>
      </c>
      <c r="F10" t="s">
        <v>214</v>
      </c>
      <c r="G10" t="s">
        <v>296</v>
      </c>
      <c r="H10" t="s">
        <v>216</v>
      </c>
      <c r="J10" t="s">
        <v>614</v>
      </c>
      <c r="K10" t="s">
        <v>615</v>
      </c>
      <c r="L10" t="s">
        <v>616</v>
      </c>
      <c r="M10" t="s">
        <v>617</v>
      </c>
      <c r="N10" t="s">
        <v>618</v>
      </c>
      <c r="O10">
        <v>0</v>
      </c>
      <c r="P10">
        <v>0</v>
      </c>
      <c r="Q10">
        <v>-4.6920821110000004</v>
      </c>
      <c r="R10">
        <v>-32</v>
      </c>
      <c r="S10">
        <v>93.953243099999995</v>
      </c>
      <c r="T10">
        <v>110.9956172</v>
      </c>
      <c r="U10">
        <v>3.6487870349999998</v>
      </c>
      <c r="V10">
        <v>3.180474E-3</v>
      </c>
      <c r="W10">
        <v>-7.7581899999999997E-5</v>
      </c>
      <c r="X10">
        <v>3.4568069600000002</v>
      </c>
      <c r="Y10">
        <v>92.543895620000001</v>
      </c>
      <c r="Z10">
        <v>72.907882970000003</v>
      </c>
      <c r="AA10">
        <v>313.52250759999998</v>
      </c>
      <c r="AB10">
        <v>335.85655600000001</v>
      </c>
      <c r="AC10">
        <v>1</v>
      </c>
      <c r="AF10">
        <v>1</v>
      </c>
    </row>
    <row r="11" spans="1:32">
      <c r="A11" t="s">
        <v>642</v>
      </c>
      <c r="B11" t="s">
        <v>643</v>
      </c>
      <c r="C11" t="s">
        <v>212</v>
      </c>
      <c r="D11">
        <v>3</v>
      </c>
      <c r="E11" t="s">
        <v>213</v>
      </c>
      <c r="F11" t="s">
        <v>214</v>
      </c>
      <c r="G11" t="s">
        <v>296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-3.5190615840000001</v>
      </c>
      <c r="R11">
        <v>-24</v>
      </c>
      <c r="S11">
        <v>101.4531033</v>
      </c>
      <c r="T11">
        <v>113.8353144</v>
      </c>
      <c r="U11">
        <v>3.5293004730000002</v>
      </c>
      <c r="V11">
        <v>2.7942890000000001E-3</v>
      </c>
      <c r="W11">
        <v>-6.9085799999999995E-5</v>
      </c>
      <c r="X11">
        <v>3.329190943</v>
      </c>
      <c r="Y11">
        <v>100.85026379999999</v>
      </c>
      <c r="Z11">
        <v>82.511588169999996</v>
      </c>
      <c r="AA11">
        <v>311.4397811</v>
      </c>
      <c r="AB11">
        <v>333.52616719999997</v>
      </c>
      <c r="AC11">
        <v>1</v>
      </c>
      <c r="AF11">
        <v>1</v>
      </c>
    </row>
    <row r="12" spans="1:32">
      <c r="A12" t="s">
        <v>654</v>
      </c>
      <c r="B12" t="s">
        <v>656</v>
      </c>
      <c r="C12" t="s">
        <v>212</v>
      </c>
      <c r="D12">
        <v>3</v>
      </c>
      <c r="E12" t="s">
        <v>213</v>
      </c>
      <c r="F12" t="s">
        <v>214</v>
      </c>
      <c r="G12" t="s">
        <v>296</v>
      </c>
      <c r="H12" t="s">
        <v>216</v>
      </c>
      <c r="J12" t="s">
        <v>648</v>
      </c>
      <c r="K12" t="s">
        <v>649</v>
      </c>
      <c r="L12" t="s">
        <v>650</v>
      </c>
      <c r="M12" t="s">
        <v>651</v>
      </c>
      <c r="N12" t="s">
        <v>652</v>
      </c>
      <c r="O12">
        <v>0</v>
      </c>
      <c r="P12">
        <v>0</v>
      </c>
      <c r="Q12">
        <v>-7.0381231670000002</v>
      </c>
      <c r="R12">
        <v>-48</v>
      </c>
      <c r="S12">
        <v>93.247346609999994</v>
      </c>
      <c r="T12">
        <v>117.96924060000001</v>
      </c>
      <c r="U12">
        <v>3.5402934899999998</v>
      </c>
      <c r="V12">
        <v>3.4266180000000002E-3</v>
      </c>
      <c r="W12">
        <v>-7.2825599999999996E-5</v>
      </c>
      <c r="X12">
        <v>3.3630142420000002</v>
      </c>
      <c r="Y12">
        <v>92.94558275</v>
      </c>
      <c r="Z12">
        <v>76.904374509999997</v>
      </c>
      <c r="AA12">
        <v>328.0586285</v>
      </c>
      <c r="AB12">
        <v>350.93933620000001</v>
      </c>
      <c r="AC12">
        <v>1</v>
      </c>
      <c r="AF12">
        <v>1</v>
      </c>
    </row>
    <row r="13" spans="1:32">
      <c r="A13" t="s">
        <v>668</v>
      </c>
      <c r="B13" t="s">
        <v>670</v>
      </c>
      <c r="C13" t="s">
        <v>212</v>
      </c>
      <c r="D13">
        <v>3</v>
      </c>
      <c r="E13" t="s">
        <v>213</v>
      </c>
      <c r="F13" t="s">
        <v>214</v>
      </c>
      <c r="G13" t="s">
        <v>296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-4.6920821110000004</v>
      </c>
      <c r="R13">
        <v>-32</v>
      </c>
      <c r="S13">
        <v>99.313942220000001</v>
      </c>
      <c r="T13">
        <v>116.03965770000001</v>
      </c>
      <c r="U13">
        <v>3.5805711279999999</v>
      </c>
      <c r="V13">
        <v>3.0484399999999999E-3</v>
      </c>
      <c r="W13">
        <v>-7.2651700000000001E-5</v>
      </c>
      <c r="X13">
        <v>3.4079150419999999</v>
      </c>
      <c r="Y13">
        <v>99.31235719</v>
      </c>
      <c r="Z13">
        <v>79.516749039999993</v>
      </c>
      <c r="AA13">
        <v>309.93581010000003</v>
      </c>
      <c r="AB13">
        <v>331.92185310000002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325</v>
      </c>
      <c r="R1" t="s">
        <v>326</v>
      </c>
      <c r="S1" t="s">
        <v>327</v>
      </c>
      <c r="T1" t="s">
        <v>328</v>
      </c>
      <c r="U1" t="s">
        <v>329</v>
      </c>
      <c r="V1" t="s">
        <v>330</v>
      </c>
      <c r="W1" t="s">
        <v>331</v>
      </c>
      <c r="X1" t="s">
        <v>332</v>
      </c>
      <c r="Y1" t="s">
        <v>333</v>
      </c>
      <c r="Z1" t="s">
        <v>334</v>
      </c>
      <c r="AA1" t="s">
        <v>335</v>
      </c>
      <c r="AB1" t="s">
        <v>336</v>
      </c>
      <c r="AC1" t="s">
        <v>337</v>
      </c>
      <c r="AD1" t="s">
        <v>338</v>
      </c>
      <c r="AE1" t="s">
        <v>339</v>
      </c>
      <c r="AF1" t="s">
        <v>340</v>
      </c>
      <c r="AG1" t="s">
        <v>341</v>
      </c>
      <c r="AH1" t="s">
        <v>342</v>
      </c>
      <c r="AI1" t="s">
        <v>343</v>
      </c>
      <c r="AJ1" t="s">
        <v>344</v>
      </c>
      <c r="AK1" t="s">
        <v>345</v>
      </c>
      <c r="AL1" t="s">
        <v>346</v>
      </c>
      <c r="AM1" t="s">
        <v>347</v>
      </c>
      <c r="AN1" t="s">
        <v>348</v>
      </c>
      <c r="AO1" t="s">
        <v>349</v>
      </c>
      <c r="AP1" t="s">
        <v>350</v>
      </c>
      <c r="AQ1" t="s">
        <v>351</v>
      </c>
      <c r="AR1" t="s">
        <v>352</v>
      </c>
      <c r="AS1" t="s">
        <v>353</v>
      </c>
      <c r="AT1" t="s">
        <v>354</v>
      </c>
      <c r="AU1" t="s">
        <v>355</v>
      </c>
      <c r="AV1" t="s">
        <v>356</v>
      </c>
      <c r="AW1" t="s">
        <v>357</v>
      </c>
      <c r="AX1" t="s">
        <v>358</v>
      </c>
      <c r="AY1" t="s">
        <v>359</v>
      </c>
      <c r="AZ1" t="s">
        <v>360</v>
      </c>
      <c r="BA1" t="s">
        <v>361</v>
      </c>
      <c r="BB1" t="s">
        <v>362</v>
      </c>
      <c r="BC1" t="s">
        <v>363</v>
      </c>
      <c r="BD1" t="s">
        <v>364</v>
      </c>
      <c r="BE1" t="s">
        <v>365</v>
      </c>
      <c r="BF1" t="s">
        <v>366</v>
      </c>
      <c r="BG1" t="s">
        <v>367</v>
      </c>
      <c r="BH1" t="s">
        <v>368</v>
      </c>
      <c r="BI1" t="s">
        <v>369</v>
      </c>
      <c r="BJ1" t="s">
        <v>370</v>
      </c>
      <c r="BK1" t="s">
        <v>371</v>
      </c>
      <c r="BL1" t="s">
        <v>372</v>
      </c>
      <c r="BM1" t="s">
        <v>373</v>
      </c>
      <c r="BN1" t="s">
        <v>374</v>
      </c>
      <c r="BO1" t="s">
        <v>375</v>
      </c>
      <c r="BP1" t="s">
        <v>376</v>
      </c>
      <c r="BQ1" t="s">
        <v>377</v>
      </c>
      <c r="BR1" t="s">
        <v>378</v>
      </c>
      <c r="BS1" t="s">
        <v>379</v>
      </c>
      <c r="BT1" t="s">
        <v>380</v>
      </c>
      <c r="BU1" t="s">
        <v>381</v>
      </c>
      <c r="BV1" t="s">
        <v>382</v>
      </c>
      <c r="BW1" t="s">
        <v>383</v>
      </c>
      <c r="BX1" t="s">
        <v>384</v>
      </c>
      <c r="BY1" t="s">
        <v>385</v>
      </c>
      <c r="BZ1" t="s">
        <v>386</v>
      </c>
      <c r="CA1" t="s">
        <v>387</v>
      </c>
      <c r="CB1" t="s">
        <v>388</v>
      </c>
      <c r="CC1" t="s">
        <v>389</v>
      </c>
      <c r="CD1" t="s">
        <v>390</v>
      </c>
      <c r="CE1" t="s">
        <v>391</v>
      </c>
      <c r="CF1" t="s">
        <v>392</v>
      </c>
      <c r="CG1" t="s">
        <v>393</v>
      </c>
      <c r="CH1" t="s">
        <v>394</v>
      </c>
      <c r="CI1" t="s">
        <v>395</v>
      </c>
      <c r="CJ1" t="s">
        <v>396</v>
      </c>
      <c r="CK1" t="s">
        <v>397</v>
      </c>
      <c r="CL1" t="s">
        <v>398</v>
      </c>
      <c r="CM1" t="s">
        <v>399</v>
      </c>
      <c r="CN1" t="s">
        <v>400</v>
      </c>
      <c r="CO1" t="s">
        <v>401</v>
      </c>
      <c r="CP1" t="s">
        <v>402</v>
      </c>
      <c r="CQ1" t="s">
        <v>403</v>
      </c>
      <c r="CR1" t="s">
        <v>404</v>
      </c>
      <c r="CS1" t="s">
        <v>405</v>
      </c>
      <c r="CT1" t="s">
        <v>406</v>
      </c>
      <c r="CU1" t="s">
        <v>407</v>
      </c>
      <c r="CV1" t="s">
        <v>408</v>
      </c>
      <c r="CW1" t="s">
        <v>409</v>
      </c>
      <c r="CX1" t="s">
        <v>410</v>
      </c>
      <c r="CY1" t="s">
        <v>411</v>
      </c>
      <c r="CZ1" t="s">
        <v>412</v>
      </c>
      <c r="DA1" t="s">
        <v>413</v>
      </c>
      <c r="DB1" t="s">
        <v>414</v>
      </c>
      <c r="DC1" t="s">
        <v>415</v>
      </c>
      <c r="DD1" t="s">
        <v>416</v>
      </c>
      <c r="DE1" t="s">
        <v>417</v>
      </c>
      <c r="DF1" t="s">
        <v>418</v>
      </c>
      <c r="DG1" t="s">
        <v>419</v>
      </c>
      <c r="DH1" t="s">
        <v>420</v>
      </c>
      <c r="DI1" t="s">
        <v>421</v>
      </c>
      <c r="DJ1" t="s">
        <v>422</v>
      </c>
      <c r="DK1" t="s">
        <v>423</v>
      </c>
      <c r="DL1" t="s">
        <v>424</v>
      </c>
      <c r="DM1" t="s">
        <v>425</v>
      </c>
      <c r="DN1" t="s">
        <v>426</v>
      </c>
      <c r="DO1" t="s">
        <v>427</v>
      </c>
      <c r="DP1" t="s">
        <v>428</v>
      </c>
      <c r="DQ1" t="s">
        <v>429</v>
      </c>
      <c r="DR1" t="s">
        <v>430</v>
      </c>
      <c r="DS1" t="s">
        <v>431</v>
      </c>
      <c r="DT1" t="s">
        <v>432</v>
      </c>
      <c r="DU1" t="s">
        <v>433</v>
      </c>
      <c r="DV1" t="s">
        <v>434</v>
      </c>
      <c r="DW1" t="s">
        <v>435</v>
      </c>
      <c r="DX1" t="s">
        <v>436</v>
      </c>
      <c r="DY1" t="s">
        <v>437</v>
      </c>
      <c r="DZ1" t="s">
        <v>438</v>
      </c>
      <c r="EA1" t="s">
        <v>439</v>
      </c>
      <c r="EB1" t="s">
        <v>440</v>
      </c>
      <c r="EC1" t="s">
        <v>441</v>
      </c>
      <c r="ED1" t="s">
        <v>442</v>
      </c>
      <c r="EE1" t="s">
        <v>443</v>
      </c>
      <c r="EF1" t="s">
        <v>444</v>
      </c>
      <c r="EG1" t="s">
        <v>445</v>
      </c>
      <c r="EH1" t="s">
        <v>446</v>
      </c>
      <c r="EI1" t="s">
        <v>447</v>
      </c>
      <c r="EJ1" t="s">
        <v>448</v>
      </c>
      <c r="EK1" t="s">
        <v>449</v>
      </c>
      <c r="EL1" t="s">
        <v>450</v>
      </c>
      <c r="EM1" t="s">
        <v>451</v>
      </c>
      <c r="EN1" t="s">
        <v>452</v>
      </c>
      <c r="EO1" t="s">
        <v>453</v>
      </c>
      <c r="EP1" t="s">
        <v>454</v>
      </c>
      <c r="EQ1" t="s">
        <v>455</v>
      </c>
      <c r="ER1" t="s">
        <v>456</v>
      </c>
      <c r="ES1" t="s">
        <v>457</v>
      </c>
      <c r="ET1" t="s">
        <v>458</v>
      </c>
      <c r="EU1" t="s">
        <v>459</v>
      </c>
      <c r="EV1" t="s">
        <v>460</v>
      </c>
      <c r="EW1" t="s">
        <v>461</v>
      </c>
      <c r="EX1" t="s">
        <v>462</v>
      </c>
      <c r="EY1" t="s">
        <v>463</v>
      </c>
      <c r="EZ1" t="s">
        <v>464</v>
      </c>
      <c r="FA1" t="s">
        <v>465</v>
      </c>
      <c r="FB1" t="s">
        <v>466</v>
      </c>
      <c r="FC1" t="s">
        <v>467</v>
      </c>
      <c r="FD1" t="s">
        <v>468</v>
      </c>
      <c r="FE1" t="s">
        <v>469</v>
      </c>
      <c r="FF1" t="s">
        <v>470</v>
      </c>
      <c r="FG1" t="s">
        <v>471</v>
      </c>
      <c r="FH1" t="s">
        <v>472</v>
      </c>
      <c r="FI1" t="s">
        <v>473</v>
      </c>
      <c r="FJ1" t="s">
        <v>474</v>
      </c>
      <c r="FK1" t="s">
        <v>475</v>
      </c>
      <c r="FL1" t="s">
        <v>476</v>
      </c>
      <c r="FM1" t="s">
        <v>477</v>
      </c>
      <c r="FN1" t="s">
        <v>478</v>
      </c>
      <c r="FO1" t="s">
        <v>479</v>
      </c>
      <c r="FP1" t="s">
        <v>480</v>
      </c>
      <c r="FQ1" t="s">
        <v>481</v>
      </c>
      <c r="FR1" t="s">
        <v>482</v>
      </c>
      <c r="FS1" t="s">
        <v>483</v>
      </c>
      <c r="FT1" t="s">
        <v>484</v>
      </c>
      <c r="FU1" t="s">
        <v>485</v>
      </c>
      <c r="FV1" t="s">
        <v>486</v>
      </c>
      <c r="FW1" t="s">
        <v>487</v>
      </c>
      <c r="FX1" t="s">
        <v>488</v>
      </c>
      <c r="FY1" t="s">
        <v>489</v>
      </c>
      <c r="FZ1" t="s">
        <v>490</v>
      </c>
      <c r="GA1" t="s">
        <v>491</v>
      </c>
      <c r="GB1" t="s">
        <v>492</v>
      </c>
      <c r="GC1" t="s">
        <v>493</v>
      </c>
      <c r="GD1" t="s">
        <v>494</v>
      </c>
      <c r="GE1" t="s">
        <v>495</v>
      </c>
      <c r="GF1" t="s">
        <v>496</v>
      </c>
      <c r="GG1" t="s">
        <v>497</v>
      </c>
      <c r="GH1" t="s">
        <v>498</v>
      </c>
      <c r="GI1" t="s">
        <v>499</v>
      </c>
      <c r="GJ1" t="s">
        <v>500</v>
      </c>
      <c r="GK1" t="s">
        <v>501</v>
      </c>
      <c r="GL1" t="s">
        <v>502</v>
      </c>
      <c r="GM1" t="s">
        <v>503</v>
      </c>
      <c r="GN1" t="s">
        <v>504</v>
      </c>
      <c r="GO1" t="s">
        <v>505</v>
      </c>
      <c r="GP1" t="s">
        <v>506</v>
      </c>
      <c r="GQ1" t="s">
        <v>507</v>
      </c>
      <c r="GR1" t="s">
        <v>508</v>
      </c>
      <c r="GS1" t="s">
        <v>509</v>
      </c>
      <c r="GT1" t="s">
        <v>510</v>
      </c>
      <c r="GU1" t="s">
        <v>511</v>
      </c>
      <c r="GV1" t="s">
        <v>512</v>
      </c>
      <c r="GW1" t="s">
        <v>513</v>
      </c>
      <c r="GX1" t="s">
        <v>514</v>
      </c>
      <c r="GY1" t="s">
        <v>515</v>
      </c>
      <c r="GZ1" t="s">
        <v>516</v>
      </c>
      <c r="HA1" t="s">
        <v>517</v>
      </c>
      <c r="HB1" t="s">
        <v>518</v>
      </c>
      <c r="HC1" t="s">
        <v>519</v>
      </c>
      <c r="HD1" t="s">
        <v>520</v>
      </c>
      <c r="HE1" t="s">
        <v>521</v>
      </c>
      <c r="HF1" t="s">
        <v>522</v>
      </c>
      <c r="HG1" t="s">
        <v>523</v>
      </c>
      <c r="HH1" t="s">
        <v>524</v>
      </c>
      <c r="HI1" t="s">
        <v>525</v>
      </c>
      <c r="HJ1" t="s">
        <v>526</v>
      </c>
      <c r="HK1" t="s">
        <v>527</v>
      </c>
      <c r="HL1" t="s">
        <v>528</v>
      </c>
      <c r="HM1" t="s">
        <v>529</v>
      </c>
      <c r="HN1" t="s">
        <v>530</v>
      </c>
      <c r="HO1" t="s">
        <v>531</v>
      </c>
      <c r="HP1" t="s">
        <v>532</v>
      </c>
      <c r="HQ1" t="s">
        <v>533</v>
      </c>
      <c r="HR1" t="s">
        <v>534</v>
      </c>
      <c r="HS1" t="s">
        <v>535</v>
      </c>
      <c r="HT1" t="s">
        <v>536</v>
      </c>
      <c r="HU1" t="s">
        <v>537</v>
      </c>
      <c r="HV1" t="s">
        <v>538</v>
      </c>
      <c r="HW1" t="s">
        <v>539</v>
      </c>
      <c r="HX1" t="s">
        <v>540</v>
      </c>
      <c r="HY1" t="s">
        <v>541</v>
      </c>
      <c r="HZ1" t="s">
        <v>542</v>
      </c>
      <c r="IA1" t="s">
        <v>543</v>
      </c>
      <c r="IB1" t="s">
        <v>544</v>
      </c>
      <c r="IC1" t="s">
        <v>545</v>
      </c>
      <c r="ID1" t="s">
        <v>546</v>
      </c>
      <c r="IE1" t="s">
        <v>547</v>
      </c>
      <c r="IF1" t="s">
        <v>548</v>
      </c>
      <c r="IG1" t="s">
        <v>549</v>
      </c>
      <c r="IH1" t="s">
        <v>550</v>
      </c>
      <c r="II1" t="s">
        <v>551</v>
      </c>
      <c r="IJ1" t="s">
        <v>552</v>
      </c>
      <c r="IK1" t="s">
        <v>553</v>
      </c>
      <c r="IL1" t="s">
        <v>554</v>
      </c>
      <c r="IM1" t="s">
        <v>555</v>
      </c>
      <c r="IN1" t="s">
        <v>556</v>
      </c>
      <c r="IO1" t="s">
        <v>557</v>
      </c>
      <c r="IP1" t="s">
        <v>558</v>
      </c>
      <c r="IQ1" t="s">
        <v>559</v>
      </c>
      <c r="IR1" t="s">
        <v>560</v>
      </c>
      <c r="IS1" t="s">
        <v>561</v>
      </c>
      <c r="IT1" t="s">
        <v>562</v>
      </c>
      <c r="IU1" t="s">
        <v>563</v>
      </c>
      <c r="IV1" t="s">
        <v>564</v>
      </c>
      <c r="IW1" t="s">
        <v>565</v>
      </c>
      <c r="IX1" t="s">
        <v>566</v>
      </c>
      <c r="IY1" t="s">
        <v>567</v>
      </c>
      <c r="IZ1" t="s">
        <v>568</v>
      </c>
      <c r="JA1" t="s">
        <v>569</v>
      </c>
      <c r="JB1" t="s">
        <v>570</v>
      </c>
      <c r="JC1" t="s">
        <v>571</v>
      </c>
      <c r="JD1" t="s">
        <v>572</v>
      </c>
      <c r="JE1" t="s">
        <v>573</v>
      </c>
      <c r="JF1" t="s">
        <v>574</v>
      </c>
      <c r="JG1" t="s">
        <v>575</v>
      </c>
      <c r="JH1" t="s">
        <v>576</v>
      </c>
      <c r="JI1" t="s">
        <v>577</v>
      </c>
      <c r="JJ1" t="s">
        <v>578</v>
      </c>
      <c r="JK1" t="s">
        <v>314</v>
      </c>
      <c r="JL1" t="s">
        <v>579</v>
      </c>
      <c r="JM1" t="s">
        <v>580</v>
      </c>
      <c r="JN1" t="s">
        <v>581</v>
      </c>
      <c r="JO1" t="s">
        <v>207</v>
      </c>
      <c r="JP1" t="s">
        <v>208</v>
      </c>
      <c r="JQ1" t="s">
        <v>209</v>
      </c>
    </row>
    <row r="2" spans="1:277">
      <c r="A2" t="s">
        <v>582</v>
      </c>
      <c r="B2" t="s">
        <v>583</v>
      </c>
      <c r="C2" t="s">
        <v>212</v>
      </c>
      <c r="D2">
        <v>3</v>
      </c>
      <c r="E2" t="s">
        <v>213</v>
      </c>
      <c r="F2" t="s">
        <v>214</v>
      </c>
      <c r="G2" t="s">
        <v>584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0</v>
      </c>
      <c r="R2">
        <v>0.40000000079999998</v>
      </c>
      <c r="S2">
        <v>0.50000000010000001</v>
      </c>
      <c r="T2">
        <v>0.59999999940000004</v>
      </c>
      <c r="U2">
        <v>0.59999999940000004</v>
      </c>
      <c r="V2">
        <v>0.50000000010000001</v>
      </c>
      <c r="W2">
        <v>0.79999999980000003</v>
      </c>
      <c r="X2">
        <v>0.79999999980000003</v>
      </c>
      <c r="Y2">
        <v>0.79999999980000003</v>
      </c>
      <c r="Z2">
        <v>0.59999999940000004</v>
      </c>
      <c r="AA2">
        <v>0.7000000005</v>
      </c>
      <c r="AB2">
        <v>0.89999999909999995</v>
      </c>
      <c r="AC2">
        <v>1.0000000002</v>
      </c>
      <c r="AD2">
        <v>0.7000000005</v>
      </c>
      <c r="AE2">
        <v>0.89999999909999995</v>
      </c>
      <c r="AF2">
        <v>1.0999999995</v>
      </c>
      <c r="AG2">
        <v>1.0000000002</v>
      </c>
      <c r="AH2">
        <v>0.79999999980000003</v>
      </c>
      <c r="AI2">
        <v>4.9999999991999999</v>
      </c>
      <c r="AJ2">
        <v>11.300000000100001</v>
      </c>
      <c r="AK2">
        <v>18.200000000399999</v>
      </c>
      <c r="AL2">
        <v>24.9999999996</v>
      </c>
      <c r="AM2">
        <v>32.4000000001</v>
      </c>
      <c r="AN2">
        <v>40.399999999899997</v>
      </c>
      <c r="AO2">
        <v>48.5000000008</v>
      </c>
      <c r="AP2">
        <v>55.899999999400002</v>
      </c>
      <c r="AQ2">
        <v>63.5999999995</v>
      </c>
      <c r="AR2">
        <v>71.599999999299996</v>
      </c>
      <c r="AS2">
        <v>79.200000000100005</v>
      </c>
      <c r="AT2">
        <v>86.999999999500005</v>
      </c>
      <c r="AU2">
        <v>95.900000000299997</v>
      </c>
      <c r="AV2">
        <v>104.1000000005</v>
      </c>
      <c r="AW2">
        <v>112.6000000004</v>
      </c>
      <c r="AX2">
        <v>121.3000000007</v>
      </c>
      <c r="AY2">
        <v>129.19999999940001</v>
      </c>
      <c r="AZ2">
        <v>137.3999999996</v>
      </c>
      <c r="BA2">
        <v>146.5000000007</v>
      </c>
      <c r="BB2">
        <v>155.09999999990001</v>
      </c>
      <c r="BC2">
        <v>163.50000000060001</v>
      </c>
      <c r="BD2">
        <v>172.19999999909999</v>
      </c>
      <c r="BE2">
        <v>179.7000000006</v>
      </c>
      <c r="BF2">
        <v>188.00000000009999</v>
      </c>
      <c r="BG2">
        <v>197.5000000002</v>
      </c>
      <c r="BH2">
        <v>206.09999999940001</v>
      </c>
      <c r="BI2">
        <v>213.70000000019999</v>
      </c>
      <c r="BJ2">
        <v>222.2999999994</v>
      </c>
      <c r="BK2">
        <v>230.29999999930001</v>
      </c>
      <c r="BL2">
        <v>238.19999999980001</v>
      </c>
      <c r="BM2">
        <v>246.4999999993</v>
      </c>
      <c r="BN2">
        <v>254.6000000002</v>
      </c>
      <c r="BO2">
        <v>262.50000000070003</v>
      </c>
      <c r="BP2">
        <v>270.39999999939999</v>
      </c>
      <c r="BQ2">
        <v>277.89999999909998</v>
      </c>
      <c r="BR2">
        <v>285.5</v>
      </c>
      <c r="BS2">
        <v>293.29999999939997</v>
      </c>
      <c r="BT2">
        <v>301.10000000060001</v>
      </c>
      <c r="BU2">
        <v>308.49999999919999</v>
      </c>
      <c r="BV2">
        <v>315.89999999960003</v>
      </c>
      <c r="BW2">
        <v>323.09999999960002</v>
      </c>
      <c r="BX2">
        <v>330.20000000030001</v>
      </c>
      <c r="BY2">
        <v>336.69999999980001</v>
      </c>
      <c r="BZ2">
        <v>343.6000000002</v>
      </c>
      <c r="CA2">
        <v>350.89999999949998</v>
      </c>
      <c r="CB2">
        <v>358.09999999950003</v>
      </c>
      <c r="CC2">
        <v>364.60000000079998</v>
      </c>
      <c r="CD2">
        <v>370.99999999919999</v>
      </c>
      <c r="CE2">
        <v>377.3000000001</v>
      </c>
      <c r="CF2">
        <v>383.29999999950002</v>
      </c>
      <c r="CG2">
        <v>389.19999999959998</v>
      </c>
      <c r="CH2">
        <v>395.3000000001</v>
      </c>
      <c r="CI2">
        <v>401.70000000030001</v>
      </c>
      <c r="CJ2">
        <v>407.69999999970003</v>
      </c>
      <c r="CK2">
        <v>413.69999999919997</v>
      </c>
      <c r="CL2">
        <v>419.2999999996</v>
      </c>
      <c r="CM2">
        <v>424.9</v>
      </c>
      <c r="CN2">
        <v>430.50000000040001</v>
      </c>
      <c r="CO2">
        <v>435.49999999959999</v>
      </c>
      <c r="CP2">
        <v>440.69999999919997</v>
      </c>
      <c r="CQ2">
        <v>446.5</v>
      </c>
      <c r="CR2">
        <v>451.1000000002</v>
      </c>
      <c r="CS2">
        <v>452.40000000010002</v>
      </c>
      <c r="CT2">
        <v>452.10000000039997</v>
      </c>
      <c r="CU2">
        <v>452.30000000080003</v>
      </c>
      <c r="CV2">
        <v>452.40000000010002</v>
      </c>
      <c r="CW2">
        <v>452.49999999940002</v>
      </c>
      <c r="CX2">
        <v>452.49999999940002</v>
      </c>
      <c r="CY2">
        <v>452.60000000050002</v>
      </c>
      <c r="CZ2">
        <v>452.60000000050002</v>
      </c>
      <c r="DA2">
        <v>452.40000000010002</v>
      </c>
      <c r="DB2">
        <v>452.40000000010002</v>
      </c>
      <c r="DC2">
        <v>452.49999999940002</v>
      </c>
      <c r="DD2">
        <v>452.60000000050002</v>
      </c>
      <c r="DE2">
        <v>452.40000000010002</v>
      </c>
      <c r="DF2">
        <v>452.40000000010002</v>
      </c>
      <c r="DG2">
        <v>1.0000000002</v>
      </c>
      <c r="DH2">
        <v>1.3999999992000001</v>
      </c>
      <c r="DI2">
        <v>1.3999999992000001</v>
      </c>
      <c r="DJ2">
        <v>1.5000000003</v>
      </c>
      <c r="DK2">
        <v>1.5999999996000001</v>
      </c>
      <c r="DL2">
        <v>1.5999999996000001</v>
      </c>
      <c r="DM2">
        <v>1.5999999996000001</v>
      </c>
      <c r="DN2">
        <v>1.7000000007</v>
      </c>
      <c r="DO2">
        <v>1.7000000007</v>
      </c>
      <c r="DP2">
        <v>1.8</v>
      </c>
      <c r="DQ2">
        <v>1.7000000007</v>
      </c>
      <c r="DR2">
        <v>1.5999999996000001</v>
      </c>
      <c r="DS2">
        <v>1.7000000007</v>
      </c>
      <c r="DT2">
        <v>1.8</v>
      </c>
      <c r="DU2">
        <v>1.7000000007</v>
      </c>
      <c r="DV2">
        <v>1.8</v>
      </c>
      <c r="DW2">
        <v>1.7000000007</v>
      </c>
      <c r="DX2">
        <v>3.1999999992000001</v>
      </c>
      <c r="DY2">
        <v>10.200000000599999</v>
      </c>
      <c r="DZ2">
        <v>17.200000000199999</v>
      </c>
      <c r="EA2">
        <v>24.1000000005</v>
      </c>
      <c r="EB2">
        <v>31.399999999799999</v>
      </c>
      <c r="EC2">
        <v>39.000000000699998</v>
      </c>
      <c r="ED2">
        <v>46.899999999400002</v>
      </c>
      <c r="EE2">
        <v>55.000000000299998</v>
      </c>
      <c r="EF2">
        <v>62.200000000300001</v>
      </c>
      <c r="EG2">
        <v>69.900000000399999</v>
      </c>
      <c r="EH2">
        <v>77.499999999400004</v>
      </c>
      <c r="EI2">
        <v>85.4999999992</v>
      </c>
      <c r="EJ2">
        <v>93.800000000599994</v>
      </c>
      <c r="EK2">
        <v>102.3999999998</v>
      </c>
      <c r="EL2">
        <v>110.8999999997</v>
      </c>
      <c r="EM2">
        <v>119.1999999992</v>
      </c>
      <c r="EN2">
        <v>127.6999999991</v>
      </c>
      <c r="EO2">
        <v>135.89999999930001</v>
      </c>
      <c r="EP2">
        <v>145.00000000040001</v>
      </c>
      <c r="EQ2">
        <v>153.39999999919999</v>
      </c>
      <c r="ER2">
        <v>162.20000000069999</v>
      </c>
      <c r="ES2">
        <v>170.5999999995</v>
      </c>
      <c r="ET2">
        <v>178.5</v>
      </c>
      <c r="EU2">
        <v>186.70000000019999</v>
      </c>
      <c r="EV2">
        <v>195.79999999949999</v>
      </c>
      <c r="EW2">
        <v>204.2999999994</v>
      </c>
      <c r="EX2">
        <v>212.99999999970001</v>
      </c>
      <c r="EY2">
        <v>221.40000000040001</v>
      </c>
      <c r="EZ2">
        <v>229.29999999910001</v>
      </c>
      <c r="FA2">
        <v>237.19999999960001</v>
      </c>
      <c r="FB2">
        <v>246.30000000070001</v>
      </c>
      <c r="FC2">
        <v>254.3999999998</v>
      </c>
      <c r="FD2">
        <v>262.80000000040002</v>
      </c>
      <c r="FE2">
        <v>270.59999999979999</v>
      </c>
      <c r="FF2">
        <v>278.59999999960002</v>
      </c>
      <c r="FG2">
        <v>285.5</v>
      </c>
      <c r="FH2">
        <v>293.70000000020002</v>
      </c>
      <c r="FI2">
        <v>301.49999999959999</v>
      </c>
      <c r="FJ2">
        <v>309.40000000010002</v>
      </c>
      <c r="FK2">
        <v>316.69999999940001</v>
      </c>
      <c r="FL2">
        <v>324.19999999909999</v>
      </c>
      <c r="FM2">
        <v>331.00000000009999</v>
      </c>
      <c r="FN2">
        <v>337.99999999969998</v>
      </c>
      <c r="FO2">
        <v>345.40000000020001</v>
      </c>
      <c r="FP2">
        <v>352.6000000002</v>
      </c>
      <c r="FQ2">
        <v>359.50000000049999</v>
      </c>
      <c r="FR2">
        <v>366.29999999969999</v>
      </c>
      <c r="FS2">
        <v>372.6999999999</v>
      </c>
      <c r="FT2">
        <v>379.00000000080001</v>
      </c>
      <c r="FU2">
        <v>385.09999999950003</v>
      </c>
      <c r="FV2">
        <v>391.40000000039998</v>
      </c>
      <c r="FW2">
        <v>397.30000000050001</v>
      </c>
      <c r="FX2">
        <v>403.8</v>
      </c>
      <c r="FY2">
        <v>410.20000000030001</v>
      </c>
      <c r="FZ2">
        <v>415.80000000069998</v>
      </c>
      <c r="GA2">
        <v>421.7000000008</v>
      </c>
      <c r="GB2">
        <v>426.7</v>
      </c>
      <c r="GC2">
        <v>432.19999999930002</v>
      </c>
      <c r="GD2">
        <v>436.99999999990001</v>
      </c>
      <c r="GE2">
        <v>441.8999999998</v>
      </c>
      <c r="GF2">
        <v>447.00000000009999</v>
      </c>
      <c r="GG2">
        <v>450.9999999991</v>
      </c>
      <c r="GH2">
        <v>452.19999999970003</v>
      </c>
      <c r="GI2">
        <v>452.19999999970003</v>
      </c>
      <c r="GJ2">
        <v>452.40000000010002</v>
      </c>
      <c r="GK2">
        <v>452.19999999970003</v>
      </c>
      <c r="GL2">
        <v>452.30000000080003</v>
      </c>
      <c r="GM2">
        <v>452.30000000080003</v>
      </c>
      <c r="GN2">
        <v>452.49999999940002</v>
      </c>
      <c r="GO2">
        <v>452.49999999940002</v>
      </c>
      <c r="GP2">
        <v>452.60000000050002</v>
      </c>
      <c r="GQ2">
        <v>452.49999999940002</v>
      </c>
      <c r="GR2">
        <v>452.30000000080003</v>
      </c>
      <c r="GS2">
        <v>452.30000000080003</v>
      </c>
      <c r="GT2">
        <v>452.49999999940002</v>
      </c>
      <c r="GU2">
        <v>452.40000000010002</v>
      </c>
      <c r="GV2">
        <v>452.49999999940002</v>
      </c>
      <c r="GW2">
        <v>1</v>
      </c>
      <c r="GX2">
        <v>114.9000000005</v>
      </c>
      <c r="GY2">
        <v>112.6000000004</v>
      </c>
      <c r="GZ2">
        <v>112.6000000004</v>
      </c>
      <c r="HA2">
        <v>119.1999999992</v>
      </c>
      <c r="HB2">
        <v>114.2901016351</v>
      </c>
      <c r="HC2">
        <v>-6.5999999988000004</v>
      </c>
      <c r="HD2">
        <v>452.49996685759999</v>
      </c>
      <c r="HE2">
        <v>300.77882236020002</v>
      </c>
      <c r="HF2">
        <v>95.814394608599997</v>
      </c>
      <c r="HG2">
        <v>452.60000000050002</v>
      </c>
      <c r="HH2">
        <v>452.60000000050002</v>
      </c>
      <c r="HI2">
        <v>452.60000000050002</v>
      </c>
      <c r="HJ2">
        <v>452.60000000050002</v>
      </c>
      <c r="HK2">
        <v>110.26392961880001</v>
      </c>
      <c r="HL2">
        <v>3.4130117340999999</v>
      </c>
      <c r="HM2">
        <v>3.3347068316000001</v>
      </c>
      <c r="HN2">
        <v>3.3842313988999999</v>
      </c>
      <c r="HO2">
        <v>3.2457140486</v>
      </c>
      <c r="HP2">
        <v>3.6004562453000002</v>
      </c>
      <c r="HQ2">
        <v>2.3195565475</v>
      </c>
      <c r="HR2">
        <v>18.4757070265</v>
      </c>
      <c r="HS2">
        <v>-28.152492668600001</v>
      </c>
      <c r="HT2">
        <v>-192</v>
      </c>
      <c r="HU2">
        <v>415.0689239953</v>
      </c>
      <c r="HV2">
        <v>91.495601172999997</v>
      </c>
      <c r="HW2">
        <v>624</v>
      </c>
      <c r="HX2">
        <v>18.4757070265</v>
      </c>
      <c r="HY2">
        <v>-28.152492668600001</v>
      </c>
      <c r="HZ2">
        <v>-192</v>
      </c>
      <c r="IA2">
        <v>415.0689239953</v>
      </c>
      <c r="IB2">
        <v>91.495601172999997</v>
      </c>
      <c r="IC2">
        <v>624</v>
      </c>
      <c r="ID2">
        <v>37.531076005199999</v>
      </c>
      <c r="IE2">
        <v>1.0020879366</v>
      </c>
      <c r="IF2">
        <v>-37.536656891500002</v>
      </c>
      <c r="IG2">
        <v>-256</v>
      </c>
      <c r="IH2">
        <v>436.72928634549999</v>
      </c>
      <c r="II2">
        <v>100.87976539589999</v>
      </c>
      <c r="IJ2">
        <v>688</v>
      </c>
      <c r="IK2">
        <v>396.59321696879999</v>
      </c>
      <c r="IL2">
        <v>119.6480938416</v>
      </c>
      <c r="IM2">
        <v>421.1287229349</v>
      </c>
      <c r="IN2">
        <v>129.03225806450001</v>
      </c>
      <c r="IO2">
        <v>7.0000000014000001</v>
      </c>
      <c r="IP2">
        <v>5.9000000001000004</v>
      </c>
      <c r="IQ2">
        <v>9.5000000001</v>
      </c>
      <c r="IR2">
        <v>5.7938299955000003</v>
      </c>
      <c r="IS2">
        <v>5.7938299955000003</v>
      </c>
      <c r="IT2">
        <v>5.9000000001000004</v>
      </c>
      <c r="IU2">
        <v>-30.4985337243</v>
      </c>
      <c r="IV2">
        <v>9</v>
      </c>
      <c r="IW2">
        <v>68.035190615800005</v>
      </c>
      <c r="IX2">
        <v>7.4000000004000004</v>
      </c>
      <c r="IY2">
        <v>96.187683284499997</v>
      </c>
      <c r="IZ2">
        <v>-33.987067519</v>
      </c>
      <c r="JA2">
        <v>0.3269980347</v>
      </c>
      <c r="JB2">
        <v>-3.3180390000000002E-4</v>
      </c>
      <c r="JC2">
        <v>6.5560000000000002E-7</v>
      </c>
      <c r="JD2">
        <v>0.29299635569999999</v>
      </c>
      <c r="JE2">
        <v>0.19638248010000001</v>
      </c>
      <c r="JF2">
        <v>9.1042845299999994E-2</v>
      </c>
      <c r="JG2">
        <v>114.6708742064</v>
      </c>
      <c r="JH2">
        <v>3.6004562453000002</v>
      </c>
      <c r="JI2">
        <v>3.1709204E-3</v>
      </c>
      <c r="JJ2">
        <v>-7.4107099999999994E-5</v>
      </c>
      <c r="JK2">
        <v>3.4130117340999999</v>
      </c>
      <c r="JL2">
        <v>1.1893085725999999</v>
      </c>
      <c r="JM2">
        <v>0.50387438510000004</v>
      </c>
      <c r="JN2" t="s">
        <v>585</v>
      </c>
      <c r="JQ2">
        <v>1</v>
      </c>
    </row>
    <row r="3" spans="1:277">
      <c r="A3" t="s">
        <v>586</v>
      </c>
      <c r="B3" t="s">
        <v>587</v>
      </c>
      <c r="C3" t="s">
        <v>212</v>
      </c>
      <c r="D3">
        <v>3</v>
      </c>
      <c r="E3" t="s">
        <v>213</v>
      </c>
      <c r="F3" t="s">
        <v>214</v>
      </c>
      <c r="G3" t="s">
        <v>584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0.90000000089999999</v>
      </c>
      <c r="R3">
        <v>0.90000000089999999</v>
      </c>
      <c r="S3">
        <v>1.2000000006</v>
      </c>
      <c r="T3">
        <v>1.2000000006</v>
      </c>
      <c r="U3">
        <v>1.1000000013</v>
      </c>
      <c r="V3">
        <v>1.2999999999</v>
      </c>
      <c r="W3">
        <v>1.5000000003</v>
      </c>
      <c r="X3">
        <v>1.400000001</v>
      </c>
      <c r="Y3">
        <v>1.0000000002</v>
      </c>
      <c r="Z3">
        <v>0.90000000089999999</v>
      </c>
      <c r="AA3">
        <v>1.400000001</v>
      </c>
      <c r="AB3">
        <v>1.5999999996000001</v>
      </c>
      <c r="AC3">
        <v>1.5999999996000001</v>
      </c>
      <c r="AD3">
        <v>1.5000000003</v>
      </c>
      <c r="AE3">
        <v>1.2999999999</v>
      </c>
      <c r="AF3">
        <v>0.79999999980000003</v>
      </c>
      <c r="AG3">
        <v>0.60000000119999997</v>
      </c>
      <c r="AH3">
        <v>1.1000000013</v>
      </c>
      <c r="AI3">
        <v>7.9000000005000004</v>
      </c>
      <c r="AJ3">
        <v>15.199999999799999</v>
      </c>
      <c r="AK3">
        <v>22.600000000200001</v>
      </c>
      <c r="AL3">
        <v>29.300000000099999</v>
      </c>
      <c r="AM3">
        <v>35.799999999699999</v>
      </c>
      <c r="AN3">
        <v>43.700000000199999</v>
      </c>
      <c r="AO3">
        <v>51.300000001000001</v>
      </c>
      <c r="AP3">
        <v>59.300000000799997</v>
      </c>
      <c r="AQ3">
        <v>67.900000000000006</v>
      </c>
      <c r="AR3">
        <v>76.399999999900004</v>
      </c>
      <c r="AS3">
        <v>83.700000001000006</v>
      </c>
      <c r="AT3">
        <v>90.900000001099997</v>
      </c>
      <c r="AU3">
        <v>100.00000000039999</v>
      </c>
      <c r="AV3">
        <v>107.7000000005</v>
      </c>
      <c r="AW3">
        <v>116.1000000011</v>
      </c>
      <c r="AX3">
        <v>125.29999999970001</v>
      </c>
      <c r="AY3">
        <v>133.30000000129999</v>
      </c>
      <c r="AZ3">
        <v>140.9000000003</v>
      </c>
      <c r="BA3">
        <v>150.10000000069999</v>
      </c>
      <c r="BB3">
        <v>158.69999999999999</v>
      </c>
      <c r="BC3">
        <v>167.1999999999</v>
      </c>
      <c r="BD3">
        <v>176.00000000130001</v>
      </c>
      <c r="BE3">
        <v>184.1999999997</v>
      </c>
      <c r="BF3">
        <v>192.0000000009</v>
      </c>
      <c r="BG3">
        <v>201.2000000013</v>
      </c>
      <c r="BH3">
        <v>210.0000000009</v>
      </c>
      <c r="BI3">
        <v>218.00000000079999</v>
      </c>
      <c r="BJ3">
        <v>226.6</v>
      </c>
      <c r="BK3">
        <v>234.00000000040001</v>
      </c>
      <c r="BL3">
        <v>241.70000000050001</v>
      </c>
      <c r="BM3">
        <v>250</v>
      </c>
      <c r="BN3">
        <v>258.40000000060002</v>
      </c>
      <c r="BO3">
        <v>266.90000000049997</v>
      </c>
      <c r="BP3">
        <v>275.30000000119998</v>
      </c>
      <c r="BQ3">
        <v>282.50000000120002</v>
      </c>
      <c r="BR3">
        <v>290.2000000013</v>
      </c>
      <c r="BS3">
        <v>296.8000000001</v>
      </c>
      <c r="BT3">
        <v>305.3</v>
      </c>
      <c r="BU3">
        <v>313.20000000049998</v>
      </c>
      <c r="BV3">
        <v>321.10000000100001</v>
      </c>
      <c r="BW3">
        <v>328.80000000109999</v>
      </c>
      <c r="BX3">
        <v>334.8999999998</v>
      </c>
      <c r="BY3">
        <v>341.8000000001</v>
      </c>
      <c r="BZ3">
        <v>347.9000000007</v>
      </c>
      <c r="CA3">
        <v>355.49999999969998</v>
      </c>
      <c r="CB3">
        <v>362.20000000139999</v>
      </c>
      <c r="CC3">
        <v>369.50000000070003</v>
      </c>
      <c r="CD3">
        <v>376.20000000060003</v>
      </c>
      <c r="CE3">
        <v>382.70000000009998</v>
      </c>
      <c r="CF3">
        <v>388.89999999989999</v>
      </c>
      <c r="CG3">
        <v>394.50000000030002</v>
      </c>
      <c r="CH3">
        <v>400.2</v>
      </c>
      <c r="CI3">
        <v>406.60000000029999</v>
      </c>
      <c r="CJ3">
        <v>413.30000000019999</v>
      </c>
      <c r="CK3">
        <v>419.6000000011</v>
      </c>
      <c r="CL3">
        <v>425.30000000080003</v>
      </c>
      <c r="CM3">
        <v>430.9000000012</v>
      </c>
      <c r="CN3">
        <v>435.80000000109999</v>
      </c>
      <c r="CO3">
        <v>440.89999999960003</v>
      </c>
      <c r="CP3">
        <v>446.2999999996</v>
      </c>
      <c r="CQ3">
        <v>451.39999999989999</v>
      </c>
      <c r="CR3">
        <v>455.7000000004</v>
      </c>
      <c r="CS3">
        <v>457.20000000070002</v>
      </c>
      <c r="CT3">
        <v>457.50000000040001</v>
      </c>
      <c r="CU3">
        <v>457.5999999997</v>
      </c>
      <c r="CV3">
        <v>457.50000000040001</v>
      </c>
      <c r="CW3">
        <v>457.09999999960002</v>
      </c>
      <c r="CX3">
        <v>457.20000000070002</v>
      </c>
      <c r="CY3">
        <v>457.5999999997</v>
      </c>
      <c r="CZ3">
        <v>457.7000000008</v>
      </c>
      <c r="DA3">
        <v>457.7000000008</v>
      </c>
      <c r="DB3">
        <v>458.30000000019999</v>
      </c>
      <c r="DC3">
        <v>458.00000000049999</v>
      </c>
      <c r="DD3">
        <v>458.09999999979999</v>
      </c>
      <c r="DE3">
        <v>458.30000000019999</v>
      </c>
      <c r="DF3">
        <v>458.70000000099998</v>
      </c>
      <c r="DG3">
        <v>1.2000000006</v>
      </c>
      <c r="DH3">
        <v>1.400000001</v>
      </c>
      <c r="DI3">
        <v>1.5000000003</v>
      </c>
      <c r="DJ3">
        <v>1.1000000013</v>
      </c>
      <c r="DK3">
        <v>1.2000000006</v>
      </c>
      <c r="DL3">
        <v>1.0000000002</v>
      </c>
      <c r="DM3">
        <v>1.2999999999</v>
      </c>
      <c r="DN3">
        <v>1.400000001</v>
      </c>
      <c r="DO3">
        <v>1.2999999999</v>
      </c>
      <c r="DP3">
        <v>1.2000000006</v>
      </c>
      <c r="DQ3">
        <v>1.0000000002</v>
      </c>
      <c r="DR3">
        <v>0.90000000089999999</v>
      </c>
      <c r="DS3">
        <v>1.0000000002</v>
      </c>
      <c r="DT3">
        <v>0.79999999980000003</v>
      </c>
      <c r="DU3">
        <v>0.79999999980000003</v>
      </c>
      <c r="DV3">
        <v>0.60000000119999997</v>
      </c>
      <c r="DW3">
        <v>0</v>
      </c>
      <c r="DX3">
        <v>4.3999999998000003</v>
      </c>
      <c r="DY3">
        <v>12.0999999999</v>
      </c>
      <c r="DZ3">
        <v>19.500000000299998</v>
      </c>
      <c r="EA3">
        <v>27.100000001200002</v>
      </c>
      <c r="EB3">
        <v>33.800000001100003</v>
      </c>
      <c r="EC3">
        <v>40.800000000700003</v>
      </c>
      <c r="ED3">
        <v>48.899999999800002</v>
      </c>
      <c r="EE3">
        <v>56.700000000999999</v>
      </c>
      <c r="EF3">
        <v>64.900000001199999</v>
      </c>
      <c r="EG3">
        <v>73.3</v>
      </c>
      <c r="EH3">
        <v>81.400000000899993</v>
      </c>
      <c r="EI3">
        <v>87.900000000399999</v>
      </c>
      <c r="EJ3">
        <v>96.100000000700007</v>
      </c>
      <c r="EK3">
        <v>104.50000000129999</v>
      </c>
      <c r="EL3">
        <v>113.1000000005</v>
      </c>
      <c r="EM3">
        <v>122.00000000119999</v>
      </c>
      <c r="EN3">
        <v>131.10000000049999</v>
      </c>
      <c r="EO3">
        <v>138.3999999998</v>
      </c>
      <c r="EP3">
        <v>147.20000000120001</v>
      </c>
      <c r="EQ3">
        <v>156.0000000009</v>
      </c>
      <c r="ER3">
        <v>164.50000000079999</v>
      </c>
      <c r="ES3">
        <v>172.9000000014</v>
      </c>
      <c r="ET3">
        <v>181.50000000060001</v>
      </c>
      <c r="EU3">
        <v>189.3</v>
      </c>
      <c r="EV3">
        <v>197.900000001</v>
      </c>
      <c r="EW3">
        <v>206.7999999999</v>
      </c>
      <c r="EX3">
        <v>216.00000000029999</v>
      </c>
      <c r="EY3">
        <v>224.8</v>
      </c>
      <c r="EZ3">
        <v>232.90000000090001</v>
      </c>
      <c r="FA3">
        <v>240.49999999990001</v>
      </c>
      <c r="FB3">
        <v>248.7000000001</v>
      </c>
      <c r="FC3">
        <v>257.10000000069999</v>
      </c>
      <c r="FD3">
        <v>266.2</v>
      </c>
      <c r="FE3">
        <v>274.19999999980001</v>
      </c>
      <c r="FF3">
        <v>282.30000000080003</v>
      </c>
      <c r="FG3">
        <v>289.39999999970001</v>
      </c>
      <c r="FH3">
        <v>296.10000000140002</v>
      </c>
      <c r="FI3">
        <v>304.40000000089998</v>
      </c>
      <c r="FJ3">
        <v>312.7000000004</v>
      </c>
      <c r="FK3">
        <v>320.99999999990001</v>
      </c>
      <c r="FL3">
        <v>329.30000000119998</v>
      </c>
      <c r="FM3">
        <v>336.10000000039997</v>
      </c>
      <c r="FN3">
        <v>342.70000000110002</v>
      </c>
      <c r="FO3">
        <v>349.20000000060003</v>
      </c>
      <c r="FP3">
        <v>356.60000000100001</v>
      </c>
      <c r="FQ3">
        <v>363.6999999999</v>
      </c>
      <c r="FR3">
        <v>371.10000000029999</v>
      </c>
      <c r="FS3">
        <v>378.20000000099998</v>
      </c>
      <c r="FT3">
        <v>384.40000000079999</v>
      </c>
      <c r="FU3">
        <v>390.40000000020001</v>
      </c>
      <c r="FV3">
        <v>395.80000000019999</v>
      </c>
      <c r="FW3">
        <v>401.90000000079999</v>
      </c>
      <c r="FX3">
        <v>408.7</v>
      </c>
      <c r="FY3">
        <v>415.1000000002</v>
      </c>
      <c r="FZ3">
        <v>421.3</v>
      </c>
      <c r="GA3">
        <v>427.20000000009998</v>
      </c>
      <c r="GB3">
        <v>432.39999999970001</v>
      </c>
      <c r="GC3">
        <v>437.20000000030001</v>
      </c>
      <c r="GD3">
        <v>442.30000000059999</v>
      </c>
      <c r="GE3">
        <v>447.10000000119999</v>
      </c>
      <c r="GF3">
        <v>452.50000000120002</v>
      </c>
      <c r="GG3">
        <v>456.20000000049998</v>
      </c>
      <c r="GH3">
        <v>458.30000000019999</v>
      </c>
      <c r="GI3">
        <v>458.20000000089999</v>
      </c>
      <c r="GJ3">
        <v>458.30000000019999</v>
      </c>
      <c r="GK3">
        <v>457.5999999997</v>
      </c>
      <c r="GL3">
        <v>458.00000000049999</v>
      </c>
      <c r="GM3">
        <v>458.09999999979999</v>
      </c>
      <c r="GN3">
        <v>458.50000000059998</v>
      </c>
      <c r="GO3">
        <v>458.40000000129999</v>
      </c>
      <c r="GP3">
        <v>458.59999999989998</v>
      </c>
      <c r="GQ3">
        <v>458.50000000059998</v>
      </c>
      <c r="GR3">
        <v>458.20000000089999</v>
      </c>
      <c r="GS3">
        <v>458.40000000129999</v>
      </c>
      <c r="GT3">
        <v>458.09999999979999</v>
      </c>
      <c r="GU3">
        <v>458.00000000049999</v>
      </c>
      <c r="GV3">
        <v>458.30000000019999</v>
      </c>
      <c r="GW3">
        <v>1</v>
      </c>
      <c r="GX3">
        <v>118.39999999939999</v>
      </c>
      <c r="GY3">
        <v>116.1000000011</v>
      </c>
      <c r="GZ3">
        <v>116.1000000011</v>
      </c>
      <c r="HA3">
        <v>122.00000000119999</v>
      </c>
      <c r="HB3">
        <v>117.63194111350001</v>
      </c>
      <c r="HC3">
        <v>-5.9000000001000004</v>
      </c>
      <c r="HD3">
        <v>458.30000000019999</v>
      </c>
      <c r="HE3">
        <v>296.58468920299998</v>
      </c>
      <c r="HF3">
        <v>102.26922573740001</v>
      </c>
      <c r="HG3">
        <v>458.70000000099998</v>
      </c>
      <c r="HH3">
        <v>458.59931297700001</v>
      </c>
      <c r="HI3">
        <v>458.70000000099998</v>
      </c>
      <c r="HJ3">
        <v>458.59999999989998</v>
      </c>
      <c r="HK3">
        <v>110.26392961880001</v>
      </c>
      <c r="HL3">
        <v>3.4386894191000001</v>
      </c>
      <c r="HM3">
        <v>3.3622608248999999</v>
      </c>
      <c r="HN3">
        <v>3.4083777616000002</v>
      </c>
      <c r="HO3">
        <v>3.1261587996000002</v>
      </c>
      <c r="HP3">
        <v>3.5891848746999999</v>
      </c>
      <c r="HQ3">
        <v>2.3987790731</v>
      </c>
      <c r="HR3">
        <v>15.362715376100001</v>
      </c>
      <c r="HS3">
        <v>-30.4985337243</v>
      </c>
      <c r="HT3">
        <v>-208</v>
      </c>
      <c r="HU3">
        <v>414.21663031640003</v>
      </c>
      <c r="HV3">
        <v>89.149560117299998</v>
      </c>
      <c r="HW3">
        <v>608</v>
      </c>
      <c r="HX3">
        <v>15.362715376100001</v>
      </c>
      <c r="HY3">
        <v>-30.4985337243</v>
      </c>
      <c r="HZ3">
        <v>-208</v>
      </c>
      <c r="IA3">
        <v>414.21663031640003</v>
      </c>
      <c r="IB3">
        <v>89.149560117299998</v>
      </c>
      <c r="IC3">
        <v>608</v>
      </c>
      <c r="ID3">
        <v>44.382682660599997</v>
      </c>
      <c r="IE3">
        <v>0.79969465630000003</v>
      </c>
      <c r="IF3">
        <v>-39.8826979472</v>
      </c>
      <c r="IG3">
        <v>-272</v>
      </c>
      <c r="IH3">
        <v>436.86404580189998</v>
      </c>
      <c r="II3">
        <v>98.533724340199996</v>
      </c>
      <c r="IJ3">
        <v>672</v>
      </c>
      <c r="IK3">
        <v>398.8539149403</v>
      </c>
      <c r="IL3">
        <v>119.6480938416</v>
      </c>
      <c r="IM3">
        <v>425.49839694539997</v>
      </c>
      <c r="IN3">
        <v>129.03225806450001</v>
      </c>
      <c r="IO3">
        <v>7.7000000001000002</v>
      </c>
      <c r="IP3">
        <v>5.9000000001000004</v>
      </c>
      <c r="IQ3">
        <v>9.2000000003999993</v>
      </c>
      <c r="IR3">
        <v>4.8264813587999997</v>
      </c>
      <c r="IS3">
        <v>4.8264813587999997</v>
      </c>
      <c r="IT3">
        <v>4.1999999994000001</v>
      </c>
      <c r="IU3">
        <v>-32.844574780099997</v>
      </c>
      <c r="IV3">
        <v>8.8999999989000003</v>
      </c>
      <c r="IW3">
        <v>72.727272727300004</v>
      </c>
      <c r="IX3">
        <v>7.5999999989999996</v>
      </c>
      <c r="IY3">
        <v>93.841642228699996</v>
      </c>
      <c r="IZ3">
        <v>-35.381675811400001</v>
      </c>
      <c r="JA3">
        <v>0.3327175027</v>
      </c>
      <c r="JB3">
        <v>-3.4833349999999999E-4</v>
      </c>
      <c r="JC3">
        <v>6.5369999999999998E-7</v>
      </c>
      <c r="JD3">
        <v>0.29080846739999999</v>
      </c>
      <c r="JE3">
        <v>0.35487905450000001</v>
      </c>
      <c r="JF3">
        <v>0.17090140579999999</v>
      </c>
      <c r="JG3">
        <v>118.0148239067</v>
      </c>
      <c r="JH3">
        <v>3.5891848746999999</v>
      </c>
      <c r="JI3">
        <v>3.9541656000000001E-3</v>
      </c>
      <c r="JJ3">
        <v>-7.9496499999999993E-5</v>
      </c>
      <c r="JK3">
        <v>3.4386894191000001</v>
      </c>
      <c r="JL3">
        <v>1.1268380113000001</v>
      </c>
      <c r="JM3">
        <v>0.58255407960000005</v>
      </c>
      <c r="JN3" t="s">
        <v>585</v>
      </c>
      <c r="JQ3">
        <v>1</v>
      </c>
    </row>
    <row r="4" spans="1:277">
      <c r="A4" t="s">
        <v>588</v>
      </c>
      <c r="B4" t="s">
        <v>589</v>
      </c>
      <c r="C4" t="s">
        <v>212</v>
      </c>
      <c r="D4">
        <v>3</v>
      </c>
      <c r="E4" t="s">
        <v>213</v>
      </c>
      <c r="F4" t="s">
        <v>214</v>
      </c>
      <c r="G4" t="s">
        <v>584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5.4</v>
      </c>
      <c r="R4">
        <v>0.40000000079999998</v>
      </c>
      <c r="S4">
        <v>0.60000000119999997</v>
      </c>
      <c r="T4">
        <v>0.50000000010000001</v>
      </c>
      <c r="U4">
        <v>0.40000000079999998</v>
      </c>
      <c r="V4">
        <v>0.40000000079999998</v>
      </c>
      <c r="W4">
        <v>0.40000000079999998</v>
      </c>
      <c r="X4">
        <v>0.29999999970000002</v>
      </c>
      <c r="Y4">
        <v>0.40000000079999998</v>
      </c>
      <c r="Z4">
        <v>0.1000000011</v>
      </c>
      <c r="AA4">
        <v>0</v>
      </c>
      <c r="AB4">
        <v>0.29999999970000002</v>
      </c>
      <c r="AC4">
        <v>0</v>
      </c>
      <c r="AD4">
        <v>0.20000000039999999</v>
      </c>
      <c r="AE4">
        <v>0</v>
      </c>
      <c r="AF4">
        <v>0</v>
      </c>
      <c r="AG4">
        <v>0.50000000010000001</v>
      </c>
      <c r="AH4">
        <v>4.3999999998000003</v>
      </c>
      <c r="AI4">
        <v>10.1000000013</v>
      </c>
      <c r="AJ4">
        <v>16.400000000399999</v>
      </c>
      <c r="AK4">
        <v>23.500000001099998</v>
      </c>
      <c r="AL4">
        <v>30.200000001100001</v>
      </c>
      <c r="AM4">
        <v>37.100000001399998</v>
      </c>
      <c r="AN4">
        <v>44.300000001400001</v>
      </c>
      <c r="AO4">
        <v>51.7</v>
      </c>
      <c r="AP4">
        <v>60.300000001000001</v>
      </c>
      <c r="AQ4">
        <v>67.399999999900004</v>
      </c>
      <c r="AR4">
        <v>75.5000000008</v>
      </c>
      <c r="AS4">
        <v>82.900000001199999</v>
      </c>
      <c r="AT4">
        <v>90.600000001400005</v>
      </c>
      <c r="AU4">
        <v>98.299999999700006</v>
      </c>
      <c r="AV4">
        <v>106.4000000006</v>
      </c>
      <c r="AW4">
        <v>114.8000000012</v>
      </c>
      <c r="AX4">
        <v>123.4000000004</v>
      </c>
      <c r="AY4">
        <v>131.60000000060001</v>
      </c>
      <c r="AZ4">
        <v>139.8000000008</v>
      </c>
      <c r="BA4">
        <v>147.6000000002</v>
      </c>
      <c r="BB4">
        <v>156.0000000009</v>
      </c>
      <c r="BC4">
        <v>164.80000000050001</v>
      </c>
      <c r="BD4">
        <v>172.70000000100001</v>
      </c>
      <c r="BE4">
        <v>180.9000000012</v>
      </c>
      <c r="BF4">
        <v>189.00000000029999</v>
      </c>
      <c r="BG4">
        <v>197.40000000090001</v>
      </c>
      <c r="BH4">
        <v>205.7000000004</v>
      </c>
      <c r="BI4">
        <v>213.4999999998</v>
      </c>
      <c r="BJ4">
        <v>221.9000000005</v>
      </c>
      <c r="BK4">
        <v>230.10000000069999</v>
      </c>
      <c r="BL4">
        <v>238.19999999980001</v>
      </c>
      <c r="BM4">
        <v>245.7000000013</v>
      </c>
      <c r="BN4">
        <v>253.6</v>
      </c>
      <c r="BO4">
        <v>261.50000000049999</v>
      </c>
      <c r="BP4">
        <v>269.00000000019998</v>
      </c>
      <c r="BQ4">
        <v>277</v>
      </c>
      <c r="BR4">
        <v>284.70000000020002</v>
      </c>
      <c r="BS4">
        <v>292.1999999999</v>
      </c>
      <c r="BT4">
        <v>299.80000000069998</v>
      </c>
      <c r="BU4">
        <v>306.40000000129999</v>
      </c>
      <c r="BV4">
        <v>313.70000000060003</v>
      </c>
      <c r="BW4">
        <v>320.80000000130002</v>
      </c>
      <c r="BX4">
        <v>328.4000000003</v>
      </c>
      <c r="BY4">
        <v>335.30000000059999</v>
      </c>
      <c r="BZ4">
        <v>342.09999999979999</v>
      </c>
      <c r="CA4">
        <v>348.79999999979998</v>
      </c>
      <c r="CB4">
        <v>355.40000000039998</v>
      </c>
      <c r="CC4">
        <v>361.80000000059999</v>
      </c>
      <c r="CD4">
        <v>368.4000000012</v>
      </c>
      <c r="CE4">
        <v>374.7999999996</v>
      </c>
      <c r="CF4">
        <v>381.19999999980001</v>
      </c>
      <c r="CG4">
        <v>387.09999999989998</v>
      </c>
      <c r="CH4">
        <v>393.2000000004</v>
      </c>
      <c r="CI4">
        <v>399.19999999980001</v>
      </c>
      <c r="CJ4">
        <v>405.09999999989998</v>
      </c>
      <c r="CK4">
        <v>411.10000000119999</v>
      </c>
      <c r="CL4">
        <v>416.40000000010002</v>
      </c>
      <c r="CM4">
        <v>422.20000000089999</v>
      </c>
      <c r="CN4">
        <v>427.70000000020002</v>
      </c>
      <c r="CO4">
        <v>433.0000000009</v>
      </c>
      <c r="CP4">
        <v>438.60000000129997</v>
      </c>
      <c r="CQ4">
        <v>443.60000000050002</v>
      </c>
      <c r="CR4">
        <v>448.5999999997</v>
      </c>
      <c r="CS4">
        <v>452.00000000109998</v>
      </c>
      <c r="CT4">
        <v>452.10000000039997</v>
      </c>
      <c r="CU4">
        <v>451.9</v>
      </c>
      <c r="CV4">
        <v>452.10000000039997</v>
      </c>
      <c r="CW4">
        <v>452.00000000109998</v>
      </c>
      <c r="CX4">
        <v>452.00000000109998</v>
      </c>
      <c r="CY4">
        <v>452.00000000109998</v>
      </c>
      <c r="CZ4">
        <v>452.10000000039997</v>
      </c>
      <c r="DA4">
        <v>452.10000000039997</v>
      </c>
      <c r="DB4">
        <v>452.10000000039997</v>
      </c>
      <c r="DC4">
        <v>452.19999999970003</v>
      </c>
      <c r="DD4">
        <v>452.00000000109998</v>
      </c>
      <c r="DE4">
        <v>452.10000000039997</v>
      </c>
      <c r="DF4">
        <v>452.10000000039997</v>
      </c>
      <c r="DG4">
        <v>6.1000000004999997</v>
      </c>
      <c r="DH4">
        <v>1.2999999999</v>
      </c>
      <c r="DI4">
        <v>1.1000000013</v>
      </c>
      <c r="DJ4">
        <v>1.5000000003</v>
      </c>
      <c r="DK4">
        <v>1.2000000006</v>
      </c>
      <c r="DL4">
        <v>1.5000000003</v>
      </c>
      <c r="DM4">
        <v>1.1000000013</v>
      </c>
      <c r="DN4">
        <v>1.0000000002</v>
      </c>
      <c r="DO4">
        <v>1.2000000006</v>
      </c>
      <c r="DP4">
        <v>1.1000000013</v>
      </c>
      <c r="DQ4">
        <v>1.1000000013</v>
      </c>
      <c r="DR4">
        <v>1.1000000013</v>
      </c>
      <c r="DS4">
        <v>1.1000000013</v>
      </c>
      <c r="DT4">
        <v>0.79999999980000003</v>
      </c>
      <c r="DU4">
        <v>0.90000000089999999</v>
      </c>
      <c r="DV4">
        <v>0.7000000005</v>
      </c>
      <c r="DW4">
        <v>3.8999999996999999</v>
      </c>
      <c r="DX4">
        <v>8.3000000013000008</v>
      </c>
      <c r="DY4">
        <v>14.5000000011</v>
      </c>
      <c r="DZ4">
        <v>21.8999999997</v>
      </c>
      <c r="EA4">
        <v>29.200000000900001</v>
      </c>
      <c r="EB4">
        <v>36.000000000100002</v>
      </c>
      <c r="EC4">
        <v>42.999999999700002</v>
      </c>
      <c r="ED4">
        <v>50.4000000001</v>
      </c>
      <c r="EE4">
        <v>58.6000000003</v>
      </c>
      <c r="EF4">
        <v>65.800000000300003</v>
      </c>
      <c r="EG4">
        <v>73.900000001199999</v>
      </c>
      <c r="EH4">
        <v>81.200000000499998</v>
      </c>
      <c r="EI4">
        <v>88.999999999899998</v>
      </c>
      <c r="EJ4">
        <v>96.600000000799994</v>
      </c>
      <c r="EK4">
        <v>104.6999999999</v>
      </c>
      <c r="EL4">
        <v>113.3000000009</v>
      </c>
      <c r="EM4">
        <v>121.3000000007</v>
      </c>
      <c r="EN4">
        <v>129.7000000013</v>
      </c>
      <c r="EO4">
        <v>137.89999999969999</v>
      </c>
      <c r="EP4">
        <v>146.20000000100001</v>
      </c>
      <c r="EQ4">
        <v>153.9000000012</v>
      </c>
      <c r="ER4">
        <v>162.30000000000001</v>
      </c>
      <c r="ES4">
        <v>170.900000001</v>
      </c>
      <c r="ET4">
        <v>179.5000000002</v>
      </c>
      <c r="EU4">
        <v>187.7000000004</v>
      </c>
      <c r="EV4">
        <v>195.80000000129999</v>
      </c>
      <c r="EW4">
        <v>203.90000000040001</v>
      </c>
      <c r="EX4">
        <v>212.10000000060001</v>
      </c>
      <c r="EY4">
        <v>220.30000000090001</v>
      </c>
      <c r="EZ4">
        <v>228.90000000009999</v>
      </c>
      <c r="FA4">
        <v>237.00000000099999</v>
      </c>
      <c r="FB4">
        <v>245.20000000120001</v>
      </c>
      <c r="FC4">
        <v>252.70000000089999</v>
      </c>
      <c r="FD4">
        <v>260.59999999960002</v>
      </c>
      <c r="FE4">
        <v>268.70000000049998</v>
      </c>
      <c r="FF4">
        <v>276.70000000030001</v>
      </c>
      <c r="FG4">
        <v>284.60000000090002</v>
      </c>
      <c r="FH4">
        <v>292.10000000060001</v>
      </c>
      <c r="FI4">
        <v>299.2000000013</v>
      </c>
      <c r="FJ4">
        <v>306.80000000029997</v>
      </c>
      <c r="FK4">
        <v>314.00000000030002</v>
      </c>
      <c r="FL4">
        <v>321.79999999969999</v>
      </c>
      <c r="FM4">
        <v>328.49999999959999</v>
      </c>
      <c r="FN4">
        <v>335.9</v>
      </c>
      <c r="FO4">
        <v>343.00000000080001</v>
      </c>
      <c r="FP4">
        <v>350.00000000040001</v>
      </c>
      <c r="FQ4">
        <v>356.49999999990001</v>
      </c>
      <c r="FR4">
        <v>363.10000000050002</v>
      </c>
      <c r="FS4">
        <v>369.6</v>
      </c>
      <c r="FT4">
        <v>376.00000000019998</v>
      </c>
      <c r="FU4">
        <v>382.60000000079998</v>
      </c>
      <c r="FV4">
        <v>388.89999999989999</v>
      </c>
      <c r="FW4">
        <v>394.70000000070002</v>
      </c>
      <c r="FX4">
        <v>400.70000000009998</v>
      </c>
      <c r="FY4">
        <v>406.3999999998</v>
      </c>
      <c r="FZ4">
        <v>412.40000000110001</v>
      </c>
      <c r="GA4">
        <v>417.80000000109999</v>
      </c>
      <c r="GB4">
        <v>423.30000000040002</v>
      </c>
      <c r="GC4">
        <v>429.00000000009999</v>
      </c>
      <c r="GD4">
        <v>434.40000000010002</v>
      </c>
      <c r="GE4">
        <v>439.40000000110001</v>
      </c>
      <c r="GF4">
        <v>444.300000001</v>
      </c>
      <c r="GG4">
        <v>448.5999999997</v>
      </c>
      <c r="GH4">
        <v>451.69999999959998</v>
      </c>
      <c r="GI4">
        <v>452.00000000109998</v>
      </c>
      <c r="GJ4">
        <v>451.9</v>
      </c>
      <c r="GK4">
        <v>451.80000000069998</v>
      </c>
      <c r="GL4">
        <v>451.80000000069998</v>
      </c>
      <c r="GM4">
        <v>452.00000000109998</v>
      </c>
      <c r="GN4">
        <v>452.00000000109998</v>
      </c>
      <c r="GO4">
        <v>452.00000000109998</v>
      </c>
      <c r="GP4">
        <v>452.10000000039997</v>
      </c>
      <c r="GQ4">
        <v>452.10000000039997</v>
      </c>
      <c r="GR4">
        <v>452.00000000109998</v>
      </c>
      <c r="GS4">
        <v>452.10000000039997</v>
      </c>
      <c r="GT4">
        <v>452.10000000039997</v>
      </c>
      <c r="GU4">
        <v>451.9</v>
      </c>
      <c r="GV4">
        <v>452.19999999970003</v>
      </c>
      <c r="GW4">
        <v>1</v>
      </c>
      <c r="GX4">
        <v>111.69999999949999</v>
      </c>
      <c r="GY4">
        <v>114.8000000012</v>
      </c>
      <c r="GZ4">
        <v>114.8000000012</v>
      </c>
      <c r="HA4">
        <v>121.3000000007</v>
      </c>
      <c r="HB4">
        <v>116.4970584994</v>
      </c>
      <c r="HC4">
        <v>-6.4999999995</v>
      </c>
      <c r="HD4">
        <v>452.19999999970003</v>
      </c>
      <c r="HE4">
        <v>300.74429945819998</v>
      </c>
      <c r="HF4">
        <v>99.864115891400004</v>
      </c>
      <c r="HG4">
        <v>452.19999999970003</v>
      </c>
      <c r="HH4">
        <v>452.19999999970003</v>
      </c>
      <c r="HI4">
        <v>452.19999999970003</v>
      </c>
      <c r="HJ4">
        <v>452.19999999970003</v>
      </c>
      <c r="HK4">
        <v>110.26392961880001</v>
      </c>
      <c r="HL4">
        <v>3.3278986270000002</v>
      </c>
      <c r="HM4">
        <v>3.2450226033999998</v>
      </c>
      <c r="HN4">
        <v>3.2880574404999998</v>
      </c>
      <c r="HO4">
        <v>3.0786203613000001</v>
      </c>
      <c r="HP4">
        <v>3.4956451855999999</v>
      </c>
      <c r="HQ4">
        <v>2.2487338130999999</v>
      </c>
      <c r="HR4">
        <v>16.632942607899999</v>
      </c>
      <c r="HS4">
        <v>-30.4985337243</v>
      </c>
      <c r="HT4">
        <v>-208</v>
      </c>
      <c r="HU4">
        <v>417.24135795749999</v>
      </c>
      <c r="HV4">
        <v>93.841642228699996</v>
      </c>
      <c r="HW4">
        <v>640</v>
      </c>
      <c r="HX4">
        <v>16.632942607899999</v>
      </c>
      <c r="HY4">
        <v>-30.4985337243</v>
      </c>
      <c r="HZ4">
        <v>-208</v>
      </c>
      <c r="IA4">
        <v>417.24135795749999</v>
      </c>
      <c r="IB4">
        <v>93.841642228699996</v>
      </c>
      <c r="IC4">
        <v>640</v>
      </c>
      <c r="ID4">
        <v>34.958642042199997</v>
      </c>
      <c r="IE4">
        <v>5.4185560000000004E-4</v>
      </c>
      <c r="IF4">
        <v>-39.8826979472</v>
      </c>
      <c r="IG4">
        <v>-272</v>
      </c>
      <c r="IH4">
        <v>439.17423421540002</v>
      </c>
      <c r="II4">
        <v>103.22580645159999</v>
      </c>
      <c r="IJ4">
        <v>704</v>
      </c>
      <c r="IK4">
        <v>400.60841534960002</v>
      </c>
      <c r="IL4">
        <v>124.3401759531</v>
      </c>
      <c r="IM4">
        <v>424.14593608349998</v>
      </c>
      <c r="IN4">
        <v>133.724340176</v>
      </c>
      <c r="IO4">
        <v>6.2999999990999997</v>
      </c>
      <c r="IP4">
        <v>5.6999999997000002</v>
      </c>
      <c r="IQ4">
        <v>8.7999999996000007</v>
      </c>
      <c r="IR4">
        <v>5.7676897387999997</v>
      </c>
      <c r="IS4">
        <v>5.7676897387999997</v>
      </c>
      <c r="IT4">
        <v>4.3999999998000003</v>
      </c>
      <c r="IU4">
        <v>-32.844574780099997</v>
      </c>
      <c r="IV4">
        <v>8.0999999990999996</v>
      </c>
      <c r="IW4">
        <v>58.651026393000002</v>
      </c>
      <c r="IX4">
        <v>6.6999999999000002</v>
      </c>
      <c r="IY4">
        <v>100.87976539589999</v>
      </c>
      <c r="IZ4">
        <v>-35.9753248954</v>
      </c>
      <c r="JA4">
        <v>0.34188596960000001</v>
      </c>
      <c r="JB4">
        <v>-3.6476409999999999E-4</v>
      </c>
      <c r="JC4">
        <v>6.9490000000000001E-7</v>
      </c>
      <c r="JD4">
        <v>0.30048992229999999</v>
      </c>
      <c r="JE4">
        <v>0.1906921349</v>
      </c>
      <c r="JF4">
        <v>8.8080625499999995E-2</v>
      </c>
      <c r="JG4">
        <v>116.967415977</v>
      </c>
      <c r="JH4">
        <v>3.4956451855999999</v>
      </c>
      <c r="JI4">
        <v>3.5302633000000002E-3</v>
      </c>
      <c r="JJ4">
        <v>-7.2277499999999994E-5</v>
      </c>
      <c r="JK4">
        <v>3.3278986270000002</v>
      </c>
      <c r="JL4">
        <v>0.94346010739999997</v>
      </c>
      <c r="JM4">
        <v>0.4454028645</v>
      </c>
      <c r="JN4" t="s">
        <v>585</v>
      </c>
      <c r="JQ4">
        <v>1</v>
      </c>
    </row>
    <row r="5" spans="1:277">
      <c r="A5" t="s">
        <v>590</v>
      </c>
      <c r="B5" t="s">
        <v>591</v>
      </c>
      <c r="C5" t="s">
        <v>212</v>
      </c>
      <c r="D5">
        <v>3</v>
      </c>
      <c r="E5" t="s">
        <v>213</v>
      </c>
      <c r="F5" t="s">
        <v>214</v>
      </c>
      <c r="G5" t="s">
        <v>584</v>
      </c>
      <c r="H5" t="s">
        <v>216</v>
      </c>
      <c r="J5" t="s">
        <v>244</v>
      </c>
      <c r="K5" t="s">
        <v>245</v>
      </c>
      <c r="L5" t="s">
        <v>246</v>
      </c>
      <c r="M5" t="s">
        <v>247</v>
      </c>
      <c r="N5" t="s">
        <v>248</v>
      </c>
      <c r="O5">
        <v>0</v>
      </c>
      <c r="P5">
        <v>0</v>
      </c>
      <c r="Q5">
        <v>2.7000000008999998</v>
      </c>
      <c r="R5">
        <v>1.3000000017</v>
      </c>
      <c r="S5">
        <v>1.400000001</v>
      </c>
      <c r="T5">
        <v>1.7000000007</v>
      </c>
      <c r="U5">
        <v>1.3000000017</v>
      </c>
      <c r="V5">
        <v>1.0000000002</v>
      </c>
      <c r="W5">
        <v>1.1000000013</v>
      </c>
      <c r="X5">
        <v>1.1000000013</v>
      </c>
      <c r="Y5">
        <v>1.1000000013</v>
      </c>
      <c r="Z5">
        <v>1.2000000006</v>
      </c>
      <c r="AA5">
        <v>1.3000000017</v>
      </c>
      <c r="AB5">
        <v>1.3000000017</v>
      </c>
      <c r="AC5">
        <v>1.3000000017</v>
      </c>
      <c r="AD5">
        <v>1.1000000013</v>
      </c>
      <c r="AE5">
        <v>0.90000000089999999</v>
      </c>
      <c r="AF5">
        <v>0.80000000159999995</v>
      </c>
      <c r="AG5">
        <v>0</v>
      </c>
      <c r="AH5">
        <v>0.1000000011</v>
      </c>
      <c r="AI5">
        <v>6.6000000005999997</v>
      </c>
      <c r="AJ5">
        <v>14.000000001</v>
      </c>
      <c r="AK5">
        <v>20.500000000499998</v>
      </c>
      <c r="AL5">
        <v>27.800000001699999</v>
      </c>
      <c r="AM5">
        <v>34.300000001199997</v>
      </c>
      <c r="AN5">
        <v>41.900000000200002</v>
      </c>
      <c r="AO5">
        <v>49.6000000003</v>
      </c>
      <c r="AP5">
        <v>57.5000000008</v>
      </c>
      <c r="AQ5">
        <v>65.600000001699996</v>
      </c>
      <c r="AR5">
        <v>73.400000001099997</v>
      </c>
      <c r="AS5">
        <v>81.100000001200002</v>
      </c>
      <c r="AT5">
        <v>89.000000001800004</v>
      </c>
      <c r="AU5">
        <v>96.700000000100005</v>
      </c>
      <c r="AV5">
        <v>105.5000000015</v>
      </c>
      <c r="AW5">
        <v>113.800000001</v>
      </c>
      <c r="AX5">
        <v>122.1000000005</v>
      </c>
      <c r="AY5">
        <v>130.30000000070001</v>
      </c>
      <c r="AZ5">
        <v>138.10000000010001</v>
      </c>
      <c r="BA5">
        <v>146.5000000007</v>
      </c>
      <c r="BB5">
        <v>155.30000000039999</v>
      </c>
      <c r="BC5">
        <v>163.8000000003</v>
      </c>
      <c r="BD5">
        <v>172.10000000159999</v>
      </c>
      <c r="BE5">
        <v>180.3</v>
      </c>
      <c r="BF5">
        <v>188.00000000009999</v>
      </c>
      <c r="BG5">
        <v>196.5</v>
      </c>
      <c r="BH5">
        <v>205.00000000169999</v>
      </c>
      <c r="BI5">
        <v>213.2000000001</v>
      </c>
      <c r="BJ5">
        <v>221.60000000080001</v>
      </c>
      <c r="BK5">
        <v>230.0000000014</v>
      </c>
      <c r="BL5">
        <v>237.8000000008</v>
      </c>
      <c r="BM5">
        <v>245.30000000050001</v>
      </c>
      <c r="BN5">
        <v>253.20000000100001</v>
      </c>
      <c r="BO5">
        <v>261.4000000012</v>
      </c>
      <c r="BP5">
        <v>269.20000000060003</v>
      </c>
      <c r="BQ5">
        <v>277.2000000004</v>
      </c>
      <c r="BR5">
        <v>285.10000000100001</v>
      </c>
      <c r="BS5">
        <v>292.4000000003</v>
      </c>
      <c r="BT5">
        <v>299.2000000013</v>
      </c>
      <c r="BU5">
        <v>306.70000000099998</v>
      </c>
      <c r="BV5">
        <v>314.10000000140002</v>
      </c>
      <c r="BW5">
        <v>321.6000000011</v>
      </c>
      <c r="BX5">
        <v>328.90000000039998</v>
      </c>
      <c r="BY5">
        <v>335.80000000069998</v>
      </c>
      <c r="BZ5">
        <v>342.90000000150002</v>
      </c>
      <c r="CA5">
        <v>349.10000000129997</v>
      </c>
      <c r="CB5">
        <v>355.90000000049997</v>
      </c>
      <c r="CC5">
        <v>362.30000000069998</v>
      </c>
      <c r="CD5">
        <v>368.90000000129999</v>
      </c>
      <c r="CE5">
        <v>375.50000000009999</v>
      </c>
      <c r="CF5">
        <v>381.9000000003</v>
      </c>
      <c r="CG5">
        <v>388.10000000010001</v>
      </c>
      <c r="CH5">
        <v>394.30000000170003</v>
      </c>
      <c r="CI5">
        <v>400.00000000149998</v>
      </c>
      <c r="CJ5">
        <v>405.80000000050001</v>
      </c>
      <c r="CK5">
        <v>411.40000000089998</v>
      </c>
      <c r="CL5">
        <v>417.5000000014</v>
      </c>
      <c r="CM5">
        <v>422.90000000139997</v>
      </c>
      <c r="CN5">
        <v>428.5</v>
      </c>
      <c r="CO5">
        <v>434.20000000149997</v>
      </c>
      <c r="CP5">
        <v>439.7000000008</v>
      </c>
      <c r="CQ5">
        <v>444.90000000039998</v>
      </c>
      <c r="CR5">
        <v>449.20000000089999</v>
      </c>
      <c r="CS5">
        <v>450.90000000160001</v>
      </c>
      <c r="CT5">
        <v>450.80000000050001</v>
      </c>
      <c r="CU5">
        <v>450.80000000050001</v>
      </c>
      <c r="CV5">
        <v>450.70000000120001</v>
      </c>
      <c r="CW5">
        <v>450.80000000050001</v>
      </c>
      <c r="CX5">
        <v>451.0000000009</v>
      </c>
      <c r="CY5">
        <v>451.0000000009</v>
      </c>
      <c r="CZ5">
        <v>451.1000000002</v>
      </c>
      <c r="DA5">
        <v>451.1000000002</v>
      </c>
      <c r="DB5">
        <v>451.2000000013</v>
      </c>
      <c r="DC5">
        <v>451.0000000009</v>
      </c>
      <c r="DD5">
        <v>450.80000000050001</v>
      </c>
      <c r="DE5">
        <v>450.60000000010001</v>
      </c>
      <c r="DF5">
        <v>450.90000000160001</v>
      </c>
      <c r="DG5">
        <v>3.9000000015</v>
      </c>
      <c r="DH5">
        <v>2.3000000000999998</v>
      </c>
      <c r="DI5">
        <v>2.2000000007999998</v>
      </c>
      <c r="DJ5">
        <v>2.0000000004</v>
      </c>
      <c r="DK5">
        <v>2.4000000012</v>
      </c>
      <c r="DL5">
        <v>2.1000000015000002</v>
      </c>
      <c r="DM5">
        <v>2.2000000007999998</v>
      </c>
      <c r="DN5">
        <v>2.3000000000999998</v>
      </c>
      <c r="DO5">
        <v>2.3000000000999998</v>
      </c>
      <c r="DP5">
        <v>2.3000000000999998</v>
      </c>
      <c r="DQ5">
        <v>2.1000000015000002</v>
      </c>
      <c r="DR5">
        <v>2.0000000004</v>
      </c>
      <c r="DS5">
        <v>1.9000000011</v>
      </c>
      <c r="DT5">
        <v>2.0000000004</v>
      </c>
      <c r="DU5">
        <v>2.1000000015000002</v>
      </c>
      <c r="DV5">
        <v>1.5000000003</v>
      </c>
      <c r="DW5">
        <v>0.90000000089999999</v>
      </c>
      <c r="DX5">
        <v>5.0000000010000001</v>
      </c>
      <c r="DY5">
        <v>11.9000000013</v>
      </c>
      <c r="DZ5">
        <v>19.1000000013</v>
      </c>
      <c r="EA5">
        <v>26.400000000599999</v>
      </c>
      <c r="EB5">
        <v>33.000000001300002</v>
      </c>
      <c r="EC5">
        <v>40.100000000199998</v>
      </c>
      <c r="ED5">
        <v>47.900000001400002</v>
      </c>
      <c r="EE5">
        <v>55.900000001199999</v>
      </c>
      <c r="EF5">
        <v>63.800000001699999</v>
      </c>
      <c r="EG5">
        <v>71.700000000399996</v>
      </c>
      <c r="EH5">
        <v>79.5000000016</v>
      </c>
      <c r="EI5">
        <v>87.000000001399997</v>
      </c>
      <c r="EJ5">
        <v>94.600000000400001</v>
      </c>
      <c r="EK5">
        <v>102.90000000169999</v>
      </c>
      <c r="EL5">
        <v>111.30000000050001</v>
      </c>
      <c r="EM5">
        <v>120.0000000008</v>
      </c>
      <c r="EN5">
        <v>128.20000000100001</v>
      </c>
      <c r="EO5">
        <v>136.3000000001</v>
      </c>
      <c r="EP5">
        <v>144.3000000017</v>
      </c>
      <c r="EQ5">
        <v>152.900000001</v>
      </c>
      <c r="ER5">
        <v>161.5000000002</v>
      </c>
      <c r="ES5">
        <v>170.20000000050001</v>
      </c>
      <c r="ET5">
        <v>178.6000000011</v>
      </c>
      <c r="EU5">
        <v>186.3000000012</v>
      </c>
      <c r="EV5">
        <v>194.4000000003</v>
      </c>
      <c r="EW5">
        <v>203.00000000130001</v>
      </c>
      <c r="EX5">
        <v>212.10000000060001</v>
      </c>
      <c r="EY5">
        <v>220.30000000090001</v>
      </c>
      <c r="EZ5">
        <v>228.90000000009999</v>
      </c>
      <c r="FA5">
        <v>236.40000000160001</v>
      </c>
      <c r="FB5">
        <v>244.80000000039999</v>
      </c>
      <c r="FC5">
        <v>252.2000000008</v>
      </c>
      <c r="FD5">
        <v>261.00000000040001</v>
      </c>
      <c r="FE5">
        <v>268.70000000049998</v>
      </c>
      <c r="FF5">
        <v>276.8000000015</v>
      </c>
      <c r="FG5">
        <v>284.70000000020002</v>
      </c>
      <c r="FH5">
        <v>292.2000000017</v>
      </c>
      <c r="FI5">
        <v>299.50000000099999</v>
      </c>
      <c r="FJ5">
        <v>307.10000000000002</v>
      </c>
      <c r="FK5">
        <v>314.60000000150001</v>
      </c>
      <c r="FL5">
        <v>322.00000000009999</v>
      </c>
      <c r="FM5">
        <v>329.40000000049997</v>
      </c>
      <c r="FN5">
        <v>336.50000000130001</v>
      </c>
      <c r="FO5">
        <v>343.20000000120001</v>
      </c>
      <c r="FP5">
        <v>349.80000000180002</v>
      </c>
      <c r="FQ5">
        <v>356.80000000140001</v>
      </c>
      <c r="FR5">
        <v>363.9000000003</v>
      </c>
      <c r="FS5">
        <v>370.40000000160001</v>
      </c>
      <c r="FT5">
        <v>376.90000000110001</v>
      </c>
      <c r="FU5">
        <v>383.50000000170002</v>
      </c>
      <c r="FV5">
        <v>389.30000000069998</v>
      </c>
      <c r="FW5">
        <v>395.2000000008</v>
      </c>
      <c r="FX5">
        <v>401.00000000170002</v>
      </c>
      <c r="FY5">
        <v>407.40000000010002</v>
      </c>
      <c r="FZ5">
        <v>413.40000000129999</v>
      </c>
      <c r="GA5">
        <v>419.20000000030001</v>
      </c>
      <c r="GB5">
        <v>424.80000000069998</v>
      </c>
      <c r="GC5">
        <v>430.00000000030002</v>
      </c>
      <c r="GD5">
        <v>435.4000000003</v>
      </c>
      <c r="GE5">
        <v>439.8000000001</v>
      </c>
      <c r="GF5">
        <v>444.90000000039998</v>
      </c>
      <c r="GG5">
        <v>448.40000000110001</v>
      </c>
      <c r="GH5">
        <v>450.30000000040002</v>
      </c>
      <c r="GI5">
        <v>451.0000000009</v>
      </c>
      <c r="GJ5">
        <v>451.0000000009</v>
      </c>
      <c r="GK5">
        <v>451.0000000009</v>
      </c>
      <c r="GL5">
        <v>450.80000000050001</v>
      </c>
      <c r="GM5">
        <v>450.50000000080001</v>
      </c>
      <c r="GN5">
        <v>450.60000000010001</v>
      </c>
      <c r="GO5">
        <v>450.60000000010001</v>
      </c>
      <c r="GP5">
        <v>450.60000000010001</v>
      </c>
      <c r="GQ5">
        <v>450.80000000050001</v>
      </c>
      <c r="GR5">
        <v>451.0000000009</v>
      </c>
      <c r="GS5">
        <v>451.1000000002</v>
      </c>
      <c r="GT5">
        <v>451.0000000009</v>
      </c>
      <c r="GU5">
        <v>451.0000000009</v>
      </c>
      <c r="GV5">
        <v>451.0000000009</v>
      </c>
      <c r="GW5">
        <v>1</v>
      </c>
      <c r="GX5">
        <v>113.1999999998</v>
      </c>
      <c r="GY5">
        <v>113.800000001</v>
      </c>
      <c r="GZ5">
        <v>113.800000001</v>
      </c>
      <c r="HA5">
        <v>120.0000000008</v>
      </c>
      <c r="HB5">
        <v>115.4066947471</v>
      </c>
      <c r="HC5">
        <v>-6.1999999998000002</v>
      </c>
      <c r="HD5">
        <v>450.99996674890002</v>
      </c>
      <c r="HE5">
        <v>297.29412547129999</v>
      </c>
      <c r="HF5">
        <v>101.21958545770001</v>
      </c>
      <c r="HG5">
        <v>451.2000000013</v>
      </c>
      <c r="HH5">
        <v>451.0999889162</v>
      </c>
      <c r="HI5">
        <v>451.2000000013</v>
      </c>
      <c r="HJ5">
        <v>451.1000000002</v>
      </c>
      <c r="HK5">
        <v>110.26392961880001</v>
      </c>
      <c r="HL5">
        <v>3.3715300890000002</v>
      </c>
      <c r="HM5">
        <v>3.2733334116999999</v>
      </c>
      <c r="HN5">
        <v>3.3450326292999999</v>
      </c>
      <c r="HO5">
        <v>3.1179778063999999</v>
      </c>
      <c r="HP5">
        <v>3.5372182992000001</v>
      </c>
      <c r="HQ5">
        <v>2.3150051233000002</v>
      </c>
      <c r="HR5">
        <v>14.1871092895</v>
      </c>
      <c r="HS5">
        <v>-30.4985337243</v>
      </c>
      <c r="HT5">
        <v>-208</v>
      </c>
      <c r="HU5">
        <v>412.7008202184</v>
      </c>
      <c r="HV5">
        <v>91.495601172999997</v>
      </c>
      <c r="HW5">
        <v>624</v>
      </c>
      <c r="HX5">
        <v>14.1871092895</v>
      </c>
      <c r="HY5">
        <v>-30.4985337243</v>
      </c>
      <c r="HZ5">
        <v>-208</v>
      </c>
      <c r="IA5">
        <v>412.7008202184</v>
      </c>
      <c r="IB5">
        <v>91.495601172999997</v>
      </c>
      <c r="IC5">
        <v>624</v>
      </c>
      <c r="ID5">
        <v>38.3991686978</v>
      </c>
      <c r="IE5">
        <v>0.80178452830000002</v>
      </c>
      <c r="IF5">
        <v>-39.8826979472</v>
      </c>
      <c r="IG5">
        <v>-272</v>
      </c>
      <c r="IH5">
        <v>435.107082687</v>
      </c>
      <c r="II5">
        <v>100.87976539589999</v>
      </c>
      <c r="IJ5">
        <v>688</v>
      </c>
      <c r="IK5">
        <v>398.51371092900001</v>
      </c>
      <c r="IL5">
        <v>121.9941348974</v>
      </c>
      <c r="IM5">
        <v>424.18763023679998</v>
      </c>
      <c r="IN5">
        <v>131.37829912020001</v>
      </c>
      <c r="IO5">
        <v>7.4000000004000004</v>
      </c>
      <c r="IP5">
        <v>5.7999999989999997</v>
      </c>
      <c r="IQ5">
        <v>9.0999999992999996</v>
      </c>
      <c r="IR5">
        <v>5.5007622175000002</v>
      </c>
      <c r="IS5">
        <v>5.5007622175000002</v>
      </c>
      <c r="IT5">
        <v>5.3000000006999999</v>
      </c>
      <c r="IU5">
        <v>-32.844574780099997</v>
      </c>
      <c r="IV5">
        <v>8.1000000008999997</v>
      </c>
      <c r="IW5">
        <v>75.073313783000003</v>
      </c>
      <c r="IX5">
        <v>6.9000000003000004</v>
      </c>
      <c r="IY5">
        <v>100.87976539589999</v>
      </c>
      <c r="IZ5">
        <v>-34.940640831400003</v>
      </c>
      <c r="JA5">
        <v>0.33471031600000001</v>
      </c>
      <c r="JB5">
        <v>-3.458612E-4</v>
      </c>
      <c r="JC5">
        <v>6.7110000000000002E-7</v>
      </c>
      <c r="JD5">
        <v>0.29660123849999998</v>
      </c>
      <c r="JE5">
        <v>0.23876817689999999</v>
      </c>
      <c r="JF5">
        <v>9.4228330700000001E-2</v>
      </c>
      <c r="JG5">
        <v>115.4420149295</v>
      </c>
      <c r="JH5">
        <v>3.5372182992000001</v>
      </c>
      <c r="JI5">
        <v>3.4850736000000002E-3</v>
      </c>
      <c r="JJ5">
        <v>-7.4059299999999998E-5</v>
      </c>
      <c r="JK5">
        <v>3.3715300890000002</v>
      </c>
      <c r="JL5">
        <v>1.2824331651</v>
      </c>
      <c r="JM5">
        <v>0.45796221120000002</v>
      </c>
      <c r="JN5" t="s">
        <v>585</v>
      </c>
      <c r="JQ5">
        <v>1</v>
      </c>
    </row>
    <row r="6" spans="1:277">
      <c r="A6" t="s">
        <v>592</v>
      </c>
      <c r="B6" t="s">
        <v>593</v>
      </c>
      <c r="C6" t="s">
        <v>212</v>
      </c>
      <c r="D6">
        <v>3</v>
      </c>
      <c r="E6" t="s">
        <v>213</v>
      </c>
      <c r="F6" t="s">
        <v>214</v>
      </c>
      <c r="G6" t="s">
        <v>584</v>
      </c>
      <c r="H6" t="s">
        <v>216</v>
      </c>
      <c r="J6" t="s">
        <v>251</v>
      </c>
      <c r="K6" t="s">
        <v>252</v>
      </c>
      <c r="L6" t="s">
        <v>253</v>
      </c>
      <c r="M6" t="s">
        <v>254</v>
      </c>
      <c r="N6" t="s">
        <v>255</v>
      </c>
      <c r="O6">
        <v>0</v>
      </c>
      <c r="P6">
        <v>0</v>
      </c>
      <c r="Q6">
        <v>3.2999999985000001</v>
      </c>
      <c r="R6">
        <v>1.8</v>
      </c>
      <c r="S6">
        <v>1.5999999996000001</v>
      </c>
      <c r="T6">
        <v>1.1999999988000001</v>
      </c>
      <c r="U6">
        <v>1.0999999995</v>
      </c>
      <c r="V6">
        <v>1.1999999988000001</v>
      </c>
      <c r="W6">
        <v>0.79999999980000003</v>
      </c>
      <c r="X6">
        <v>1.0000000002</v>
      </c>
      <c r="Y6">
        <v>0.79999999980000003</v>
      </c>
      <c r="Z6">
        <v>0.89999999909999995</v>
      </c>
      <c r="AA6">
        <v>0.89999999909999995</v>
      </c>
      <c r="AB6">
        <v>1.0000000002</v>
      </c>
      <c r="AC6">
        <v>0.79999999980000003</v>
      </c>
      <c r="AD6">
        <v>0.39999999899999999</v>
      </c>
      <c r="AE6">
        <v>0.29999999970000002</v>
      </c>
      <c r="AF6">
        <v>0</v>
      </c>
      <c r="AG6">
        <v>4.7999999987999997</v>
      </c>
      <c r="AH6">
        <v>10.4999999985</v>
      </c>
      <c r="AI6">
        <v>16.799999999400001</v>
      </c>
      <c r="AJ6">
        <v>23.9000000001</v>
      </c>
      <c r="AK6">
        <v>30.299999998499999</v>
      </c>
      <c r="AL6">
        <v>37.499999998500002</v>
      </c>
      <c r="AM6">
        <v>44.899999999000002</v>
      </c>
      <c r="AN6">
        <v>52.5999999991</v>
      </c>
      <c r="AO6">
        <v>59.699999999799999</v>
      </c>
      <c r="AP6">
        <v>66.600000000099996</v>
      </c>
      <c r="AQ6">
        <v>74.199999999100001</v>
      </c>
      <c r="AR6">
        <v>81.399999999100004</v>
      </c>
      <c r="AS6">
        <v>89.299999999600004</v>
      </c>
      <c r="AT6">
        <v>97.499999999899998</v>
      </c>
      <c r="AU6">
        <v>105.7000000001</v>
      </c>
      <c r="AV6">
        <v>113.0999999987</v>
      </c>
      <c r="AW6">
        <v>120.7999999988</v>
      </c>
      <c r="AX6">
        <v>128.69999999929999</v>
      </c>
      <c r="AY6">
        <v>136.39999999939999</v>
      </c>
      <c r="AZ6">
        <v>145.199999999</v>
      </c>
      <c r="BA6">
        <v>153.39999999919999</v>
      </c>
      <c r="BB6">
        <v>161.19999999859999</v>
      </c>
      <c r="BC6">
        <v>168.70000000019999</v>
      </c>
      <c r="BD6">
        <v>177.099999999</v>
      </c>
      <c r="BE6">
        <v>184.49999999939999</v>
      </c>
      <c r="BF6">
        <v>193.0999999986</v>
      </c>
      <c r="BG6">
        <v>201.19999999949999</v>
      </c>
      <c r="BH6">
        <v>209.60000000010001</v>
      </c>
      <c r="BI6">
        <v>216.89999999939999</v>
      </c>
      <c r="BJ6">
        <v>224.59999999959999</v>
      </c>
      <c r="BK6">
        <v>232.0999999993</v>
      </c>
      <c r="BL6">
        <v>240.09999999909999</v>
      </c>
      <c r="BM6">
        <v>247.89999999849999</v>
      </c>
      <c r="BN6">
        <v>256.29999999910001</v>
      </c>
      <c r="BO6">
        <v>263.79999999879999</v>
      </c>
      <c r="BP6">
        <v>270.69999999909999</v>
      </c>
      <c r="BQ6">
        <v>278.29999999990002</v>
      </c>
      <c r="BR6">
        <v>285.2999999996</v>
      </c>
      <c r="BS6">
        <v>292.7</v>
      </c>
      <c r="BT6">
        <v>300.29999999900002</v>
      </c>
      <c r="BU6">
        <v>307.29999999860001</v>
      </c>
      <c r="BV6">
        <v>314.5999999997</v>
      </c>
      <c r="BW6">
        <v>321.09999999920001</v>
      </c>
      <c r="BX6">
        <v>327.90000000020001</v>
      </c>
      <c r="BY6">
        <v>334.49999999900001</v>
      </c>
      <c r="BZ6">
        <v>341.19999999890001</v>
      </c>
      <c r="CA6">
        <v>348</v>
      </c>
      <c r="CB6">
        <v>354.89999999849999</v>
      </c>
      <c r="CC6">
        <v>361.79999999879999</v>
      </c>
      <c r="CD6">
        <v>367.89999999930001</v>
      </c>
      <c r="CE6">
        <v>373.29999999929998</v>
      </c>
      <c r="CF6">
        <v>379.69999999949999</v>
      </c>
      <c r="CG6">
        <v>385.39999999920002</v>
      </c>
      <c r="CH6">
        <v>391.70000000009998</v>
      </c>
      <c r="CI6">
        <v>397.69999999949999</v>
      </c>
      <c r="CJ6">
        <v>403.59999999960002</v>
      </c>
      <c r="CK6">
        <v>409.59999999899998</v>
      </c>
      <c r="CL6">
        <v>414.8999999998</v>
      </c>
      <c r="CM6">
        <v>420.39999999909998</v>
      </c>
      <c r="CN6">
        <v>425.59999999870001</v>
      </c>
      <c r="CO6">
        <v>430.99999999869999</v>
      </c>
      <c r="CP6">
        <v>436.09999999899998</v>
      </c>
      <c r="CQ6">
        <v>441.49999999900001</v>
      </c>
      <c r="CR6">
        <v>446.89999999899999</v>
      </c>
      <c r="CS6">
        <v>447.99999999850002</v>
      </c>
      <c r="CT6">
        <v>447.99999999850002</v>
      </c>
      <c r="CU6">
        <v>447.79999999990002</v>
      </c>
      <c r="CV6">
        <v>448.19999999890001</v>
      </c>
      <c r="CW6">
        <v>448.3</v>
      </c>
      <c r="CX6">
        <v>448.19999999890001</v>
      </c>
      <c r="CY6">
        <v>448.19999999890001</v>
      </c>
      <c r="CZ6">
        <v>448.3</v>
      </c>
      <c r="DA6">
        <v>448.3</v>
      </c>
      <c r="DB6">
        <v>448.3</v>
      </c>
      <c r="DC6">
        <v>448.09999999960002</v>
      </c>
      <c r="DD6">
        <v>448.19999999890001</v>
      </c>
      <c r="DE6">
        <v>448.3</v>
      </c>
      <c r="DF6">
        <v>448.699999999</v>
      </c>
      <c r="DG6">
        <v>4.1000000000999997</v>
      </c>
      <c r="DH6">
        <v>2.3000000000999998</v>
      </c>
      <c r="DI6">
        <v>2.1999999990000001</v>
      </c>
      <c r="DJ6">
        <v>2.3000000000999998</v>
      </c>
      <c r="DK6">
        <v>1.9999999986000001</v>
      </c>
      <c r="DL6">
        <v>2.0999999997000001</v>
      </c>
      <c r="DM6">
        <v>1.9999999986000001</v>
      </c>
      <c r="DN6">
        <v>1.8999999993000001</v>
      </c>
      <c r="DO6">
        <v>1.6999999989000001</v>
      </c>
      <c r="DP6">
        <v>1.5999999996000001</v>
      </c>
      <c r="DQ6">
        <v>1.5999999996000001</v>
      </c>
      <c r="DR6">
        <v>1.3999999992000001</v>
      </c>
      <c r="DS6">
        <v>1.1999999988000001</v>
      </c>
      <c r="DT6">
        <v>1.2999999999</v>
      </c>
      <c r="DU6">
        <v>1.3999999992000001</v>
      </c>
      <c r="DV6">
        <v>2.5999999998000001</v>
      </c>
      <c r="DW6">
        <v>8.7999999996000007</v>
      </c>
      <c r="DX6">
        <v>15.0999999987</v>
      </c>
      <c r="DY6">
        <v>22.1000000001</v>
      </c>
      <c r="DZ6">
        <v>28.8</v>
      </c>
      <c r="EA6">
        <v>35.699999998499997</v>
      </c>
      <c r="EB6">
        <v>42.4999999996</v>
      </c>
      <c r="EC6">
        <v>50.299999999000001</v>
      </c>
      <c r="ED6">
        <v>57.899999999800002</v>
      </c>
      <c r="EE6">
        <v>64.899999999399995</v>
      </c>
      <c r="EF6">
        <v>72.5999999995</v>
      </c>
      <c r="EG6">
        <v>79.899999998799998</v>
      </c>
      <c r="EH6">
        <v>87.599999998900003</v>
      </c>
      <c r="EI6">
        <v>95.299999998999994</v>
      </c>
      <c r="EJ6">
        <v>103.4</v>
      </c>
      <c r="EK6">
        <v>111.19999999940001</v>
      </c>
      <c r="EL6">
        <v>118.3000000001</v>
      </c>
      <c r="EM6">
        <v>126.39999999920001</v>
      </c>
      <c r="EN6">
        <v>134.50000000009999</v>
      </c>
      <c r="EO6">
        <v>142.8999999989</v>
      </c>
      <c r="EP6">
        <v>151.29999999949999</v>
      </c>
      <c r="EQ6">
        <v>159.4999999998</v>
      </c>
      <c r="ER6">
        <v>166.69999999980001</v>
      </c>
      <c r="ES6">
        <v>174.9</v>
      </c>
      <c r="ET6">
        <v>182.69999999940001</v>
      </c>
      <c r="EU6">
        <v>191.1</v>
      </c>
      <c r="EV6">
        <v>199.59999999990001</v>
      </c>
      <c r="EW6">
        <v>208.19999999909999</v>
      </c>
      <c r="EX6">
        <v>215.5000000002</v>
      </c>
      <c r="EY6">
        <v>223.1999999985</v>
      </c>
      <c r="EZ6">
        <v>231.39999999880001</v>
      </c>
      <c r="FA6">
        <v>238.99999999959999</v>
      </c>
      <c r="FB6">
        <v>247.29999999910001</v>
      </c>
      <c r="FC6">
        <v>255.19999999960001</v>
      </c>
      <c r="FD6">
        <v>262.79999999860001</v>
      </c>
      <c r="FE6">
        <v>270.199999999</v>
      </c>
      <c r="FF6">
        <v>277.89999999909998</v>
      </c>
      <c r="FG6">
        <v>285.09999999910002</v>
      </c>
      <c r="FH6">
        <v>292.49999999959999</v>
      </c>
      <c r="FI6">
        <v>300.09999999860003</v>
      </c>
      <c r="FJ6">
        <v>307.60000000010001</v>
      </c>
      <c r="FK6">
        <v>315.09999999979999</v>
      </c>
      <c r="FL6">
        <v>321.5</v>
      </c>
      <c r="FM6">
        <v>328.49999999959999</v>
      </c>
      <c r="FN6">
        <v>335.1000000002</v>
      </c>
      <c r="FO6">
        <v>341.99999999869999</v>
      </c>
      <c r="FP6">
        <v>349.29999999990002</v>
      </c>
      <c r="FQ6">
        <v>355.99999999980002</v>
      </c>
      <c r="FR6">
        <v>363.09999999870001</v>
      </c>
      <c r="FS6">
        <v>368.80000000019999</v>
      </c>
      <c r="FT6">
        <v>374.8999999989</v>
      </c>
      <c r="FU6">
        <v>380.90000000010002</v>
      </c>
      <c r="FV6">
        <v>386.69999999909999</v>
      </c>
      <c r="FW6">
        <v>393.0999999993</v>
      </c>
      <c r="FX6">
        <v>398.99999999940002</v>
      </c>
      <c r="FY6">
        <v>405.19999999919997</v>
      </c>
      <c r="FZ6">
        <v>411.19999999859999</v>
      </c>
      <c r="GA6">
        <v>416.40000000010002</v>
      </c>
      <c r="GB6">
        <v>421.8000000001</v>
      </c>
      <c r="GC6">
        <v>426.59999999889999</v>
      </c>
      <c r="GD6">
        <v>431.69999999919997</v>
      </c>
      <c r="GE6">
        <v>436.49999999980002</v>
      </c>
      <c r="GF6">
        <v>441.60000000010001</v>
      </c>
      <c r="GG6">
        <v>446.09999999920001</v>
      </c>
      <c r="GH6">
        <v>447.89999999920002</v>
      </c>
      <c r="GI6">
        <v>447.99999999850002</v>
      </c>
      <c r="GJ6">
        <v>448.09999999960002</v>
      </c>
      <c r="GK6">
        <v>448.19999999890001</v>
      </c>
      <c r="GL6">
        <v>447.99999999850002</v>
      </c>
      <c r="GM6">
        <v>447.79999999990002</v>
      </c>
      <c r="GN6">
        <v>448.39999999930001</v>
      </c>
      <c r="GO6">
        <v>448.09999999960002</v>
      </c>
      <c r="GP6">
        <v>448.09999999960002</v>
      </c>
      <c r="GQ6">
        <v>448.19999999890001</v>
      </c>
      <c r="GR6">
        <v>448.09999999960002</v>
      </c>
      <c r="GS6">
        <v>448.09999999960002</v>
      </c>
      <c r="GT6">
        <v>448.09999999960002</v>
      </c>
      <c r="GU6">
        <v>448.8000000001</v>
      </c>
      <c r="GV6">
        <v>448.699999999</v>
      </c>
      <c r="GW6">
        <v>1</v>
      </c>
      <c r="GX6">
        <v>119.8999999997</v>
      </c>
      <c r="GY6">
        <v>120.7999999988</v>
      </c>
      <c r="GZ6">
        <v>120.7999999988</v>
      </c>
      <c r="HA6">
        <v>126.39999999920001</v>
      </c>
      <c r="HB6">
        <v>122.34258970250001</v>
      </c>
      <c r="HC6">
        <v>-5.6000000003999997</v>
      </c>
      <c r="HD6">
        <v>448.699999999</v>
      </c>
      <c r="HE6">
        <v>282.0676287055</v>
      </c>
      <c r="HF6">
        <v>105.3128482277</v>
      </c>
      <c r="HG6">
        <v>448.8000000001</v>
      </c>
      <c r="HH6">
        <v>448.79983285060001</v>
      </c>
      <c r="HI6">
        <v>448.699999999</v>
      </c>
      <c r="HJ6">
        <v>448.8000000001</v>
      </c>
      <c r="HK6">
        <v>110.26392961880001</v>
      </c>
      <c r="HL6">
        <v>3.2658312763000001</v>
      </c>
      <c r="HM6">
        <v>3.1755056861000002</v>
      </c>
      <c r="HN6">
        <v>3.2413422028999999</v>
      </c>
      <c r="HO6">
        <v>2.9857420579</v>
      </c>
      <c r="HP6">
        <v>3.4102349663</v>
      </c>
      <c r="HQ6">
        <v>2.3421395220000001</v>
      </c>
      <c r="HR6">
        <v>17.029741474800002</v>
      </c>
      <c r="HS6">
        <v>-32.844574780099997</v>
      </c>
      <c r="HT6">
        <v>-224</v>
      </c>
      <c r="HU6">
        <v>404.41021840799999</v>
      </c>
      <c r="HV6">
        <v>89.149560117299998</v>
      </c>
      <c r="HW6">
        <v>608</v>
      </c>
      <c r="HX6">
        <v>17.029741474800002</v>
      </c>
      <c r="HY6">
        <v>-32.844574780099997</v>
      </c>
      <c r="HZ6">
        <v>-224</v>
      </c>
      <c r="IA6">
        <v>404.41021840799999</v>
      </c>
      <c r="IB6">
        <v>89.149560117299998</v>
      </c>
      <c r="IC6">
        <v>608</v>
      </c>
      <c r="ID6">
        <v>44.389614442599999</v>
      </c>
      <c r="IE6">
        <v>0.30208379730000001</v>
      </c>
      <c r="IF6">
        <v>-42.228739002899999</v>
      </c>
      <c r="IG6">
        <v>-288</v>
      </c>
      <c r="IH6">
        <v>426.2517940706</v>
      </c>
      <c r="II6">
        <v>98.533724340199996</v>
      </c>
      <c r="IJ6">
        <v>672</v>
      </c>
      <c r="IK6">
        <v>387.38047693319999</v>
      </c>
      <c r="IL6">
        <v>121.9941348974</v>
      </c>
      <c r="IM6">
        <v>410.9983507924</v>
      </c>
      <c r="IN6">
        <v>131.37829912020001</v>
      </c>
      <c r="IO6">
        <v>6.3000000008999999</v>
      </c>
      <c r="IP6">
        <v>5.9999999994</v>
      </c>
      <c r="IQ6">
        <v>8.7999999996000007</v>
      </c>
      <c r="IR6">
        <v>4.6685466930999997</v>
      </c>
      <c r="IS6">
        <v>4.6685466930999997</v>
      </c>
      <c r="IT6">
        <v>4.6000000001999997</v>
      </c>
      <c r="IU6">
        <v>-35.190615835800003</v>
      </c>
      <c r="IV6">
        <v>8.2000000001999993</v>
      </c>
      <c r="IW6">
        <v>72.727272727300004</v>
      </c>
      <c r="IX6">
        <v>6.1999999998000002</v>
      </c>
      <c r="IY6">
        <v>98.533724340199996</v>
      </c>
      <c r="IZ6">
        <v>-38.655841594899996</v>
      </c>
      <c r="JA6">
        <v>0.34917824590000002</v>
      </c>
      <c r="JB6">
        <v>-3.5789019999999999E-4</v>
      </c>
      <c r="JC6">
        <v>6.8280000000000005E-7</v>
      </c>
      <c r="JD6">
        <v>0.30620075419999998</v>
      </c>
      <c r="JE6">
        <v>0.31649290229999999</v>
      </c>
      <c r="JF6">
        <v>9.6811330500000001E-2</v>
      </c>
      <c r="JG6">
        <v>122.8012204274</v>
      </c>
      <c r="JH6">
        <v>3.4102349663</v>
      </c>
      <c r="JI6">
        <v>3.1095190999999999E-3</v>
      </c>
      <c r="JJ6">
        <v>-6.8050400000000002E-5</v>
      </c>
      <c r="JK6">
        <v>3.2658312763000001</v>
      </c>
      <c r="JL6">
        <v>1.0903467946000001</v>
      </c>
      <c r="JM6">
        <v>0.41398977260000003</v>
      </c>
      <c r="JN6" t="s">
        <v>585</v>
      </c>
      <c r="JQ6">
        <v>1</v>
      </c>
    </row>
    <row r="7" spans="1:277">
      <c r="A7" t="s">
        <v>594</v>
      </c>
      <c r="B7" t="s">
        <v>595</v>
      </c>
      <c r="C7" t="s">
        <v>212</v>
      </c>
      <c r="D7">
        <v>3</v>
      </c>
      <c r="E7" t="s">
        <v>213</v>
      </c>
      <c r="F7" t="s">
        <v>214</v>
      </c>
      <c r="G7" t="s">
        <v>584</v>
      </c>
      <c r="H7" t="s">
        <v>216</v>
      </c>
      <c r="J7" t="s">
        <v>258</v>
      </c>
      <c r="K7" t="s">
        <v>259</v>
      </c>
      <c r="L7" t="s">
        <v>260</v>
      </c>
      <c r="M7" t="s">
        <v>261</v>
      </c>
      <c r="N7" t="s">
        <v>262</v>
      </c>
      <c r="O7">
        <v>0</v>
      </c>
      <c r="P7">
        <v>0</v>
      </c>
      <c r="Q7">
        <v>2.3000000000999998</v>
      </c>
      <c r="R7">
        <v>1.9000000011</v>
      </c>
      <c r="S7">
        <v>2.2000000007999998</v>
      </c>
      <c r="T7">
        <v>1.5999999996000001</v>
      </c>
      <c r="U7">
        <v>2.0000000004</v>
      </c>
      <c r="V7">
        <v>1.7000000007</v>
      </c>
      <c r="W7">
        <v>1.8</v>
      </c>
      <c r="X7">
        <v>1.9000000011</v>
      </c>
      <c r="Y7">
        <v>1.9000000011</v>
      </c>
      <c r="Z7">
        <v>1.9000000011</v>
      </c>
      <c r="AA7">
        <v>2.0000000004</v>
      </c>
      <c r="AB7">
        <v>1.9000000011</v>
      </c>
      <c r="AC7">
        <v>1.8</v>
      </c>
      <c r="AD7">
        <v>1.8</v>
      </c>
      <c r="AE7">
        <v>1.2999999999</v>
      </c>
      <c r="AF7">
        <v>0.79999999980000003</v>
      </c>
      <c r="AG7">
        <v>0</v>
      </c>
      <c r="AH7">
        <v>0</v>
      </c>
      <c r="AI7">
        <v>5.6000000003999997</v>
      </c>
      <c r="AJ7">
        <v>13.5000000009</v>
      </c>
      <c r="AK7">
        <v>20.300000000099999</v>
      </c>
      <c r="AL7">
        <v>27</v>
      </c>
      <c r="AM7">
        <v>33.700000000000003</v>
      </c>
      <c r="AN7">
        <v>41.000000001099998</v>
      </c>
      <c r="AO7">
        <v>49.100000000199998</v>
      </c>
      <c r="AP7">
        <v>56.300000000200001</v>
      </c>
      <c r="AQ7">
        <v>65.200000000900005</v>
      </c>
      <c r="AR7">
        <v>73.400000001099997</v>
      </c>
      <c r="AS7">
        <v>81.099999999399998</v>
      </c>
      <c r="AT7">
        <v>88.200000000100005</v>
      </c>
      <c r="AU7">
        <v>96.400000000399999</v>
      </c>
      <c r="AV7">
        <v>105.2</v>
      </c>
      <c r="AW7">
        <v>114.2</v>
      </c>
      <c r="AX7">
        <v>123.7000000001</v>
      </c>
      <c r="AY7">
        <v>132.19999999999999</v>
      </c>
      <c r="AZ7">
        <v>139.99999999939999</v>
      </c>
      <c r="BA7">
        <v>148.4</v>
      </c>
      <c r="BB7">
        <v>157.1000000004</v>
      </c>
      <c r="BC7">
        <v>165.60000000030001</v>
      </c>
      <c r="BD7">
        <v>173.80000000050001</v>
      </c>
      <c r="BE7">
        <v>182.30000000039999</v>
      </c>
      <c r="BF7">
        <v>189.89999999939999</v>
      </c>
      <c r="BG7">
        <v>198.50000000040001</v>
      </c>
      <c r="BH7">
        <v>207.3</v>
      </c>
      <c r="BI7">
        <v>215.90000000110001</v>
      </c>
      <c r="BJ7">
        <v>224.0999999995</v>
      </c>
      <c r="BK7">
        <v>232.40000000079999</v>
      </c>
      <c r="BL7">
        <v>239.9999999998</v>
      </c>
      <c r="BM7">
        <v>247.40000000020001</v>
      </c>
      <c r="BN7">
        <v>255.6999999997</v>
      </c>
      <c r="BO7">
        <v>263.19999999940001</v>
      </c>
      <c r="BP7">
        <v>272.3999999998</v>
      </c>
      <c r="BQ7">
        <v>280.00000000070003</v>
      </c>
      <c r="BR7">
        <v>288.09999999979999</v>
      </c>
      <c r="BS7">
        <v>294.79999999969999</v>
      </c>
      <c r="BT7">
        <v>302.49999999980002</v>
      </c>
      <c r="BU7">
        <v>310.1999999999</v>
      </c>
      <c r="BV7">
        <v>316.80000000050001</v>
      </c>
      <c r="BW7">
        <v>324.70000000099998</v>
      </c>
      <c r="BX7">
        <v>331.79999999990002</v>
      </c>
      <c r="BY7">
        <v>338.60000000100001</v>
      </c>
      <c r="BZ7">
        <v>345.30000000090001</v>
      </c>
      <c r="CA7">
        <v>352.3999999998</v>
      </c>
      <c r="CB7">
        <v>359.4000000012</v>
      </c>
      <c r="CC7">
        <v>364.90000000049997</v>
      </c>
      <c r="CD7">
        <v>372.60000000060001</v>
      </c>
      <c r="CE7">
        <v>378.89999999970001</v>
      </c>
      <c r="CF7">
        <v>385.09999999950003</v>
      </c>
      <c r="CG7">
        <v>390.99999999959999</v>
      </c>
      <c r="CH7">
        <v>396.6</v>
      </c>
      <c r="CI7">
        <v>402.70000000060003</v>
      </c>
      <c r="CJ7">
        <v>408.99999999969998</v>
      </c>
      <c r="CK7">
        <v>414.60000000010001</v>
      </c>
      <c r="CL7">
        <v>419.90000000079999</v>
      </c>
      <c r="CM7">
        <v>426.4000000003</v>
      </c>
      <c r="CN7">
        <v>431.80000000029997</v>
      </c>
      <c r="CO7">
        <v>437.20000000030001</v>
      </c>
      <c r="CP7">
        <v>442.30000000059999</v>
      </c>
      <c r="CQ7">
        <v>447.79999999990002</v>
      </c>
      <c r="CR7">
        <v>452.30000000080003</v>
      </c>
      <c r="CS7">
        <v>453.10000000060001</v>
      </c>
      <c r="CT7">
        <v>453.300000001</v>
      </c>
      <c r="CU7">
        <v>453.300000001</v>
      </c>
      <c r="CV7">
        <v>453.300000001</v>
      </c>
      <c r="CW7">
        <v>453.10000000060001</v>
      </c>
      <c r="CX7">
        <v>453.4000000003</v>
      </c>
      <c r="CY7">
        <v>453.1999999999</v>
      </c>
      <c r="CZ7">
        <v>453.49999999959999</v>
      </c>
      <c r="DA7">
        <v>453.60000000069999</v>
      </c>
      <c r="DB7">
        <v>453.7</v>
      </c>
      <c r="DC7">
        <v>453.49999999959999</v>
      </c>
      <c r="DD7">
        <v>453.49999999959999</v>
      </c>
      <c r="DE7">
        <v>453.7</v>
      </c>
      <c r="DF7">
        <v>453.7</v>
      </c>
      <c r="DG7">
        <v>3.0999999999000001</v>
      </c>
      <c r="DH7">
        <v>3.0000000006</v>
      </c>
      <c r="DI7">
        <v>2.7000000008999998</v>
      </c>
      <c r="DJ7">
        <v>2.5999999998000001</v>
      </c>
      <c r="DK7">
        <v>2.8000000001999998</v>
      </c>
      <c r="DL7">
        <v>2.5999999998000001</v>
      </c>
      <c r="DM7">
        <v>3.0999999999000001</v>
      </c>
      <c r="DN7">
        <v>2.8999999994999999</v>
      </c>
      <c r="DO7">
        <v>3.0000000006</v>
      </c>
      <c r="DP7">
        <v>2.5999999998000001</v>
      </c>
      <c r="DQ7">
        <v>2.5999999998000001</v>
      </c>
      <c r="DR7">
        <v>2.5000000005</v>
      </c>
      <c r="DS7">
        <v>2.7000000008999998</v>
      </c>
      <c r="DT7">
        <v>2.5000000005</v>
      </c>
      <c r="DU7">
        <v>2.0999999997000001</v>
      </c>
      <c r="DV7">
        <v>1.5999999996000001</v>
      </c>
      <c r="DW7">
        <v>1.0999999995</v>
      </c>
      <c r="DX7">
        <v>3.6</v>
      </c>
      <c r="DY7">
        <v>11.3999999994</v>
      </c>
      <c r="DZ7">
        <v>18.799999999800001</v>
      </c>
      <c r="EA7">
        <v>25.600000000800001</v>
      </c>
      <c r="EB7">
        <v>32.5000000012</v>
      </c>
      <c r="EC7">
        <v>39.600000000100003</v>
      </c>
      <c r="ED7">
        <v>47.399999999499997</v>
      </c>
      <c r="EE7">
        <v>54.799999999900002</v>
      </c>
      <c r="EF7">
        <v>63.4000000009</v>
      </c>
      <c r="EG7">
        <v>71.299999999600004</v>
      </c>
      <c r="EH7">
        <v>79.100000000799994</v>
      </c>
      <c r="EI7">
        <v>86.400000000099993</v>
      </c>
      <c r="EJ7">
        <v>94.300000000699995</v>
      </c>
      <c r="EK7">
        <v>103.1000000003</v>
      </c>
      <c r="EL7">
        <v>111.80000000059999</v>
      </c>
      <c r="EM7">
        <v>121.000000001</v>
      </c>
      <c r="EN7">
        <v>130.30000000070001</v>
      </c>
      <c r="EO7">
        <v>138.00000000079999</v>
      </c>
      <c r="EP7">
        <v>146.09999999990001</v>
      </c>
      <c r="EQ7">
        <v>154.39999999939999</v>
      </c>
      <c r="ER7">
        <v>163.39999999950001</v>
      </c>
      <c r="ES7">
        <v>172.00000000049999</v>
      </c>
      <c r="ET7">
        <v>180.7000000008</v>
      </c>
      <c r="EU7">
        <v>188.5999999995</v>
      </c>
      <c r="EV7">
        <v>196.79999999969999</v>
      </c>
      <c r="EW7">
        <v>205.4000000007</v>
      </c>
      <c r="EX7">
        <v>214.5</v>
      </c>
      <c r="EY7">
        <v>222.49999999990001</v>
      </c>
      <c r="EZ7">
        <v>230.7000000001</v>
      </c>
      <c r="FA7">
        <v>238.6999999999</v>
      </c>
      <c r="FB7">
        <v>246.50000000110001</v>
      </c>
      <c r="FC7">
        <v>254.89999999989999</v>
      </c>
      <c r="FD7">
        <v>262.60000000000002</v>
      </c>
      <c r="FE7">
        <v>271.39999999960003</v>
      </c>
      <c r="FF7">
        <v>279.0999999997</v>
      </c>
      <c r="FG7">
        <v>287.09999999960002</v>
      </c>
      <c r="FH7">
        <v>294.2999999996</v>
      </c>
      <c r="FI7">
        <v>301.80000000109999</v>
      </c>
      <c r="FJ7">
        <v>309.69999999980001</v>
      </c>
      <c r="FK7">
        <v>316.69999999940001</v>
      </c>
      <c r="FL7">
        <v>324.50000000059998</v>
      </c>
      <c r="FM7">
        <v>332.00000000030002</v>
      </c>
      <c r="FN7">
        <v>339.1000000011</v>
      </c>
      <c r="FO7">
        <v>345.60000000060001</v>
      </c>
      <c r="FP7">
        <v>352.3999999998</v>
      </c>
      <c r="FQ7">
        <v>359.59999999979999</v>
      </c>
      <c r="FR7">
        <v>365.49999999990001</v>
      </c>
      <c r="FS7">
        <v>372.99999999959999</v>
      </c>
      <c r="FT7">
        <v>379.6000000002</v>
      </c>
      <c r="FU7">
        <v>386.2000000008</v>
      </c>
      <c r="FV7">
        <v>392.10000000090002</v>
      </c>
      <c r="FW7">
        <v>397.80000000059999</v>
      </c>
      <c r="FX7">
        <v>403.8</v>
      </c>
      <c r="FY7">
        <v>409.99999999990001</v>
      </c>
      <c r="FZ7">
        <v>415.30000000059999</v>
      </c>
      <c r="GA7">
        <v>421.8000000001</v>
      </c>
      <c r="GB7">
        <v>426.90000000039998</v>
      </c>
      <c r="GC7">
        <v>432.50000000080001</v>
      </c>
      <c r="GD7">
        <v>438.00000000009999</v>
      </c>
      <c r="GE7">
        <v>443.00000000109998</v>
      </c>
      <c r="GF7">
        <v>447.79999999990002</v>
      </c>
      <c r="GG7">
        <v>451.9</v>
      </c>
      <c r="GH7">
        <v>453.300000001</v>
      </c>
      <c r="GI7">
        <v>453.1999999999</v>
      </c>
      <c r="GJ7">
        <v>453.10000000060001</v>
      </c>
      <c r="GK7">
        <v>453.1999999999</v>
      </c>
      <c r="GL7">
        <v>453.300000001</v>
      </c>
      <c r="GM7">
        <v>453.4000000003</v>
      </c>
      <c r="GN7">
        <v>453.300000001</v>
      </c>
      <c r="GO7">
        <v>453.60000000069999</v>
      </c>
      <c r="GP7">
        <v>453.60000000069999</v>
      </c>
      <c r="GQ7">
        <v>453.49999999959999</v>
      </c>
      <c r="GR7">
        <v>453.60000000069999</v>
      </c>
      <c r="GS7">
        <v>453.300000001</v>
      </c>
      <c r="GT7">
        <v>453.4000000003</v>
      </c>
      <c r="GU7">
        <v>453.4000000003</v>
      </c>
      <c r="GV7">
        <v>453.7</v>
      </c>
      <c r="GW7">
        <v>1</v>
      </c>
      <c r="GX7">
        <v>115.1000000009</v>
      </c>
      <c r="GY7">
        <v>114.2</v>
      </c>
      <c r="GZ7">
        <v>114.2</v>
      </c>
      <c r="HA7">
        <v>121.000000001</v>
      </c>
      <c r="HB7">
        <v>115.9625743886</v>
      </c>
      <c r="HC7">
        <v>-6.8000000009999999</v>
      </c>
      <c r="HD7">
        <v>453.7</v>
      </c>
      <c r="HE7">
        <v>305.2740577472</v>
      </c>
      <c r="HF7">
        <v>102.27391448029999</v>
      </c>
      <c r="HG7">
        <v>453.7</v>
      </c>
      <c r="HH7">
        <v>453.7</v>
      </c>
      <c r="HI7">
        <v>453.7</v>
      </c>
      <c r="HJ7">
        <v>453.7</v>
      </c>
      <c r="HK7">
        <v>110.26392961880001</v>
      </c>
      <c r="HL7">
        <v>3.3880779220999999</v>
      </c>
      <c r="HM7">
        <v>3.3200354167000001</v>
      </c>
      <c r="HN7">
        <v>3.3462940252000002</v>
      </c>
      <c r="HO7">
        <v>3.2102799051000002</v>
      </c>
      <c r="HP7">
        <v>3.5931100622000001</v>
      </c>
      <c r="HQ7">
        <v>2.2335065612</v>
      </c>
      <c r="HR7">
        <v>13.6886599083</v>
      </c>
      <c r="HS7">
        <v>-30.4985337243</v>
      </c>
      <c r="HT7">
        <v>-208</v>
      </c>
      <c r="HU7">
        <v>421.23663213579999</v>
      </c>
      <c r="HV7">
        <v>93.841642228699996</v>
      </c>
      <c r="HW7">
        <v>640</v>
      </c>
      <c r="HX7">
        <v>13.6886599083</v>
      </c>
      <c r="HY7">
        <v>-30.4985337243</v>
      </c>
      <c r="HZ7">
        <v>-208</v>
      </c>
      <c r="IA7">
        <v>421.23663213579999</v>
      </c>
      <c r="IB7">
        <v>93.841642228699996</v>
      </c>
      <c r="IC7">
        <v>640</v>
      </c>
      <c r="ID7">
        <v>32.463367864200002</v>
      </c>
      <c r="IE7">
        <v>0.80211593540000004</v>
      </c>
      <c r="IF7">
        <v>-39.8826979472</v>
      </c>
      <c r="IG7">
        <v>-272</v>
      </c>
      <c r="IH7">
        <v>442.8261406227</v>
      </c>
      <c r="II7">
        <v>103.22580645159999</v>
      </c>
      <c r="IJ7">
        <v>704</v>
      </c>
      <c r="IK7">
        <v>407.5479722275</v>
      </c>
      <c r="IL7">
        <v>124.3401759531</v>
      </c>
      <c r="IM7">
        <v>432.1596759981</v>
      </c>
      <c r="IN7">
        <v>133.724340176</v>
      </c>
      <c r="IO7">
        <v>7.9000000005000004</v>
      </c>
      <c r="IP7">
        <v>5.6000000003999997</v>
      </c>
      <c r="IQ7">
        <v>9.5000000001</v>
      </c>
      <c r="IR7">
        <v>6.1532546601</v>
      </c>
      <c r="IS7">
        <v>6.1532546601</v>
      </c>
      <c r="IT7">
        <v>5.7999999989999997</v>
      </c>
      <c r="IU7">
        <v>-32.844574780099997</v>
      </c>
      <c r="IV7">
        <v>8.2000000001999993</v>
      </c>
      <c r="IW7">
        <v>42.228739002899999</v>
      </c>
      <c r="IX7">
        <v>6.1999999998000002</v>
      </c>
      <c r="IY7">
        <v>100.87976539589999</v>
      </c>
      <c r="IZ7">
        <v>-34.500456361300003</v>
      </c>
      <c r="JA7">
        <v>0.3279963065</v>
      </c>
      <c r="JB7">
        <v>-3.3634600000000001E-4</v>
      </c>
      <c r="JC7">
        <v>6.6739999999999995E-7</v>
      </c>
      <c r="JD7">
        <v>0.29515259770000002</v>
      </c>
      <c r="JE7">
        <v>0.42659471259999998</v>
      </c>
      <c r="JF7">
        <v>0.1657621001</v>
      </c>
      <c r="JG7">
        <v>116.3293185001</v>
      </c>
      <c r="JH7">
        <v>3.5931100622000001</v>
      </c>
      <c r="JI7">
        <v>2.9598952999999998E-3</v>
      </c>
      <c r="JJ7">
        <v>-7.2491100000000001E-5</v>
      </c>
      <c r="JK7">
        <v>3.3880779220999999</v>
      </c>
      <c r="JL7">
        <v>2.1342843707000001</v>
      </c>
      <c r="JM7">
        <v>0.75515210440000002</v>
      </c>
      <c r="JN7" t="s">
        <v>585</v>
      </c>
      <c r="JQ7">
        <v>1</v>
      </c>
    </row>
    <row r="8" spans="1:277">
      <c r="A8" t="s">
        <v>626</v>
      </c>
      <c r="B8" t="s">
        <v>627</v>
      </c>
      <c r="C8" t="s">
        <v>212</v>
      </c>
      <c r="D8">
        <v>3</v>
      </c>
      <c r="E8" t="s">
        <v>213</v>
      </c>
      <c r="F8" t="s">
        <v>214</v>
      </c>
      <c r="G8" t="s">
        <v>584</v>
      </c>
      <c r="H8" t="s">
        <v>216</v>
      </c>
      <c r="J8" t="s">
        <v>600</v>
      </c>
      <c r="K8" t="s">
        <v>601</v>
      </c>
      <c r="L8" t="s">
        <v>602</v>
      </c>
      <c r="M8" t="s">
        <v>603</v>
      </c>
      <c r="N8" t="s">
        <v>604</v>
      </c>
      <c r="O8">
        <v>0</v>
      </c>
      <c r="P8">
        <v>0</v>
      </c>
      <c r="Q8">
        <v>0</v>
      </c>
      <c r="R8">
        <v>0.19999999860000001</v>
      </c>
      <c r="S8">
        <v>0.19999999860000001</v>
      </c>
      <c r="T8">
        <v>0.19999999860000001</v>
      </c>
      <c r="U8">
        <v>0.59999999940000004</v>
      </c>
      <c r="V8">
        <v>0.29999999970000002</v>
      </c>
      <c r="W8">
        <v>0.39999999899999999</v>
      </c>
      <c r="X8">
        <v>0.39999999899999999</v>
      </c>
      <c r="Y8">
        <v>0.39999999899999999</v>
      </c>
      <c r="Z8">
        <v>0.29999999970000002</v>
      </c>
      <c r="AA8">
        <v>0.29999999970000002</v>
      </c>
      <c r="AB8">
        <v>0.49999999830000003</v>
      </c>
      <c r="AC8">
        <v>0.49999999830000003</v>
      </c>
      <c r="AD8">
        <v>0.59999999940000004</v>
      </c>
      <c r="AE8">
        <v>0.59999999940000004</v>
      </c>
      <c r="AF8">
        <v>0.69999999869999996</v>
      </c>
      <c r="AG8">
        <v>0.59999999940000004</v>
      </c>
      <c r="AH8">
        <v>0.69999999869999996</v>
      </c>
      <c r="AI8">
        <v>5.4999999992999999</v>
      </c>
      <c r="AJ8">
        <v>12.299999998500001</v>
      </c>
      <c r="AK8">
        <v>19.699999998900001</v>
      </c>
      <c r="AL8">
        <v>26.8999999989</v>
      </c>
      <c r="AM8">
        <v>34.099999998900003</v>
      </c>
      <c r="AN8">
        <v>41.199999999699997</v>
      </c>
      <c r="AO8">
        <v>48.499999999000003</v>
      </c>
      <c r="AP8">
        <v>55.499999998600003</v>
      </c>
      <c r="AQ8">
        <v>63.4999999984</v>
      </c>
      <c r="AR8">
        <v>71.899999999000002</v>
      </c>
      <c r="AS8">
        <v>79.999999999899998</v>
      </c>
      <c r="AT8">
        <v>87.399999998499993</v>
      </c>
      <c r="AU8">
        <v>95.199999999699997</v>
      </c>
      <c r="AV8">
        <v>103.09999999839999</v>
      </c>
      <c r="AW8">
        <v>111.69999999949999</v>
      </c>
      <c r="AX8">
        <v>120.8999999999</v>
      </c>
      <c r="AY8">
        <v>129.3999999998</v>
      </c>
      <c r="AZ8">
        <v>137.49999999889999</v>
      </c>
      <c r="BA8">
        <v>145.2999999983</v>
      </c>
      <c r="BB8">
        <v>153.2999999999</v>
      </c>
      <c r="BC8">
        <v>161.39999999899999</v>
      </c>
      <c r="BD8">
        <v>170.19999999870001</v>
      </c>
      <c r="BE8">
        <v>178.5999999993</v>
      </c>
      <c r="BF8">
        <v>187.09999999920001</v>
      </c>
      <c r="BG8">
        <v>195.59999999909999</v>
      </c>
      <c r="BH8">
        <v>203.39999999849999</v>
      </c>
      <c r="BI8">
        <v>210.9999999993</v>
      </c>
      <c r="BJ8">
        <v>219.59999999850001</v>
      </c>
      <c r="BK8">
        <v>227.89999999989999</v>
      </c>
      <c r="BL8">
        <v>236.19999999940001</v>
      </c>
      <c r="BM8">
        <v>243.89999999950001</v>
      </c>
      <c r="BN8">
        <v>251.9999999986</v>
      </c>
      <c r="BO8">
        <v>259.0999999993</v>
      </c>
      <c r="BP8">
        <v>267.49999999990001</v>
      </c>
      <c r="BQ8">
        <v>275.69999999829997</v>
      </c>
      <c r="BR8">
        <v>283.1999999999</v>
      </c>
      <c r="BS8">
        <v>290.69999999959998</v>
      </c>
      <c r="BT8">
        <v>298.10000000000002</v>
      </c>
      <c r="BU8">
        <v>304.89999999920002</v>
      </c>
      <c r="BV8">
        <v>311.89999999880001</v>
      </c>
      <c r="BW8">
        <v>319.59999999889999</v>
      </c>
      <c r="BX8">
        <v>327.39999999830002</v>
      </c>
      <c r="BY8">
        <v>334.29999999860001</v>
      </c>
      <c r="BZ8">
        <v>341.3</v>
      </c>
      <c r="CA8">
        <v>347.89999999880001</v>
      </c>
      <c r="CB8">
        <v>354.49999999950001</v>
      </c>
      <c r="CC8">
        <v>360.49999999890002</v>
      </c>
      <c r="CD8">
        <v>366.59999999939998</v>
      </c>
      <c r="CE8">
        <v>373.49999999969998</v>
      </c>
      <c r="CF8">
        <v>380.69999999970003</v>
      </c>
      <c r="CG8">
        <v>386.69999999909999</v>
      </c>
      <c r="CH8">
        <v>393</v>
      </c>
      <c r="CI8">
        <v>398.79999999900002</v>
      </c>
      <c r="CJ8">
        <v>404.59999999979999</v>
      </c>
      <c r="CK8">
        <v>409.89999999870003</v>
      </c>
      <c r="CL8">
        <v>414.8999999998</v>
      </c>
      <c r="CM8">
        <v>420.89999999920002</v>
      </c>
      <c r="CN8">
        <v>427.29999999939997</v>
      </c>
      <c r="CO8">
        <v>432.60000000010001</v>
      </c>
      <c r="CP8">
        <v>437.99999999829998</v>
      </c>
      <c r="CQ8">
        <v>443.69999999980001</v>
      </c>
      <c r="CR8">
        <v>448.99999999869999</v>
      </c>
      <c r="CS8">
        <v>450.7999999987</v>
      </c>
      <c r="CT8">
        <v>450.8999999998</v>
      </c>
      <c r="CU8">
        <v>450.7999999987</v>
      </c>
      <c r="CV8">
        <v>450.69999999940001</v>
      </c>
      <c r="CW8">
        <v>450.49999999900001</v>
      </c>
      <c r="CX8">
        <v>450.39999999970001</v>
      </c>
      <c r="CY8">
        <v>450.8999999998</v>
      </c>
      <c r="CZ8">
        <v>450.7999999987</v>
      </c>
      <c r="DA8">
        <v>451.19999999949999</v>
      </c>
      <c r="DB8">
        <v>451.19999999949999</v>
      </c>
      <c r="DC8">
        <v>451.09999999839999</v>
      </c>
      <c r="DD8">
        <v>450.8999999998</v>
      </c>
      <c r="DE8">
        <v>450.8999999998</v>
      </c>
      <c r="DF8">
        <v>450.9999999991</v>
      </c>
      <c r="DG8">
        <v>0.49999999830000003</v>
      </c>
      <c r="DH8">
        <v>1.2999999999</v>
      </c>
      <c r="DI8">
        <v>1.3999999992000001</v>
      </c>
      <c r="DJ8">
        <v>1.0999999995</v>
      </c>
      <c r="DK8">
        <v>1.1999999988000001</v>
      </c>
      <c r="DL8">
        <v>1.4999999985000001</v>
      </c>
      <c r="DM8">
        <v>1.1999999988000001</v>
      </c>
      <c r="DN8">
        <v>1.3999999992000001</v>
      </c>
      <c r="DO8">
        <v>1.2999999999</v>
      </c>
      <c r="DP8">
        <v>1.2999999999</v>
      </c>
      <c r="DQ8">
        <v>1.2999999999</v>
      </c>
      <c r="DR8">
        <v>1.1999999988000001</v>
      </c>
      <c r="DS8">
        <v>1.3999999992000001</v>
      </c>
      <c r="DT8">
        <v>1.5999999996000001</v>
      </c>
      <c r="DU8">
        <v>1.5999999996000001</v>
      </c>
      <c r="DV8">
        <v>1.5999999996000001</v>
      </c>
      <c r="DW8">
        <v>1.4999999985000001</v>
      </c>
      <c r="DX8">
        <v>3.6</v>
      </c>
      <c r="DY8">
        <v>10.8</v>
      </c>
      <c r="DZ8">
        <v>18.199999998599999</v>
      </c>
      <c r="EA8">
        <v>25.699999998300001</v>
      </c>
      <c r="EB8">
        <v>32.899999998299997</v>
      </c>
      <c r="EC8">
        <v>40.0999999983</v>
      </c>
      <c r="ED8">
        <v>47.399999999499997</v>
      </c>
      <c r="EE8">
        <v>54.399999999099997</v>
      </c>
      <c r="EF8">
        <v>62.199999998499997</v>
      </c>
      <c r="EG8">
        <v>70.199999998300001</v>
      </c>
      <c r="EH8">
        <v>78.099999998800001</v>
      </c>
      <c r="EI8">
        <v>85.999999999300002</v>
      </c>
      <c r="EJ8">
        <v>93.599999998300007</v>
      </c>
      <c r="EK8">
        <v>101.6999999993</v>
      </c>
      <c r="EL8">
        <v>109.39999999939999</v>
      </c>
      <c r="EM8">
        <v>118.5999999998</v>
      </c>
      <c r="EN8">
        <v>127.5999999998</v>
      </c>
      <c r="EO8">
        <v>135.89999999930001</v>
      </c>
      <c r="EP8">
        <v>143.9999999984</v>
      </c>
      <c r="EQ8">
        <v>151.7999999996</v>
      </c>
      <c r="ER8">
        <v>159.7999999994</v>
      </c>
      <c r="ES8">
        <v>168.59999999909999</v>
      </c>
      <c r="ET8">
        <v>177.3999999987</v>
      </c>
      <c r="EU8">
        <v>185.7</v>
      </c>
      <c r="EV8">
        <v>194.0999999988</v>
      </c>
      <c r="EW8">
        <v>202.29999999899999</v>
      </c>
      <c r="EX8">
        <v>209.9999999991</v>
      </c>
      <c r="EY8">
        <v>218.59999999830001</v>
      </c>
      <c r="EZ8">
        <v>227.29999999859999</v>
      </c>
      <c r="FA8">
        <v>235.6</v>
      </c>
      <c r="FB8">
        <v>243.79999999840001</v>
      </c>
      <c r="FC8">
        <v>251.1999999988</v>
      </c>
      <c r="FD8">
        <v>259</v>
      </c>
      <c r="FE8">
        <v>267.09999999910002</v>
      </c>
      <c r="FF8">
        <v>275.59999999899998</v>
      </c>
      <c r="FG8">
        <v>283.39999999840001</v>
      </c>
      <c r="FH8">
        <v>290.99999999929997</v>
      </c>
      <c r="FI8">
        <v>298.39999999970001</v>
      </c>
      <c r="FJ8">
        <v>305.8000000001</v>
      </c>
      <c r="FK8">
        <v>312.2999999996</v>
      </c>
      <c r="FL8">
        <v>319.99999999969998</v>
      </c>
      <c r="FM8">
        <v>328.0999999988</v>
      </c>
      <c r="FN8">
        <v>335.39999999989999</v>
      </c>
      <c r="FO8">
        <v>342.29999999839998</v>
      </c>
      <c r="FP8">
        <v>349.19999999869998</v>
      </c>
      <c r="FQ8">
        <v>355.79999999939997</v>
      </c>
      <c r="FR8">
        <v>361.69999999949999</v>
      </c>
      <c r="FS8">
        <v>368.59999999979999</v>
      </c>
      <c r="FT8">
        <v>375.59999999939998</v>
      </c>
      <c r="FU8">
        <v>381.49999999950001</v>
      </c>
      <c r="FV8">
        <v>388.09999999830001</v>
      </c>
      <c r="FW8">
        <v>394.19999999880002</v>
      </c>
      <c r="FX8">
        <v>400.49999999969998</v>
      </c>
      <c r="FY8">
        <v>405.99999999900001</v>
      </c>
      <c r="FZ8">
        <v>411.39999999899999</v>
      </c>
      <c r="GA8">
        <v>416.79999999910001</v>
      </c>
      <c r="GB8">
        <v>422.49999999879998</v>
      </c>
      <c r="GC8">
        <v>428.5999999993</v>
      </c>
      <c r="GD8">
        <v>433.79999999889998</v>
      </c>
      <c r="GE8">
        <v>439.09999999960002</v>
      </c>
      <c r="GF8">
        <v>443.69999999980001</v>
      </c>
      <c r="GG8">
        <v>448.5999999997</v>
      </c>
      <c r="GH8">
        <v>450.59999999830001</v>
      </c>
      <c r="GI8">
        <v>450.69999999940001</v>
      </c>
      <c r="GJ8">
        <v>450.59999999830001</v>
      </c>
      <c r="GK8">
        <v>450.59999999830001</v>
      </c>
      <c r="GL8">
        <v>450.69999999940001</v>
      </c>
      <c r="GM8">
        <v>450.69999999940001</v>
      </c>
      <c r="GN8">
        <v>450.59999999830001</v>
      </c>
      <c r="GO8">
        <v>450.7999999987</v>
      </c>
      <c r="GP8">
        <v>450.59999999830001</v>
      </c>
      <c r="GQ8">
        <v>451.09999999839999</v>
      </c>
      <c r="GR8">
        <v>451.09999999839999</v>
      </c>
      <c r="GS8">
        <v>450.9999999991</v>
      </c>
      <c r="GT8">
        <v>451.09999999839999</v>
      </c>
      <c r="GU8">
        <v>450.8999999998</v>
      </c>
      <c r="GV8">
        <v>450.9999999991</v>
      </c>
      <c r="GW8">
        <v>1</v>
      </c>
      <c r="GX8">
        <v>114.49999999969999</v>
      </c>
      <c r="GY8">
        <v>111.69999999949999</v>
      </c>
      <c r="GZ8">
        <v>111.69999999949999</v>
      </c>
      <c r="HA8">
        <v>118.5999999998</v>
      </c>
      <c r="HB8">
        <v>113.4611326605</v>
      </c>
      <c r="HC8">
        <v>-6.9000000003000004</v>
      </c>
      <c r="HD8">
        <v>450.9999999991</v>
      </c>
      <c r="HE8">
        <v>302.7607447629</v>
      </c>
      <c r="HF8">
        <v>100.96169788420001</v>
      </c>
      <c r="HG8">
        <v>451.19999999949999</v>
      </c>
      <c r="HH8">
        <v>451.09999999839999</v>
      </c>
      <c r="HI8">
        <v>451.19999999949999</v>
      </c>
      <c r="HJ8">
        <v>451.09999999839999</v>
      </c>
      <c r="HK8">
        <v>110.26392961880001</v>
      </c>
      <c r="HL8">
        <v>3.3556739577000001</v>
      </c>
      <c r="HM8">
        <v>3.2698575658000002</v>
      </c>
      <c r="HN8">
        <v>3.3130843816</v>
      </c>
      <c r="HO8">
        <v>3.1048462252000002</v>
      </c>
      <c r="HP8">
        <v>3.5295558977999999</v>
      </c>
      <c r="HQ8">
        <v>2.2468473905000002</v>
      </c>
      <c r="HR8">
        <v>12.499434776299999</v>
      </c>
      <c r="HS8">
        <v>-30.4985337243</v>
      </c>
      <c r="HT8">
        <v>-208</v>
      </c>
      <c r="HU8">
        <v>416.22187742339997</v>
      </c>
      <c r="HV8">
        <v>93.841642228699996</v>
      </c>
      <c r="HW8">
        <v>640</v>
      </c>
      <c r="HX8">
        <v>12.499434776299999</v>
      </c>
      <c r="HY8">
        <v>-30.4985337243</v>
      </c>
      <c r="HZ8">
        <v>-208</v>
      </c>
      <c r="IA8">
        <v>416.22187742339997</v>
      </c>
      <c r="IB8">
        <v>93.841642228699996</v>
      </c>
      <c r="IC8">
        <v>640</v>
      </c>
      <c r="ID8">
        <v>34.878122574999999</v>
      </c>
      <c r="IE8">
        <v>0.70229413590000001</v>
      </c>
      <c r="IF8">
        <v>-39.8826979472</v>
      </c>
      <c r="IG8">
        <v>-272</v>
      </c>
      <c r="IH8">
        <v>438.87956333779999</v>
      </c>
      <c r="II8">
        <v>103.22580645159999</v>
      </c>
      <c r="IJ8">
        <v>704</v>
      </c>
      <c r="IK8">
        <v>403.72244264710002</v>
      </c>
      <c r="IL8">
        <v>124.3401759531</v>
      </c>
      <c r="IM8">
        <v>427.435597917</v>
      </c>
      <c r="IN8">
        <v>133.724340176</v>
      </c>
      <c r="IO8">
        <v>7.3999999986000002</v>
      </c>
      <c r="IP8">
        <v>6.1000000004999997</v>
      </c>
      <c r="IQ8">
        <v>9.2000000003999993</v>
      </c>
      <c r="IR8">
        <v>5.9695590937</v>
      </c>
      <c r="IS8">
        <v>5.9695590937</v>
      </c>
      <c r="IT8">
        <v>5.3000000006999999</v>
      </c>
      <c r="IU8">
        <v>-32.844574780099997</v>
      </c>
      <c r="IV8">
        <v>9</v>
      </c>
      <c r="IW8">
        <v>77.419354838700002</v>
      </c>
      <c r="IX8">
        <v>6.4999999995</v>
      </c>
      <c r="IY8">
        <v>100.87976539589999</v>
      </c>
      <c r="IZ8">
        <v>-34.642158547400001</v>
      </c>
      <c r="JA8">
        <v>0.33666371090000002</v>
      </c>
      <c r="JB8">
        <v>-3.5656210000000003E-4</v>
      </c>
      <c r="JC8">
        <v>6.905E-7</v>
      </c>
      <c r="JD8">
        <v>0.29800272989999999</v>
      </c>
      <c r="JE8">
        <v>0.3388445947</v>
      </c>
      <c r="JF8">
        <v>0.13618089420000001</v>
      </c>
      <c r="JG8">
        <v>114.05153921180001</v>
      </c>
      <c r="JH8">
        <v>3.5295558977999999</v>
      </c>
      <c r="JI8">
        <v>3.5785647E-3</v>
      </c>
      <c r="JJ8">
        <v>-7.3975700000000004E-5</v>
      </c>
      <c r="JK8">
        <v>3.3556739577000001</v>
      </c>
      <c r="JL8">
        <v>1.2079991634</v>
      </c>
      <c r="JM8">
        <v>0.55009049259999998</v>
      </c>
      <c r="JN8" t="s">
        <v>585</v>
      </c>
      <c r="JQ8">
        <v>1</v>
      </c>
    </row>
    <row r="9" spans="1:277">
      <c r="A9" t="s">
        <v>628</v>
      </c>
      <c r="B9" t="s">
        <v>629</v>
      </c>
      <c r="C9" t="s">
        <v>212</v>
      </c>
      <c r="D9">
        <v>3</v>
      </c>
      <c r="E9" t="s">
        <v>213</v>
      </c>
      <c r="F9" t="s">
        <v>214</v>
      </c>
      <c r="G9" t="s">
        <v>584</v>
      </c>
      <c r="H9" t="s">
        <v>216</v>
      </c>
      <c r="J9" t="s">
        <v>607</v>
      </c>
      <c r="K9" t="s">
        <v>608</v>
      </c>
      <c r="L9" t="s">
        <v>609</v>
      </c>
      <c r="M9" t="s">
        <v>610</v>
      </c>
      <c r="N9" t="s">
        <v>611</v>
      </c>
      <c r="O9">
        <v>0</v>
      </c>
      <c r="P9">
        <v>0</v>
      </c>
      <c r="Q9">
        <v>1.8999999993000001</v>
      </c>
      <c r="R9">
        <v>0.79999999980000003</v>
      </c>
      <c r="S9">
        <v>1.0000000002</v>
      </c>
      <c r="T9">
        <v>0.79999999980000003</v>
      </c>
      <c r="U9">
        <v>0.69999999869999996</v>
      </c>
      <c r="V9">
        <v>0.79999999980000003</v>
      </c>
      <c r="W9">
        <v>0.19999999860000001</v>
      </c>
      <c r="X9">
        <v>0.59999999940000004</v>
      </c>
      <c r="Y9">
        <v>0.39999999899999999</v>
      </c>
      <c r="Z9">
        <v>0.79999999980000003</v>
      </c>
      <c r="AA9">
        <v>0.89999999909999995</v>
      </c>
      <c r="AB9">
        <v>0.59999999940000004</v>
      </c>
      <c r="AC9">
        <v>0.50000000010000001</v>
      </c>
      <c r="AD9">
        <v>0.39999999899999999</v>
      </c>
      <c r="AE9">
        <v>0.59999999940000004</v>
      </c>
      <c r="AF9">
        <v>0.29999999970000002</v>
      </c>
      <c r="AG9">
        <v>0</v>
      </c>
      <c r="AH9">
        <v>0.29999999970000002</v>
      </c>
      <c r="AI9">
        <v>4.8999999999000003</v>
      </c>
      <c r="AJ9">
        <v>10.8999999993</v>
      </c>
      <c r="AK9">
        <v>17.699999998500001</v>
      </c>
      <c r="AL9">
        <v>24.199999999799999</v>
      </c>
      <c r="AM9">
        <v>31.199999999399999</v>
      </c>
      <c r="AN9">
        <v>38.899999999599999</v>
      </c>
      <c r="AO9">
        <v>46.800000000099999</v>
      </c>
      <c r="AP9">
        <v>54.399999999099997</v>
      </c>
      <c r="AQ9">
        <v>61.899999998799998</v>
      </c>
      <c r="AR9">
        <v>69.499999999600007</v>
      </c>
      <c r="AS9">
        <v>77.099999998599998</v>
      </c>
      <c r="AT9">
        <v>84.499999998999996</v>
      </c>
      <c r="AU9">
        <v>92.999999998899995</v>
      </c>
      <c r="AV9">
        <v>101.49999999889999</v>
      </c>
      <c r="AW9">
        <v>109.8000000002</v>
      </c>
      <c r="AX9">
        <v>117.1999999988</v>
      </c>
      <c r="AY9">
        <v>125.5999999994</v>
      </c>
      <c r="AZ9">
        <v>133.39999999880001</v>
      </c>
      <c r="BA9">
        <v>141.7999999994</v>
      </c>
      <c r="BB9">
        <v>150.29999999930001</v>
      </c>
      <c r="BC9">
        <v>158.5999999988</v>
      </c>
      <c r="BD9">
        <v>166.90000000020001</v>
      </c>
      <c r="BE9">
        <v>175.0999999986</v>
      </c>
      <c r="BF9">
        <v>182.8999999998</v>
      </c>
      <c r="BG9">
        <v>191.49999999900001</v>
      </c>
      <c r="BH9">
        <v>199.99999999889999</v>
      </c>
      <c r="BI9">
        <v>208.39999999950001</v>
      </c>
      <c r="BJ9">
        <v>216.39999999930001</v>
      </c>
      <c r="BK9">
        <v>224.59999999959999</v>
      </c>
      <c r="BL9">
        <v>232.0999999993</v>
      </c>
      <c r="BM9">
        <v>240.09999999909999</v>
      </c>
      <c r="BN9">
        <v>248.39999999860001</v>
      </c>
      <c r="BO9">
        <v>256.5999999988</v>
      </c>
      <c r="BP9">
        <v>264.19999999959998</v>
      </c>
      <c r="BQ9">
        <v>271.69999999930002</v>
      </c>
      <c r="BR9">
        <v>279.0999999997</v>
      </c>
      <c r="BS9">
        <v>286.69999999869998</v>
      </c>
      <c r="BT9">
        <v>294.3999999989</v>
      </c>
      <c r="BU9">
        <v>301.7</v>
      </c>
      <c r="BV9">
        <v>309.29999999900002</v>
      </c>
      <c r="BW9">
        <v>316.39999999970001</v>
      </c>
      <c r="BX9">
        <v>323.3</v>
      </c>
      <c r="BY9">
        <v>330.1999999985</v>
      </c>
      <c r="BZ9">
        <v>336.69999999980001</v>
      </c>
      <c r="CA9">
        <v>343.9999999991</v>
      </c>
      <c r="CB9">
        <v>350.39999999939999</v>
      </c>
      <c r="CC9">
        <v>357.0999999993</v>
      </c>
      <c r="CD9">
        <v>363.6999999999</v>
      </c>
      <c r="CE9">
        <v>370.3999999998</v>
      </c>
      <c r="CF9">
        <v>376.59999999960002</v>
      </c>
      <c r="CG9">
        <v>382.2</v>
      </c>
      <c r="CH9">
        <v>388.4999999991</v>
      </c>
      <c r="CI9">
        <v>394.8</v>
      </c>
      <c r="CJ9">
        <v>400.39999999859998</v>
      </c>
      <c r="CK9">
        <v>406.3999999998</v>
      </c>
      <c r="CL9">
        <v>411.89999999920002</v>
      </c>
      <c r="CM9">
        <v>417.7</v>
      </c>
      <c r="CN9">
        <v>423.19999999930002</v>
      </c>
      <c r="CO9">
        <v>428.2999999996</v>
      </c>
      <c r="CP9">
        <v>433.59999999849998</v>
      </c>
      <c r="CQ9">
        <v>438.79999999990002</v>
      </c>
      <c r="CR9">
        <v>444.0999999988</v>
      </c>
      <c r="CS9">
        <v>447.39999999909998</v>
      </c>
      <c r="CT9">
        <v>447.59999999950003</v>
      </c>
      <c r="CU9">
        <v>447.59999999950003</v>
      </c>
      <c r="CV9">
        <v>447.79999999990002</v>
      </c>
      <c r="CW9">
        <v>447.50000000019998</v>
      </c>
      <c r="CX9">
        <v>447.09999999939998</v>
      </c>
      <c r="CY9">
        <v>447.39999999909998</v>
      </c>
      <c r="CZ9">
        <v>447.69999999880002</v>
      </c>
      <c r="DA9">
        <v>447.50000000019998</v>
      </c>
      <c r="DB9">
        <v>447.39999999909998</v>
      </c>
      <c r="DC9">
        <v>447.39999999909998</v>
      </c>
      <c r="DD9">
        <v>447.59999999950003</v>
      </c>
      <c r="DE9">
        <v>447.59999999950003</v>
      </c>
      <c r="DF9">
        <v>447.59999999950003</v>
      </c>
      <c r="DG9">
        <v>3.1999999992000001</v>
      </c>
      <c r="DH9">
        <v>1.1999999988000001</v>
      </c>
      <c r="DI9">
        <v>1.4999999985000001</v>
      </c>
      <c r="DJ9">
        <v>1.6999999989000001</v>
      </c>
      <c r="DK9">
        <v>1.8</v>
      </c>
      <c r="DL9">
        <v>1.5999999996000001</v>
      </c>
      <c r="DM9">
        <v>1.4999999985000001</v>
      </c>
      <c r="DN9">
        <v>1.4999999985000001</v>
      </c>
      <c r="DO9">
        <v>1.5999999996000001</v>
      </c>
      <c r="DP9">
        <v>1.6999999989000001</v>
      </c>
      <c r="DQ9">
        <v>1.3999999992000001</v>
      </c>
      <c r="DR9">
        <v>1.1999999988000001</v>
      </c>
      <c r="DS9">
        <v>1.0999999995</v>
      </c>
      <c r="DT9">
        <v>1.4999999985000001</v>
      </c>
      <c r="DU9">
        <v>1.0000000002</v>
      </c>
      <c r="DV9">
        <v>1.0000000002</v>
      </c>
      <c r="DW9">
        <v>1.0999999995</v>
      </c>
      <c r="DX9">
        <v>2.9999999987999999</v>
      </c>
      <c r="DY9">
        <v>9.5999999993999996</v>
      </c>
      <c r="DZ9">
        <v>16.299999999299999</v>
      </c>
      <c r="EA9">
        <v>23.199999999599999</v>
      </c>
      <c r="EB9">
        <v>29.800000000299999</v>
      </c>
      <c r="EC9">
        <v>37.699999998899997</v>
      </c>
      <c r="ED9">
        <v>45.500000000199996</v>
      </c>
      <c r="EE9">
        <v>53.099999999200001</v>
      </c>
      <c r="EF9">
        <v>60.4999999996</v>
      </c>
      <c r="EG9">
        <v>68.199999999699997</v>
      </c>
      <c r="EH9">
        <v>75.3999999997</v>
      </c>
      <c r="EI9">
        <v>83.099999999800005</v>
      </c>
      <c r="EJ9">
        <v>91.399999999299993</v>
      </c>
      <c r="EK9">
        <v>99.899999999299993</v>
      </c>
      <c r="EL9">
        <v>107.79999999979999</v>
      </c>
      <c r="EM9">
        <v>115.59999999919999</v>
      </c>
      <c r="EN9">
        <v>123.9999999998</v>
      </c>
      <c r="EO9">
        <v>131.49999999950001</v>
      </c>
      <c r="EP9">
        <v>140.40000000020001</v>
      </c>
      <c r="EQ9">
        <v>148.29999999890001</v>
      </c>
      <c r="ER9">
        <v>156.99999999920001</v>
      </c>
      <c r="ES9">
        <v>165.1000000002</v>
      </c>
      <c r="ET9">
        <v>173.39999999969999</v>
      </c>
      <c r="EU9">
        <v>181.49999999880001</v>
      </c>
      <c r="EV9">
        <v>189.89999999939999</v>
      </c>
      <c r="EW9">
        <v>198.5999999997</v>
      </c>
      <c r="EX9">
        <v>207.09999999959999</v>
      </c>
      <c r="EY9">
        <v>215.09999999940001</v>
      </c>
      <c r="EZ9">
        <v>223.29999999969999</v>
      </c>
      <c r="FA9">
        <v>231.20000000019999</v>
      </c>
      <c r="FB9">
        <v>239.49999999970001</v>
      </c>
      <c r="FC9">
        <v>247.5999999988</v>
      </c>
      <c r="FD9">
        <v>256.09999999870001</v>
      </c>
      <c r="FE9">
        <v>263.69999999949999</v>
      </c>
      <c r="FF9">
        <v>271.49999999890002</v>
      </c>
      <c r="FG9">
        <v>279.0999999997</v>
      </c>
      <c r="FH9">
        <v>286.79999999990002</v>
      </c>
      <c r="FI9">
        <v>294.5999999993</v>
      </c>
      <c r="FJ9">
        <v>302.09999999899998</v>
      </c>
      <c r="FK9">
        <v>309.69999999980001</v>
      </c>
      <c r="FL9">
        <v>316.8999999998</v>
      </c>
      <c r="FM9">
        <v>324.09999999979999</v>
      </c>
      <c r="FN9">
        <v>330.89999999899999</v>
      </c>
      <c r="FO9">
        <v>337.79999999929998</v>
      </c>
      <c r="FP9">
        <v>344.79999999889998</v>
      </c>
      <c r="FQ9">
        <v>351.39999999960003</v>
      </c>
      <c r="FR9">
        <v>358.9999999986</v>
      </c>
      <c r="FS9">
        <v>365.29999999950002</v>
      </c>
      <c r="FT9">
        <v>371.79999999900002</v>
      </c>
      <c r="FU9">
        <v>377.99999999879998</v>
      </c>
      <c r="FV9">
        <v>383.7999999996</v>
      </c>
      <c r="FW9">
        <v>389.99999999940002</v>
      </c>
      <c r="FX9">
        <v>396.39999999960003</v>
      </c>
      <c r="FY9">
        <v>401.8999999989</v>
      </c>
      <c r="FZ9">
        <v>407.90000000020001</v>
      </c>
      <c r="GA9">
        <v>413.59999999989998</v>
      </c>
      <c r="GB9">
        <v>419.1999999985</v>
      </c>
      <c r="GC9">
        <v>424.69999999959998</v>
      </c>
      <c r="GD9">
        <v>429.99999999850002</v>
      </c>
      <c r="GE9">
        <v>434.49999999940002</v>
      </c>
      <c r="GF9">
        <v>439.39999999930001</v>
      </c>
      <c r="GG9">
        <v>444.59999999889999</v>
      </c>
      <c r="GH9">
        <v>447.59999999950003</v>
      </c>
      <c r="GI9">
        <v>447.39999999909998</v>
      </c>
      <c r="GJ9">
        <v>447.59999999950003</v>
      </c>
      <c r="GK9">
        <v>447.79999999990002</v>
      </c>
      <c r="GL9">
        <v>447.50000000019998</v>
      </c>
      <c r="GM9">
        <v>447.39999999909998</v>
      </c>
      <c r="GN9">
        <v>447.39999999909998</v>
      </c>
      <c r="GO9">
        <v>447.59999999950003</v>
      </c>
      <c r="GP9">
        <v>447.39999999909998</v>
      </c>
      <c r="GQ9">
        <v>447.59999999950003</v>
      </c>
      <c r="GR9">
        <v>447.50000000019998</v>
      </c>
      <c r="GS9">
        <v>447.39999999909998</v>
      </c>
      <c r="GT9">
        <v>447.19999999869998</v>
      </c>
      <c r="GU9">
        <v>447.29999999979998</v>
      </c>
      <c r="GV9">
        <v>447.69999999880002</v>
      </c>
      <c r="GW9">
        <v>1</v>
      </c>
      <c r="GX9">
        <v>109.50000000049999</v>
      </c>
      <c r="GY9">
        <v>109.8000000002</v>
      </c>
      <c r="GZ9">
        <v>109.8000000002</v>
      </c>
      <c r="HA9">
        <v>115.59999999919999</v>
      </c>
      <c r="HB9">
        <v>111.2600402054</v>
      </c>
      <c r="HC9">
        <v>-5.7999999989999997</v>
      </c>
      <c r="HD9">
        <v>447.69998883059998</v>
      </c>
      <c r="HE9">
        <v>295.9103975877</v>
      </c>
      <c r="HF9">
        <v>93.308811705599993</v>
      </c>
      <c r="HG9">
        <v>447.79999999990002</v>
      </c>
      <c r="HH9">
        <v>447.79999999990002</v>
      </c>
      <c r="HI9">
        <v>447.79999999990002</v>
      </c>
      <c r="HJ9">
        <v>447.79999999990002</v>
      </c>
      <c r="HK9">
        <v>110.26392961880001</v>
      </c>
      <c r="HL9">
        <v>3.3530461100000002</v>
      </c>
      <c r="HM9">
        <v>3.2806952306000001</v>
      </c>
      <c r="HN9">
        <v>3.3113905922</v>
      </c>
      <c r="HO9">
        <v>3.1116213564000001</v>
      </c>
      <c r="HP9">
        <v>3.5030458723</v>
      </c>
      <c r="HQ9">
        <v>2.3255007027999999</v>
      </c>
      <c r="HR9">
        <v>17.951228499799999</v>
      </c>
      <c r="HS9">
        <v>-28.152492668600001</v>
      </c>
      <c r="HT9">
        <v>-192</v>
      </c>
      <c r="HU9">
        <v>407.17043779319999</v>
      </c>
      <c r="HV9">
        <v>91.495601172999997</v>
      </c>
      <c r="HW9">
        <v>624</v>
      </c>
      <c r="HX9">
        <v>17.951228499799999</v>
      </c>
      <c r="HY9">
        <v>-28.152492668600001</v>
      </c>
      <c r="HZ9">
        <v>-192</v>
      </c>
      <c r="IA9">
        <v>407.17043779319999</v>
      </c>
      <c r="IB9">
        <v>91.495601172999997</v>
      </c>
      <c r="IC9">
        <v>624</v>
      </c>
      <c r="ID9">
        <v>40.629562206800003</v>
      </c>
      <c r="IE9">
        <v>1.3513513999999999E-3</v>
      </c>
      <c r="IF9">
        <v>-37.536656891500002</v>
      </c>
      <c r="IG9">
        <v>-256</v>
      </c>
      <c r="IH9">
        <v>429.67951753260002</v>
      </c>
      <c r="II9">
        <v>100.87976539589999</v>
      </c>
      <c r="IJ9">
        <v>688</v>
      </c>
      <c r="IK9">
        <v>389.21920929340001</v>
      </c>
      <c r="IL9">
        <v>119.6480938416</v>
      </c>
      <c r="IM9">
        <v>413.69966495279999</v>
      </c>
      <c r="IN9">
        <v>129.03225806450001</v>
      </c>
      <c r="IO9">
        <v>6.7999999991999998</v>
      </c>
      <c r="IP9">
        <v>5.8000000007999999</v>
      </c>
      <c r="IQ9">
        <v>8.9000000007000004</v>
      </c>
      <c r="IR9">
        <v>5.0977551655999997</v>
      </c>
      <c r="IS9">
        <v>5.0977551655999997</v>
      </c>
      <c r="IT9">
        <v>5.4</v>
      </c>
      <c r="IU9">
        <v>-30.4985337243</v>
      </c>
      <c r="IV9">
        <v>8.5999999991999996</v>
      </c>
      <c r="IW9">
        <v>72.727272727300004</v>
      </c>
      <c r="IX9">
        <v>7.2999999992999998</v>
      </c>
      <c r="IY9">
        <v>96.187683284499997</v>
      </c>
      <c r="IZ9">
        <v>-34.0221322214</v>
      </c>
      <c r="JA9">
        <v>0.33819263240000003</v>
      </c>
      <c r="JB9">
        <v>-3.5467559999999998E-4</v>
      </c>
      <c r="JC9">
        <v>6.8869999999999997E-7</v>
      </c>
      <c r="JD9">
        <v>0.2982362804</v>
      </c>
      <c r="JE9">
        <v>0.19288030349999999</v>
      </c>
      <c r="JF9">
        <v>8.2128543799999995E-2</v>
      </c>
      <c r="JG9">
        <v>111.103112604</v>
      </c>
      <c r="JH9">
        <v>3.5030458723</v>
      </c>
      <c r="JI9">
        <v>3.8020165999999998E-3</v>
      </c>
      <c r="JJ9">
        <v>-7.4590099999999996E-5</v>
      </c>
      <c r="JK9">
        <v>3.3530461100000002</v>
      </c>
      <c r="JL9">
        <v>0.85798046910000003</v>
      </c>
      <c r="JM9">
        <v>0.36478299450000001</v>
      </c>
      <c r="JN9" t="s">
        <v>585</v>
      </c>
      <c r="JQ9">
        <v>1</v>
      </c>
    </row>
    <row r="10" spans="1:277">
      <c r="A10" t="s">
        <v>630</v>
      </c>
      <c r="B10" t="s">
        <v>631</v>
      </c>
      <c r="C10" t="s">
        <v>212</v>
      </c>
      <c r="D10">
        <v>3</v>
      </c>
      <c r="E10" t="s">
        <v>213</v>
      </c>
      <c r="F10" t="s">
        <v>214</v>
      </c>
      <c r="G10" t="s">
        <v>584</v>
      </c>
      <c r="H10" t="s">
        <v>216</v>
      </c>
      <c r="J10" t="s">
        <v>614</v>
      </c>
      <c r="K10" t="s">
        <v>615</v>
      </c>
      <c r="L10" t="s">
        <v>616</v>
      </c>
      <c r="M10" t="s">
        <v>617</v>
      </c>
      <c r="N10" t="s">
        <v>618</v>
      </c>
      <c r="O10">
        <v>0</v>
      </c>
      <c r="P10">
        <v>0</v>
      </c>
      <c r="Q10">
        <v>0</v>
      </c>
      <c r="R10">
        <v>0.39999999899999999</v>
      </c>
      <c r="S10">
        <v>0.59999999940000004</v>
      </c>
      <c r="T10">
        <v>0.79999999980000003</v>
      </c>
      <c r="U10">
        <v>1.0999999995</v>
      </c>
      <c r="V10">
        <v>1.0999999995</v>
      </c>
      <c r="W10">
        <v>1.0999999995</v>
      </c>
      <c r="X10">
        <v>0.89999999909999995</v>
      </c>
      <c r="Y10">
        <v>0.7000000005</v>
      </c>
      <c r="Z10">
        <v>0.50000000010000001</v>
      </c>
      <c r="AA10">
        <v>0.29999999970000002</v>
      </c>
      <c r="AB10">
        <v>0.79999999980000003</v>
      </c>
      <c r="AC10">
        <v>1.0000000002</v>
      </c>
      <c r="AD10">
        <v>1.0999999995</v>
      </c>
      <c r="AE10">
        <v>0.7000000005</v>
      </c>
      <c r="AF10">
        <v>0.7000000005</v>
      </c>
      <c r="AG10">
        <v>0.59999999940000004</v>
      </c>
      <c r="AH10">
        <v>1.3999999992000001</v>
      </c>
      <c r="AI10">
        <v>2.1999999990000001</v>
      </c>
      <c r="AJ10">
        <v>7.5999999989999996</v>
      </c>
      <c r="AK10">
        <v>13.300000000500001</v>
      </c>
      <c r="AL10">
        <v>20.699999999100001</v>
      </c>
      <c r="AM10">
        <v>28.599999999600001</v>
      </c>
      <c r="AN10">
        <v>36.299999999800001</v>
      </c>
      <c r="AO10">
        <v>43.900000000600002</v>
      </c>
      <c r="AP10">
        <v>51.6000000007</v>
      </c>
      <c r="AQ10">
        <v>59.4000000001</v>
      </c>
      <c r="AR10">
        <v>65.899999999599999</v>
      </c>
      <c r="AS10">
        <v>74.500000000599996</v>
      </c>
      <c r="AT10">
        <v>83.099999999800005</v>
      </c>
      <c r="AU10">
        <v>91.699999998999999</v>
      </c>
      <c r="AV10">
        <v>100.39999999939999</v>
      </c>
      <c r="AW10">
        <v>109.5999999998</v>
      </c>
      <c r="AX10">
        <v>117.7000000007</v>
      </c>
      <c r="AY10">
        <v>126.0000000002</v>
      </c>
      <c r="AZ10">
        <v>134.39999999899999</v>
      </c>
      <c r="BA10">
        <v>143</v>
      </c>
      <c r="BB10">
        <v>152.0999999993</v>
      </c>
      <c r="BC10">
        <v>161.20000000050001</v>
      </c>
      <c r="BD10">
        <v>168.70000000019999</v>
      </c>
      <c r="BE10">
        <v>177.2000000001</v>
      </c>
      <c r="BF10">
        <v>185.90000000040001</v>
      </c>
      <c r="BG10">
        <v>194.60000000069999</v>
      </c>
      <c r="BH10">
        <v>203.10000000060001</v>
      </c>
      <c r="BI10">
        <v>211.49999999939999</v>
      </c>
      <c r="BJ10">
        <v>219.19999999949999</v>
      </c>
      <c r="BK10">
        <v>227.4999999991</v>
      </c>
      <c r="BL10">
        <v>236.19999999940001</v>
      </c>
      <c r="BM10">
        <v>244.6</v>
      </c>
      <c r="BN10">
        <v>253.09999999990001</v>
      </c>
      <c r="BO10">
        <v>261.199999999</v>
      </c>
      <c r="BP10">
        <v>268.79999999979998</v>
      </c>
      <c r="BQ10">
        <v>275.79999999939997</v>
      </c>
      <c r="BR10">
        <v>283.7</v>
      </c>
      <c r="BS10">
        <v>291.49999999940002</v>
      </c>
      <c r="BT10">
        <v>299.39999999989999</v>
      </c>
      <c r="BU10">
        <v>307.30000000040002</v>
      </c>
      <c r="BV10">
        <v>315.39999999949998</v>
      </c>
      <c r="BW10">
        <v>321.89999999899999</v>
      </c>
      <c r="BX10">
        <v>328.90000000039998</v>
      </c>
      <c r="BY10">
        <v>335.60000000029999</v>
      </c>
      <c r="BZ10">
        <v>342.50000000070003</v>
      </c>
      <c r="CA10">
        <v>349.89999999930001</v>
      </c>
      <c r="CB10">
        <v>356.59999999920001</v>
      </c>
      <c r="CC10">
        <v>363.7999999992</v>
      </c>
      <c r="CD10">
        <v>369.99999999900001</v>
      </c>
      <c r="CE10">
        <v>376.20000000060003</v>
      </c>
      <c r="CF10">
        <v>382.79999999939997</v>
      </c>
      <c r="CG10">
        <v>388.80000000059999</v>
      </c>
      <c r="CH10">
        <v>394.70000000070002</v>
      </c>
      <c r="CI10">
        <v>400.90000000049997</v>
      </c>
      <c r="CJ10">
        <v>407.10000000039997</v>
      </c>
      <c r="CK10">
        <v>413.30000000019999</v>
      </c>
      <c r="CL10">
        <v>419.20000000030001</v>
      </c>
      <c r="CM10">
        <v>424.60000000029999</v>
      </c>
      <c r="CN10">
        <v>429.79999999990002</v>
      </c>
      <c r="CO10">
        <v>435.2999999992</v>
      </c>
      <c r="CP10">
        <v>439.8000000001</v>
      </c>
      <c r="CQ10">
        <v>442.49999999919999</v>
      </c>
      <c r="CR10">
        <v>442.80000000069998</v>
      </c>
      <c r="CS10">
        <v>442.9</v>
      </c>
      <c r="CT10">
        <v>442.60000000029999</v>
      </c>
      <c r="CU10">
        <v>442.69999999959998</v>
      </c>
      <c r="CV10">
        <v>442.80000000069998</v>
      </c>
      <c r="CW10">
        <v>442.80000000069998</v>
      </c>
      <c r="CX10">
        <v>442.80000000069998</v>
      </c>
      <c r="CY10">
        <v>442.80000000069998</v>
      </c>
      <c r="CZ10">
        <v>442.80000000069998</v>
      </c>
      <c r="DA10">
        <v>442.49999999919999</v>
      </c>
      <c r="DB10">
        <v>442.69999999959998</v>
      </c>
      <c r="DC10">
        <v>442.80000000069998</v>
      </c>
      <c r="DD10">
        <v>442.9</v>
      </c>
      <c r="DE10">
        <v>442.9</v>
      </c>
      <c r="DF10">
        <v>442.9</v>
      </c>
      <c r="DG10">
        <v>0.20000000039999999</v>
      </c>
      <c r="DH10">
        <v>1.2000000006</v>
      </c>
      <c r="DI10">
        <v>1.0999999995</v>
      </c>
      <c r="DJ10">
        <v>1.0000000002</v>
      </c>
      <c r="DK10">
        <v>0.79999999980000003</v>
      </c>
      <c r="DL10">
        <v>1.2000000006</v>
      </c>
      <c r="DM10">
        <v>1.5000000003</v>
      </c>
      <c r="DN10">
        <v>1.7000000007</v>
      </c>
      <c r="DO10">
        <v>1.8999999993000001</v>
      </c>
      <c r="DP10">
        <v>1.5000000003</v>
      </c>
      <c r="DQ10">
        <v>1.2999999999</v>
      </c>
      <c r="DR10">
        <v>1.2999999999</v>
      </c>
      <c r="DS10">
        <v>1.3999999992000001</v>
      </c>
      <c r="DT10">
        <v>1.5999999996000001</v>
      </c>
      <c r="DU10">
        <v>2.0000000004</v>
      </c>
      <c r="DV10">
        <v>2.0999999997000001</v>
      </c>
      <c r="DW10">
        <v>2.0000000004</v>
      </c>
      <c r="DX10">
        <v>3.1999999992000001</v>
      </c>
      <c r="DY10">
        <v>5.9999999994</v>
      </c>
      <c r="DZ10">
        <v>12.0999999999</v>
      </c>
      <c r="EA10">
        <v>18.799999999800001</v>
      </c>
      <c r="EB10">
        <v>27.0999999993</v>
      </c>
      <c r="EC10">
        <v>34.799999999400001</v>
      </c>
      <c r="ED10">
        <v>42.799999999299999</v>
      </c>
      <c r="EE10">
        <v>50.900000000200002</v>
      </c>
      <c r="EF10">
        <v>58.300000000600001</v>
      </c>
      <c r="EG10">
        <v>65.099999999800005</v>
      </c>
      <c r="EH10">
        <v>72.899999999200006</v>
      </c>
      <c r="EI10">
        <v>81.299999999799994</v>
      </c>
      <c r="EJ10">
        <v>89.599999999299996</v>
      </c>
      <c r="EK10">
        <v>98.299999999700006</v>
      </c>
      <c r="EL10">
        <v>107.399999999</v>
      </c>
      <c r="EM10">
        <v>115.4000000006</v>
      </c>
      <c r="EN10">
        <v>124.4999999999</v>
      </c>
      <c r="EO10">
        <v>133.20000000019999</v>
      </c>
      <c r="EP10">
        <v>141.49999999970001</v>
      </c>
      <c r="EQ10">
        <v>150.29999999930001</v>
      </c>
      <c r="ER10">
        <v>158.99999999970001</v>
      </c>
      <c r="ES10">
        <v>167.2999999992</v>
      </c>
      <c r="ET10">
        <v>175.79999999910001</v>
      </c>
      <c r="EU10">
        <v>184.69999999980001</v>
      </c>
      <c r="EV10">
        <v>193.40000000009999</v>
      </c>
      <c r="EW10">
        <v>201.80000000070001</v>
      </c>
      <c r="EX10">
        <v>210.69999999960001</v>
      </c>
      <c r="EY10">
        <v>218.39999999969999</v>
      </c>
      <c r="EZ10">
        <v>226.5000000007</v>
      </c>
      <c r="FA10">
        <v>235.1999999992</v>
      </c>
      <c r="FB10">
        <v>243.89999999950001</v>
      </c>
      <c r="FC10">
        <v>252.39999999939999</v>
      </c>
      <c r="FD10">
        <v>260.89999999930001</v>
      </c>
      <c r="FE10">
        <v>268.59999999939998</v>
      </c>
      <c r="FF10">
        <v>275.79999999939997</v>
      </c>
      <c r="FG10">
        <v>283.7999999992</v>
      </c>
      <c r="FH10">
        <v>291.60000000050002</v>
      </c>
      <c r="FI10">
        <v>299.49999999919999</v>
      </c>
      <c r="FJ10">
        <v>307.60000000010001</v>
      </c>
      <c r="FK10">
        <v>315.50000000059998</v>
      </c>
      <c r="FL10">
        <v>322.29999999979998</v>
      </c>
      <c r="FM10">
        <v>329.59999999910002</v>
      </c>
      <c r="FN10">
        <v>336.49999999940002</v>
      </c>
      <c r="FO10">
        <v>343.39999999970001</v>
      </c>
      <c r="FP10">
        <v>350.59999999979999</v>
      </c>
      <c r="FQ10">
        <v>357.2000000004</v>
      </c>
      <c r="FR10">
        <v>364.59999999899998</v>
      </c>
      <c r="FS10">
        <v>370.69999999949999</v>
      </c>
      <c r="FT10">
        <v>377.0999999997</v>
      </c>
      <c r="FU10">
        <v>383.7999999996</v>
      </c>
      <c r="FV10">
        <v>390.19999999980001</v>
      </c>
      <c r="FW10">
        <v>396.30000000029997</v>
      </c>
      <c r="FX10">
        <v>402.50000000009999</v>
      </c>
      <c r="FY10">
        <v>408.10000000060001</v>
      </c>
      <c r="FZ10">
        <v>414.19999999930002</v>
      </c>
      <c r="GA10">
        <v>420.00000000009999</v>
      </c>
      <c r="GB10">
        <v>425.10000000039997</v>
      </c>
      <c r="GC10">
        <v>430.00000000030002</v>
      </c>
      <c r="GD10">
        <v>435.49999999959999</v>
      </c>
      <c r="GE10">
        <v>440.00000000049999</v>
      </c>
      <c r="GF10">
        <v>442.19999999949999</v>
      </c>
      <c r="GG10">
        <v>442.49999999919999</v>
      </c>
      <c r="GH10">
        <v>442.49999999919999</v>
      </c>
      <c r="GI10">
        <v>442.39999999989999</v>
      </c>
      <c r="GJ10">
        <v>442.30000000059999</v>
      </c>
      <c r="GK10">
        <v>442.39999999989999</v>
      </c>
      <c r="GL10">
        <v>442.60000000029999</v>
      </c>
      <c r="GM10">
        <v>442.69999999959998</v>
      </c>
      <c r="GN10">
        <v>442.69999999959998</v>
      </c>
      <c r="GO10">
        <v>442.69999999959998</v>
      </c>
      <c r="GP10">
        <v>442.49999999919999</v>
      </c>
      <c r="GQ10">
        <v>442.39999999989999</v>
      </c>
      <c r="GR10">
        <v>442.69999999959998</v>
      </c>
      <c r="GS10">
        <v>442.60000000029999</v>
      </c>
      <c r="GT10">
        <v>442.80000000069998</v>
      </c>
      <c r="GU10">
        <v>442.9</v>
      </c>
      <c r="GV10">
        <v>442.9</v>
      </c>
      <c r="GW10">
        <v>1</v>
      </c>
      <c r="GX10">
        <v>111.30000000050001</v>
      </c>
      <c r="GY10">
        <v>109.5999999998</v>
      </c>
      <c r="GZ10">
        <v>109.5999999998</v>
      </c>
      <c r="HA10">
        <v>115.4000000006</v>
      </c>
      <c r="HB10">
        <v>111.0732445247</v>
      </c>
      <c r="HC10">
        <v>-5.8000000007999999</v>
      </c>
      <c r="HD10">
        <v>442.9</v>
      </c>
      <c r="HE10">
        <v>296.40250620969999</v>
      </c>
      <c r="HF10">
        <v>90.027884399100003</v>
      </c>
      <c r="HG10">
        <v>442.9</v>
      </c>
      <c r="HH10">
        <v>442.9</v>
      </c>
      <c r="HI10">
        <v>442.9</v>
      </c>
      <c r="HJ10">
        <v>442.9</v>
      </c>
      <c r="HK10">
        <v>105.57184750730001</v>
      </c>
      <c r="HL10">
        <v>3.4568069601000002</v>
      </c>
      <c r="HM10">
        <v>3.3825386990999999</v>
      </c>
      <c r="HN10">
        <v>3.4116047058999999</v>
      </c>
      <c r="HO10">
        <v>3.3296312064000002</v>
      </c>
      <c r="HP10">
        <v>3.6487870346000002</v>
      </c>
      <c r="HQ10">
        <v>2.3660828426</v>
      </c>
      <c r="HR10">
        <v>21.045360125599998</v>
      </c>
      <c r="HS10">
        <v>-25.806451612899998</v>
      </c>
      <c r="HT10">
        <v>-176</v>
      </c>
      <c r="HU10">
        <v>407.47575073439998</v>
      </c>
      <c r="HV10">
        <v>89.149560117299998</v>
      </c>
      <c r="HW10">
        <v>608</v>
      </c>
      <c r="HX10">
        <v>21.045360125599998</v>
      </c>
      <c r="HY10">
        <v>-25.806451612899998</v>
      </c>
      <c r="HZ10">
        <v>-176</v>
      </c>
      <c r="IA10">
        <v>407.47575073439998</v>
      </c>
      <c r="IB10">
        <v>89.149560117299998</v>
      </c>
      <c r="IC10">
        <v>608</v>
      </c>
      <c r="ID10">
        <v>35.424249265599997</v>
      </c>
      <c r="IE10">
        <v>1.4093474817</v>
      </c>
      <c r="IF10">
        <v>-35.190615835800003</v>
      </c>
      <c r="IG10">
        <v>-240</v>
      </c>
      <c r="IH10">
        <v>429.80979905200002</v>
      </c>
      <c r="II10">
        <v>98.533724340199996</v>
      </c>
      <c r="IJ10">
        <v>672</v>
      </c>
      <c r="IK10">
        <v>386.4303906088</v>
      </c>
      <c r="IL10">
        <v>114.9560117302</v>
      </c>
      <c r="IM10">
        <v>411.90282230859998</v>
      </c>
      <c r="IN10">
        <v>124.3401759531</v>
      </c>
      <c r="IO10">
        <v>7.3999999986000002</v>
      </c>
      <c r="IP10">
        <v>5.9000000001000004</v>
      </c>
      <c r="IQ10">
        <v>9.2000000003999993</v>
      </c>
      <c r="IR10">
        <v>6.2215272405000004</v>
      </c>
      <c r="IS10">
        <v>6.2215272405000004</v>
      </c>
      <c r="IT10">
        <v>5.4999999992999999</v>
      </c>
      <c r="IU10">
        <v>-28.152492668600001</v>
      </c>
      <c r="IV10">
        <v>8.2000000001999993</v>
      </c>
      <c r="IW10">
        <v>53.958944281500003</v>
      </c>
      <c r="IX10">
        <v>6.6999999999000002</v>
      </c>
      <c r="IY10">
        <v>93.841642228699996</v>
      </c>
      <c r="IZ10">
        <v>-32.4042870611</v>
      </c>
      <c r="JA10">
        <v>0.32105099100000001</v>
      </c>
      <c r="JB10">
        <v>-3.2447029999999998E-4</v>
      </c>
      <c r="JC10">
        <v>6.5749999999999995E-7</v>
      </c>
      <c r="JD10">
        <v>0.28928430529999999</v>
      </c>
      <c r="JE10">
        <v>0.42337379759999999</v>
      </c>
      <c r="JF10">
        <v>0.1234421708</v>
      </c>
      <c r="JG10">
        <v>110.9956171761</v>
      </c>
      <c r="JH10">
        <v>3.6487870346000002</v>
      </c>
      <c r="JI10">
        <v>3.180474E-3</v>
      </c>
      <c r="JJ10">
        <v>-7.7581899999999997E-5</v>
      </c>
      <c r="JK10">
        <v>3.4568069601000002</v>
      </c>
      <c r="JL10">
        <v>1.7605816212000001</v>
      </c>
      <c r="JM10">
        <v>0.60277477160000004</v>
      </c>
      <c r="JN10" t="s">
        <v>585</v>
      </c>
      <c r="JQ10">
        <v>1</v>
      </c>
    </row>
    <row r="11" spans="1:277">
      <c r="A11" t="s">
        <v>644</v>
      </c>
      <c r="B11" t="s">
        <v>645</v>
      </c>
      <c r="C11" t="s">
        <v>212</v>
      </c>
      <c r="D11">
        <v>3</v>
      </c>
      <c r="E11" t="s">
        <v>213</v>
      </c>
      <c r="F11" t="s">
        <v>214</v>
      </c>
      <c r="G11" t="s">
        <v>584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0.79999999980000003</v>
      </c>
      <c r="R11">
        <v>9.9999999300000003E-2</v>
      </c>
      <c r="S11">
        <v>0.20000000039999999</v>
      </c>
      <c r="T11">
        <v>0.39999999899999999</v>
      </c>
      <c r="U11">
        <v>9.9999999300000003E-2</v>
      </c>
      <c r="V11">
        <v>0</v>
      </c>
      <c r="W11">
        <v>9.9999999300000003E-2</v>
      </c>
      <c r="X11">
        <v>0.20000000039999999</v>
      </c>
      <c r="Y11">
        <v>0.29999999970000002</v>
      </c>
      <c r="Z11">
        <v>0.39999999899999999</v>
      </c>
      <c r="AA11">
        <v>0.39999999899999999</v>
      </c>
      <c r="AB11">
        <v>0.39999999899999999</v>
      </c>
      <c r="AC11">
        <v>0.29999999970000002</v>
      </c>
      <c r="AD11">
        <v>0.50000000010000001</v>
      </c>
      <c r="AE11">
        <v>0.50000000010000001</v>
      </c>
      <c r="AF11">
        <v>0.50000000010000001</v>
      </c>
      <c r="AG11">
        <v>0.59999999940000004</v>
      </c>
      <c r="AH11">
        <v>0.39999999899999999</v>
      </c>
      <c r="AI11">
        <v>5.2999999988999997</v>
      </c>
      <c r="AJ11">
        <v>11.8999999995</v>
      </c>
      <c r="AK11">
        <v>18.599999999400001</v>
      </c>
      <c r="AL11">
        <v>26.599999999200001</v>
      </c>
      <c r="AM11">
        <v>33.799999999199997</v>
      </c>
      <c r="AN11">
        <v>40.799999998899999</v>
      </c>
      <c r="AO11">
        <v>48.1</v>
      </c>
      <c r="AP11">
        <v>55.199999998899997</v>
      </c>
      <c r="AQ11">
        <v>63.200000000499998</v>
      </c>
      <c r="AR11">
        <v>70.799999999500002</v>
      </c>
      <c r="AS11">
        <v>79.799999999500002</v>
      </c>
      <c r="AT11">
        <v>87.400000000299997</v>
      </c>
      <c r="AU11">
        <v>95.199999999699997</v>
      </c>
      <c r="AV11">
        <v>102.9999999992</v>
      </c>
      <c r="AW11">
        <v>111.4999999991</v>
      </c>
      <c r="AX11">
        <v>119.999999999</v>
      </c>
      <c r="AY11">
        <v>129.19999999940001</v>
      </c>
      <c r="AZ11">
        <v>137.1999999992</v>
      </c>
      <c r="BA11">
        <v>145.00000000040001</v>
      </c>
      <c r="BB11">
        <v>153.59999999959999</v>
      </c>
      <c r="BC11">
        <v>161.20000000050001</v>
      </c>
      <c r="BD11">
        <v>169.5</v>
      </c>
      <c r="BE11">
        <v>178.3999999989</v>
      </c>
      <c r="BF11">
        <v>186.89999999880001</v>
      </c>
      <c r="BG11">
        <v>194.7</v>
      </c>
      <c r="BH11">
        <v>202.90000000020001</v>
      </c>
      <c r="BI11">
        <v>210.39999999989999</v>
      </c>
      <c r="BJ11">
        <v>218.69999999940001</v>
      </c>
      <c r="BK11">
        <v>226.80000000039999</v>
      </c>
      <c r="BL11">
        <v>235.6</v>
      </c>
      <c r="BM11">
        <v>243.0999999997</v>
      </c>
      <c r="BN11">
        <v>250.79999999980001</v>
      </c>
      <c r="BO11">
        <v>258.7999999996</v>
      </c>
      <c r="BP11">
        <v>265.6999999999</v>
      </c>
      <c r="BQ11">
        <v>273.10000000029999</v>
      </c>
      <c r="BR11">
        <v>281.89999999999998</v>
      </c>
      <c r="BS11">
        <v>289.60000000010001</v>
      </c>
      <c r="BT11">
        <v>296.699999999</v>
      </c>
      <c r="BU11">
        <v>303.79999999969999</v>
      </c>
      <c r="BV11">
        <v>310.90000000039998</v>
      </c>
      <c r="BW11">
        <v>317.29999999879999</v>
      </c>
      <c r="BX11">
        <v>324.30000000019999</v>
      </c>
      <c r="BY11">
        <v>332.3</v>
      </c>
      <c r="BZ11">
        <v>339.20000000030001</v>
      </c>
      <c r="CA11">
        <v>345.60000000060001</v>
      </c>
      <c r="CB11">
        <v>352.10000000010001</v>
      </c>
      <c r="CC11">
        <v>358.29999999990002</v>
      </c>
      <c r="CD11">
        <v>364.2</v>
      </c>
      <c r="CE11">
        <v>370.4999999991</v>
      </c>
      <c r="CF11">
        <v>377.00000000040001</v>
      </c>
      <c r="CG11">
        <v>384.0999999993</v>
      </c>
      <c r="CH11">
        <v>389.79999999900002</v>
      </c>
      <c r="CI11">
        <v>395.59999999979999</v>
      </c>
      <c r="CJ11">
        <v>401.39999999880001</v>
      </c>
      <c r="CK11">
        <v>406.99999999919999</v>
      </c>
      <c r="CL11">
        <v>412.8000000001</v>
      </c>
      <c r="CM11">
        <v>417.2999999992</v>
      </c>
      <c r="CN11">
        <v>422.99999999890002</v>
      </c>
      <c r="CO11">
        <v>428.09999999920001</v>
      </c>
      <c r="CP11">
        <v>434.49999999940002</v>
      </c>
      <c r="CQ11">
        <v>439.8000000001</v>
      </c>
      <c r="CR11">
        <v>444.7</v>
      </c>
      <c r="CS11">
        <v>445.20000000009998</v>
      </c>
      <c r="CT11">
        <v>445.20000000009998</v>
      </c>
      <c r="CU11">
        <v>445.49999999980002</v>
      </c>
      <c r="CV11">
        <v>445.49999999980002</v>
      </c>
      <c r="CW11">
        <v>445.29999999939997</v>
      </c>
      <c r="CX11">
        <v>445.59999999910002</v>
      </c>
      <c r="CY11">
        <v>445.59999999910002</v>
      </c>
      <c r="CZ11">
        <v>445.40000000049997</v>
      </c>
      <c r="DA11">
        <v>445.49999999980002</v>
      </c>
      <c r="DB11">
        <v>445.49999999980002</v>
      </c>
      <c r="DC11">
        <v>445.40000000049997</v>
      </c>
      <c r="DD11">
        <v>445.40000000049997</v>
      </c>
      <c r="DE11">
        <v>445.49999999980002</v>
      </c>
      <c r="DF11">
        <v>445.49999999980002</v>
      </c>
      <c r="DG11">
        <v>1.2999999999</v>
      </c>
      <c r="DH11">
        <v>1.0999999995</v>
      </c>
      <c r="DI11">
        <v>1.0999999995</v>
      </c>
      <c r="DJ11">
        <v>1.2999999999</v>
      </c>
      <c r="DK11">
        <v>1.2999999999</v>
      </c>
      <c r="DL11">
        <v>1.2999999999</v>
      </c>
      <c r="DM11">
        <v>1.1999999988000001</v>
      </c>
      <c r="DN11">
        <v>1.1999999988000001</v>
      </c>
      <c r="DO11">
        <v>1.2999999999</v>
      </c>
      <c r="DP11">
        <v>1.2999999999</v>
      </c>
      <c r="DQ11">
        <v>1.3999999992000001</v>
      </c>
      <c r="DR11">
        <v>1.3999999992000001</v>
      </c>
      <c r="DS11">
        <v>1.2999999999</v>
      </c>
      <c r="DT11">
        <v>1.5000000003</v>
      </c>
      <c r="DU11">
        <v>1.3999999992000001</v>
      </c>
      <c r="DV11">
        <v>1.3999999992000001</v>
      </c>
      <c r="DW11">
        <v>1.6999999989000001</v>
      </c>
      <c r="DX11">
        <v>3.3999999995999999</v>
      </c>
      <c r="DY11">
        <v>10.5999999996</v>
      </c>
      <c r="DZ11">
        <v>17.799999999600001</v>
      </c>
      <c r="EA11">
        <v>25.499999999700002</v>
      </c>
      <c r="EB11">
        <v>32.600000000500003</v>
      </c>
      <c r="EC11">
        <v>39.3999999997</v>
      </c>
      <c r="ED11">
        <v>46.5000000004</v>
      </c>
      <c r="EE11">
        <v>53.700000000400003</v>
      </c>
      <c r="EF11">
        <v>61.799999999500002</v>
      </c>
      <c r="EG11">
        <v>69.799999999299999</v>
      </c>
      <c r="EH11">
        <v>78.199999999900001</v>
      </c>
      <c r="EI11">
        <v>85.999999999300002</v>
      </c>
      <c r="EJ11">
        <v>93.199999999300005</v>
      </c>
      <c r="EK11">
        <v>100.8999999995</v>
      </c>
      <c r="EL11">
        <v>109.199999999</v>
      </c>
      <c r="EM11">
        <v>117.8</v>
      </c>
      <c r="EN11">
        <v>127.199999999</v>
      </c>
      <c r="EO11">
        <v>135.59999999959999</v>
      </c>
      <c r="EP11">
        <v>143.29999999969999</v>
      </c>
      <c r="EQ11">
        <v>150.7999999994</v>
      </c>
      <c r="ER11">
        <v>159.4999999998</v>
      </c>
      <c r="ES11">
        <v>167.79999999930001</v>
      </c>
      <c r="ET11">
        <v>177.099999999</v>
      </c>
      <c r="EU11">
        <v>185.49999999959999</v>
      </c>
      <c r="EV11">
        <v>193.40000000009999</v>
      </c>
      <c r="EW11">
        <v>201.49999999920001</v>
      </c>
      <c r="EX11">
        <v>208.99999999889999</v>
      </c>
      <c r="EY11">
        <v>217.3000000003</v>
      </c>
      <c r="EZ11">
        <v>226.69999999929999</v>
      </c>
      <c r="FA11">
        <v>235.00000000060001</v>
      </c>
      <c r="FB11">
        <v>242.69999999890001</v>
      </c>
      <c r="FC11">
        <v>250.2000000004</v>
      </c>
      <c r="FD11">
        <v>257.29999999929998</v>
      </c>
      <c r="FE11">
        <v>265.49999999950001</v>
      </c>
      <c r="FF11">
        <v>273.10000000029999</v>
      </c>
      <c r="FG11">
        <v>282.10000000039997</v>
      </c>
      <c r="FH11">
        <v>289.69999999940001</v>
      </c>
      <c r="FI11">
        <v>297.00000000049999</v>
      </c>
      <c r="FJ11">
        <v>304.20000000049998</v>
      </c>
      <c r="FK11">
        <v>310.59999999889999</v>
      </c>
      <c r="FL11">
        <v>318.19999999970003</v>
      </c>
      <c r="FM11">
        <v>325.49999999900001</v>
      </c>
      <c r="FN11">
        <v>333.19999999909999</v>
      </c>
      <c r="FO11">
        <v>340.09999999939998</v>
      </c>
      <c r="FP11">
        <v>346.59999999889999</v>
      </c>
      <c r="FQ11">
        <v>353.19999999959998</v>
      </c>
      <c r="FR11">
        <v>359.39999999939999</v>
      </c>
      <c r="FS11">
        <v>365.39999999880001</v>
      </c>
      <c r="FT11">
        <v>372.10000000050002</v>
      </c>
      <c r="FU11">
        <v>379.30000000050001</v>
      </c>
      <c r="FV11">
        <v>385.69999999890001</v>
      </c>
      <c r="FW11">
        <v>391.70000000009998</v>
      </c>
      <c r="FX11">
        <v>397.19999999940001</v>
      </c>
      <c r="FY11">
        <v>403.00000000019998</v>
      </c>
      <c r="FZ11">
        <v>408.49999999950001</v>
      </c>
      <c r="GA11">
        <v>413.39999999949998</v>
      </c>
      <c r="GB11">
        <v>418.59999999910002</v>
      </c>
      <c r="GC11">
        <v>424.19999999949999</v>
      </c>
      <c r="GD11">
        <v>430.19999999890001</v>
      </c>
      <c r="GE11">
        <v>435.1999999999</v>
      </c>
      <c r="GF11">
        <v>440.00000000049999</v>
      </c>
      <c r="GG11">
        <v>444.2999999992</v>
      </c>
      <c r="GH11">
        <v>445.20000000009998</v>
      </c>
      <c r="GI11">
        <v>445.20000000009998</v>
      </c>
      <c r="GJ11">
        <v>445.20000000009998</v>
      </c>
      <c r="GK11">
        <v>445.20000000009998</v>
      </c>
      <c r="GL11">
        <v>445.29999999939997</v>
      </c>
      <c r="GM11">
        <v>445.40000000049997</v>
      </c>
      <c r="GN11">
        <v>445.20000000009998</v>
      </c>
      <c r="GO11">
        <v>445.20000000009998</v>
      </c>
      <c r="GP11">
        <v>445.40000000049997</v>
      </c>
      <c r="GQ11">
        <v>445.49999999980002</v>
      </c>
      <c r="GR11">
        <v>445.49999999980002</v>
      </c>
      <c r="GS11">
        <v>445.59999999910002</v>
      </c>
      <c r="GT11">
        <v>445.59999999910002</v>
      </c>
      <c r="GU11">
        <v>445.49999999980002</v>
      </c>
      <c r="GV11">
        <v>445.40000000049997</v>
      </c>
      <c r="GW11">
        <v>1</v>
      </c>
      <c r="GX11">
        <v>112.8000000008</v>
      </c>
      <c r="GY11">
        <v>111.4999999991</v>
      </c>
      <c r="GZ11">
        <v>111.4999999991</v>
      </c>
      <c r="HA11">
        <v>117.8</v>
      </c>
      <c r="HB11">
        <v>113.1213131306</v>
      </c>
      <c r="HC11">
        <v>-6.3000000008999999</v>
      </c>
      <c r="HD11">
        <v>445.40001122389998</v>
      </c>
      <c r="HE11">
        <v>299.77157126840001</v>
      </c>
      <c r="HF11">
        <v>94.179797979699998</v>
      </c>
      <c r="HG11">
        <v>445.59999999910002</v>
      </c>
      <c r="HH11">
        <v>445.59999999910002</v>
      </c>
      <c r="HI11">
        <v>445.59999999910002</v>
      </c>
      <c r="HJ11">
        <v>445.59999999910002</v>
      </c>
      <c r="HK11">
        <v>110.26392961880001</v>
      </c>
      <c r="HL11">
        <v>3.3291909426999999</v>
      </c>
      <c r="HM11">
        <v>3.2421909722</v>
      </c>
      <c r="HN11">
        <v>3.2884208595</v>
      </c>
      <c r="HO11">
        <v>3.2077036175</v>
      </c>
      <c r="HP11">
        <v>3.5293004726000001</v>
      </c>
      <c r="HQ11">
        <v>2.2285810855000001</v>
      </c>
      <c r="HR11">
        <v>18.941515150899999</v>
      </c>
      <c r="HS11">
        <v>-28.152492668600001</v>
      </c>
      <c r="HT11">
        <v>-192</v>
      </c>
      <c r="HU11">
        <v>412.89288439900002</v>
      </c>
      <c r="HV11">
        <v>93.841642228699996</v>
      </c>
      <c r="HW11">
        <v>640</v>
      </c>
      <c r="HX11">
        <v>18.941515150899999</v>
      </c>
      <c r="HY11">
        <v>-28.152492668600001</v>
      </c>
      <c r="HZ11">
        <v>-192</v>
      </c>
      <c r="IA11">
        <v>412.89288439900002</v>
      </c>
      <c r="IB11">
        <v>93.841642228699996</v>
      </c>
      <c r="IC11">
        <v>640</v>
      </c>
      <c r="ID11">
        <v>32.707115600100003</v>
      </c>
      <c r="IE11">
        <v>0.60283950559999999</v>
      </c>
      <c r="IF11">
        <v>-37.536656891500002</v>
      </c>
      <c r="IG11">
        <v>-256</v>
      </c>
      <c r="IH11">
        <v>434.9792704825</v>
      </c>
      <c r="II11">
        <v>103.22580645159999</v>
      </c>
      <c r="IJ11">
        <v>704</v>
      </c>
      <c r="IK11">
        <v>393.95136924799999</v>
      </c>
      <c r="IL11">
        <v>121.9941348974</v>
      </c>
      <c r="IM11">
        <v>418.42208754260002</v>
      </c>
      <c r="IN11">
        <v>131.37829912020001</v>
      </c>
      <c r="IO11">
        <v>7.2</v>
      </c>
      <c r="IP11">
        <v>6.4000000002000004</v>
      </c>
      <c r="IQ11">
        <v>9.3999999990000003</v>
      </c>
      <c r="IR11">
        <v>6.4490881739999999</v>
      </c>
      <c r="IS11">
        <v>6.4490881739999999</v>
      </c>
      <c r="IT11">
        <v>5.9000000001000004</v>
      </c>
      <c r="IU11">
        <v>-30.4985337243</v>
      </c>
      <c r="IV11">
        <v>9</v>
      </c>
      <c r="IW11">
        <v>46.920821114399999</v>
      </c>
      <c r="IX11">
        <v>7.2</v>
      </c>
      <c r="IY11">
        <v>100.87976539589999</v>
      </c>
      <c r="IZ11">
        <v>-34.365401866399999</v>
      </c>
      <c r="JA11">
        <v>0.33306401870000002</v>
      </c>
      <c r="JB11">
        <v>-3.4043190000000002E-4</v>
      </c>
      <c r="JC11">
        <v>6.863E-7</v>
      </c>
      <c r="JD11">
        <v>0.30037327899999999</v>
      </c>
      <c r="JE11">
        <v>0.41478887679999998</v>
      </c>
      <c r="JF11">
        <v>0.1466565028</v>
      </c>
      <c r="JG11">
        <v>113.8353144183</v>
      </c>
      <c r="JH11">
        <v>3.5293004726000001</v>
      </c>
      <c r="JI11">
        <v>2.7942888000000001E-3</v>
      </c>
      <c r="JJ11">
        <v>-6.9085799999999995E-5</v>
      </c>
      <c r="JK11">
        <v>3.3291909426999999</v>
      </c>
      <c r="JL11">
        <v>1.2422403914</v>
      </c>
      <c r="JM11">
        <v>0.58477530389999999</v>
      </c>
      <c r="JN11" t="s">
        <v>585</v>
      </c>
      <c r="JQ11">
        <v>1</v>
      </c>
    </row>
    <row r="12" spans="1:277">
      <c r="A12" t="s">
        <v>657</v>
      </c>
      <c r="B12" t="s">
        <v>658</v>
      </c>
      <c r="C12" t="s">
        <v>212</v>
      </c>
      <c r="D12">
        <v>3</v>
      </c>
      <c r="E12" t="s">
        <v>213</v>
      </c>
      <c r="F12" t="s">
        <v>214</v>
      </c>
      <c r="G12" t="s">
        <v>584</v>
      </c>
      <c r="H12" t="s">
        <v>216</v>
      </c>
      <c r="J12" t="s">
        <v>648</v>
      </c>
      <c r="K12" t="s">
        <v>649</v>
      </c>
      <c r="L12" t="s">
        <v>650</v>
      </c>
      <c r="M12" t="s">
        <v>651</v>
      </c>
      <c r="N12" t="s">
        <v>652</v>
      </c>
      <c r="O12">
        <v>0</v>
      </c>
      <c r="P12">
        <v>0</v>
      </c>
      <c r="Q12">
        <v>9.9999999300000003E-2</v>
      </c>
      <c r="R12">
        <v>0.19999999860000001</v>
      </c>
      <c r="S12">
        <v>0.19999999860000001</v>
      </c>
      <c r="T12">
        <v>9.9999999300000003E-2</v>
      </c>
      <c r="U12">
        <v>0</v>
      </c>
      <c r="V12">
        <v>0.19999999860000001</v>
      </c>
      <c r="W12">
        <v>9.9999999300000003E-2</v>
      </c>
      <c r="X12">
        <v>9.9999999300000003E-2</v>
      </c>
      <c r="Y12">
        <v>0.29999999970000002</v>
      </c>
      <c r="Z12">
        <v>0.29999999970000002</v>
      </c>
      <c r="AA12">
        <v>0.29999999970000002</v>
      </c>
      <c r="AB12">
        <v>0.50000000010000001</v>
      </c>
      <c r="AC12">
        <v>0.29999999970000002</v>
      </c>
      <c r="AD12">
        <v>0.39999999899999999</v>
      </c>
      <c r="AE12">
        <v>0.29999999970000002</v>
      </c>
      <c r="AF12">
        <v>0.29999999970000002</v>
      </c>
      <c r="AG12">
        <v>0.19999999860000001</v>
      </c>
      <c r="AH12">
        <v>2.8000000001999998</v>
      </c>
      <c r="AI12">
        <v>9.0999999992999996</v>
      </c>
      <c r="AJ12">
        <v>16.0999999989</v>
      </c>
      <c r="AK12">
        <v>23.199999999599999</v>
      </c>
      <c r="AL12">
        <v>29.800000000299999</v>
      </c>
      <c r="AM12">
        <v>37.199999998800003</v>
      </c>
      <c r="AN12">
        <v>44.3999999989</v>
      </c>
      <c r="AO12">
        <v>51.799999999299999</v>
      </c>
      <c r="AP12">
        <v>59.999999999499998</v>
      </c>
      <c r="AQ12">
        <v>67.900000000000006</v>
      </c>
      <c r="AR12">
        <v>75.999999999099998</v>
      </c>
      <c r="AS12">
        <v>83.300000000200001</v>
      </c>
      <c r="AT12">
        <v>90.999999998500002</v>
      </c>
      <c r="AU12">
        <v>98.799999999799994</v>
      </c>
      <c r="AV12">
        <v>107.399999999</v>
      </c>
      <c r="AW12">
        <v>115.8999999989</v>
      </c>
      <c r="AX12">
        <v>124.8999999989</v>
      </c>
      <c r="AY12">
        <v>133.09999999909999</v>
      </c>
      <c r="AZ12">
        <v>140.89999999849999</v>
      </c>
      <c r="BA12">
        <v>148.6999999997</v>
      </c>
      <c r="BB12">
        <v>157.29999999890001</v>
      </c>
      <c r="BC12">
        <v>165.9999999993</v>
      </c>
      <c r="BD12">
        <v>174.9</v>
      </c>
      <c r="BE12">
        <v>182.7999999987</v>
      </c>
      <c r="BF12">
        <v>190.99999999889999</v>
      </c>
      <c r="BG12">
        <v>198.699999999</v>
      </c>
      <c r="BH12">
        <v>206.7999999999</v>
      </c>
      <c r="BI12">
        <v>215.5999999995</v>
      </c>
      <c r="BJ12">
        <v>223.89999999899999</v>
      </c>
      <c r="BK12">
        <v>232.0999999993</v>
      </c>
      <c r="BL12">
        <v>239.8999999987</v>
      </c>
      <c r="BM12">
        <v>247.89999999849999</v>
      </c>
      <c r="BN12">
        <v>255.4999999993</v>
      </c>
      <c r="BO12">
        <v>263.69999999949999</v>
      </c>
      <c r="BP12">
        <v>271.69999999930002</v>
      </c>
      <c r="BQ12">
        <v>279.69999999909999</v>
      </c>
      <c r="BR12">
        <v>286.89999999920002</v>
      </c>
      <c r="BS12">
        <v>294.5</v>
      </c>
      <c r="BT12">
        <v>301.49999999959999</v>
      </c>
      <c r="BU12">
        <v>308.89999999999998</v>
      </c>
      <c r="BV12">
        <v>316.49999999900001</v>
      </c>
      <c r="BW12">
        <v>323.89999999939999</v>
      </c>
      <c r="BX12">
        <v>331.19999999869998</v>
      </c>
      <c r="BY12">
        <v>337.99999999969998</v>
      </c>
      <c r="BZ12">
        <v>344.79999999889998</v>
      </c>
      <c r="CA12">
        <v>351.30000000029997</v>
      </c>
      <c r="CB12">
        <v>358.00000000019998</v>
      </c>
      <c r="CC12">
        <v>364.99999999980002</v>
      </c>
      <c r="CD12">
        <v>371.49999999929997</v>
      </c>
      <c r="CE12">
        <v>378.19999999919997</v>
      </c>
      <c r="CF12">
        <v>384.59999999939998</v>
      </c>
      <c r="CG12">
        <v>390.7999999992</v>
      </c>
      <c r="CH12">
        <v>396.79999999860001</v>
      </c>
      <c r="CI12">
        <v>402.50000000009999</v>
      </c>
      <c r="CJ12">
        <v>407.99999999940002</v>
      </c>
      <c r="CK12">
        <v>414.29999999850003</v>
      </c>
      <c r="CL12">
        <v>420.29999999979998</v>
      </c>
      <c r="CM12">
        <v>425.69999999980001</v>
      </c>
      <c r="CN12">
        <v>431.49999999879998</v>
      </c>
      <c r="CO12">
        <v>436.89999999880001</v>
      </c>
      <c r="CP12">
        <v>442.29999999879999</v>
      </c>
      <c r="CQ12">
        <v>447.59999999950003</v>
      </c>
      <c r="CR12">
        <v>451.79999999889998</v>
      </c>
      <c r="CS12">
        <v>453.1999999999</v>
      </c>
      <c r="CT12">
        <v>453.59999999889999</v>
      </c>
      <c r="CU12">
        <v>453.49999999959999</v>
      </c>
      <c r="CV12">
        <v>453.2999999992</v>
      </c>
      <c r="CW12">
        <v>453.39999999849999</v>
      </c>
      <c r="CX12">
        <v>453.59999999889999</v>
      </c>
      <c r="CY12">
        <v>453.2999999992</v>
      </c>
      <c r="CZ12">
        <v>453.59999999889999</v>
      </c>
      <c r="DA12">
        <v>453.59999999889999</v>
      </c>
      <c r="DB12">
        <v>453.39999999849999</v>
      </c>
      <c r="DC12">
        <v>453.39999999849999</v>
      </c>
      <c r="DD12">
        <v>453.49999999959999</v>
      </c>
      <c r="DE12">
        <v>453.39999999849999</v>
      </c>
      <c r="DF12">
        <v>453.39999999849999</v>
      </c>
      <c r="DG12">
        <v>1.0000000002</v>
      </c>
      <c r="DH12">
        <v>1.0999999995</v>
      </c>
      <c r="DI12">
        <v>1.2999999999</v>
      </c>
      <c r="DJ12">
        <v>1.0999999995</v>
      </c>
      <c r="DK12">
        <v>1.2999999999</v>
      </c>
      <c r="DL12">
        <v>1.3999999992000001</v>
      </c>
      <c r="DM12">
        <v>1.1999999988000001</v>
      </c>
      <c r="DN12">
        <v>1.2999999999</v>
      </c>
      <c r="DO12">
        <v>1.3999999992000001</v>
      </c>
      <c r="DP12">
        <v>1.3999999992000001</v>
      </c>
      <c r="DQ12">
        <v>1.2999999999</v>
      </c>
      <c r="DR12">
        <v>1.2999999999</v>
      </c>
      <c r="DS12">
        <v>1.3999999992000001</v>
      </c>
      <c r="DT12">
        <v>1.3999999992000001</v>
      </c>
      <c r="DU12">
        <v>1.2999999999</v>
      </c>
      <c r="DV12">
        <v>1.2999999999</v>
      </c>
      <c r="DW12">
        <v>2.3999999993999999</v>
      </c>
      <c r="DX12">
        <v>7.4999999997</v>
      </c>
      <c r="DY12">
        <v>14.299999998900001</v>
      </c>
      <c r="DZ12">
        <v>21.8999999997</v>
      </c>
      <c r="EA12">
        <v>28.9999999986</v>
      </c>
      <c r="EB12">
        <v>35.8999999989</v>
      </c>
      <c r="EC12">
        <v>43.200000000099998</v>
      </c>
      <c r="ED12">
        <v>50.5999999987</v>
      </c>
      <c r="EE12">
        <v>58.799999998899999</v>
      </c>
      <c r="EF12">
        <v>65.999999998899995</v>
      </c>
      <c r="EG12">
        <v>74.300000000200001</v>
      </c>
      <c r="EH12">
        <v>81.999999998500002</v>
      </c>
      <c r="EI12">
        <v>89.799999999700006</v>
      </c>
      <c r="EJ12">
        <v>97.200000000200006</v>
      </c>
      <c r="EK12">
        <v>105.49999999969999</v>
      </c>
      <c r="EL12">
        <v>113.89999999849999</v>
      </c>
      <c r="EM12">
        <v>122.4000000002</v>
      </c>
      <c r="EN12">
        <v>130.99999999939999</v>
      </c>
      <c r="EO12">
        <v>139.19999999960001</v>
      </c>
      <c r="EP12">
        <v>147.10000000010001</v>
      </c>
      <c r="EQ12">
        <v>155.69999999929999</v>
      </c>
      <c r="ER12">
        <v>164.39999999969999</v>
      </c>
      <c r="ES12">
        <v>172.8999999996</v>
      </c>
      <c r="ET12">
        <v>181.39999999950001</v>
      </c>
      <c r="EU12">
        <v>189.39999999930001</v>
      </c>
      <c r="EV12">
        <v>197.5999999995</v>
      </c>
      <c r="EW12">
        <v>205.79999999969999</v>
      </c>
      <c r="EX12">
        <v>215.00000000009999</v>
      </c>
      <c r="EY12">
        <v>223.09999999920001</v>
      </c>
      <c r="EZ12">
        <v>231.59999999920001</v>
      </c>
      <c r="FA12">
        <v>239.599999999</v>
      </c>
      <c r="FB12">
        <v>247.40000000020001</v>
      </c>
      <c r="FC12">
        <v>255.19999999960001</v>
      </c>
      <c r="FD12">
        <v>263.89999999989999</v>
      </c>
      <c r="FE12">
        <v>271.79999999860001</v>
      </c>
      <c r="FF12">
        <v>279.69999999909999</v>
      </c>
      <c r="FG12">
        <v>287.49999999850002</v>
      </c>
      <c r="FH12">
        <v>295.09999999939998</v>
      </c>
      <c r="FI12">
        <v>302.39999999870003</v>
      </c>
      <c r="FJ12">
        <v>309.90000000020001</v>
      </c>
      <c r="FK12">
        <v>317.79999999889998</v>
      </c>
      <c r="FL12">
        <v>324.79999999850003</v>
      </c>
      <c r="FM12">
        <v>332.39999999930001</v>
      </c>
      <c r="FN12">
        <v>339.79999999969999</v>
      </c>
      <c r="FO12">
        <v>346.49999999969998</v>
      </c>
      <c r="FP12">
        <v>352.79999999879999</v>
      </c>
      <c r="FQ12">
        <v>359.49999999869999</v>
      </c>
      <c r="FR12">
        <v>366.89999999909998</v>
      </c>
      <c r="FS12">
        <v>373.39999999859998</v>
      </c>
      <c r="FT12">
        <v>379.89999999989999</v>
      </c>
      <c r="FU12">
        <v>386.199999999</v>
      </c>
      <c r="FV12">
        <v>392.49999999990001</v>
      </c>
      <c r="FW12">
        <v>398.4</v>
      </c>
      <c r="FX12">
        <v>404.0999999997</v>
      </c>
      <c r="FY12">
        <v>410.2999999996</v>
      </c>
      <c r="FZ12">
        <v>416.09999999860003</v>
      </c>
      <c r="GA12">
        <v>421.89999999939999</v>
      </c>
      <c r="GB12">
        <v>427.39999999870003</v>
      </c>
      <c r="GC12">
        <v>433.19999999949999</v>
      </c>
      <c r="GD12">
        <v>439.3</v>
      </c>
      <c r="GE12">
        <v>444.39999999849999</v>
      </c>
      <c r="GF12">
        <v>448.09999999960002</v>
      </c>
      <c r="GG12">
        <v>451.49999999919999</v>
      </c>
      <c r="GH12">
        <v>452.99999999950001</v>
      </c>
      <c r="GI12">
        <v>452.90000000020001</v>
      </c>
      <c r="GJ12">
        <v>452.90000000020001</v>
      </c>
      <c r="GK12">
        <v>452.99999999950001</v>
      </c>
      <c r="GL12">
        <v>452.99999999950001</v>
      </c>
      <c r="GM12">
        <v>452.99999999950001</v>
      </c>
      <c r="GN12">
        <v>453.0999999988</v>
      </c>
      <c r="GO12">
        <v>453.0999999988</v>
      </c>
      <c r="GP12">
        <v>453.49999999959999</v>
      </c>
      <c r="GQ12">
        <v>453.39999999849999</v>
      </c>
      <c r="GR12">
        <v>453.49999999959999</v>
      </c>
      <c r="GS12">
        <v>453.0999999988</v>
      </c>
      <c r="GT12">
        <v>453.2999999992</v>
      </c>
      <c r="GU12">
        <v>453.49999999959999</v>
      </c>
      <c r="GV12">
        <v>453.49999999959999</v>
      </c>
      <c r="GW12">
        <v>1</v>
      </c>
      <c r="GX12">
        <v>118.2000000008</v>
      </c>
      <c r="GY12">
        <v>115.8999999989</v>
      </c>
      <c r="GZ12">
        <v>115.8999999989</v>
      </c>
      <c r="HA12">
        <v>122.4000000002</v>
      </c>
      <c r="HB12">
        <v>117.60758460949999</v>
      </c>
      <c r="HC12">
        <v>-6.5000000013000001</v>
      </c>
      <c r="HD12">
        <v>453.49997795130002</v>
      </c>
      <c r="HE12">
        <v>303.69839047519997</v>
      </c>
      <c r="HF12">
        <v>101.2646125017</v>
      </c>
      <c r="HG12">
        <v>453.59999999889999</v>
      </c>
      <c r="HH12">
        <v>453.49999999959999</v>
      </c>
      <c r="HI12">
        <v>453.59999999889999</v>
      </c>
      <c r="HJ12">
        <v>453.49999999959999</v>
      </c>
      <c r="HK12">
        <v>110.26392961880001</v>
      </c>
      <c r="HL12">
        <v>3.3630142417000002</v>
      </c>
      <c r="HM12">
        <v>3.2879375</v>
      </c>
      <c r="HN12">
        <v>3.322797123</v>
      </c>
      <c r="HO12">
        <v>3.1280614822000001</v>
      </c>
      <c r="HP12">
        <v>3.5402934900999998</v>
      </c>
      <c r="HQ12">
        <v>2.2594512532</v>
      </c>
      <c r="HR12">
        <v>16.3429721079</v>
      </c>
      <c r="HS12">
        <v>-30.4985337243</v>
      </c>
      <c r="HT12">
        <v>-208</v>
      </c>
      <c r="HU12">
        <v>421.30597508469998</v>
      </c>
      <c r="HV12">
        <v>93.841642228699996</v>
      </c>
      <c r="HW12">
        <v>640</v>
      </c>
      <c r="HX12">
        <v>16.3429721079</v>
      </c>
      <c r="HY12">
        <v>-30.4985337243</v>
      </c>
      <c r="HZ12">
        <v>-208</v>
      </c>
      <c r="IA12">
        <v>421.30597508469998</v>
      </c>
      <c r="IB12">
        <v>93.841642228699996</v>
      </c>
      <c r="IC12">
        <v>640</v>
      </c>
      <c r="ID12">
        <v>32.194024914899998</v>
      </c>
      <c r="IE12">
        <v>0.30176386259999999</v>
      </c>
      <c r="IF12">
        <v>-39.8826979472</v>
      </c>
      <c r="IG12">
        <v>-272</v>
      </c>
      <c r="IH12">
        <v>444.18668283390002</v>
      </c>
      <c r="II12">
        <v>103.22580645159999</v>
      </c>
      <c r="IJ12">
        <v>704</v>
      </c>
      <c r="IK12">
        <v>404.96300297689999</v>
      </c>
      <c r="IL12">
        <v>124.3401759531</v>
      </c>
      <c r="IM12">
        <v>429.94810935880002</v>
      </c>
      <c r="IN12">
        <v>133.724340176</v>
      </c>
      <c r="IO12">
        <v>6.9999999996</v>
      </c>
      <c r="IP12">
        <v>6.1000000004999997</v>
      </c>
      <c r="IQ12">
        <v>9.2000000003999993</v>
      </c>
      <c r="IR12">
        <v>5.5449268189999996</v>
      </c>
      <c r="IS12">
        <v>5.5449268189999996</v>
      </c>
      <c r="IT12">
        <v>5.1999999996000001</v>
      </c>
      <c r="IU12">
        <v>-32.844574780099997</v>
      </c>
      <c r="IV12">
        <v>8.8999999989000003</v>
      </c>
      <c r="IW12">
        <v>56.304985337200002</v>
      </c>
      <c r="IX12">
        <v>7.8000000011999999</v>
      </c>
      <c r="IY12">
        <v>100.87976539589999</v>
      </c>
      <c r="IZ12">
        <v>-35.766897064399998</v>
      </c>
      <c r="JA12">
        <v>0.33678666390000001</v>
      </c>
      <c r="JB12">
        <v>-3.544369E-4</v>
      </c>
      <c r="JC12">
        <v>6.7550000000000003E-7</v>
      </c>
      <c r="JD12">
        <v>0.29735229410000003</v>
      </c>
      <c r="JE12">
        <v>0.22007125399999999</v>
      </c>
      <c r="JF12">
        <v>0.10213740960000001</v>
      </c>
      <c r="JG12">
        <v>117.969240622</v>
      </c>
      <c r="JH12">
        <v>3.5402934900999998</v>
      </c>
      <c r="JI12">
        <v>3.4266175E-3</v>
      </c>
      <c r="JJ12">
        <v>-7.2825599999999996E-5</v>
      </c>
      <c r="JK12">
        <v>3.3630142417000002</v>
      </c>
      <c r="JL12">
        <v>1.1318591462000001</v>
      </c>
      <c r="JM12">
        <v>0.49384153710000001</v>
      </c>
      <c r="JN12" t="s">
        <v>585</v>
      </c>
      <c r="JQ12">
        <v>1</v>
      </c>
    </row>
    <row r="13" spans="1:277">
      <c r="A13" t="s">
        <v>666</v>
      </c>
      <c r="B13" t="s">
        <v>667</v>
      </c>
      <c r="C13" t="s">
        <v>212</v>
      </c>
      <c r="D13">
        <v>3</v>
      </c>
      <c r="E13" t="s">
        <v>213</v>
      </c>
      <c r="F13" t="s">
        <v>214</v>
      </c>
      <c r="G13" t="s">
        <v>584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2.0999999997000001</v>
      </c>
      <c r="R13">
        <v>1.8999999993000001</v>
      </c>
      <c r="S13">
        <v>1.8</v>
      </c>
      <c r="T13">
        <v>1.5999999996000001</v>
      </c>
      <c r="U13">
        <v>1.6999999989000001</v>
      </c>
      <c r="V13">
        <v>1.8</v>
      </c>
      <c r="W13">
        <v>1.8999999993000001</v>
      </c>
      <c r="X13">
        <v>1.8</v>
      </c>
      <c r="Y13">
        <v>1.6999999989000001</v>
      </c>
      <c r="Z13">
        <v>1.5999999996000001</v>
      </c>
      <c r="AA13">
        <v>1.5999999996000001</v>
      </c>
      <c r="AB13">
        <v>1.6999999989000001</v>
      </c>
      <c r="AC13">
        <v>1.5999999996000001</v>
      </c>
      <c r="AD13">
        <v>1.4999999985000001</v>
      </c>
      <c r="AE13">
        <v>0.89999999909999995</v>
      </c>
      <c r="AF13">
        <v>0.39999999899999999</v>
      </c>
      <c r="AG13">
        <v>0</v>
      </c>
      <c r="AH13">
        <v>1.3999999992000001</v>
      </c>
      <c r="AI13">
        <v>6.9999999996</v>
      </c>
      <c r="AJ13">
        <v>13.1000000001</v>
      </c>
      <c r="AK13">
        <v>19.499999998500002</v>
      </c>
      <c r="AL13">
        <v>26.799999999600001</v>
      </c>
      <c r="AM13">
        <v>34.599999998999998</v>
      </c>
      <c r="AN13">
        <v>41.999999999499998</v>
      </c>
      <c r="AO13">
        <v>49.599999998500003</v>
      </c>
      <c r="AP13">
        <v>57.999999999099998</v>
      </c>
      <c r="AQ13">
        <v>65.499999998800007</v>
      </c>
      <c r="AR13">
        <v>72.799999999899995</v>
      </c>
      <c r="AS13">
        <v>80.799999999700006</v>
      </c>
      <c r="AT13">
        <v>89.099999999199994</v>
      </c>
      <c r="AU13">
        <v>97.099999999000005</v>
      </c>
      <c r="AV13">
        <v>105.8999999987</v>
      </c>
      <c r="AW13">
        <v>114.2999999993</v>
      </c>
      <c r="AX13">
        <v>122.4000000002</v>
      </c>
      <c r="AY13">
        <v>130.6999999997</v>
      </c>
      <c r="AZ13">
        <v>139.4</v>
      </c>
      <c r="BA13">
        <v>147.4999999991</v>
      </c>
      <c r="BB13">
        <v>156.79999999879999</v>
      </c>
      <c r="BC13">
        <v>165.1000000002</v>
      </c>
      <c r="BD13">
        <v>173.19999999929999</v>
      </c>
      <c r="BE13">
        <v>180.89999999939999</v>
      </c>
      <c r="BF13">
        <v>189.4999999986</v>
      </c>
      <c r="BG13">
        <v>197.5999999995</v>
      </c>
      <c r="BH13">
        <v>206.3999999991</v>
      </c>
      <c r="BI13">
        <v>214.79999999969999</v>
      </c>
      <c r="BJ13">
        <v>222.89999999880001</v>
      </c>
      <c r="BK13">
        <v>230.29999999930001</v>
      </c>
      <c r="BL13">
        <v>238.6999999999</v>
      </c>
      <c r="BM13">
        <v>246.5999999986</v>
      </c>
      <c r="BN13">
        <v>254.99999999920001</v>
      </c>
      <c r="BO13">
        <v>263.3999999998</v>
      </c>
      <c r="BP13">
        <v>271.09999999989998</v>
      </c>
      <c r="BQ13">
        <v>278.89999999930001</v>
      </c>
      <c r="BR13">
        <v>285.79999999969999</v>
      </c>
      <c r="BS13">
        <v>293.70000000020002</v>
      </c>
      <c r="BT13">
        <v>301.0999999988</v>
      </c>
      <c r="BU13">
        <v>308.49999999919999</v>
      </c>
      <c r="BV13">
        <v>316.49999999900001</v>
      </c>
      <c r="BW13">
        <v>323.699999999</v>
      </c>
      <c r="BX13">
        <v>330.69999999859999</v>
      </c>
      <c r="BY13">
        <v>336.99999999950001</v>
      </c>
      <c r="BZ13">
        <v>344.19999999949999</v>
      </c>
      <c r="CA13">
        <v>350.69999999909999</v>
      </c>
      <c r="CB13">
        <v>357.39999999899999</v>
      </c>
      <c r="CC13">
        <v>364.99999999980002</v>
      </c>
      <c r="CD13">
        <v>370.89999999989999</v>
      </c>
      <c r="CE13">
        <v>377.199999999</v>
      </c>
      <c r="CF13">
        <v>383.7999999996</v>
      </c>
      <c r="CG13">
        <v>389.19999999959998</v>
      </c>
      <c r="CH13">
        <v>395.69999999909999</v>
      </c>
      <c r="CI13">
        <v>401.29999999950002</v>
      </c>
      <c r="CJ13">
        <v>407.59999999860003</v>
      </c>
      <c r="CK13">
        <v>414.29999999850003</v>
      </c>
      <c r="CL13">
        <v>419.3999999989</v>
      </c>
      <c r="CM13">
        <v>425.19999999970003</v>
      </c>
      <c r="CN13">
        <v>430.4999999986</v>
      </c>
      <c r="CO13">
        <v>436.09999999899998</v>
      </c>
      <c r="CP13">
        <v>440.89999999960003</v>
      </c>
      <c r="CQ13">
        <v>446.5999999993</v>
      </c>
      <c r="CR13">
        <v>450.9999999991</v>
      </c>
      <c r="CS13">
        <v>453.2999999992</v>
      </c>
      <c r="CT13">
        <v>453.2999999992</v>
      </c>
      <c r="CU13">
        <v>453.2999999992</v>
      </c>
      <c r="CV13">
        <v>453.39999999849999</v>
      </c>
      <c r="CW13">
        <v>453.1999999999</v>
      </c>
      <c r="CX13">
        <v>453.79999999929998</v>
      </c>
      <c r="CY13">
        <v>453.89999999859998</v>
      </c>
      <c r="CZ13">
        <v>453.79999999929998</v>
      </c>
      <c r="DA13">
        <v>453.7</v>
      </c>
      <c r="DB13">
        <v>454.09999999899998</v>
      </c>
      <c r="DC13">
        <v>454.20000000009998</v>
      </c>
      <c r="DD13">
        <v>454.09999999899998</v>
      </c>
      <c r="DE13">
        <v>454.09999999899998</v>
      </c>
      <c r="DF13">
        <v>454.29999999939997</v>
      </c>
      <c r="DG13">
        <v>2.8000000001999998</v>
      </c>
      <c r="DH13">
        <v>2.5999999998000001</v>
      </c>
      <c r="DI13">
        <v>2.8000000001999998</v>
      </c>
      <c r="DJ13">
        <v>2.5999999998000001</v>
      </c>
      <c r="DK13">
        <v>2.6999999991000001</v>
      </c>
      <c r="DL13">
        <v>2.4999999986999999</v>
      </c>
      <c r="DM13">
        <v>2.4999999986999999</v>
      </c>
      <c r="DN13">
        <v>2.6999999991000001</v>
      </c>
      <c r="DO13">
        <v>2.6999999991000001</v>
      </c>
      <c r="DP13">
        <v>2.5999999998000001</v>
      </c>
      <c r="DQ13">
        <v>2.3999999993999999</v>
      </c>
      <c r="DR13">
        <v>2.4999999986999999</v>
      </c>
      <c r="DS13">
        <v>2.5999999998000001</v>
      </c>
      <c r="DT13">
        <v>2.4999999986999999</v>
      </c>
      <c r="DU13">
        <v>1.8</v>
      </c>
      <c r="DV13">
        <v>1.1999999988000001</v>
      </c>
      <c r="DW13">
        <v>1.1999999988000001</v>
      </c>
      <c r="DX13">
        <v>5.0999999985000004</v>
      </c>
      <c r="DY13">
        <v>11.3999999994</v>
      </c>
      <c r="DZ13">
        <v>18.399999998999998</v>
      </c>
      <c r="EA13">
        <v>25.499999999700002</v>
      </c>
      <c r="EB13">
        <v>33.0999999987</v>
      </c>
      <c r="EC13">
        <v>40.4999999992</v>
      </c>
      <c r="ED13">
        <v>48.699999999399999</v>
      </c>
      <c r="EE13">
        <v>56.4999999988</v>
      </c>
      <c r="EF13">
        <v>63.500000000199996</v>
      </c>
      <c r="EG13">
        <v>70.899999998799998</v>
      </c>
      <c r="EH13">
        <v>79.099999999000005</v>
      </c>
      <c r="EI13">
        <v>87.399999998499993</v>
      </c>
      <c r="EJ13">
        <v>94.999999999300002</v>
      </c>
      <c r="EK13">
        <v>104.4000000002</v>
      </c>
      <c r="EL13">
        <v>111.9999999992</v>
      </c>
      <c r="EM13">
        <v>119.7999999986</v>
      </c>
      <c r="EN13">
        <v>128.49999999889999</v>
      </c>
      <c r="EO13">
        <v>137.1999999992</v>
      </c>
      <c r="EP13">
        <v>145.39999999939999</v>
      </c>
      <c r="EQ13">
        <v>154.79999999840001</v>
      </c>
      <c r="ER13">
        <v>162.89999999939999</v>
      </c>
      <c r="ES13">
        <v>170.5000000002</v>
      </c>
      <c r="ET13">
        <v>179.09999999940001</v>
      </c>
      <c r="EU13">
        <v>188.09999999940001</v>
      </c>
      <c r="EV13">
        <v>196.09999999920001</v>
      </c>
      <c r="EW13">
        <v>205.5</v>
      </c>
      <c r="EX13">
        <v>213.79999999949999</v>
      </c>
      <c r="EY13">
        <v>221.89999999860001</v>
      </c>
      <c r="EZ13">
        <v>229.5999999988</v>
      </c>
      <c r="FA13">
        <v>237.99999999939999</v>
      </c>
      <c r="FB13">
        <v>246.29999999890001</v>
      </c>
      <c r="FC13">
        <v>254.89999999989999</v>
      </c>
      <c r="FD13">
        <v>263.2999999987</v>
      </c>
      <c r="FE13">
        <v>270.99999999879998</v>
      </c>
      <c r="FF13">
        <v>278.09999999950003</v>
      </c>
      <c r="FG13">
        <v>285.6999999985</v>
      </c>
      <c r="FH13">
        <v>293.70000000020002</v>
      </c>
      <c r="FI13">
        <v>301.99999999969998</v>
      </c>
      <c r="FJ13">
        <v>309.90000000020001</v>
      </c>
      <c r="FK13">
        <v>317.19999999949999</v>
      </c>
      <c r="FL13">
        <v>324.09999999979999</v>
      </c>
      <c r="FM13">
        <v>330.5999999993</v>
      </c>
      <c r="FN13">
        <v>337.89999999859998</v>
      </c>
      <c r="FO13">
        <v>344.99999999929997</v>
      </c>
      <c r="FP13">
        <v>352.79999999879999</v>
      </c>
      <c r="FQ13">
        <v>359.59999999979999</v>
      </c>
      <c r="FR13">
        <v>366.59999999939998</v>
      </c>
      <c r="FS13">
        <v>372.5999999988</v>
      </c>
      <c r="FT13">
        <v>378.29999999850003</v>
      </c>
      <c r="FU13">
        <v>384.59999999939998</v>
      </c>
      <c r="FV13">
        <v>391.09999999889999</v>
      </c>
      <c r="FW13">
        <v>397.3999999998</v>
      </c>
      <c r="FX13">
        <v>404.199999999</v>
      </c>
      <c r="FY13">
        <v>410.19999999840002</v>
      </c>
      <c r="FZ13">
        <v>415.99999999929997</v>
      </c>
      <c r="GA13">
        <v>421.3</v>
      </c>
      <c r="GB13">
        <v>426.7</v>
      </c>
      <c r="GC13">
        <v>431.59999999989998</v>
      </c>
      <c r="GD13">
        <v>436.49999999980002</v>
      </c>
      <c r="GE13">
        <v>441.7999999987</v>
      </c>
      <c r="GF13">
        <v>447.00000000009999</v>
      </c>
      <c r="GG13">
        <v>451.99999999929997</v>
      </c>
      <c r="GH13">
        <v>453.79999999929998</v>
      </c>
      <c r="GI13">
        <v>453.89999999859998</v>
      </c>
      <c r="GJ13">
        <v>453.99999999969998</v>
      </c>
      <c r="GK13">
        <v>453.99999999969998</v>
      </c>
      <c r="GL13">
        <v>453.89999999859998</v>
      </c>
      <c r="GM13">
        <v>454.20000000009998</v>
      </c>
      <c r="GN13">
        <v>454.09999999899998</v>
      </c>
      <c r="GO13">
        <v>454.09999999899998</v>
      </c>
      <c r="GP13">
        <v>453.79999999929998</v>
      </c>
      <c r="GQ13">
        <v>454.09999999899998</v>
      </c>
      <c r="GR13">
        <v>454.09999999899998</v>
      </c>
      <c r="GS13">
        <v>454.20000000009998</v>
      </c>
      <c r="GT13">
        <v>454.29999999939997</v>
      </c>
      <c r="GU13">
        <v>454.09999999899998</v>
      </c>
      <c r="GV13">
        <v>454.20000000009998</v>
      </c>
      <c r="GW13">
        <v>1</v>
      </c>
      <c r="GX13">
        <v>114.4000000004</v>
      </c>
      <c r="GY13">
        <v>114.2999999993</v>
      </c>
      <c r="GZ13">
        <v>114.2999999993</v>
      </c>
      <c r="HA13">
        <v>119.7999999986</v>
      </c>
      <c r="HB13">
        <v>115.7172261961</v>
      </c>
      <c r="HC13">
        <v>-5.4999999992999999</v>
      </c>
      <c r="HD13">
        <v>454.20000000009998</v>
      </c>
      <c r="HE13">
        <v>293.5325261415</v>
      </c>
      <c r="HF13">
        <v>95.920033021999998</v>
      </c>
      <c r="HG13">
        <v>454.29999999939997</v>
      </c>
      <c r="HH13">
        <v>454.29997798509999</v>
      </c>
      <c r="HI13">
        <v>454.29999999939997</v>
      </c>
      <c r="HJ13">
        <v>454.29999999939997</v>
      </c>
      <c r="HK13">
        <v>110.26392961880001</v>
      </c>
      <c r="HL13">
        <v>3.4079150414999999</v>
      </c>
      <c r="HM13">
        <v>3.3041856917999999</v>
      </c>
      <c r="HN13">
        <v>3.3806485407000002</v>
      </c>
      <c r="HO13">
        <v>3.2361855686999998</v>
      </c>
      <c r="HP13">
        <v>3.5805711278999999</v>
      </c>
      <c r="HQ13">
        <v>2.3918753103000001</v>
      </c>
      <c r="HR13">
        <v>19.797193174099998</v>
      </c>
      <c r="HS13">
        <v>-28.152492668600001</v>
      </c>
      <c r="HT13">
        <v>-192</v>
      </c>
      <c r="HU13">
        <v>409.2497523376</v>
      </c>
      <c r="HV13">
        <v>89.149560117299998</v>
      </c>
      <c r="HW13">
        <v>608</v>
      </c>
      <c r="HX13">
        <v>19.797193174099998</v>
      </c>
      <c r="HY13">
        <v>-28.152492668600001</v>
      </c>
      <c r="HZ13">
        <v>-192</v>
      </c>
      <c r="IA13">
        <v>409.2497523376</v>
      </c>
      <c r="IB13">
        <v>89.149560117299998</v>
      </c>
      <c r="IC13">
        <v>608</v>
      </c>
      <c r="ID13">
        <v>45.0502256475</v>
      </c>
      <c r="IE13">
        <v>1.5850303E-3</v>
      </c>
      <c r="IF13">
        <v>-37.536656891500002</v>
      </c>
      <c r="IG13">
        <v>-256</v>
      </c>
      <c r="IH13">
        <v>431.23579526679998</v>
      </c>
      <c r="II13">
        <v>98.533724340199996</v>
      </c>
      <c r="IJ13">
        <v>672</v>
      </c>
      <c r="IK13">
        <v>389.4525591634</v>
      </c>
      <c r="IL13">
        <v>117.3020527859</v>
      </c>
      <c r="IM13">
        <v>413.64919097440003</v>
      </c>
      <c r="IN13">
        <v>126.6862170088</v>
      </c>
      <c r="IO13">
        <v>6.9999999996</v>
      </c>
      <c r="IP13">
        <v>5.8000000007999999</v>
      </c>
      <c r="IQ13">
        <v>9.4000000008000004</v>
      </c>
      <c r="IR13">
        <v>5.0423808087999999</v>
      </c>
      <c r="IS13">
        <v>5.0423808087999999</v>
      </c>
      <c r="IT13">
        <v>5.2999999988999997</v>
      </c>
      <c r="IU13">
        <v>-30.4985337243</v>
      </c>
      <c r="IV13">
        <v>9.2000000003999993</v>
      </c>
      <c r="IW13">
        <v>72.727272727300004</v>
      </c>
      <c r="IX13">
        <v>6.4000000002000004</v>
      </c>
      <c r="IY13">
        <v>98.533724340199996</v>
      </c>
      <c r="IZ13">
        <v>-34.522472698800001</v>
      </c>
      <c r="JA13">
        <v>0.32715384780000001</v>
      </c>
      <c r="JB13">
        <v>-3.2095129999999998E-4</v>
      </c>
      <c r="JC13">
        <v>6.3600000000000003E-7</v>
      </c>
      <c r="JD13">
        <v>0.2934345451</v>
      </c>
      <c r="JE13">
        <v>0.23670627229999999</v>
      </c>
      <c r="JF13">
        <v>9.9024909600000002E-2</v>
      </c>
      <c r="JG13">
        <v>116.0396577405</v>
      </c>
      <c r="JH13">
        <v>3.5805711278999999</v>
      </c>
      <c r="JI13">
        <v>3.0484404000000001E-3</v>
      </c>
      <c r="JJ13">
        <v>-7.2651700000000001E-5</v>
      </c>
      <c r="JK13">
        <v>3.4079150414999999</v>
      </c>
      <c r="JL13">
        <v>1.2516834492</v>
      </c>
      <c r="JM13">
        <v>0.46047582619999999</v>
      </c>
      <c r="JN13" t="s">
        <v>585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81.202151169999993</v>
      </c>
      <c r="D16" s="9">
        <f>AVERAGE(C18:C20)</f>
        <v>86.953170706666654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96.073977900000003</v>
      </c>
      <c r="D17" s="9">
        <f>AVERAGE(C21:C23)</f>
        <v>87.182283303333335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90.017806320000005</v>
      </c>
      <c r="D18" s="11">
        <f>AVERAGE(C24:C26)</f>
        <v>83.441281883333332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90.742363310000002</v>
      </c>
      <c r="D19" s="6">
        <f>AVERAGE('Summary(3pcs)'!E34:E35)</f>
        <v>142.58239583078793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80.099342489999998</v>
      </c>
      <c r="D20" s="9">
        <f>AVERAGE('Summary(3pcs)'!E36:E38)</f>
        <v>137.04459144790457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87.683143529999995</v>
      </c>
      <c r="D21" s="9">
        <f>AVERAGE('Summary(3pcs)'!E39:E41)</f>
        <v>141.47781916073788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86.988922450000004</v>
      </c>
      <c r="D22" s="11">
        <f>AVERAGE('Summary(3pcs)'!E42:E44)</f>
        <v>140.17053347930457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86.874783930000007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78.907882970000003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88.511588169999996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82.904374509999997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-2.2466381485000002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2.3852397157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-3.6727246415999999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-5.3743909256000002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-7.7304910803000002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3.4847229725000002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0.23247523319999999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-4.1178708683999998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-2.2271285000000001</v>
      </c>
      <c r="C39" s="5">
        <f>'Summary(3pcs)'!M34</f>
        <v>-2.2466381485000002</v>
      </c>
      <c r="D39" s="11">
        <f t="shared" si="0"/>
        <v>-5.1085018433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2.3852397157</v>
      </c>
      <c r="D40" s="6">
        <f t="shared" si="0"/>
        <v>-5.2450543525000004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-3.6727246415999999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-5.3743909256000002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-2.03279093575</v>
      </c>
      <c r="C43" s="8">
        <f>'Summary(3pcs)'!M39</f>
        <v>-7.7304910803000002</v>
      </c>
      <c r="D43" s="6">
        <f t="shared" ref="D43:D54" si="2">C55</f>
        <v>-2.6687702698000004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3.4847229725000002</v>
      </c>
      <c r="D44" s="9">
        <f t="shared" si="2"/>
        <v>1.8320354700000001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0.23247523319999999</v>
      </c>
      <c r="D45" s="11">
        <f t="shared" si="2"/>
        <v>-15.2708930543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-4.1178708683999998</v>
      </c>
      <c r="D46" s="6">
        <f t="shared" si="2"/>
        <v>-1.0565277804999997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-5.1085018433</v>
      </c>
      <c r="D47" s="9">
        <f t="shared" si="2"/>
        <v>-7.2101163009999993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-5.2450543525000004</v>
      </c>
      <c r="D48" s="11">
        <f t="shared" si="2"/>
        <v>-5.6470412157999998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0.40517862090000012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-6.5555472290000001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-1.9201360766000004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-4.5244471913000002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-4.29103890865</v>
      </c>
      <c r="C55" s="5">
        <f>'Summary(3pcs)'!N34</f>
        <v>-2.6687702698000004</v>
      </c>
      <c r="D55" s="6">
        <f>AVERAGE(D31:D33)</f>
        <v>-1.1780410247999999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1.8320354700000001</v>
      </c>
      <c r="D56" s="9">
        <f>AVERAGE(D34:D36)</f>
        <v>-3.2067196778000002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-15.2708930543</v>
      </c>
      <c r="D57" s="9">
        <f>AVERAGE(D37:D39)</f>
        <v>-2.9979658261666664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-1.0565277804999997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-4.7518815312249991</v>
      </c>
      <c r="C59" s="8">
        <f>'Summary(3pcs)'!N39</f>
        <v>-7.2101163009999993</v>
      </c>
      <c r="D59" s="9">
        <f>AVERAGE(D43:D45)</f>
        <v>-5.369209284700001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-5.6470412157999998</v>
      </c>
      <c r="D60" s="9">
        <f>AVERAGE(D46:D48)</f>
        <v>-4.6378950990999996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0.40517862090000012</v>
      </c>
      <c r="D61" s="9">
        <f>AVERAGE(D49:D51)</f>
        <v>-2.6901682282333339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-6.5555472290000001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-1.9201360766000004</v>
      </c>
      <c r="D63" s="6">
        <f>AVERAGE(C71:C73)</f>
        <v>-4.020744880033333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-4.5244471913000002</v>
      </c>
      <c r="D64" s="9">
        <f>AVERAGE(C74:C76)</f>
        <v>-4.7192130883666659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-2.0395387014000002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-1.9975233276666671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1.6077434321333335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2.1473984718333332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0.87485082943333314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3.8526178201000003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-7.9716360568999995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-0.62259101869999967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-3.4680075645000001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-11.4448862076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5.5436611200000208E-2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-2.7681896686999998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-3.6941037178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-0.7387876511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-1.6857247353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1.1265697478999996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-6.8832917809000005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-0.23584795000000014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8.2887573242000006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-2.5909435451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-0.87458348269999986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5.6764678955000001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1.3428716659999997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-0.57714414600000019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-2.1993665695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-0.75184655189999994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5.5757656096999995</v>
      </c>
    </row>
    <row r="96" spans="1:7">
      <c r="A96" s="1" t="s">
        <v>87</v>
      </c>
      <c r="C96" s="5">
        <f>'Summary(3pcs)'!W43</f>
        <v>7.6093578339000008</v>
      </c>
    </row>
    <row r="97" spans="1:3">
      <c r="A97" s="1" t="s">
        <v>87</v>
      </c>
      <c r="C97" s="8">
        <f>'Summary(3pcs)'!W44</f>
        <v>8.0125131606999993</v>
      </c>
    </row>
    <row r="98" spans="1:3" ht="17.25" thickBot="1">
      <c r="A98" s="1" t="s">
        <v>87</v>
      </c>
      <c r="C98" s="10">
        <f>'Summary(3pcs)'!W45</f>
        <v>-4.0640175342999996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2022-09-23T10:08:57Z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