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<sst xmlns="http://schemas.openxmlformats.org/spreadsheetml/2006/main" count="1473" uniqueCount="710">
  <si>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</si>
  <si>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</si>
  <si>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</si>
  <si>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</si>
  <si>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</si>
  <si>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</si>
  <si>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</si>
  <si>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</si>
  <si>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</si>
  <si>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</si>
  <si>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</si>
  <si>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</si>
  <si>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</si>
  <si>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</si>
  <si>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</si>
  <si>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</si>
  <si>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</si>
  <si>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</si>
  <si>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</si>
  <si>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</si>
  <si>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</si>
  <si>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</si>
  <si>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</si>
  <si>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</si>
  <si>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</si>
  <si>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</si>
  <si>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</si>
  <si>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</si>
  <si>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</si>
  <si>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</si>
  <si>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</si>
  <si>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</si>
  <si>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</si>
  <si>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</si>
  <si>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</si>
  <si>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</si>
  <si>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</si>
  <si>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</si>
  <si>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</si>
  <si>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</si>
  <si>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</si>
  <si>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</si>
  <si>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</si>
  <si>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</si>
  <si>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</si>
  <si>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</si>
  <si>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</si>
  <si>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</si>
  <si>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</si>
  <si>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</si>
  <si>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</si>
  <si>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</si>
  <si>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</si>
  <si>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</si>
  <si>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</si>
  <si>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</si>
  <si>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</si>
  <si>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</si>
  <si>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</si>
  <si>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</si>
  <si>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</si>
  <si>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</si>
  <si>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</si>
  <si>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</si>
  <si>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</si>
  <si>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</si>
  <si>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</si>
  <si>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</si>
  <si>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</si>
  <si>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</si>
  <si>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</si>
  <si>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</si>
  <si>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</si>
  <si>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</si>
  <si>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</si>
  <si>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</si>
  <si>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</si>
  <si>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</si>
  <si>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</si>
  <si>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</si>
  <si>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</si>
  <si>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</si>
  <si>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</si>
  <si>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</si>
  <si>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</si>
  <si>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</si>
  <si>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</si>
  <si>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</si>
  <si>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</si>
  <si>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</si>
  <si>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</si>
  <si>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</si>
  <si>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</si>
  <si>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</si>
  <si>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</si>
  <si>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</si>
  <si>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</si>
  <si>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</si>
  <si>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</si>
  <si>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</si>
  <si>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</si>
  <si>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</si>
  <si>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</si>
  <si>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</si>
  <si>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</si>
  <si>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</si>
  <si>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</si>
  <si>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</si>
  <si>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</si>
  <si>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</si>
  <si>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</si>
  <si>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</si>
  <si>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</si>
  <si>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</si>
  <si>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</si>
  <si>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</si>
  <si>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</si>
  <si>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</si>
  <si>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</si>
  <si>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</si>
  <si>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</si>
  <si>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</si>
  <si>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</si>
  <si>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</si>
  <si>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</si>
  <si>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</si>
  <si>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</si>
  <si>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</si>
  <si>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</si>
  <si>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</si>
  <si>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</si>
  <si>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</si>
  <si>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</si>
  <si>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</si>
  <si>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</si>
  <si>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</si>
  <si>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</si>
  <si>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</si>
  <si>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</si>
  <si>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</si>
  <si>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</si>
  <si>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</si>
  <si>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</si>
  <si>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</si>
  <si>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</si>
  <si>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</si>
  <si>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</si>
  <si>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</si>
  <si>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</si>
  <si>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</si>
  <si>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</si>
  <si>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</si>
  <si>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</si>
  <si>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</si>
  <si>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</si>
  <si>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</si>
  <si>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</si>
  <si>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</si>
  <si>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</si>
  <si>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</si>
  <si>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</si>
  <si>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</si>
  <si>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</si>
  <si>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</si>
  <si>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</si>
  <si>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</si>
  <si>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</si>
  <si>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</si>
  <si>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</si>
  <si>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</si>
  <si>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</si>
  <si>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D:\EVMS\TP\ELOG\VSY832ZN9P11_2022092321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</si>
  <si>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</si>
  <si>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</si>
  <si>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</si>
  <si>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</si>
  <si>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</si>
  <si>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</si>
  <si>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</si>
  <si>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</si>
  <si>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</si>
  <si>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</si>
  <si>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</si>
  <si>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</si>
  <si>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</si>
  <si>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</si>
  <si>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</si>
  <si>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</si>
  <si>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</si>
  <si>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</si>
  <si>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</si>
  <si>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</si>
  <si>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</si>
  <si>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</si>
  <si>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</si>
  <si>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</si>
  <si>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</si>
  <si>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</si>
  <si>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</si>
  <si>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</si>
  <si>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</si>
  <si>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</si>
  <si>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</si>
  <si>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</si>
  <si>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</si>
  <si>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</si>
  <si>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</si>
  <si>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</si>
  <si>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</si>
  <si>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T220923212104939VCMLEBC040</t>
  </si>
  <si>
    <t>'20220923212106</t>
  </si>
  <si>
    <t>'2022-09-23 21:21:14:354</t>
  </si>
  <si>
    <t>VCMLEBC040A</t>
  </si>
  <si>
    <t>DB_M_C2001</t>
  </si>
  <si>
    <t>220217A</t>
  </si>
  <si>
    <t>EPSSWEXCEPTION_POR_R22A_OC_MFG_C20_22051701_5d43eac</t>
  </si>
  <si>
    <t>VSY832ZN9P11</t>
  </si>
  <si>
    <t>22cb63240076</t>
  </si>
  <si>
    <t>0x5240fe6283690b03</t>
  </si>
  <si>
    <t>AS5C363201A1D7B2A639038001</t>
  </si>
  <si>
    <t>AJ5C3462A406C1B3A646</t>
  </si>
  <si>
    <t>DNA22237072100F02A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</si>
  <si>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</si>
  <si>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</si>
  <si>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</si>
  <si>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</si>
  <si>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</si>
  <si>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</si>
  <si>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</si>
  <si>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</si>
  <si>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</si>
  <si>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</si>
  <si>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</si>
  <si>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</si>
  <si>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</si>
  <si>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</si>
  <si>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</si>
  <si>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</si>
  <si>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</si>
  <si>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</si>
  <si>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</si>
  <si>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</si>
  <si>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</si>
  <si>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</si>
  <si>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</si>
  <si>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</si>
  <si>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</si>
  <si>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</si>
  <si>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</si>
  <si>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</si>
  <si>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</si>
  <si>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</si>
  <si>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</si>
  <si>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</si>
  <si>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</si>
  <si>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</si>
  <si>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</si>
  <si>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</si>
  <si>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</si>
  <si>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T220923212132123VCMLEBC040</t>
  </si>
  <si>
    <t>'20220923212133</t>
  </si>
  <si>
    <t>'2022-09-23 21:22:02:369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</si>
  <si>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</si>
  <si>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</si>
  <si>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</si>
  <si>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</si>
  <si>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</si>
  <si>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</si>
  <si>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</si>
  <si>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</si>
  <si>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</si>
  <si>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</si>
  <si>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</si>
  <si>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</si>
  <si>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</si>
  <si>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</si>
  <si>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</si>
  <si>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</si>
  <si>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21:21:52:343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</si>
  <si>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</si>
  <si>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</si>
  <si>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</si>
  <si>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</si>
  <si>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</si>
  <si>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</si>
  <si>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</si>
  <si>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</si>
  <si>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</si>
  <si>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</si>
  <si>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</si>
  <si>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</si>
  <si>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</si>
  <si>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</si>
  <si>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</si>
  <si>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</si>
  <si>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</si>
  <si>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</si>
  <si>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</si>
  <si>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</si>
  <si>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</si>
  <si>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</si>
  <si>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</si>
  <si>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</si>
  <si>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</si>
  <si>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</si>
  <si>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</si>
  <si>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</si>
  <si>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</si>
  <si>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</si>
  <si>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</si>
  <si>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</si>
  <si>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</si>
  <si>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</si>
  <si>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</si>
  <si>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</si>
  <si>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</si>
  <si>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</si>
  <si>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</si>
  <si>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</si>
  <si>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</si>
  <si>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</si>
  <si>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</si>
  <si>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</si>
  <si>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</si>
  <si>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</si>
  <si>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</si>
  <si>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</si>
  <si>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</si>
  <si>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</si>
  <si>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</si>
  <si>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</si>
  <si>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</si>
  <si>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</si>
  <si>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</si>
  <si>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</si>
  <si>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</si>
  <si>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</si>
  <si>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</si>
  <si>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</si>
  <si>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</si>
  <si>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</si>
  <si>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</si>
  <si>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</si>
  <si>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</si>
  <si>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</si>
  <si>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</si>
  <si>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</si>
  <si>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</si>
  <si>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</si>
  <si>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</si>
  <si>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</si>
  <si>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</si>
  <si>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</si>
  <si>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</si>
  <si>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</si>
  <si>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</si>
  <si>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</si>
  <si>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</si>
  <si>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</si>
  <si>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</si>
  <si>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</si>
  <si>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</si>
  <si>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</si>
  <si>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</si>
  <si>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</si>
  <si>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</si>
  <si>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</si>
  <si>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</si>
  <si>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</si>
  <si>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</si>
  <si>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</si>
  <si>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</si>
  <si>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</si>
  <si>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</si>
  <si>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</si>
  <si>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</si>
  <si>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</si>
  <si>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</si>
  <si>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</si>
  <si>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</si>
  <si>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</si>
  <si>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</si>
  <si>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</si>
  <si>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</si>
  <si>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</si>
  <si>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</si>
  <si>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</si>
  <si>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</si>
  <si>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</si>
  <si>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</si>
  <si>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</si>
  <si>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</si>
  <si>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</si>
  <si>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</si>
  <si>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</si>
  <si>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</si>
  <si>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</si>
  <si>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</si>
  <si>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</si>
  <si>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</si>
  <si>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</si>
  <si>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</si>
  <si>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</si>
  <si>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</si>
  <si>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</si>
  <si>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</si>
  <si>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</si>
  <si>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</si>
  <si>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</si>
  <si>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</si>
  <si>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</si>
  <si>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</si>
  <si>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</si>
  <si>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</si>
  <si>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</si>
  <si>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</si>
  <si>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</si>
  <si>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</si>
  <si>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</si>
  <si>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</si>
  <si>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</si>
  <si>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</si>
  <si>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</si>
  <si>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</si>
  <si>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</si>
  <si>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</si>
  <si>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</si>
  <si>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</si>
  <si>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</si>
  <si>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</si>
  <si>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</si>
  <si>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</si>
  <si>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</si>
  <si>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</si>
  <si>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</si>
  <si>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</si>
  <si>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</si>
  <si>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</si>
  <si>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</si>
  <si>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</si>
  <si>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</si>
  <si>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</si>
  <si>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</si>
  <si>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</si>
  <si>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</si>
  <si>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</si>
  <si>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</si>
  <si>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</si>
  <si>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</si>
  <si>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</si>
  <si>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</si>
  <si>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</si>
  <si>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</si>
  <si>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</si>
  <si>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</si>
  <si>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</si>
  <si>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</si>
  <si>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</si>
  <si>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</si>
  <si>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</si>
  <si>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</si>
  <si>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</si>
  <si>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</si>
  <si>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</si>
  <si>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</si>
  <si>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</si>
  <si>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</si>
  <si>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</si>
  <si>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</si>
  <si>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</si>
  <si>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</si>
  <si>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</si>
  <si>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</si>
  <si>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</si>
  <si>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</si>
  <si>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</si>
  <si>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</si>
  <si>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</si>
  <si>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</si>
  <si>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</si>
  <si>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</si>
  <si>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</si>
  <si>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</si>
  <si>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</si>
  <si>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</si>
  <si>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</si>
  <si>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</si>
  <si>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</si>
  <si>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</si>
  <si>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</si>
  <si>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</si>
  <si>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</si>
  <si>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</si>
  <si>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</si>
  <si>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</si>
  <si>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</si>
  <si>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</si>
  <si>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</si>
  <si>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</si>
  <si>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</si>
  <si>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</si>
  <si>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</si>
  <si>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</si>
  <si>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</si>
  <si>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</si>
  <si>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</si>
  <si>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</si>
  <si>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</si>
  <si>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</si>
  <si>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</si>
  <si>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</si>
  <si>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</si>
  <si>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</si>
  <si>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</si>
  <si>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</si>
  <si>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</si>
  <si>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</si>
  <si>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</si>
  <si>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</si>
  <si>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</si>
  <si>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</si>
  <si>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</si>
  <si>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</si>
  <si>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</si>
  <si>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</si>
  <si>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</si>
  <si>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</si>
  <si>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</si>
  <si>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</si>
  <si>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</si>
  <si>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</si>
  <si>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</si>
  <si>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</si>
  <si>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</si>
  <si>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</si>
  <si>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</si>
  <si>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</si>
  <si>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</si>
  <si>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</si>
  <si>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T220923212117308VCMLEBC040</t>
  </si>
  <si>
    <t>'20220923212118</t>
  </si>
  <si>
    <t>'2022-09-23 21:21:29:869</t>
  </si>
  <si>
    <t>EPSSWEXCEPTION_POR_R22A_IPQC_MFG_Laser_C20_22051701_5d43eac</t>
  </si>
  <si>
    <t>v9p402</t>
  </si>
  <si>
    <t>AG</t>
  </si>
  <si>
    <t>T220923212211558VCMLEBC040</t>
  </si>
  <si>
    <t>'20220923212213</t>
  </si>
  <si>
    <t>'2022-09-23 21:22:20:877</t>
  </si>
  <si>
    <t>22cb63240174</t>
  </si>
  <si>
    <t>0x5240fe62836ab805</t>
  </si>
  <si>
    <t>AS5C3632019KD7B29541038013</t>
  </si>
  <si>
    <t>AJ5C346214E0C4B3A652</t>
  </si>
  <si>
    <t>DNA22233022450B08A</t>
  </si>
  <si>
    <t>T220923212318372VCMLEBC040</t>
  </si>
  <si>
    <t>'20220923212320</t>
  </si>
  <si>
    <t>'2022-09-23 21:23:27:607</t>
  </si>
  <si>
    <t>22cb63240394</t>
  </si>
  <si>
    <t>0x5240fe62836a9b05</t>
  </si>
  <si>
    <t>AS5C3631F1B4D7B2A139111034</t>
  </si>
  <si>
    <t>AJ5C34628405C1B3A644</t>
  </si>
  <si>
    <t>DNA22237072100F06A</t>
  </si>
  <si>
    <t>T220923212238655VCMLEBC040</t>
  </si>
  <si>
    <t>'20220923212240</t>
  </si>
  <si>
    <t>'2022-09-23 21:23:09:495</t>
  </si>
  <si>
    <t>'2022-09-23 21:22:59:468</t>
  </si>
  <si>
    <t>T220923212223937VCMLEBC040</t>
  </si>
  <si>
    <t>'20220923212225</t>
  </si>
  <si>
    <t>'2022-09-23 21:22:36:494</t>
  </si>
  <si>
    <t>T220923212330411VCMLEBC040</t>
  </si>
  <si>
    <t>'20220923212332</t>
  </si>
  <si>
    <t>'2022-09-23 21:23:42:964</t>
  </si>
  <si>
    <t>T220923212345219VCMLEBC040</t>
  </si>
  <si>
    <t>'20220923212346</t>
  </si>
  <si>
    <t>'2022-09-23 21:24:16:122</t>
  </si>
  <si>
    <t>'2022-09-23 21:24:06:095</t>
  </si>
  <si>
    <t>T220923212427010VCMLEBC040</t>
  </si>
  <si>
    <t>'20220923212428</t>
  </si>
  <si>
    <t>'2022-09-23 21:24:35:953</t>
  </si>
  <si>
    <t>22cb63240853</t>
  </si>
  <si>
    <t>0x5240fe62836ab501</t>
  </si>
  <si>
    <t>AS5C3631F1B0D7B2A538113013</t>
  </si>
  <si>
    <t>AJ5C346283NKC4B3A641</t>
  </si>
  <si>
    <t>DNA22237072250E02A</t>
  </si>
  <si>
    <t>T220923210253066VCMLEBC040</t>
  </si>
  <si>
    <t>'20220923210254</t>
  </si>
  <si>
    <t>'2022-09-23 21:03:22:739</t>
  </si>
  <si>
    <t>'2022-09-23 21:03:12:717</t>
  </si>
  <si>
    <t>T220923210238261VCMLEBC040</t>
  </si>
  <si>
    <t>'20220923210239</t>
  </si>
  <si>
    <t>'2022-09-23 21:02:50:830</t>
  </si>
  <si>
    <t>T220923210340514VCMLEBC040</t>
  </si>
  <si>
    <t>'20220923210342</t>
  </si>
  <si>
    <t>'2022-09-23 21:03:49:488</t>
  </si>
  <si>
    <t>22cb63240610</t>
  </si>
  <si>
    <t>0x5240fe62836aad05</t>
  </si>
  <si>
    <t>AS5C3631F1AND7B2A537024033</t>
  </si>
  <si>
    <t>AJ5C346214DBC3B3A658</t>
  </si>
  <si>
    <t>DNA22233022450D13A</t>
  </si>
  <si>
    <t>T220923210352257VCMLEBC040</t>
  </si>
  <si>
    <t>'20220923210353</t>
  </si>
  <si>
    <t>'2022-09-23 21:04:04:821</t>
  </si>
  <si>
    <t>T220923210406991VCMLEBC040</t>
  </si>
  <si>
    <t>'20220923210408</t>
  </si>
  <si>
    <t>'2022-09-23 21:04:36:606</t>
  </si>
  <si>
    <t>'2022-09-23 21:04:26:582</t>
  </si>
  <si>
    <t>T220923210445746VCMLEBC040</t>
  </si>
  <si>
    <t>'20220923210447</t>
  </si>
  <si>
    <t>'2022-09-23 21:04:54:641</t>
  </si>
  <si>
    <t>22cb63230744</t>
  </si>
  <si>
    <t>0x5240fe62836aa207</t>
  </si>
  <si>
    <t>AS5C363211ADD7B2A638001102</t>
  </si>
  <si>
    <t>AJ5C346204E8C2B3A642</t>
  </si>
  <si>
    <t>DNA22233022450C13A</t>
  </si>
  <si>
    <t>T220923210457454VCMLEBC040</t>
  </si>
  <si>
    <t>'20220923210459</t>
  </si>
  <si>
    <t>'2022-09-23 21:05:10:010</t>
  </si>
  <si>
    <t>T220923210637149VCMLEBC040</t>
  </si>
  <si>
    <t>'20220923210638</t>
  </si>
  <si>
    <t>'2022-09-23 21:06:46:057</t>
  </si>
  <si>
    <t>22cb63240784</t>
  </si>
  <si>
    <t>0x5240fe628368f905</t>
  </si>
  <si>
    <t>AS5C3631F1ALD7B2A544038028</t>
  </si>
  <si>
    <t>AJ5C346214DCC4B3A651</t>
  </si>
  <si>
    <t>DNA22233022450E02A</t>
  </si>
  <si>
    <t>T220923210512261VCMLEBC040</t>
  </si>
  <si>
    <t>'20220923210513</t>
  </si>
  <si>
    <t>'2022-09-23 21:05:42:818</t>
  </si>
  <si>
    <t>'2022-09-23 21:05:32:791</t>
  </si>
  <si>
    <t>T220923210648827VCMLEBC040</t>
  </si>
  <si>
    <t>'20220923210650</t>
  </si>
  <si>
    <t>'2022-09-23 21:07:01:385</t>
  </si>
  <si>
    <t>T220923210703549VCMLEBC040</t>
  </si>
  <si>
    <t>'20220923210705</t>
  </si>
  <si>
    <t>'2022-09-23 21:07:33:217</t>
  </si>
  <si>
    <t>'2022-09-23 21:07:23:193</t>
  </si>
  <si>
    <t>T220923210743109VCMLEBC040</t>
  </si>
  <si>
    <t>'20220923210744</t>
  </si>
  <si>
    <t>'2022-09-23 21:07:52:000</t>
  </si>
  <si>
    <t>22cb63240002</t>
  </si>
  <si>
    <t>0x5240fe62836ab207</t>
  </si>
  <si>
    <t>AS5C363211AAD7B29636001085</t>
  </si>
  <si>
    <t>AJ5C346214DDC1B3A650</t>
  </si>
  <si>
    <t>DNA22233022450C14A</t>
  </si>
  <si>
    <t>T220923210755663VCMLEBC040</t>
  </si>
  <si>
    <t>'20220923210757</t>
  </si>
  <si>
    <t>'2022-09-23 21:08:08:217</t>
  </si>
  <si>
    <t>T220923210810469VCMLEBC040</t>
  </si>
  <si>
    <t>'20220923210812</t>
  </si>
  <si>
    <t>'2022-09-23 21:08:40:881</t>
  </si>
  <si>
    <t>'2022-09-23 21:08:30:855</t>
  </si>
  <si>
    <t>T220923210900086VCMLEBC040</t>
  </si>
  <si>
    <t>'20220923210901</t>
  </si>
  <si>
    <t>'2022-09-23 21:09:09:031</t>
  </si>
  <si>
    <t>22cb63240810</t>
  </si>
  <si>
    <t>0x5240fe62836a9a03</t>
  </si>
  <si>
    <t>AS5C3632019LD7B29935012006</t>
  </si>
  <si>
    <t>AJ5C346204EKC1B3A640</t>
  </si>
  <si>
    <t>DNA22233022450A14A</t>
  </si>
  <si>
    <t>T220923210911824VCMLEBC040</t>
  </si>
  <si>
    <t>'20220923210913</t>
  </si>
  <si>
    <t>'2022-09-23 21:09:24:377</t>
  </si>
  <si>
    <t>T220923211010717VCMLEBC040</t>
  </si>
  <si>
    <t>'20220923211012</t>
  </si>
  <si>
    <t>'2022-09-23 21:10:19:620</t>
  </si>
  <si>
    <t>22cb63240039</t>
  </si>
  <si>
    <t>0x5240fe62836aa403</t>
  </si>
  <si>
    <t>AS5C3631F1AMD7B2A142047030</t>
  </si>
  <si>
    <t>AJ5C3461F4FEC2B3A647</t>
  </si>
  <si>
    <t>DNA22233022450F05A</t>
  </si>
  <si>
    <t>T220923210926535VCMLEBC040</t>
  </si>
  <si>
    <t>'20220923210928</t>
  </si>
  <si>
    <t>'2022-09-23 21:09:57:190</t>
  </si>
  <si>
    <t>'2022-09-23 21:09:47:167</t>
  </si>
  <si>
    <t>T220923211119501VCMLEBC040</t>
  </si>
  <si>
    <t>'20220923211121</t>
  </si>
  <si>
    <t>'2022-09-23 21:11:28:408</t>
  </si>
  <si>
    <t>22cb63240811</t>
  </si>
  <si>
    <t>0x5240fe62836a8707</t>
  </si>
  <si>
    <t>AS5C3632019JD7B2A435025028</t>
  </si>
  <si>
    <t>AJ5C3461F4G2C3B3A650</t>
  </si>
  <si>
    <t>DNA22233022410K10A</t>
  </si>
  <si>
    <t>T220923211037235VCMLEBC040</t>
  </si>
  <si>
    <t>'20220923211038</t>
  </si>
  <si>
    <t>'2022-09-23 21:11:07:792</t>
  </si>
  <si>
    <t>'2022-09-23 21:10:57:769</t>
  </si>
  <si>
    <t>T220923211022428VCMLEBC040</t>
  </si>
  <si>
    <t>'20220923211024</t>
  </si>
  <si>
    <t>'2022-09-23 21:10:34:983</t>
  </si>
  <si>
    <t>T220923211131225VCMLEBC040</t>
  </si>
  <si>
    <t>'20220923211132</t>
  </si>
  <si>
    <t>'2022-09-23 21:11:43:780</t>
  </si>
  <si>
    <t>T220923211146031VCMLEBC040</t>
  </si>
  <si>
    <t>'20220923211147</t>
  </si>
  <si>
    <t>'2022-09-23 21:12:15:709</t>
  </si>
  <si>
    <t>'2022-09-23 21:12:05:683</t>
  </si>
  <si>
    <t>T220923211225357VCMLEBC040</t>
  </si>
  <si>
    <t>'20220923211226</t>
  </si>
  <si>
    <t>'2022-09-23 21:12:34:200</t>
  </si>
  <si>
    <t>22cb63230273</t>
  </si>
  <si>
    <t>0x5240fe6283691307</t>
  </si>
  <si>
    <t>AS5C3631F1B3D7B2A440016026</t>
  </si>
  <si>
    <t>AJ5C346214DAC2B3A646</t>
  </si>
  <si>
    <t>DNA22233022450F01A</t>
  </si>
  <si>
    <t>T220923211251821VCMLEBC040</t>
  </si>
  <si>
    <t>'20220923211253</t>
  </si>
  <si>
    <t>'2022-09-23 21:13:22:312</t>
  </si>
  <si>
    <t>'2022-09-23 21:13:12:282</t>
  </si>
  <si>
    <t>T220923211237018VCMLEBC040</t>
  </si>
  <si>
    <t>'20220923211238</t>
  </si>
  <si>
    <t>'2022-09-23 21:12:49:580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</si>
</sst>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-5.3888426636000002</c:v>
                </c:pt>
                <c:pt idx="1">
                  <c:v>0.18735834309999999</c:v>
                </c:pt>
                <c:pt idx="2">
                  <c:v>-5.1329692128</c:v>
                </c:pt>
                <c:pt idx="3">
                  <c:v>-1.2690939922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9.2288751110000007</c:v>
                </c:pt>
                <c:pt idx="1">
                  <c:v>-1.5941742106000003</c:v>
                </c:pt>
                <c:pt idx="2">
                  <c:v>4.8032312741999998</c:v>
                </c:pt>
                <c:pt idx="3">
                  <c:v>-3.9653935344000004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-3.4448178444333331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4.1459773915333331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12192"/>
        <c:axId val="60350848"/>
      </c:scatterChart>
      <c:valAx>
        <c:axId val="603121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50848"/>
        <c:crosses val="autoZero"/>
        <c:crossBetween val="midCat"/>
        <c:majorUnit val="10"/>
      </c:valAx>
      <c:valAx>
        <c:axId val="603508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1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-0.68114217129999999</c:v>
                </c:pt>
                <c:pt idx="1">
                  <c:v>4.2519399663000002</c:v>
                </c:pt>
                <c:pt idx="2">
                  <c:v>-2.9697020921999999</c:v>
                </c:pt>
                <c:pt idx="3">
                  <c:v>2.8923615969999998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3.2259084470000001</c:v>
                </c:pt>
                <c:pt idx="1">
                  <c:v>2.7255788869000002</c:v>
                </c:pt>
                <c:pt idx="2">
                  <c:v>8.8216413891999998</c:v>
                </c:pt>
                <c:pt idx="3">
                  <c:v>4.7043199365000001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0.7672346009333334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0.66203126649999999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01952"/>
        <c:axId val="49903488"/>
      </c:scatterChart>
      <c:valAx>
        <c:axId val="499019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03488"/>
        <c:crosses val="autoZero"/>
        <c:crossBetween val="midCat"/>
        <c:majorUnit val="10"/>
      </c:valAx>
      <c:valAx>
        <c:axId val="499034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01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6.8280863519999997</c:v>
                </c:pt>
                <c:pt idx="1">
                  <c:v>-3.1046998024999999</c:v>
                </c:pt>
                <c:pt idx="2">
                  <c:v>0.25023713060000002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10.580085326500001</c:v>
                </c:pt>
                <c:pt idx="1">
                  <c:v>2.8271399638000001</c:v>
                </c:pt>
                <c:pt idx="2">
                  <c:v>-0.55519557549999998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2.2502486189333335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8.035348884066666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6256"/>
        <c:axId val="49937792"/>
      </c:scatterChart>
      <c:valAx>
        <c:axId val="49936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37792"/>
        <c:crosses val="autoZero"/>
        <c:crossBetween val="midCat"/>
        <c:majorUnit val="10"/>
      </c:valAx>
      <c:valAx>
        <c:axId val="49937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36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9.5808156000000005E-2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6.6300820081000005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-0.91955150529999996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2.9673421321333335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68608"/>
        <c:axId val="60478592"/>
      </c:scatterChart>
      <c:valAx>
        <c:axId val="60468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478592"/>
        <c:crosses val="autoZero"/>
        <c:crossBetween val="midCat"/>
        <c:majorUnit val="10"/>
      </c:valAx>
      <c:valAx>
        <c:axId val="604785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46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91.895899987999996</c:v>
                </c:pt>
                <c:pt idx="1">
                  <c:v>88.685008315900006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92.650261833166667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21472"/>
        <c:axId val="60527360"/>
      </c:scatterChart>
      <c:valAx>
        <c:axId val="6052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7360"/>
        <c:crosses val="autoZero"/>
        <c:crossBetween val="midCat"/>
      </c:valAx>
      <c:valAx>
        <c:axId val="605273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97.369877195599997</c:v>
                </c:pt>
                <c:pt idx="1">
                  <c:v>95.430815564699998</c:v>
                </c:pt>
                <c:pt idx="2">
                  <c:v>89.545704951800005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92.874093483199999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4192"/>
        <c:axId val="60905728"/>
      </c:scatterChart>
      <c:valAx>
        <c:axId val="6090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05728"/>
        <c:crosses val="autoZero"/>
        <c:crossBetween val="midCat"/>
      </c:valAx>
      <c:valAx>
        <c:axId val="609057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0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93.645759933099995</c:v>
                </c:pt>
                <c:pt idx="1">
                  <c:v>88.775991528899993</c:v>
                </c:pt>
                <c:pt idx="2">
                  <c:v>95.149721386300001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92.272244851099984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46688"/>
        <c:axId val="60825600"/>
      </c:scatterChart>
      <c:valAx>
        <c:axId val="609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25600"/>
        <c:crosses val="autoZero"/>
        <c:crossBetween val="midCat"/>
      </c:valAx>
      <c:valAx>
        <c:axId val="608256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92.8910216381</c:v>
                </c:pt>
                <c:pt idx="1">
                  <c:v>83.4619411292</c:v>
                </c:pt>
                <c:pt idx="2">
                  <c:v>94.142235538099996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90.062953812800004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5808"/>
        <c:axId val="60857344"/>
      </c:scatterChart>
      <c:valAx>
        <c:axId val="6085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57344"/>
        <c:crosses val="autoZero"/>
        <c:crossBetween val="midCat"/>
      </c:valAx>
      <c:valAx>
        <c:axId val="608573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5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5.8335638046000007</c:v>
                </c:pt>
                <c:pt idx="1">
                  <c:v>1.1306409836000002</c:v>
                </c:pt>
                <c:pt idx="2">
                  <c:v>1.9898099899000004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-0.17156267169999984</c:v>
                </c:pt>
                <c:pt idx="1">
                  <c:v>1.8225069046</c:v>
                </c:pt>
                <c:pt idx="2">
                  <c:v>8.1109447478999996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2.9846715927000003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3.2539629936000001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33472"/>
        <c:axId val="61043456"/>
      </c:scatterChart>
      <c:valAx>
        <c:axId val="610334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043456"/>
        <c:crosses val="autoZero"/>
        <c:crossBetween val="midCat"/>
        <c:majorUnit val="10"/>
      </c:valAx>
      <c:valAx>
        <c:axId val="610434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03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6.0082683563000003</c:v>
                </c:pt>
                <c:pt idx="1">
                  <c:v>-1.1450574398</c:v>
                </c:pt>
                <c:pt idx="2">
                  <c:v>4.5354719162000006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-8.6662874221999999</c:v>
                </c:pt>
                <c:pt idx="1">
                  <c:v>-5.3614141941</c:v>
                </c:pt>
                <c:pt idx="2">
                  <c:v>-5.6440167426999999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3.1328942775666668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-6.5572394530000002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36352"/>
        <c:axId val="103237888"/>
      </c:scatterChart>
      <c:valAx>
        <c:axId val="1032363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3237888"/>
        <c:crosses val="autoZero"/>
        <c:crossBetween val="midCat"/>
        <c:majorUnit val="10"/>
      </c:valAx>
      <c:valAx>
        <c:axId val="1032378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323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3.0174098015000004</c:v>
                </c:pt>
                <c:pt idx="1">
                  <c:v>-5.2209930419999999</c:v>
                </c:pt>
                <c:pt idx="2">
                  <c:v>-0.25333189960000002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7.0299129485999998</c:v>
                </c:pt>
                <c:pt idx="1">
                  <c:v>0.92315626139999996</c:v>
                </c:pt>
                <c:pt idx="2">
                  <c:v>-0.32357358930000002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-0.81897171336666652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2.5431652068999999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82944"/>
        <c:axId val="128450560"/>
      </c:scatterChart>
      <c:valAx>
        <c:axId val="103282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450560"/>
        <c:crosses val="autoZero"/>
        <c:crossBetween val="midCat"/>
        <c:majorUnit val="10"/>
      </c:valAx>
      <c:valAx>
        <c:axId val="1284505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328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11.4392623901</c:v>
                </c:pt>
                <c:pt idx="1">
                  <c:v>4.0848999023000001</c:v>
                </c:pt>
                <c:pt idx="2">
                  <c:v>1.7673912048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0.69087266920000001</c:v>
                </c:pt>
                <c:pt idx="1">
                  <c:v>7.177972790000009E-2</c:v>
                </c:pt>
                <c:pt idx="2">
                  <c:v>7.4976539611999993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5.7638511657333327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2.7534354527666665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07904"/>
        <c:axId val="128509440"/>
      </c:scatterChart>
      <c:valAx>
        <c:axId val="128507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09440"/>
        <c:crosses val="autoZero"/>
        <c:crossBetween val="midCat"/>
        <c:majorUnit val="10"/>
      </c:valAx>
      <c:valAx>
        <c:axId val="128509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0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157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159</v>
      </c>
      <c r="C3" s="40">
        <v>0.2</v>
      </c>
      <c r="D3" s="40" t="s">
        <v>160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D:\EVMS\TP\ELOG\VSY832ZN9P11_2022092321_D50_ON_OC.csv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D:\EVMS\TP\ELOG\VSY832ZN9P11_2022092321_FPDC_INFD_normal.csv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D:\EVMS\TP\ELOG\VSY832ZN9P11_2022092321_INFDMargin_IPQC.csv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D:\EVMS\TP\ELOG\VSY832ZN9P11_2022092321_VCM_MEASURE.csv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171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U48" sqref="U48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544</v>
      </c>
      <c r="S32" s="83" t="s">
        <v>158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22cb63240076</v>
      </c>
      <c r="C35" s="50">
        <f>IPQC!T2+VLOOKUP($R$32,$AD$39:$AK$43,6,FALSE)+VLOOKUP('File location'!$B$1,'Tester offset'!$A$2:$D$4,2,FALSE)</f>
        <v>91.895899987999996</v>
      </c>
      <c r="D35" s="50">
        <f>IPQC!AA2+VLOOKUP($R$32,$AD$39:$AK$43,6,FALSE)</f>
        <v>69.304949614799995</v>
      </c>
      <c r="E35" s="50">
        <f>VCM!HV2-'Summary(3pcs)'!C35-'Summary(3pcs)'!$D$33</f>
        <v>165.21922342043791</v>
      </c>
      <c r="F35" s="86">
        <f>AVERAGEIF($A$35:$A$46,1,$C$35:$C$46)</f>
        <v>92.650261833166667</v>
      </c>
      <c r="G35" s="90">
        <f>AVERAGEIF($A$35:$A$46,1,$D$35:$D$46)</f>
        <v>73.136162699333326</v>
      </c>
      <c r="H35" s="90">
        <f>AVERAGEIF($A$35:$A$46,1,$E$35:$E$46)</f>
        <v>162.73227604633789</v>
      </c>
      <c r="I35" s="90">
        <f>85-F35</f>
        <v>-7.6502618331666667</v>
      </c>
      <c r="K35" s="78">
        <f>T35</f>
        <v>1</v>
      </c>
      <c r="L35" s="79" t="str">
        <f>OC!K2</f>
        <v>22cb63240076</v>
      </c>
      <c r="M35" s="50">
        <f>OC!T2+VLOOKUP($R$32,$AD$39:$AK$43,4,FALSE)</f>
        <v>-5.3888426636000002</v>
      </c>
      <c r="N35" s="50">
        <f>OC!U2+VLOOKUP($R$32,$AD$39:$AK$43,5,FALSE)</f>
        <v>9.2288751110000007</v>
      </c>
      <c r="O35" s="85">
        <f>AVERAGEIF($K$35:$K$46,1,$M$35:$M$46)</f>
        <v>-3.4448178444333331</v>
      </c>
      <c r="P35" s="85">
        <f>AVERAGEIF($K$35:$K$46,1,$N$35:$N$46)</f>
        <v>4.1459773915333331</v>
      </c>
      <c r="Q35" s="86">
        <f>P35*0.001</f>
        <v>4.145977391533333E-3</v>
      </c>
      <c r="R35" s="86">
        <f>O35*0.001</f>
        <v>-3.4448178444333329E-3</v>
      </c>
      <c r="S35" s="34"/>
      <c r="T35" s="78">
        <v>1</v>
      </c>
      <c r="U35" s="79" t="str">
        <f>FPDC!K2</f>
        <v>22cb63240076</v>
      </c>
      <c r="V35" s="76">
        <f>FPDC!S2+VLOOKUP($R$32,$AD$39:$AK$43,2,FALSE)+VLOOKUP($R$32,$AD$39:$AK$43,7,FALSE)+VLOOKUP('File location'!$B$1,'Tester offset'!$A$2:$D$4,3,FALSE)</f>
        <v>11.4392623901</v>
      </c>
      <c r="W35" s="77">
        <f>FPDC!T2+VLOOKUP($R$32,$AD$39:$AK$43,3,FALSE)+VLOOKUP($R$32,$AD$39:$AK$43,8,FALSE)+VLOOKUP('File location'!$B$1,'Tester offset'!$A$2:$D$4,4,FALSE)</f>
        <v>0.69087266920000001</v>
      </c>
      <c r="X35" s="85">
        <f>AVERAGEIF($T$35:$T$46,1,$V$35:$V$46)</f>
        <v>5.7638511657333327</v>
      </c>
      <c r="Y35" s="85">
        <f>AVERAGEIF($T$35:$T$46,1,$W$35:$W$46)</f>
        <v>2.7534354527666665</v>
      </c>
      <c r="Z35" s="86">
        <f>(X35*-0.01)/4</f>
        <v>-1.4409627914333333E-2</v>
      </c>
      <c r="AA35" s="86">
        <f>(Y35*-0.01)/4</f>
        <v>-6.8835886319166661E-3</v>
      </c>
    </row>
    <row r="36" spans="1:37" ht="17.100000000000001" customHeight="1">
      <c r="A36" s="78">
        <f t="shared" ref="A36:A46" si="0">T36</f>
        <v>1</v>
      </c>
      <c r="B36" s="79" t="str">
        <f>IPQC!K3</f>
        <v>22cb63240174</v>
      </c>
      <c r="C36" s="50">
        <f>IPQC!T3+VLOOKUP($R$32,$AD$39:$AK$43,6,FALSE)+VLOOKUP('File location'!$B$1,'Tester offset'!$A$2:$D$4,2,FALSE)</f>
        <v>88.685008315900006</v>
      </c>
      <c r="D36" s="50">
        <f>IPQC!AA3+VLOOKUP($R$32,$AD$39:$AK$43,6,FALSE)</f>
        <v>68.533096868000001</v>
      </c>
      <c r="E36" s="50">
        <f>VCM!HV3-'Summary(3pcs)'!C36-'Summary(3pcs)'!$D$33</f>
        <v>167.35962907613788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22cb63240174</v>
      </c>
      <c r="M36" s="50">
        <f>OC!T3+VLOOKUP($R$32,$AD$39:$AK$43,4,FALSE)</f>
        <v>0.18735834309999999</v>
      </c>
      <c r="N36" s="50">
        <f>OC!U3+VLOOKUP($R$32,$AD$39:$AK$43,5,FALSE)</f>
        <v>-1.5941742106000003</v>
      </c>
      <c r="O36" s="85"/>
      <c r="P36" s="85"/>
      <c r="Q36" s="86"/>
      <c r="R36" s="86"/>
      <c r="S36" s="34"/>
      <c r="T36" s="78">
        <v>1</v>
      </c>
      <c r="U36" s="79" t="str">
        <f>FPDC!K3</f>
        <v>22cb63240174</v>
      </c>
      <c r="V36" s="76">
        <f>FPDC!S3+VLOOKUP($R$32,$AD$39:$AK$43,2,FALSE)+VLOOKUP($R$32,$AD$39:$AK$43,7,FALSE)+VLOOKUP('File location'!$B$1,'Tester offset'!$A$2:$D$4,3,FALSE)</f>
        <v>4.0848999023000001</v>
      </c>
      <c r="W36" s="77">
        <f>FPDC!T3+VLOOKUP($R$32,$AD$39:$AK$43,3,FALSE)+VLOOKUP($R$32,$AD$39:$AK$43,8,FALSE)+VLOOKUP('File location'!$B$1,'Tester offset'!$A$2:$D$4,4,FALSE)</f>
        <v>7.177972790000009E-2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22cb63240394</v>
      </c>
      <c r="C37" s="50">
        <f>IPQC!T4+VLOOKUP($R$32,$AD$39:$AK$43,6,FALSE)+VLOOKUP('File location'!$B$1,'Tester offset'!$A$2:$D$4,2,FALSE)</f>
        <v>97.369877195599997</v>
      </c>
      <c r="D37" s="50">
        <f>IPQC!AA4+VLOOKUP($R$32,$AD$39:$AK$43,6,FALSE)</f>
        <v>81.570441615199996</v>
      </c>
      <c r="E37" s="50">
        <f>VCM!HV4-'Summary(3pcs)'!C37-'Summary(3pcs)'!$D$33</f>
        <v>155.6179756424379</v>
      </c>
      <c r="F37" s="86"/>
      <c r="G37" s="90"/>
      <c r="H37" s="90"/>
      <c r="I37" s="90"/>
      <c r="K37" s="78">
        <f t="shared" si="1"/>
        <v>1</v>
      </c>
      <c r="L37" s="79" t="str">
        <f>OC!K4</f>
        <v>22cb63240394</v>
      </c>
      <c r="M37" s="50">
        <f>OC!T4+VLOOKUP($R$32,$AD$39:$AK$43,4,FALSE)</f>
        <v>-5.1329692128</v>
      </c>
      <c r="N37" s="50">
        <f>OC!U4+VLOOKUP($R$32,$AD$39:$AK$43,5,FALSE)</f>
        <v>4.8032312741999998</v>
      </c>
      <c r="O37" s="85"/>
      <c r="P37" s="85"/>
      <c r="Q37" s="86"/>
      <c r="R37" s="86"/>
      <c r="S37" s="34"/>
      <c r="T37" s="78">
        <v>1</v>
      </c>
      <c r="U37" s="79" t="str">
        <f>FPDC!K4</f>
        <v>22cb63240394</v>
      </c>
      <c r="V37" s="76">
        <f>FPDC!S4+VLOOKUP($R$32,$AD$39:$AK$43,2,FALSE)+VLOOKUP($R$32,$AD$39:$AK$43,7,FALSE)+VLOOKUP('File location'!$B$1,'Tester offset'!$A$2:$D$4,3,FALSE)</f>
        <v>1.7673912048</v>
      </c>
      <c r="W37" s="77">
        <f>FPDC!T4+VLOOKUP($R$32,$AD$39:$AK$43,3,FALSE)+VLOOKUP($R$32,$AD$39:$AK$43,8,FALSE)+VLOOKUP('File location'!$B$1,'Tester offset'!$A$2:$D$4,4,FALSE)</f>
        <v>7.4976539611999993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22cb63240853</v>
      </c>
      <c r="C38" s="50">
        <f>IPQC!T5+VLOOKUP($R$32,$AD$39:$AK$43,6,FALSE)+VLOOKUP('File location'!$B$1,'Tester offset'!$A$2:$D$4,2,FALSE)</f>
        <v>95.430815564699998</v>
      </c>
      <c r="D38" s="50">
        <f>IPQC!AA5+VLOOKUP($R$32,$AD$39:$AK$43,6,FALSE)</f>
        <v>78.020336141900003</v>
      </c>
      <c r="E38" s="50">
        <f>VCM!HV5-'Summary(3pcs)'!C38-'Summary(3pcs)'!$D$33</f>
        <v>169.22802199233786</v>
      </c>
      <c r="F38" s="86">
        <f>AVERAGEIF($A$35:$A$46,2,$C$35:$C$46)</f>
        <v>92.874093483199999</v>
      </c>
      <c r="G38" s="90">
        <f>AVERAGEIF($A$35:$A$46,2,$D$35:$D$46)</f>
        <v>75.013476076433335</v>
      </c>
      <c r="H38" s="90">
        <f>AVERAGEIF($A$35:$A$46,2,$E$35:$E$46)</f>
        <v>165.62711164830455</v>
      </c>
      <c r="I38" s="90">
        <f>85-F38</f>
        <v>-7.8740934831999994</v>
      </c>
      <c r="K38" s="78">
        <f t="shared" si="1"/>
        <v>2</v>
      </c>
      <c r="L38" s="79" t="str">
        <f>OC!K5</f>
        <v>22cb63240853</v>
      </c>
      <c r="M38" s="50">
        <f>OC!T5+VLOOKUP($R$32,$AD$39:$AK$43,4,FALSE)</f>
        <v>-1.2690939922</v>
      </c>
      <c r="N38" s="50">
        <f>OC!U5+VLOOKUP($R$32,$AD$39:$AK$43,5,FALSE)</f>
        <v>-3.9653935344000004</v>
      </c>
      <c r="O38" s="85">
        <f>AVERAGEIF($K$35:$K$46,2,$M$35:$M$46)</f>
        <v>0.7672346009333334</v>
      </c>
      <c r="P38" s="85">
        <f>AVERAGEIF($K$35:$K$46,2,$N$35:$N$46)</f>
        <v>0.66203126649999999</v>
      </c>
      <c r="Q38" s="86">
        <f>P38*0.001</f>
        <v>6.6203126650000001E-4</v>
      </c>
      <c r="R38" s="86">
        <f>O38*0.001</f>
        <v>7.6723460093333336E-4</v>
      </c>
      <c r="S38" s="34"/>
      <c r="T38" s="78">
        <v>2</v>
      </c>
      <c r="U38" s="79" t="str">
        <f>FPDC!K5</f>
        <v>22cb63240853</v>
      </c>
      <c r="V38" s="76">
        <f>FPDC!S5+VLOOKUP($R$32,$AD$39:$AK$43,2,FALSE)+VLOOKUP($R$32,$AD$39:$AK$43,7,FALSE)+VLOOKUP('File location'!$B$1,'Tester offset'!$A$2:$D$4,3,FALSE)</f>
        <v>5.8335638046000007</v>
      </c>
      <c r="W38" s="77">
        <f>FPDC!T5+VLOOKUP($R$32,$AD$39:$AK$43,3,FALSE)+VLOOKUP($R$32,$AD$39:$AK$43,8,FALSE)+VLOOKUP('File location'!$B$1,'Tester offset'!$A$2:$D$4,4,FALSE)</f>
        <v>-0.17156267169999984</v>
      </c>
      <c r="X38" s="85">
        <f>AVERAGEIF($T$35:$T$46,2,$V$35:$V$46)</f>
        <v>2.9846715927000003</v>
      </c>
      <c r="Y38" s="85">
        <f>AVERAGEIF($T$35:$T$46,2,$W$35:$W$46)</f>
        <v>3.2539629936000001</v>
      </c>
      <c r="Z38" s="86">
        <f>(X38*-0.01)/4</f>
        <v>-7.461678981750001E-3</v>
      </c>
      <c r="AA38" s="86">
        <f>(Y38*-0.01)/4</f>
        <v>-8.134907484E-3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22cb63240610</v>
      </c>
      <c r="C39" s="50">
        <f>IPQC!T6+VLOOKUP($R$32,$AD$39:$AK$43,6,FALSE)+VLOOKUP('File location'!$B$1,'Tester offset'!$A$2:$D$4,2,FALSE)</f>
        <v>89.545704951800005</v>
      </c>
      <c r="D39" s="50">
        <f>IPQC!AA6+VLOOKUP($R$32,$AD$39:$AK$43,6,FALSE)</f>
        <v>68.594906472199995</v>
      </c>
      <c r="E39" s="50">
        <f>VCM!HV6-'Summary(3pcs)'!C39-'Summary(3pcs)'!$D$33</f>
        <v>165.54684399413787</v>
      </c>
      <c r="F39" s="86"/>
      <c r="G39" s="90"/>
      <c r="H39" s="90"/>
      <c r="I39" s="90"/>
      <c r="K39" s="78">
        <f t="shared" si="1"/>
        <v>2</v>
      </c>
      <c r="L39" s="79" t="str">
        <f>OC!K6</f>
        <v>22cb63240610</v>
      </c>
      <c r="M39" s="50">
        <f>OC!T6+VLOOKUP($R$32,$AD$39:$AK$43,4,FALSE)</f>
        <v>-0.68114217129999999</v>
      </c>
      <c r="N39" s="50">
        <f>OC!U6+VLOOKUP($R$32,$AD$39:$AK$43,5,FALSE)</f>
        <v>3.2259084470000001</v>
      </c>
      <c r="O39" s="85"/>
      <c r="P39" s="85"/>
      <c r="Q39" s="86"/>
      <c r="R39" s="86"/>
      <c r="S39" s="34"/>
      <c r="T39" s="78">
        <v>2</v>
      </c>
      <c r="U39" s="79" t="str">
        <f>FPDC!K6</f>
        <v>22cb63240610</v>
      </c>
      <c r="V39" s="76">
        <f>FPDC!S6+VLOOKUP($R$32,$AD$39:$AK$43,2,FALSE)+VLOOKUP($R$32,$AD$39:$AK$43,7,FALSE)+VLOOKUP('File location'!$B$1,'Tester offset'!$A$2:$D$4,3,FALSE)</f>
        <v>1.1306409836000002</v>
      </c>
      <c r="W39" s="77">
        <f>FPDC!T6+VLOOKUP($R$32,$AD$39:$AK$43,3,FALSE)+VLOOKUP($R$32,$AD$39:$AK$43,8,FALSE)+VLOOKUP('File location'!$B$1,'Tester offset'!$A$2:$D$4,4,FALSE)</f>
        <v>1.8225069046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22cb63230744</v>
      </c>
      <c r="C40" s="50">
        <f>IPQC!T7+VLOOKUP($R$32,$AD$39:$AK$43,6,FALSE)+VLOOKUP('File location'!$B$1,'Tester offset'!$A$2:$D$4,2,FALSE)</f>
        <v>93.645759933099995</v>
      </c>
      <c r="D40" s="50">
        <f>IPQC!AA7+VLOOKUP($R$32,$AD$39:$AK$43,6,FALSE)</f>
        <v>78.425185615199993</v>
      </c>
      <c r="E40" s="50">
        <f>VCM!HV7-'Summary(3pcs)'!C40-'Summary(3pcs)'!$D$33</f>
        <v>162.10646895843792</v>
      </c>
      <c r="F40" s="86"/>
      <c r="G40" s="90"/>
      <c r="H40" s="90"/>
      <c r="I40" s="90"/>
      <c r="K40" s="78">
        <f t="shared" si="1"/>
        <v>2</v>
      </c>
      <c r="L40" s="79" t="str">
        <f>OC!K7</f>
        <v>22cb63230744</v>
      </c>
      <c r="M40" s="50">
        <f>OC!T7+VLOOKUP($R$32,$AD$39:$AK$43,4,FALSE)</f>
        <v>4.2519399663000002</v>
      </c>
      <c r="N40" s="50">
        <f>OC!U7+VLOOKUP($R$32,$AD$39:$AK$43,5,FALSE)</f>
        <v>2.7255788869000002</v>
      </c>
      <c r="O40" s="85"/>
      <c r="P40" s="85"/>
      <c r="Q40" s="86"/>
      <c r="R40" s="86"/>
      <c r="S40" s="34"/>
      <c r="T40" s="78">
        <v>2</v>
      </c>
      <c r="U40" s="79" t="str">
        <f>FPDC!K7</f>
        <v>22cb63230744</v>
      </c>
      <c r="V40" s="76">
        <f>FPDC!S7+VLOOKUP($R$32,$AD$39:$AK$43,2,FALSE)+VLOOKUP($R$32,$AD$39:$AK$43,7,FALSE)+VLOOKUP('File location'!$B$1,'Tester offset'!$A$2:$D$4,3,FALSE)</f>
        <v>1.9898099899000004</v>
      </c>
      <c r="W40" s="77">
        <f>FPDC!T7+VLOOKUP($R$32,$AD$39:$AK$43,3,FALSE)+VLOOKUP($R$32,$AD$39:$AK$43,8,FALSE)+VLOOKUP('File location'!$B$1,'Tester offset'!$A$2:$D$4,4,FALSE)</f>
        <v>8.1109447478999996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22cb63240784</v>
      </c>
      <c r="C41" s="50">
        <f>IPQC!T8+VLOOKUP($R$32,$AD$39:$AK$43,6,FALSE)+VLOOKUP('File location'!$B$1,'Tester offset'!$A$2:$D$4,2,FALSE)</f>
        <v>88.775991528899993</v>
      </c>
      <c r="D41" s="50">
        <f>IPQC!AA8+VLOOKUP($R$32,$AD$39:$AK$43,6,FALSE)</f>
        <v>69.033571908699997</v>
      </c>
      <c r="E41" s="50">
        <f>VCM!HV8-'Summary(3pcs)'!C41-'Summary(3pcs)'!$D$33</f>
        <v>164.33121350813792</v>
      </c>
      <c r="F41" s="86">
        <f>AVERAGEIF($A$35:$A$46,3,$C$35:$C$46)</f>
        <v>92.272244851099984</v>
      </c>
      <c r="G41" s="90">
        <f>AVERAGEIF($A$35:$A$46,3,$D$35:$D$46)</f>
        <v>67.814779714033335</v>
      </c>
      <c r="H41" s="90">
        <f>AVERAGEIF($A$35:$A$46,3,$E$35:$E$46)</f>
        <v>154.71017714333789</v>
      </c>
      <c r="I41" s="90">
        <f>85-F41</f>
        <v>-7.272244851099984</v>
      </c>
      <c r="K41" s="78">
        <f t="shared" si="1"/>
        <v>3</v>
      </c>
      <c r="L41" s="79" t="str">
        <f>OC!K8</f>
        <v>22cb63240784</v>
      </c>
      <c r="M41" s="50">
        <f>OC!T8+VLOOKUP($R$32,$AD$39:$AK$43,4,FALSE)</f>
        <v>-2.9697020921999999</v>
      </c>
      <c r="N41" s="50">
        <f>OC!U8+VLOOKUP($R$32,$AD$39:$AK$43,5,FALSE)</f>
        <v>8.8216413891999998</v>
      </c>
      <c r="O41" s="85">
        <f>AVERAGEIF($K$35:$K$46,3,$M$35:$M$46)</f>
        <v>2.2502486189333335</v>
      </c>
      <c r="P41" s="85">
        <f>AVERAGEIF($K$35:$K$46,3,$N$35:$N$46)</f>
        <v>8.035348884066666</v>
      </c>
      <c r="Q41" s="86">
        <f>P41*0.001</f>
        <v>8.0353488840666665E-3</v>
      </c>
      <c r="R41" s="86">
        <f>O41*0.001</f>
        <v>2.2502486189333337E-3</v>
      </c>
      <c r="S41" s="34"/>
      <c r="T41" s="78">
        <v>3</v>
      </c>
      <c r="U41" s="79" t="str">
        <f>FPDC!K8</f>
        <v>22cb63240784</v>
      </c>
      <c r="V41" s="76">
        <f>FPDC!S8+VLOOKUP($R$32,$AD$39:$AK$43,2,FALSE)+VLOOKUP($R$32,$AD$39:$AK$43,7,FALSE)+VLOOKUP('File location'!$B$1,'Tester offset'!$A$2:$D$4,3,FALSE)</f>
        <v>6.0082683563000003</v>
      </c>
      <c r="W41" s="77">
        <f>FPDC!T8+VLOOKUP($R$32,$AD$39:$AK$43,3,FALSE)+VLOOKUP($R$32,$AD$39:$AK$43,8,FALSE)+VLOOKUP('File location'!$B$1,'Tester offset'!$A$2:$D$4,4,FALSE)</f>
        <v>-8.6662874221999999</v>
      </c>
      <c r="X41" s="85">
        <f>AVERAGEIF($T$35:$T$46,3,$V$35:$V$46)</f>
        <v>3.1328942775666668</v>
      </c>
      <c r="Y41" s="85">
        <f>AVERAGEIF($T$35:$T$46,3,$W$35:$W$46)</f>
        <v>-6.5572394530000002</v>
      </c>
      <c r="Z41" s="86">
        <f>(X41*-0.01)/4</f>
        <v>-7.8322356939166671E-3</v>
      </c>
      <c r="AA41" s="86">
        <f>(Y41*-0.01)/4</f>
        <v>1.6393098632500002E-2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22cb63240002</v>
      </c>
      <c r="C42" s="50">
        <f>IPQC!T9+VLOOKUP($R$32,$AD$39:$AK$43,6,FALSE)+VLOOKUP('File location'!$B$1,'Tester offset'!$A$2:$D$4,2,FALSE)</f>
        <v>95.149721386300001</v>
      </c>
      <c r="D42" s="50">
        <f>IPQC!AA9+VLOOKUP($R$32,$AD$39:$AK$43,6,FALSE)</f>
        <v>60.544699100899997</v>
      </c>
      <c r="E42" s="50">
        <f>VCM!HV9-'Summary(3pcs)'!C42-'Summary(3pcs)'!$D$33</f>
        <v>154.44762959463787</v>
      </c>
      <c r="F42" s="86"/>
      <c r="G42" s="90"/>
      <c r="H42" s="90"/>
      <c r="I42" s="90"/>
      <c r="K42" s="78">
        <f t="shared" si="1"/>
        <v>3</v>
      </c>
      <c r="L42" s="79" t="str">
        <f>OC!K9</f>
        <v>22cb63240002</v>
      </c>
      <c r="M42" s="50">
        <f>OC!T9+VLOOKUP($R$32,$AD$39:$AK$43,4,FALSE)</f>
        <v>2.8923615969999998</v>
      </c>
      <c r="N42" s="50">
        <f>OC!U9+VLOOKUP($R$32,$AD$39:$AK$43,5,FALSE)</f>
        <v>4.7043199365000001</v>
      </c>
      <c r="O42" s="85"/>
      <c r="P42" s="85"/>
      <c r="Q42" s="86"/>
      <c r="R42" s="86"/>
      <c r="S42" s="34"/>
      <c r="T42" s="78">
        <v>3</v>
      </c>
      <c r="U42" s="79" t="str">
        <f>FPDC!K9</f>
        <v>22cb63240002</v>
      </c>
      <c r="V42" s="76">
        <f>FPDC!S9+VLOOKUP($R$32,$AD$39:$AK$43,2,FALSE)+VLOOKUP($R$32,$AD$39:$AK$43,7,FALSE)+VLOOKUP('File location'!$B$1,'Tester offset'!$A$2:$D$4,3,FALSE)</f>
        <v>-1.1450574398</v>
      </c>
      <c r="W42" s="77">
        <f>FPDC!T9+VLOOKUP($R$32,$AD$39:$AK$43,3,FALSE)+VLOOKUP($R$32,$AD$39:$AK$43,8,FALSE)+VLOOKUP('File location'!$B$1,'Tester offset'!$A$2:$D$4,4,FALSE)</f>
        <v>-5.3614141941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22cb63240810</v>
      </c>
      <c r="C43" s="50">
        <f>IPQC!T10+VLOOKUP($R$32,$AD$39:$AK$43,6,FALSE)+VLOOKUP('File location'!$B$1,'Tester offset'!$A$2:$D$4,2,FALSE)</f>
        <v>92.8910216381</v>
      </c>
      <c r="D43" s="50">
        <f>IPQC!AA10+VLOOKUP($R$32,$AD$39:$AK$43,6,FALSE)</f>
        <v>73.866068132500004</v>
      </c>
      <c r="E43" s="50">
        <f>VCM!HV10-'Summary(3pcs)'!C43-'Summary(3pcs)'!$D$33</f>
        <v>145.35168832723787</v>
      </c>
      <c r="F43" s="86"/>
      <c r="G43" s="90"/>
      <c r="H43" s="90"/>
      <c r="I43" s="90"/>
      <c r="K43" s="78">
        <f t="shared" si="1"/>
        <v>3</v>
      </c>
      <c r="L43" s="79" t="str">
        <f>OC!K10</f>
        <v>22cb63240810</v>
      </c>
      <c r="M43" s="50">
        <f>OC!T10+VLOOKUP($R$32,$AD$39:$AK$43,4,FALSE)</f>
        <v>6.8280863519999997</v>
      </c>
      <c r="N43" s="50">
        <f>OC!U10+VLOOKUP($R$32,$AD$39:$AK$43,5,FALSE)</f>
        <v>10.580085326500001</v>
      </c>
      <c r="O43" s="85"/>
      <c r="P43" s="85"/>
      <c r="Q43" s="86"/>
      <c r="R43" s="86"/>
      <c r="S43" s="34"/>
      <c r="T43" s="78">
        <v>3</v>
      </c>
      <c r="U43" s="79" t="str">
        <f>FPDC!K10</f>
        <v>22cb63240810</v>
      </c>
      <c r="V43" s="76">
        <f>FPDC!S10+VLOOKUP($R$32,$AD$39:$AK$43,2,FALSE)+VLOOKUP($R$32,$AD$39:$AK$43,7,FALSE)+VLOOKUP('File location'!$B$1,'Tester offset'!$A$2:$D$4,3,FALSE)</f>
        <v>4.5354719162000006</v>
      </c>
      <c r="W43" s="77">
        <f>FPDC!T10+VLOOKUP($R$32,$AD$39:$AK$43,3,FALSE)+VLOOKUP($R$32,$AD$39:$AK$43,8,FALSE)+VLOOKUP('File location'!$B$1,'Tester offset'!$A$2:$D$4,4,FALSE)</f>
        <v>-5.6440167426999999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22cb63240039</v>
      </c>
      <c r="C44" s="50">
        <f>IPQC!T11+VLOOKUP($R$32,$AD$39:$AK$43,6,FALSE)+VLOOKUP('File location'!$B$1,'Tester offset'!$A$2:$D$4,2,FALSE)</f>
        <v>83.4619411292</v>
      </c>
      <c r="D44" s="50">
        <f>IPQC!AA11+VLOOKUP($R$32,$AD$39:$AK$43,6,FALSE)</f>
        <v>63.020830971300001</v>
      </c>
      <c r="E44" s="50">
        <f>VCM!HV11-'Summary(3pcs)'!C44-'Summary(3pcs)'!$D$33</f>
        <v>175.60527752363794</v>
      </c>
      <c r="F44" s="86">
        <f>AVERAGEIF($A$35:$A$46,4,$C$35:$C$46)</f>
        <v>90.062953812800004</v>
      </c>
      <c r="G44" s="90">
        <f>AVERAGEIF($A$35:$A$46,4,$D$35:$D$46)</f>
        <v>71.307023004566659</v>
      </c>
      <c r="H44" s="90">
        <f>AVERAGEIF($A$35:$A$46,4,$E$35:$E$46)</f>
        <v>162.78972889223792</v>
      </c>
      <c r="I44" s="90">
        <f>85-F44</f>
        <v>-5.0629538128000036</v>
      </c>
      <c r="K44" s="78">
        <f t="shared" si="1"/>
        <v>4</v>
      </c>
      <c r="L44" s="79" t="str">
        <f>OC!K11</f>
        <v>22cb63240039</v>
      </c>
      <c r="M44" s="50">
        <f>OC!T11+VLOOKUP($R$32,$AD$39:$AK$43,4,FALSE)</f>
        <v>-3.1046998024999999</v>
      </c>
      <c r="N44" s="50">
        <f>OC!U11+VLOOKUP($R$32,$AD$39:$AK$43,5,FALSE)</f>
        <v>2.8271399638000001</v>
      </c>
      <c r="O44" s="85">
        <f>AVERAGEIF($K$35:$K$46,4,$M$35:$M$46)</f>
        <v>-0.91955150529999996</v>
      </c>
      <c r="P44" s="85">
        <f>AVERAGEIF($K$35:$K$46,4,$N$35:$N$46)</f>
        <v>2.9673421321333335</v>
      </c>
      <c r="Q44" s="86">
        <f>P44*0.001</f>
        <v>2.9673421321333338E-3</v>
      </c>
      <c r="R44" s="86">
        <f>O44*0.001</f>
        <v>-9.1955150529999998E-4</v>
      </c>
      <c r="S44" s="34"/>
      <c r="T44" s="78">
        <v>4</v>
      </c>
      <c r="U44" s="79" t="str">
        <f>FPDC!K11</f>
        <v>22cb63240039</v>
      </c>
      <c r="V44" s="76">
        <f>FPDC!S11+VLOOKUP($R$32,$AD$39:$AK$43,2,FALSE)+VLOOKUP($R$32,$AD$39:$AK$43,7,FALSE)+VLOOKUP('File location'!$B$1,'Tester offset'!$A$2:$D$4,3,FALSE)</f>
        <v>3.0174098015000004</v>
      </c>
      <c r="W44" s="77">
        <f>FPDC!T11+VLOOKUP($R$32,$AD$39:$AK$43,3,FALSE)+VLOOKUP($R$32,$AD$39:$AK$43,8,FALSE)+VLOOKUP('File location'!$B$1,'Tester offset'!$A$2:$D$4,4,FALSE)</f>
        <v>7.0299129485999998</v>
      </c>
      <c r="X44" s="85">
        <f>AVERAGEIF($T$35:$T$46,4,$V$35:$V$46)</f>
        <v>-0.81897171336666652</v>
      </c>
      <c r="Y44" s="85">
        <f>AVERAGEIF($T$35:$T$46,4,$W$35:$W$46)</f>
        <v>2.5431652068999999</v>
      </c>
      <c r="Z44" s="86">
        <f>(X44*-0.01)/4</f>
        <v>2.0474292834166664E-3</v>
      </c>
      <c r="AA44" s="86">
        <f>(Y44*-0.01)/4</f>
        <v>-6.3579130172499998E-3</v>
      </c>
    </row>
    <row r="45" spans="1:37" ht="17.100000000000001" customHeight="1">
      <c r="A45" s="78">
        <f t="shared" si="0"/>
        <v>4</v>
      </c>
      <c r="B45" s="79" t="str">
        <f>IPQC!K12</f>
        <v>22cb63240811</v>
      </c>
      <c r="C45" s="50">
        <f>IPQC!T12+VLOOKUP($R$32,$AD$39:$AK$43,6,FALSE)+VLOOKUP('File location'!$B$1,'Tester offset'!$A$2:$D$4,2,FALSE)</f>
        <v>94.142235538099996</v>
      </c>
      <c r="D45" s="50">
        <f>IPQC!AA12+VLOOKUP($R$32,$AD$39:$AK$43,6,FALSE)</f>
        <v>77.240751146299999</v>
      </c>
      <c r="E45" s="50">
        <f>VCM!HV12-'Summary(3pcs)'!C45-'Summary(3pcs)'!$D$33</f>
        <v>148.74000050103791</v>
      </c>
      <c r="F45" s="86"/>
      <c r="G45" s="90"/>
      <c r="H45" s="90"/>
      <c r="I45" s="90"/>
      <c r="K45" s="78">
        <f t="shared" si="1"/>
        <v>4</v>
      </c>
      <c r="L45" s="79" t="str">
        <f>OC!K12</f>
        <v>22cb63240811</v>
      </c>
      <c r="M45" s="50">
        <f>OC!T12+VLOOKUP($R$32,$AD$39:$AK$43,4,FALSE)</f>
        <v>0.25023713060000002</v>
      </c>
      <c r="N45" s="50">
        <f>OC!U12+VLOOKUP($R$32,$AD$39:$AK$43,5,FALSE)</f>
        <v>-0.55519557549999998</v>
      </c>
      <c r="O45" s="85"/>
      <c r="P45" s="85"/>
      <c r="Q45" s="86"/>
      <c r="R45" s="86"/>
      <c r="S45" s="34"/>
      <c r="T45" s="78">
        <v>4</v>
      </c>
      <c r="U45" s="79" t="str">
        <f>FPDC!K12</f>
        <v>22cb63240811</v>
      </c>
      <c r="V45" s="76">
        <f>FPDC!S12+VLOOKUP($R$32,$AD$39:$AK$43,2,FALSE)+VLOOKUP($R$32,$AD$39:$AK$43,7,FALSE)+VLOOKUP('File location'!$B$1,'Tester offset'!$A$2:$D$4,3,FALSE)</f>
        <v>-5.2209930419999999</v>
      </c>
      <c r="W45" s="77">
        <f>FPDC!T12+VLOOKUP($R$32,$AD$39:$AK$43,3,FALSE)+VLOOKUP($R$32,$AD$39:$AK$43,8,FALSE)+VLOOKUP('File location'!$B$1,'Tester offset'!$A$2:$D$4,4,FALSE)</f>
        <v>0.92315626139999996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22cb63230273</v>
      </c>
      <c r="C46" s="50">
        <f>IPQC!T13+VLOOKUP($R$32,$AD$39:$AK$43,6,FALSE)+VLOOKUP('File location'!$B$1,'Tester offset'!$A$2:$D$4,2,FALSE)</f>
        <v>92.584684771100001</v>
      </c>
      <c r="D46" s="50">
        <f>IPQC!AA13+VLOOKUP($R$32,$AD$39:$AK$43,6,FALSE)</f>
        <v>73.659486896100006</v>
      </c>
      <c r="E46" s="50">
        <f>VCM!HV13-'Summary(3pcs)'!C46-'Summary(3pcs)'!$D$33</f>
        <v>164.0239086520379</v>
      </c>
      <c r="F46" s="86"/>
      <c r="G46" s="90"/>
      <c r="H46" s="90"/>
      <c r="I46" s="90"/>
      <c r="K46" s="78">
        <f t="shared" si="1"/>
        <v>4</v>
      </c>
      <c r="L46" s="79" t="str">
        <f>OC!K13</f>
        <v>22cb63230273</v>
      </c>
      <c r="M46" s="50">
        <f>OC!T13+VLOOKUP($R$32,$AD$39:$AK$43,4,FALSE)</f>
        <v>9.5808156000000005E-2</v>
      </c>
      <c r="N46" s="50">
        <f>OC!U13+VLOOKUP($R$32,$AD$39:$AK$43,5,FALSE)</f>
        <v>6.6300820081000005</v>
      </c>
      <c r="O46" s="85"/>
      <c r="P46" s="85"/>
      <c r="Q46" s="86"/>
      <c r="R46" s="86"/>
      <c r="S46" s="34"/>
      <c r="T46" s="78">
        <v>4</v>
      </c>
      <c r="U46" s="79" t="str">
        <f>FPDC!K13</f>
        <v>22cb63230273</v>
      </c>
      <c r="V46" s="76">
        <f>FPDC!S13+VLOOKUP($R$32,$AD$39:$AK$43,2,FALSE)+VLOOKUP($R$32,$AD$39:$AK$43,7,FALSE)+VLOOKUP('File location'!$B$1,'Tester offset'!$A$2:$D$4,3,FALSE)</f>
        <v>-0.25333189960000002</v>
      </c>
      <c r="W46" s="77">
        <f>FPDC!T13+VLOOKUP($R$32,$AD$39:$AK$43,3,FALSE)+VLOOKUP($R$32,$AD$39:$AK$43,8,FALSE)+VLOOKUP('File location'!$B$1,'Tester offset'!$A$2:$D$4,4,FALSE)</f>
        <v>-0.32357358930000002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162</v>
      </c>
      <c r="G49" s="91"/>
      <c r="H49" s="49" t="s">
        <v>148</v>
      </c>
      <c r="O49" s="93" t="s">
        <v>164</v>
      </c>
      <c r="P49" s="91"/>
      <c r="Q49" s="49" t="s">
        <v>161</v>
      </c>
      <c r="Y49" s="93" t="s">
        <v>164</v>
      </c>
      <c r="Z49" s="91"/>
      <c r="AA49" s="49" t="s">
        <v>104</v>
      </c>
    </row>
    <row r="50" spans="6:27" ht="17.25">
      <c r="F50" s="91" t="s">
        <v>163</v>
      </c>
      <c r="G50" s="91"/>
      <c r="H50" s="49" t="s">
        <v>107</v>
      </c>
      <c r="O50" s="93" t="s">
        <v>170</v>
      </c>
      <c r="P50" s="91"/>
      <c r="Q50" s="49" t="s">
        <v>168</v>
      </c>
      <c r="Y50" s="93" t="s">
        <v>166</v>
      </c>
      <c r="Z50" s="91"/>
      <c r="AA50" s="49" t="s">
        <v>167</v>
      </c>
    </row>
    <row r="51" spans="6:27" ht="17.25">
      <c r="F51" s="91" t="s">
        <v>16</v>
      </c>
      <c r="G51" s="91"/>
      <c r="H51" s="49" t="s">
        <v>106</v>
      </c>
      <c r="O51" s="93" t="s">
        <v>170</v>
      </c>
      <c r="P51" s="91"/>
      <c r="Q51" s="79" t="s">
        <v>169</v>
      </c>
      <c r="Y51" s="93" t="s">
        <v>165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91.895899987999996</v>
      </c>
      <c r="L55" s="52">
        <f t="shared" ref="L55:L66" si="4">D35</f>
        <v>69.304949614799995</v>
      </c>
      <c r="M55" s="52">
        <f t="shared" ref="M55:M66" si="5">E35</f>
        <v>165.21922342043791</v>
      </c>
      <c r="N55" s="52">
        <f t="shared" ref="N55:O66" si="6">M35</f>
        <v>-5.3888426636000002</v>
      </c>
      <c r="O55" s="52">
        <f t="shared" si="6"/>
        <v>9.2288751110000007</v>
      </c>
      <c r="P55" s="52">
        <f t="shared" ref="P55:P66" si="7">V35</f>
        <v>11.4392623901</v>
      </c>
      <c r="Q55" s="53">
        <f t="shared" ref="Q55:Q66" si="8">W35</f>
        <v>0.69087266920000001</v>
      </c>
    </row>
    <row r="56" spans="6:27" ht="19.5">
      <c r="I56" s="43">
        <f t="shared" si="2"/>
        <v>1</v>
      </c>
      <c r="J56" s="44"/>
      <c r="K56" s="54">
        <f t="shared" si="3"/>
        <v>88.685008315900006</v>
      </c>
      <c r="L56" s="55">
        <f t="shared" si="4"/>
        <v>68.533096868000001</v>
      </c>
      <c r="M56" s="55">
        <f t="shared" si="5"/>
        <v>167.35962907613788</v>
      </c>
      <c r="N56" s="55">
        <f t="shared" si="6"/>
        <v>0.18735834309999999</v>
      </c>
      <c r="O56" s="55">
        <f t="shared" si="6"/>
        <v>-1.5941742106000003</v>
      </c>
      <c r="P56" s="55">
        <f t="shared" si="7"/>
        <v>4.0848999023000001</v>
      </c>
      <c r="Q56" s="56">
        <f t="shared" si="8"/>
        <v>7.177972790000009E-2</v>
      </c>
    </row>
    <row r="57" spans="6:27" ht="19.5">
      <c r="I57" s="43">
        <f t="shared" si="2"/>
        <v>1</v>
      </c>
      <c r="J57" s="44"/>
      <c r="K57" s="57">
        <f t="shared" si="3"/>
        <v>97.369877195599997</v>
      </c>
      <c r="L57" s="58">
        <f t="shared" si="4"/>
        <v>81.570441615199996</v>
      </c>
      <c r="M57" s="58">
        <f t="shared" si="5"/>
        <v>155.6179756424379</v>
      </c>
      <c r="N57" s="58">
        <f t="shared" si="6"/>
        <v>-5.1329692128</v>
      </c>
      <c r="O57" s="58">
        <f t="shared" si="6"/>
        <v>4.8032312741999998</v>
      </c>
      <c r="P57" s="58">
        <f t="shared" si="7"/>
        <v>1.7673912048</v>
      </c>
      <c r="Q57" s="59">
        <f t="shared" si="8"/>
        <v>7.4976539611999993</v>
      </c>
    </row>
    <row r="58" spans="6:27" ht="19.5">
      <c r="I58" s="43">
        <f t="shared" si="2"/>
        <v>2</v>
      </c>
      <c r="J58" s="44"/>
      <c r="K58" s="60">
        <f t="shared" si="3"/>
        <v>95.430815564699998</v>
      </c>
      <c r="L58" s="61">
        <f t="shared" si="4"/>
        <v>78.020336141900003</v>
      </c>
      <c r="M58" s="61">
        <f t="shared" si="5"/>
        <v>169.22802199233786</v>
      </c>
      <c r="N58" s="61">
        <f t="shared" si="6"/>
        <v>-1.2690939922</v>
      </c>
      <c r="O58" s="61">
        <f t="shared" si="6"/>
        <v>-3.9653935344000004</v>
      </c>
      <c r="P58" s="61">
        <f t="shared" si="7"/>
        <v>5.8335638046000007</v>
      </c>
      <c r="Q58" s="62">
        <f t="shared" si="8"/>
        <v>-0.17156267169999984</v>
      </c>
    </row>
    <row r="59" spans="6:27" ht="19.5">
      <c r="I59" s="43">
        <f t="shared" si="2"/>
        <v>2</v>
      </c>
      <c r="J59" s="44"/>
      <c r="K59" s="60">
        <f t="shared" si="3"/>
        <v>89.545704951800005</v>
      </c>
      <c r="L59" s="61">
        <f t="shared" si="4"/>
        <v>68.594906472199995</v>
      </c>
      <c r="M59" s="61">
        <f t="shared" si="5"/>
        <v>165.54684399413787</v>
      </c>
      <c r="N59" s="61">
        <f t="shared" si="6"/>
        <v>-0.68114217129999999</v>
      </c>
      <c r="O59" s="61">
        <f t="shared" si="6"/>
        <v>3.2259084470000001</v>
      </c>
      <c r="P59" s="61">
        <f t="shared" si="7"/>
        <v>1.1306409836000002</v>
      </c>
      <c r="Q59" s="62">
        <f t="shared" si="8"/>
        <v>1.8225069046</v>
      </c>
    </row>
    <row r="60" spans="6:27" ht="19.5">
      <c r="I60" s="43">
        <f t="shared" si="2"/>
        <v>2</v>
      </c>
      <c r="J60" s="44"/>
      <c r="K60" s="60">
        <f t="shared" si="3"/>
        <v>93.645759933099995</v>
      </c>
      <c r="L60" s="61">
        <f t="shared" si="4"/>
        <v>78.425185615199993</v>
      </c>
      <c r="M60" s="61">
        <f t="shared" si="5"/>
        <v>162.10646895843792</v>
      </c>
      <c r="N60" s="61">
        <f t="shared" si="6"/>
        <v>4.2519399663000002</v>
      </c>
      <c r="O60" s="61">
        <f t="shared" si="6"/>
        <v>2.7255788869000002</v>
      </c>
      <c r="P60" s="61">
        <f t="shared" si="7"/>
        <v>1.9898099899000004</v>
      </c>
      <c r="Q60" s="62">
        <f t="shared" si="8"/>
        <v>8.1109447478999996</v>
      </c>
    </row>
    <row r="61" spans="6:27" ht="19.5">
      <c r="I61" s="43">
        <f t="shared" si="2"/>
        <v>3</v>
      </c>
      <c r="J61" s="44"/>
      <c r="K61" s="66">
        <f t="shared" si="3"/>
        <v>88.775991528899993</v>
      </c>
      <c r="L61" s="67">
        <f t="shared" si="4"/>
        <v>69.033571908699997</v>
      </c>
      <c r="M61" s="67">
        <f t="shared" si="5"/>
        <v>164.33121350813792</v>
      </c>
      <c r="N61" s="67">
        <f t="shared" si="6"/>
        <v>-2.9697020921999999</v>
      </c>
      <c r="O61" s="67">
        <f t="shared" si="6"/>
        <v>8.8216413891999998</v>
      </c>
      <c r="P61" s="67">
        <f t="shared" si="7"/>
        <v>6.0082683563000003</v>
      </c>
      <c r="Q61" s="68">
        <f t="shared" si="8"/>
        <v>-8.6662874221999999</v>
      </c>
    </row>
    <row r="62" spans="6:27" ht="19.5">
      <c r="I62" s="43">
        <f t="shared" si="2"/>
        <v>3</v>
      </c>
      <c r="J62" s="44"/>
      <c r="K62" s="69">
        <f t="shared" si="3"/>
        <v>95.149721386300001</v>
      </c>
      <c r="L62" s="70">
        <f t="shared" si="4"/>
        <v>60.544699100899997</v>
      </c>
      <c r="M62" s="70">
        <f t="shared" si="5"/>
        <v>154.44762959463787</v>
      </c>
      <c r="N62" s="70">
        <f t="shared" si="6"/>
        <v>2.8923615969999998</v>
      </c>
      <c r="O62" s="70">
        <f t="shared" si="6"/>
        <v>4.7043199365000001</v>
      </c>
      <c r="P62" s="70">
        <f t="shared" si="7"/>
        <v>-1.1450574398</v>
      </c>
      <c r="Q62" s="71">
        <f t="shared" si="8"/>
        <v>-5.3614141941</v>
      </c>
    </row>
    <row r="63" spans="6:27" ht="19.5">
      <c r="I63" s="43">
        <f t="shared" si="2"/>
        <v>3</v>
      </c>
      <c r="J63" s="44"/>
      <c r="K63" s="72">
        <f t="shared" si="3"/>
        <v>92.8910216381</v>
      </c>
      <c r="L63" s="73">
        <f t="shared" si="4"/>
        <v>73.866068132500004</v>
      </c>
      <c r="M63" s="73">
        <f t="shared" si="5"/>
        <v>145.35168832723787</v>
      </c>
      <c r="N63" s="73">
        <f t="shared" si="6"/>
        <v>6.8280863519999997</v>
      </c>
      <c r="O63" s="73">
        <f t="shared" si="6"/>
        <v>10.580085326500001</v>
      </c>
      <c r="P63" s="73">
        <f t="shared" si="7"/>
        <v>4.5354719162000006</v>
      </c>
      <c r="Q63" s="74">
        <f t="shared" si="8"/>
        <v>-5.6440167426999999</v>
      </c>
    </row>
    <row r="64" spans="6:27" ht="19.5">
      <c r="I64" s="43">
        <f t="shared" si="2"/>
        <v>4</v>
      </c>
      <c r="J64" s="44"/>
      <c r="K64" s="60">
        <f t="shared" si="3"/>
        <v>83.4619411292</v>
      </c>
      <c r="L64" s="61">
        <f t="shared" si="4"/>
        <v>63.020830971300001</v>
      </c>
      <c r="M64" s="61">
        <f t="shared" si="5"/>
        <v>175.60527752363794</v>
      </c>
      <c r="N64" s="61">
        <f t="shared" si="6"/>
        <v>-3.1046998024999999</v>
      </c>
      <c r="O64" s="61">
        <f t="shared" si="6"/>
        <v>2.8271399638000001</v>
      </c>
      <c r="P64" s="61">
        <f t="shared" si="7"/>
        <v>3.0174098015000004</v>
      </c>
      <c r="Q64" s="62">
        <f t="shared" si="8"/>
        <v>7.0299129485999998</v>
      </c>
    </row>
    <row r="65" spans="9:17" ht="19.5">
      <c r="I65" s="43">
        <f t="shared" si="2"/>
        <v>4</v>
      </c>
      <c r="J65" s="44"/>
      <c r="K65" s="60">
        <f t="shared" si="3"/>
        <v>94.142235538099996</v>
      </c>
      <c r="L65" s="61">
        <f t="shared" si="4"/>
        <v>77.240751146299999</v>
      </c>
      <c r="M65" s="61">
        <f t="shared" si="5"/>
        <v>148.74000050103791</v>
      </c>
      <c r="N65" s="61">
        <f t="shared" si="6"/>
        <v>0.25023713060000002</v>
      </c>
      <c r="O65" s="61">
        <f t="shared" si="6"/>
        <v>-0.55519557549999998</v>
      </c>
      <c r="P65" s="61">
        <f t="shared" si="7"/>
        <v>-5.2209930419999999</v>
      </c>
      <c r="Q65" s="62">
        <f t="shared" si="8"/>
        <v>0.92315626139999996</v>
      </c>
    </row>
    <row r="66" spans="9:17" ht="20.25" thickBot="1">
      <c r="I66" s="43">
        <f t="shared" si="2"/>
        <v>4</v>
      </c>
      <c r="J66" s="44"/>
      <c r="K66" s="63">
        <f t="shared" si="3"/>
        <v>92.584684771100001</v>
      </c>
      <c r="L66" s="64">
        <f t="shared" si="4"/>
        <v>73.659486896100006</v>
      </c>
      <c r="M66" s="64">
        <f t="shared" si="5"/>
        <v>164.0239086520379</v>
      </c>
      <c r="N66" s="64">
        <f t="shared" si="6"/>
        <v>9.5808156000000005E-2</v>
      </c>
      <c r="O66" s="64">
        <f t="shared" si="6"/>
        <v>6.6300820081000005</v>
      </c>
      <c r="P66" s="64">
        <f t="shared" si="7"/>
        <v>-0.25333189960000002</v>
      </c>
      <c r="Q66" s="65">
        <f t="shared" si="8"/>
        <v>-0.32357358930000002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s="17" t="s">
        <v>208</v>
      </c>
    </row>
    <row r="2" spans="1:37">
      <c r="A2" t="s">
        <v>209</v>
      </c>
      <c r="B2" t="s">
        <v>210</v>
      </c>
      <c r="C2" t="s">
        <v>211</v>
      </c>
      <c r="D2" t="s">
        <v>212</v>
      </c>
      <c r="E2">
        <v>3</v>
      </c>
      <c r="F2" t="s">
        <v>213</v>
      </c>
      <c r="G2" t="s">
        <v>214</v>
      </c>
      <c r="H2" t="s">
        <v>215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2107.1111573364001</v>
      </c>
      <c r="S2">
        <v>1507.271124889</v>
      </c>
      <c r="T2">
        <v>-5.3888426636000002</v>
      </c>
      <c r="U2">
        <v>5.2288751109999998</v>
      </c>
      <c r="V2">
        <v>7.5087122849999997</v>
      </c>
      <c r="W2">
        <v>733.5625</v>
      </c>
      <c r="X2">
        <v>386.45740000000001</v>
      </c>
      <c r="Y2">
        <v>384.38900000000001</v>
      </c>
      <c r="Z2">
        <v>385.95100000000002</v>
      </c>
      <c r="AA2">
        <v>383.73</v>
      </c>
      <c r="AB2">
        <v>559.34717499999999</v>
      </c>
      <c r="AC2" t="s">
        <v>222</v>
      </c>
      <c r="AD2" t="s">
        <v>223</v>
      </c>
      <c r="AE2" t="s">
        <v>224</v>
      </c>
      <c r="AF2" t="s">
        <v>225</v>
      </c>
      <c r="AG2" t="s">
        <v>226</v>
      </c>
      <c r="AH2">
        <v>8</v>
      </c>
      <c r="AI2" t="s">
        <v>227</v>
      </c>
      <c r="AK2" s="17">
        <v>1</v>
      </c>
    </row>
    <row r="3" spans="1:37">
      <c r="A3" t="s">
        <v>545</v>
      </c>
      <c r="B3" t="s">
        <v>546</v>
      </c>
      <c r="C3" t="s">
        <v>547</v>
      </c>
      <c r="D3" t="s">
        <v>212</v>
      </c>
      <c r="E3">
        <v>3</v>
      </c>
      <c r="F3" t="s">
        <v>213</v>
      </c>
      <c r="G3" t="s">
        <v>214</v>
      </c>
      <c r="H3" t="s">
        <v>215</v>
      </c>
      <c r="I3" t="s">
        <v>216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2112.6873583431002</v>
      </c>
      <c r="S3">
        <v>1518.0941742105999</v>
      </c>
      <c r="T3">
        <v>0.18735834309999999</v>
      </c>
      <c r="U3">
        <v>-5.5941742106000003</v>
      </c>
      <c r="V3">
        <v>5.5973108050000002</v>
      </c>
      <c r="W3">
        <v>734.76689999999996</v>
      </c>
      <c r="X3">
        <v>385.8938</v>
      </c>
      <c r="Y3">
        <v>384.53070000000002</v>
      </c>
      <c r="Z3">
        <v>382.91180000000003</v>
      </c>
      <c r="AA3">
        <v>384.0967</v>
      </c>
      <c r="AB3">
        <v>559.56257500000004</v>
      </c>
      <c r="AC3" t="s">
        <v>222</v>
      </c>
      <c r="AD3" t="s">
        <v>223</v>
      </c>
      <c r="AE3" t="s">
        <v>224</v>
      </c>
      <c r="AF3" t="s">
        <v>225</v>
      </c>
      <c r="AG3" t="s">
        <v>226</v>
      </c>
      <c r="AH3">
        <v>8</v>
      </c>
      <c r="AI3" t="s">
        <v>227</v>
      </c>
      <c r="AK3" s="17">
        <v>1</v>
      </c>
    </row>
    <row r="4" spans="1:37">
      <c r="A4" t="s">
        <v>553</v>
      </c>
      <c r="B4" t="s">
        <v>554</v>
      </c>
      <c r="C4" t="s">
        <v>555</v>
      </c>
      <c r="D4" t="s">
        <v>212</v>
      </c>
      <c r="E4">
        <v>3</v>
      </c>
      <c r="F4" t="s">
        <v>213</v>
      </c>
      <c r="G4" t="s">
        <v>214</v>
      </c>
      <c r="H4" t="s">
        <v>215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2107.3670307871998</v>
      </c>
      <c r="S4">
        <v>1511.6967687258</v>
      </c>
      <c r="T4">
        <v>-5.1329692128</v>
      </c>
      <c r="U4">
        <v>0.80323127419999996</v>
      </c>
      <c r="V4">
        <v>5.1954358256999997</v>
      </c>
      <c r="W4">
        <v>733.99620000000004</v>
      </c>
      <c r="X4">
        <v>385.4796</v>
      </c>
      <c r="Y4">
        <v>384.43979999999999</v>
      </c>
      <c r="Z4">
        <v>385.959</v>
      </c>
      <c r="AA4">
        <v>381.88589999999999</v>
      </c>
      <c r="AB4">
        <v>559.2186375</v>
      </c>
      <c r="AC4" t="s">
        <v>222</v>
      </c>
      <c r="AD4" t="s">
        <v>223</v>
      </c>
      <c r="AE4" t="s">
        <v>224</v>
      </c>
      <c r="AF4" t="s">
        <v>225</v>
      </c>
      <c r="AG4" t="s">
        <v>226</v>
      </c>
      <c r="AH4">
        <v>8</v>
      </c>
      <c r="AI4" t="s">
        <v>227</v>
      </c>
      <c r="AK4" s="17">
        <v>1</v>
      </c>
    </row>
    <row r="5" spans="1:37">
      <c r="A5" t="s">
        <v>575</v>
      </c>
      <c r="B5" t="s">
        <v>576</v>
      </c>
      <c r="C5" t="s">
        <v>577</v>
      </c>
      <c r="D5" t="s">
        <v>212</v>
      </c>
      <c r="E5">
        <v>3</v>
      </c>
      <c r="F5" t="s">
        <v>213</v>
      </c>
      <c r="G5" t="s">
        <v>214</v>
      </c>
      <c r="H5" t="s">
        <v>215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2111.2309060078001</v>
      </c>
      <c r="S5">
        <v>1520.4653935343999</v>
      </c>
      <c r="T5">
        <v>-1.2690939922</v>
      </c>
      <c r="U5">
        <v>-7.9653935344000004</v>
      </c>
      <c r="V5">
        <v>8.0658597632000006</v>
      </c>
      <c r="W5">
        <v>735.50099999999998</v>
      </c>
      <c r="X5">
        <v>383.8777</v>
      </c>
      <c r="Y5">
        <v>390.8048</v>
      </c>
      <c r="Z5">
        <v>385.67680000000001</v>
      </c>
      <c r="AA5">
        <v>384.55169999999998</v>
      </c>
      <c r="AB5">
        <v>560.864375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>
        <v>8</v>
      </c>
      <c r="AI5" t="s">
        <v>227</v>
      </c>
      <c r="AK5" s="17">
        <v>1</v>
      </c>
    </row>
    <row r="6" spans="1:37">
      <c r="A6" t="s">
        <v>590</v>
      </c>
      <c r="B6" t="s">
        <v>591</v>
      </c>
      <c r="C6" t="s">
        <v>592</v>
      </c>
      <c r="D6" t="s">
        <v>212</v>
      </c>
      <c r="E6">
        <v>3</v>
      </c>
      <c r="F6" t="s">
        <v>213</v>
      </c>
      <c r="G6" t="s">
        <v>214</v>
      </c>
      <c r="H6" t="s">
        <v>215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2111.8188578286999</v>
      </c>
      <c r="S6">
        <v>1513.2740915530001</v>
      </c>
      <c r="T6">
        <v>-0.68114217129999999</v>
      </c>
      <c r="U6">
        <v>-0.77409155299999999</v>
      </c>
      <c r="V6">
        <v>1.0311025117999999</v>
      </c>
      <c r="W6">
        <v>746.32349999999997</v>
      </c>
      <c r="X6">
        <v>392.57130000000001</v>
      </c>
      <c r="Y6">
        <v>394.12520000000001</v>
      </c>
      <c r="Z6">
        <v>390.35879999999997</v>
      </c>
      <c r="AA6">
        <v>391.89670000000001</v>
      </c>
      <c r="AB6">
        <v>569.28075000000001</v>
      </c>
      <c r="AC6" t="s">
        <v>222</v>
      </c>
      <c r="AD6" t="s">
        <v>223</v>
      </c>
      <c r="AE6" t="s">
        <v>224</v>
      </c>
      <c r="AF6" t="s">
        <v>225</v>
      </c>
      <c r="AG6" t="s">
        <v>226</v>
      </c>
      <c r="AH6">
        <v>8</v>
      </c>
      <c r="AI6" t="s">
        <v>227</v>
      </c>
      <c r="AK6" s="17">
        <v>1</v>
      </c>
    </row>
    <row r="7" spans="1:37">
      <c r="A7" t="s">
        <v>605</v>
      </c>
      <c r="B7" t="s">
        <v>606</v>
      </c>
      <c r="C7" t="s">
        <v>607</v>
      </c>
      <c r="D7" t="s">
        <v>212</v>
      </c>
      <c r="E7">
        <v>3</v>
      </c>
      <c r="F7" t="s">
        <v>213</v>
      </c>
      <c r="G7" t="s">
        <v>214</v>
      </c>
      <c r="H7" t="s">
        <v>215</v>
      </c>
      <c r="I7" t="s">
        <v>216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2116.7519399663001</v>
      </c>
      <c r="S7">
        <v>1513.7744211131001</v>
      </c>
      <c r="T7">
        <v>4.2519399663000002</v>
      </c>
      <c r="U7">
        <v>-1.2744211131000001</v>
      </c>
      <c r="V7">
        <v>4.4388222143</v>
      </c>
      <c r="W7">
        <v>746.74659999999994</v>
      </c>
      <c r="X7">
        <v>388.99720000000002</v>
      </c>
      <c r="Y7">
        <v>394.21550000000002</v>
      </c>
      <c r="Z7">
        <v>391.94959999999998</v>
      </c>
      <c r="AA7">
        <v>391.9128</v>
      </c>
      <c r="AB7">
        <v>569.25768749999997</v>
      </c>
      <c r="AC7" t="s">
        <v>222</v>
      </c>
      <c r="AD7" t="s">
        <v>223</v>
      </c>
      <c r="AE7" t="s">
        <v>224</v>
      </c>
      <c r="AF7" t="s">
        <v>225</v>
      </c>
      <c r="AG7" t="s">
        <v>226</v>
      </c>
      <c r="AH7">
        <v>8</v>
      </c>
      <c r="AI7" t="s">
        <v>227</v>
      </c>
      <c r="AK7" s="17">
        <v>1</v>
      </c>
    </row>
    <row r="8" spans="1:37">
      <c r="A8" t="s">
        <v>616</v>
      </c>
      <c r="B8" t="s">
        <v>617</v>
      </c>
      <c r="C8" t="s">
        <v>618</v>
      </c>
      <c r="D8" t="s">
        <v>212</v>
      </c>
      <c r="E8">
        <v>3</v>
      </c>
      <c r="F8" t="s">
        <v>213</v>
      </c>
      <c r="G8" t="s">
        <v>214</v>
      </c>
      <c r="H8" t="s">
        <v>215</v>
      </c>
      <c r="I8" t="s">
        <v>216</v>
      </c>
      <c r="K8" t="s">
        <v>619</v>
      </c>
      <c r="L8" t="s">
        <v>620</v>
      </c>
      <c r="M8" t="s">
        <v>621</v>
      </c>
      <c r="N8" t="s">
        <v>622</v>
      </c>
      <c r="O8" t="s">
        <v>623</v>
      </c>
      <c r="P8">
        <v>0</v>
      </c>
      <c r="Q8">
        <v>0</v>
      </c>
      <c r="R8">
        <v>2109.5302979078001</v>
      </c>
      <c r="S8">
        <v>1507.6783586107999</v>
      </c>
      <c r="T8">
        <v>-2.9697020921999999</v>
      </c>
      <c r="U8">
        <v>4.8216413891999998</v>
      </c>
      <c r="V8">
        <v>5.6628046233999996</v>
      </c>
      <c r="W8">
        <v>741.81610000000001</v>
      </c>
      <c r="X8">
        <v>387.85919999999999</v>
      </c>
      <c r="Y8">
        <v>389.35980000000001</v>
      </c>
      <c r="Z8">
        <v>389.58510000000001</v>
      </c>
      <c r="AA8">
        <v>387.76229999999998</v>
      </c>
      <c r="AB8">
        <v>565.22884999999997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>
        <v>8</v>
      </c>
      <c r="AI8" t="s">
        <v>227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212</v>
      </c>
      <c r="E9">
        <v>3</v>
      </c>
      <c r="F9" t="s">
        <v>213</v>
      </c>
      <c r="G9" t="s">
        <v>214</v>
      </c>
      <c r="H9" t="s">
        <v>215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2115.3923615970002</v>
      </c>
      <c r="S9">
        <v>1511.7956800635</v>
      </c>
      <c r="T9">
        <v>2.8923615969999998</v>
      </c>
      <c r="U9">
        <v>0.70431993650000002</v>
      </c>
      <c r="V9">
        <v>2.9768812843000001</v>
      </c>
      <c r="W9">
        <v>729.97130000000004</v>
      </c>
      <c r="X9">
        <v>384.40649999999999</v>
      </c>
      <c r="Y9">
        <v>383.67</v>
      </c>
      <c r="Z9">
        <v>381.29050000000001</v>
      </c>
      <c r="AA9">
        <v>380.99059999999997</v>
      </c>
      <c r="AB9">
        <v>556.28035</v>
      </c>
      <c r="AC9" t="s">
        <v>222</v>
      </c>
      <c r="AD9" t="s">
        <v>223</v>
      </c>
      <c r="AE9" t="s">
        <v>224</v>
      </c>
      <c r="AF9" t="s">
        <v>225</v>
      </c>
      <c r="AG9" t="s">
        <v>226</v>
      </c>
      <c r="AH9">
        <v>8</v>
      </c>
      <c r="AI9" t="s">
        <v>227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212</v>
      </c>
      <c r="E10">
        <v>3</v>
      </c>
      <c r="F10" t="s">
        <v>213</v>
      </c>
      <c r="G10" t="s">
        <v>214</v>
      </c>
      <c r="H10" t="s">
        <v>215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2119.3280863519999</v>
      </c>
      <c r="S10">
        <v>1505.9199146735</v>
      </c>
      <c r="T10">
        <v>6.8280863519999997</v>
      </c>
      <c r="U10">
        <v>6.5800853264999999</v>
      </c>
      <c r="V10">
        <v>9.4826307601999993</v>
      </c>
      <c r="W10">
        <v>741.2079</v>
      </c>
      <c r="X10">
        <v>388.22559999999999</v>
      </c>
      <c r="Y10">
        <v>389.58789999999999</v>
      </c>
      <c r="Z10">
        <v>387.15230000000003</v>
      </c>
      <c r="AA10">
        <v>389.25490000000002</v>
      </c>
      <c r="AB10">
        <v>564.88153750000004</v>
      </c>
      <c r="AC10" t="s">
        <v>222</v>
      </c>
      <c r="AD10" t="s">
        <v>223</v>
      </c>
      <c r="AE10" t="s">
        <v>224</v>
      </c>
      <c r="AF10" t="s">
        <v>225</v>
      </c>
      <c r="AG10" t="s">
        <v>226</v>
      </c>
      <c r="AH10">
        <v>8</v>
      </c>
      <c r="AI10" t="s">
        <v>227</v>
      </c>
      <c r="AK10" s="17">
        <v>1</v>
      </c>
    </row>
    <row r="11" spans="1:37">
      <c r="A11" t="s">
        <v>661</v>
      </c>
      <c r="B11" t="s">
        <v>662</v>
      </c>
      <c r="C11" t="s">
        <v>663</v>
      </c>
      <c r="D11" t="s">
        <v>212</v>
      </c>
      <c r="E11">
        <v>3</v>
      </c>
      <c r="F11" t="s">
        <v>213</v>
      </c>
      <c r="G11" t="s">
        <v>214</v>
      </c>
      <c r="H11" t="s">
        <v>215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2109.3953001975001</v>
      </c>
      <c r="S11">
        <v>1513.6728600362001</v>
      </c>
      <c r="T11">
        <v>-3.1046998024999999</v>
      </c>
      <c r="U11">
        <v>-1.1728600361999999</v>
      </c>
      <c r="V11">
        <v>3.3188494283000001</v>
      </c>
      <c r="W11">
        <v>740.09810000000004</v>
      </c>
      <c r="X11">
        <v>388.38569999999999</v>
      </c>
      <c r="Y11">
        <v>388.39830000000001</v>
      </c>
      <c r="Z11">
        <v>386.01549999999997</v>
      </c>
      <c r="AA11">
        <v>385.37299999999999</v>
      </c>
      <c r="AB11">
        <v>563.57061250000004</v>
      </c>
      <c r="AC11" t="s">
        <v>222</v>
      </c>
      <c r="AD11" t="s">
        <v>223</v>
      </c>
      <c r="AE11" t="s">
        <v>224</v>
      </c>
      <c r="AF11" t="s">
        <v>225</v>
      </c>
      <c r="AG11" t="s">
        <v>226</v>
      </c>
      <c r="AH11">
        <v>8</v>
      </c>
      <c r="AI11" t="s">
        <v>227</v>
      </c>
      <c r="AK11" s="17">
        <v>1</v>
      </c>
    </row>
    <row r="12" spans="1:37">
      <c r="A12" t="s">
        <v>673</v>
      </c>
      <c r="B12" t="s">
        <v>674</v>
      </c>
      <c r="C12" t="s">
        <v>675</v>
      </c>
      <c r="D12" t="s">
        <v>212</v>
      </c>
      <c r="E12">
        <v>3</v>
      </c>
      <c r="F12" t="s">
        <v>213</v>
      </c>
      <c r="G12" t="s">
        <v>214</v>
      </c>
      <c r="H12" t="s">
        <v>215</v>
      </c>
      <c r="I12" t="s">
        <v>216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2112.7502371306</v>
      </c>
      <c r="S12">
        <v>1517.0551955755</v>
      </c>
      <c r="T12">
        <v>0.25023713060000002</v>
      </c>
      <c r="U12">
        <v>-4.5551955755</v>
      </c>
      <c r="V12">
        <v>4.5620637164</v>
      </c>
      <c r="W12">
        <v>749.45039999999995</v>
      </c>
      <c r="X12">
        <v>391.95190000000002</v>
      </c>
      <c r="Y12">
        <v>395.97719999999998</v>
      </c>
      <c r="Z12">
        <v>393.25130000000001</v>
      </c>
      <c r="AA12">
        <v>391.08370000000002</v>
      </c>
      <c r="AB12">
        <v>571.25821250000001</v>
      </c>
      <c r="AC12" t="s">
        <v>222</v>
      </c>
      <c r="AD12" t="s">
        <v>223</v>
      </c>
      <c r="AE12" t="s">
        <v>224</v>
      </c>
      <c r="AF12" t="s">
        <v>225</v>
      </c>
      <c r="AG12" t="s">
        <v>226</v>
      </c>
      <c r="AH12">
        <v>8</v>
      </c>
      <c r="AI12" t="s">
        <v>227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212</v>
      </c>
      <c r="E13">
        <v>3</v>
      </c>
      <c r="F13" t="s">
        <v>213</v>
      </c>
      <c r="G13" t="s">
        <v>214</v>
      </c>
      <c r="H13" t="s">
        <v>215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2112.5958081560002</v>
      </c>
      <c r="S13">
        <v>1509.8699179918999</v>
      </c>
      <c r="T13">
        <v>9.5808156000000005E-2</v>
      </c>
      <c r="U13">
        <v>2.6300820081</v>
      </c>
      <c r="V13">
        <v>2.6318264707000001</v>
      </c>
      <c r="W13">
        <v>741.38639999999998</v>
      </c>
      <c r="X13">
        <v>391.41480000000001</v>
      </c>
      <c r="Y13">
        <v>389.95069999999998</v>
      </c>
      <c r="Z13">
        <v>387.91829999999999</v>
      </c>
      <c r="AA13">
        <v>386.68239999999997</v>
      </c>
      <c r="AB13">
        <v>565.18897500000003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>
        <v>8</v>
      </c>
      <c r="AI13" t="s">
        <v>227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235</v>
      </c>
      <c r="Z1" t="s">
        <v>236</v>
      </c>
      <c r="AA1" t="s">
        <v>237</v>
      </c>
      <c r="AB1" t="s">
        <v>238</v>
      </c>
      <c r="AC1" t="s">
        <v>239</v>
      </c>
      <c r="AD1" t="s">
        <v>240</v>
      </c>
      <c r="AE1" t="s">
        <v>241</v>
      </c>
      <c r="AF1" t="s">
        <v>242</v>
      </c>
      <c r="AG1" t="s">
        <v>243</v>
      </c>
      <c r="AH1" t="s">
        <v>244</v>
      </c>
      <c r="AI1" t="s">
        <v>245</v>
      </c>
      <c r="AJ1" t="s">
        <v>246</v>
      </c>
      <c r="AK1" t="s">
        <v>247</v>
      </c>
      <c r="AL1" t="s">
        <v>248</v>
      </c>
      <c r="AM1" t="s">
        <v>249</v>
      </c>
      <c r="AN1" t="s">
        <v>250</v>
      </c>
      <c r="AO1" t="s">
        <v>251</v>
      </c>
      <c r="AP1" t="s">
        <v>252</v>
      </c>
      <c r="AQ1" t="s">
        <v>253</v>
      </c>
      <c r="AR1" t="s">
        <v>254</v>
      </c>
      <c r="AS1" t="s">
        <v>255</v>
      </c>
      <c r="AT1" t="s">
        <v>256</v>
      </c>
      <c r="AU1" t="s">
        <v>257</v>
      </c>
      <c r="AV1" t="s">
        <v>258</v>
      </c>
      <c r="AW1" t="s">
        <v>206</v>
      </c>
      <c r="AX1" t="s">
        <v>207</v>
      </c>
      <c r="AY1" s="17" t="s">
        <v>208</v>
      </c>
    </row>
    <row r="2" spans="1:51">
      <c r="A2" t="s">
        <v>259</v>
      </c>
      <c r="B2" t="s">
        <v>260</v>
      </c>
      <c r="C2" t="s">
        <v>261</v>
      </c>
      <c r="D2" t="s">
        <v>212</v>
      </c>
      <c r="E2">
        <v>3</v>
      </c>
      <c r="F2" t="s">
        <v>213</v>
      </c>
      <c r="G2" t="s">
        <v>214</v>
      </c>
      <c r="H2" t="s">
        <v>262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-4.3392200000000001E-5</v>
      </c>
      <c r="S2">
        <v>15.4392623901</v>
      </c>
      <c r="T2">
        <v>3.6908726692</v>
      </c>
      <c r="U2">
        <v>-0.51656246189999999</v>
      </c>
      <c r="V2">
        <v>4.4181261062999999</v>
      </c>
      <c r="W2">
        <v>-6.0023636818000004</v>
      </c>
      <c r="X2">
        <v>-5.0795993805000004</v>
      </c>
      <c r="Y2">
        <v>-1.684468627</v>
      </c>
      <c r="Z2">
        <v>1.3300123214999999</v>
      </c>
      <c r="AA2">
        <v>-1.0279939174999999</v>
      </c>
      <c r="AB2">
        <v>-0.14843297</v>
      </c>
      <c r="AC2">
        <v>-0.85642218589999997</v>
      </c>
      <c r="AD2">
        <v>2.1446897984</v>
      </c>
      <c r="AE2">
        <v>1.786444664</v>
      </c>
      <c r="AF2">
        <v>0.52258920669999998</v>
      </c>
      <c r="AG2">
        <v>6.3060671099999993E-2</v>
      </c>
      <c r="AH2">
        <v>0.27159711720000002</v>
      </c>
      <c r="AI2">
        <v>0.35920384529999999</v>
      </c>
      <c r="AJ2">
        <v>0.62887525560000002</v>
      </c>
      <c r="AK2">
        <v>2.19580531E-2</v>
      </c>
      <c r="AL2">
        <v>1.3404040000000001E-4</v>
      </c>
      <c r="AM2">
        <v>3.7090320099999997E-2</v>
      </c>
      <c r="AN2">
        <v>0.28422543410000001</v>
      </c>
      <c r="AO2">
        <v>0.13811230660000001</v>
      </c>
      <c r="AP2">
        <v>0.28422543410000001</v>
      </c>
      <c r="AQ2">
        <v>0.28422543410000001</v>
      </c>
      <c r="AR2">
        <v>15.874298857299999</v>
      </c>
      <c r="AS2" t="s">
        <v>263</v>
      </c>
      <c r="AT2" t="s">
        <v>264</v>
      </c>
      <c r="AU2">
        <v>3</v>
      </c>
      <c r="AV2">
        <v>2.9</v>
      </c>
      <c r="AY2" s="17">
        <v>1</v>
      </c>
    </row>
    <row r="3" spans="1:51">
      <c r="A3" t="s">
        <v>561</v>
      </c>
      <c r="B3" t="s">
        <v>562</v>
      </c>
      <c r="C3" t="s">
        <v>563</v>
      </c>
      <c r="D3" t="s">
        <v>212</v>
      </c>
      <c r="E3">
        <v>3</v>
      </c>
      <c r="F3" t="s">
        <v>213</v>
      </c>
      <c r="G3" t="s">
        <v>214</v>
      </c>
      <c r="H3" t="s">
        <v>262</v>
      </c>
      <c r="I3" t="s">
        <v>216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2.47955E-5</v>
      </c>
      <c r="S3">
        <v>8.0848999023000001</v>
      </c>
      <c r="T3">
        <v>3.0717797279000001</v>
      </c>
      <c r="U3">
        <v>0.70198774340000003</v>
      </c>
      <c r="V3">
        <v>6.7434034348000003</v>
      </c>
      <c r="W3">
        <v>-4.0402193069000001</v>
      </c>
      <c r="X3">
        <v>-3.1090183258000001</v>
      </c>
      <c r="Y3">
        <v>-1.061937809</v>
      </c>
      <c r="Z3">
        <v>2.2818584442000001</v>
      </c>
      <c r="AA3">
        <v>0.91022670269999995</v>
      </c>
      <c r="AB3">
        <v>0.38266968730000001</v>
      </c>
      <c r="AC3">
        <v>-1.5287280083000001</v>
      </c>
      <c r="AD3">
        <v>0.81826168300000002</v>
      </c>
      <c r="AE3">
        <v>0.814422965</v>
      </c>
      <c r="AF3">
        <v>0.26339426640000002</v>
      </c>
      <c r="AG3">
        <v>-0.53081178669999995</v>
      </c>
      <c r="AH3">
        <v>0.39624574779999999</v>
      </c>
      <c r="AI3">
        <v>-0.5466428995</v>
      </c>
      <c r="AJ3">
        <v>-0.78450322149999996</v>
      </c>
      <c r="AK3">
        <v>-0.1073691547</v>
      </c>
      <c r="AL3">
        <v>1.928373E-4</v>
      </c>
      <c r="AM3">
        <v>4.55882326E-2</v>
      </c>
      <c r="AN3">
        <v>0.1556867361</v>
      </c>
      <c r="AO3">
        <v>9.5757678200000002E-2</v>
      </c>
      <c r="AP3">
        <v>0.21917361020000001</v>
      </c>
      <c r="AQ3">
        <v>0.21917361020000001</v>
      </c>
      <c r="AR3">
        <v>8.6487824072000006</v>
      </c>
      <c r="AS3" t="s">
        <v>263</v>
      </c>
      <c r="AT3" t="s">
        <v>264</v>
      </c>
      <c r="AU3">
        <v>4</v>
      </c>
      <c r="AV3">
        <v>2.9</v>
      </c>
      <c r="AY3" s="17">
        <v>1</v>
      </c>
    </row>
    <row r="4" spans="1:51">
      <c r="A4" t="s">
        <v>571</v>
      </c>
      <c r="B4" t="s">
        <v>572</v>
      </c>
      <c r="C4" t="s">
        <v>573</v>
      </c>
      <c r="D4" t="s">
        <v>212</v>
      </c>
      <c r="E4">
        <v>3</v>
      </c>
      <c r="F4" t="s">
        <v>213</v>
      </c>
      <c r="G4" t="s">
        <v>214</v>
      </c>
      <c r="H4" t="s">
        <v>262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-8.07047E-5</v>
      </c>
      <c r="S4">
        <v>5.7673912048</v>
      </c>
      <c r="T4">
        <v>10.497653961199999</v>
      </c>
      <c r="U4">
        <v>-0.64348185059999996</v>
      </c>
      <c r="V4">
        <v>4.2923717499</v>
      </c>
      <c r="W4">
        <v>-5.7809967994999996</v>
      </c>
      <c r="X4">
        <v>-1.5185520648999999</v>
      </c>
      <c r="Y4">
        <v>-1.2208356857</v>
      </c>
      <c r="Z4">
        <v>1.6230199337</v>
      </c>
      <c r="AA4">
        <v>-1.1524450778999999</v>
      </c>
      <c r="AB4">
        <v>1.2869372368000001</v>
      </c>
      <c r="AC4">
        <v>-1.8463728427999999</v>
      </c>
      <c r="AD4">
        <v>1.4126588106</v>
      </c>
      <c r="AE4">
        <v>0.57474780079999999</v>
      </c>
      <c r="AF4">
        <v>-0.2396908998</v>
      </c>
      <c r="AG4">
        <v>-0.59953391550000001</v>
      </c>
      <c r="AH4">
        <v>1.5768378999999999E-2</v>
      </c>
      <c r="AI4">
        <v>0.69816994669999999</v>
      </c>
      <c r="AJ4">
        <v>0.4520787597</v>
      </c>
      <c r="AK4">
        <v>0.2530683279</v>
      </c>
      <c r="AL4">
        <v>1.0815069999999999E-4</v>
      </c>
      <c r="AM4">
        <v>3.3302284799999998E-2</v>
      </c>
      <c r="AN4">
        <v>0.1600168347</v>
      </c>
      <c r="AO4">
        <v>0.22526139019999999</v>
      </c>
      <c r="AP4">
        <v>0.22526139019999999</v>
      </c>
      <c r="AQ4">
        <v>0.22526139019999999</v>
      </c>
      <c r="AR4">
        <v>11.977626643000001</v>
      </c>
      <c r="AS4" t="s">
        <v>263</v>
      </c>
      <c r="AT4" t="s">
        <v>264</v>
      </c>
      <c r="AU4">
        <v>4</v>
      </c>
      <c r="AV4">
        <v>2.9</v>
      </c>
      <c r="AY4" s="17">
        <v>1</v>
      </c>
    </row>
    <row r="5" spans="1:51">
      <c r="A5" t="s">
        <v>583</v>
      </c>
      <c r="B5" t="s">
        <v>584</v>
      </c>
      <c r="C5" t="s">
        <v>585</v>
      </c>
      <c r="D5" t="s">
        <v>212</v>
      </c>
      <c r="E5">
        <v>3</v>
      </c>
      <c r="F5" t="s">
        <v>213</v>
      </c>
      <c r="G5" t="s">
        <v>214</v>
      </c>
      <c r="H5" t="s">
        <v>262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1.9431100000000001E-5</v>
      </c>
      <c r="S5">
        <v>9.8335638046000007</v>
      </c>
      <c r="T5">
        <v>2.8284373283000002</v>
      </c>
      <c r="U5">
        <v>3.1914715767000001</v>
      </c>
      <c r="V5">
        <v>3.5628283023999998</v>
      </c>
      <c r="W5">
        <v>-8.2345714568999995</v>
      </c>
      <c r="X5">
        <v>-1.6452205180999999</v>
      </c>
      <c r="Y5">
        <v>-1.2902934551</v>
      </c>
      <c r="Z5">
        <v>0.59398078919999997</v>
      </c>
      <c r="AA5">
        <v>1.0782079697</v>
      </c>
      <c r="AB5">
        <v>-0.26003015039999999</v>
      </c>
      <c r="AC5">
        <v>-1.3113459349000001</v>
      </c>
      <c r="AD5">
        <v>1.9049062728999999</v>
      </c>
      <c r="AE5">
        <v>0.33694547409999998</v>
      </c>
      <c r="AF5">
        <v>0.54358518119999999</v>
      </c>
      <c r="AG5">
        <v>-0.16193389890000001</v>
      </c>
      <c r="AH5">
        <v>-0.73045319320000002</v>
      </c>
      <c r="AI5">
        <v>-0.3130114973</v>
      </c>
      <c r="AJ5">
        <v>-3.2103717300000001E-2</v>
      </c>
      <c r="AK5">
        <v>0.41210272910000001</v>
      </c>
      <c r="AL5">
        <v>1.184191E-4</v>
      </c>
      <c r="AM5">
        <v>3.5657405900000001E-2</v>
      </c>
      <c r="AN5">
        <v>0.21914236249999999</v>
      </c>
      <c r="AO5">
        <v>0.1490781903</v>
      </c>
      <c r="AP5">
        <v>0.21914236249999999</v>
      </c>
      <c r="AQ5">
        <v>0.21914236249999999</v>
      </c>
      <c r="AR5">
        <v>10.2322546303</v>
      </c>
      <c r="AS5" t="s">
        <v>263</v>
      </c>
      <c r="AT5" t="s">
        <v>264</v>
      </c>
      <c r="AU5">
        <v>3</v>
      </c>
      <c r="AV5">
        <v>2.9</v>
      </c>
      <c r="AY5" s="17">
        <v>1</v>
      </c>
    </row>
    <row r="6" spans="1:51">
      <c r="A6" t="s">
        <v>601</v>
      </c>
      <c r="B6" t="s">
        <v>602</v>
      </c>
      <c r="C6" t="s">
        <v>603</v>
      </c>
      <c r="D6" t="s">
        <v>212</v>
      </c>
      <c r="E6">
        <v>3</v>
      </c>
      <c r="F6" t="s">
        <v>213</v>
      </c>
      <c r="G6" t="s">
        <v>214</v>
      </c>
      <c r="H6" t="s">
        <v>262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5.0068000000000001E-6</v>
      </c>
      <c r="S6">
        <v>5.1306409836000002</v>
      </c>
      <c r="T6">
        <v>4.8225069046</v>
      </c>
      <c r="U6">
        <v>2.6502614020999999</v>
      </c>
      <c r="V6">
        <v>8.4038505554</v>
      </c>
      <c r="W6">
        <v>-5.5313014984000004</v>
      </c>
      <c r="X6">
        <v>-2.1418161391999999</v>
      </c>
      <c r="Y6">
        <v>-2.6374492644999998</v>
      </c>
      <c r="Z6">
        <v>0.61869895460000002</v>
      </c>
      <c r="AA6">
        <v>9.3142449899999993E-2</v>
      </c>
      <c r="AB6">
        <v>0.4293650389</v>
      </c>
      <c r="AC6">
        <v>-2.1724677086000002</v>
      </c>
      <c r="AD6">
        <v>1.3045964241000001</v>
      </c>
      <c r="AE6">
        <v>0.66225814819999995</v>
      </c>
      <c r="AF6">
        <v>0.69727444650000003</v>
      </c>
      <c r="AG6">
        <v>-0.22181618210000001</v>
      </c>
      <c r="AH6">
        <v>0.48040285710000002</v>
      </c>
      <c r="AI6">
        <v>-0.3318948746</v>
      </c>
      <c r="AJ6">
        <v>0.24954259400000001</v>
      </c>
      <c r="AK6">
        <v>0.1973332018</v>
      </c>
      <c r="AL6">
        <v>1.2805579999999999E-4</v>
      </c>
      <c r="AM6">
        <v>3.6621227899999997E-2</v>
      </c>
      <c r="AN6">
        <v>0.1396092176</v>
      </c>
      <c r="AO6">
        <v>0.14459569750000001</v>
      </c>
      <c r="AP6">
        <v>0.252915591</v>
      </c>
      <c r="AQ6">
        <v>0.252915591</v>
      </c>
      <c r="AR6">
        <v>7.0413102293999996</v>
      </c>
      <c r="AS6" t="s">
        <v>263</v>
      </c>
      <c r="AT6" t="s">
        <v>264</v>
      </c>
      <c r="AU6">
        <v>3</v>
      </c>
      <c r="AV6">
        <v>2.9</v>
      </c>
      <c r="AY6" s="17">
        <v>1</v>
      </c>
    </row>
    <row r="7" spans="1:51">
      <c r="A7" t="s">
        <v>624</v>
      </c>
      <c r="B7" t="s">
        <v>625</v>
      </c>
      <c r="C7" t="s">
        <v>626</v>
      </c>
      <c r="D7" t="s">
        <v>212</v>
      </c>
      <c r="E7">
        <v>3</v>
      </c>
      <c r="F7" t="s">
        <v>213</v>
      </c>
      <c r="G7" t="s">
        <v>214</v>
      </c>
      <c r="H7" t="s">
        <v>262</v>
      </c>
      <c r="I7" t="s">
        <v>216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4.7683999999999999E-6</v>
      </c>
      <c r="S7">
        <v>5.9898099899000004</v>
      </c>
      <c r="T7">
        <v>11.1109447479</v>
      </c>
      <c r="U7">
        <v>-0.21286451819999999</v>
      </c>
      <c r="V7">
        <v>4.4544391632</v>
      </c>
      <c r="W7">
        <v>-1.8311914206</v>
      </c>
      <c r="X7">
        <v>-1.3632409572999999</v>
      </c>
      <c r="Y7">
        <v>-4.9652404785000002</v>
      </c>
      <c r="Z7">
        <v>1.7687554359</v>
      </c>
      <c r="AA7">
        <v>6.08075857E-2</v>
      </c>
      <c r="AB7">
        <v>-0.1271088719</v>
      </c>
      <c r="AC7">
        <v>-1.7886209488</v>
      </c>
      <c r="AD7">
        <v>0.24579524990000001</v>
      </c>
      <c r="AE7">
        <v>0.16321283580000001</v>
      </c>
      <c r="AF7">
        <v>1.3340597153</v>
      </c>
      <c r="AG7">
        <v>-0.19988936190000001</v>
      </c>
      <c r="AH7">
        <v>0.38194683190000001</v>
      </c>
      <c r="AI7">
        <v>0.69002342220000001</v>
      </c>
      <c r="AJ7">
        <v>0.10343539710000001</v>
      </c>
      <c r="AK7">
        <v>3.3768653900000001E-2</v>
      </c>
      <c r="AL7">
        <v>1.7388869999999999E-4</v>
      </c>
      <c r="AM7">
        <v>4.3535400199999998E-2</v>
      </c>
      <c r="AN7">
        <v>0.10429021719999999</v>
      </c>
      <c r="AO7">
        <v>0.2393827587</v>
      </c>
      <c r="AP7">
        <v>0.25476774569999999</v>
      </c>
      <c r="AQ7">
        <v>0.25476774569999999</v>
      </c>
      <c r="AR7">
        <v>12.6226351016</v>
      </c>
      <c r="AS7" t="s">
        <v>263</v>
      </c>
      <c r="AT7" t="s">
        <v>264</v>
      </c>
      <c r="AU7">
        <v>3</v>
      </c>
      <c r="AV7">
        <v>2.9</v>
      </c>
      <c r="AY7" s="17">
        <v>1</v>
      </c>
    </row>
    <row r="8" spans="1:51">
      <c r="A8" t="s">
        <v>631</v>
      </c>
      <c r="B8" t="s">
        <v>632</v>
      </c>
      <c r="C8" t="s">
        <v>633</v>
      </c>
      <c r="D8" t="s">
        <v>212</v>
      </c>
      <c r="E8">
        <v>3</v>
      </c>
      <c r="F8" t="s">
        <v>213</v>
      </c>
      <c r="G8" t="s">
        <v>214</v>
      </c>
      <c r="H8" t="s">
        <v>262</v>
      </c>
      <c r="I8" t="s">
        <v>216</v>
      </c>
      <c r="K8" t="s">
        <v>619</v>
      </c>
      <c r="L8" t="s">
        <v>620</v>
      </c>
      <c r="M8" t="s">
        <v>621</v>
      </c>
      <c r="N8" t="s">
        <v>622</v>
      </c>
      <c r="O8" t="s">
        <v>623</v>
      </c>
      <c r="P8">
        <v>0</v>
      </c>
      <c r="Q8">
        <v>0</v>
      </c>
      <c r="R8">
        <v>-1.9072999999999999E-6</v>
      </c>
      <c r="S8">
        <v>10.0082683563</v>
      </c>
      <c r="T8">
        <v>-5.6662874221999999</v>
      </c>
      <c r="U8">
        <v>-2.6911997794999998</v>
      </c>
      <c r="V8">
        <v>2.0118031502</v>
      </c>
      <c r="W8">
        <v>1.8148109912999999</v>
      </c>
      <c r="X8">
        <v>-2.3220169544</v>
      </c>
      <c r="Y8">
        <v>-1.4677295685</v>
      </c>
      <c r="Z8">
        <v>2.6690196991000001</v>
      </c>
      <c r="AA8">
        <v>-0.90090334419999996</v>
      </c>
      <c r="AB8">
        <v>-0.85367840530000005</v>
      </c>
      <c r="AC8">
        <v>-0.6355184317</v>
      </c>
      <c r="AD8">
        <v>-1.1476700306000001</v>
      </c>
      <c r="AE8">
        <v>0.21459054950000001</v>
      </c>
      <c r="AF8">
        <v>1.1898483038000001</v>
      </c>
      <c r="AG8">
        <v>-0.68405246730000002</v>
      </c>
      <c r="AH8">
        <v>0.64328980449999995</v>
      </c>
      <c r="AI8">
        <v>0.29459536079999998</v>
      </c>
      <c r="AJ8">
        <v>0.33639281989999997</v>
      </c>
      <c r="AK8">
        <v>-0.12157711390000001</v>
      </c>
      <c r="AL8">
        <v>1.5912519999999999E-4</v>
      </c>
      <c r="AM8">
        <v>4.0993314199999999E-2</v>
      </c>
      <c r="AN8">
        <v>0.1540357769</v>
      </c>
      <c r="AO8">
        <v>0.1101107597</v>
      </c>
      <c r="AP8">
        <v>0.20155948400000001</v>
      </c>
      <c r="AQ8">
        <v>0.20155948400000001</v>
      </c>
      <c r="AR8">
        <v>11.5009672916</v>
      </c>
      <c r="AS8" t="s">
        <v>263</v>
      </c>
      <c r="AT8" t="s">
        <v>264</v>
      </c>
      <c r="AU8">
        <v>4</v>
      </c>
      <c r="AV8">
        <v>2.9</v>
      </c>
      <c r="AY8" s="17">
        <v>1</v>
      </c>
    </row>
    <row r="9" spans="1:51">
      <c r="A9" t="s">
        <v>646</v>
      </c>
      <c r="B9" t="s">
        <v>647</v>
      </c>
      <c r="C9" t="s">
        <v>648</v>
      </c>
      <c r="D9" t="s">
        <v>212</v>
      </c>
      <c r="E9">
        <v>3</v>
      </c>
      <c r="F9" t="s">
        <v>213</v>
      </c>
      <c r="G9" t="s">
        <v>214</v>
      </c>
      <c r="H9" t="s">
        <v>262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5.9366200000000001E-5</v>
      </c>
      <c r="S9">
        <v>2.8549425602</v>
      </c>
      <c r="T9">
        <v>-2.3614141941</v>
      </c>
      <c r="U9">
        <v>0.32509350780000001</v>
      </c>
      <c r="V9">
        <v>4.5373654366</v>
      </c>
      <c r="W9">
        <v>-4.9936265945000002</v>
      </c>
      <c r="X9">
        <v>-0.52781307700000002</v>
      </c>
      <c r="Y9">
        <v>-1.7925262450999999</v>
      </c>
      <c r="Z9">
        <v>1.6839413643000001</v>
      </c>
      <c r="AA9">
        <v>-0.15926140550000001</v>
      </c>
      <c r="AB9">
        <v>-1.1840019226</v>
      </c>
      <c r="AC9">
        <v>-1.5460835694999999</v>
      </c>
      <c r="AD9">
        <v>1.7723848820000001</v>
      </c>
      <c r="AE9">
        <v>6.7231863700000005E-2</v>
      </c>
      <c r="AF9">
        <v>0.64248383050000002</v>
      </c>
      <c r="AG9">
        <v>-0.31643348929999998</v>
      </c>
      <c r="AH9">
        <v>-9.7906887499999998E-2</v>
      </c>
      <c r="AI9">
        <v>-1.1429641247</v>
      </c>
      <c r="AJ9">
        <v>7.1177065400000003E-2</v>
      </c>
      <c r="AK9">
        <v>0.81052428480000005</v>
      </c>
      <c r="AL9">
        <v>1.5630590000000001E-4</v>
      </c>
      <c r="AM9">
        <v>4.1031815100000001E-2</v>
      </c>
      <c r="AN9">
        <v>0.1111925468</v>
      </c>
      <c r="AO9">
        <v>0.1082895696</v>
      </c>
      <c r="AP9">
        <v>0.1120321304</v>
      </c>
      <c r="AQ9">
        <v>0.1210307702</v>
      </c>
      <c r="AR9">
        <v>3.7049931199000001</v>
      </c>
      <c r="AS9" t="s">
        <v>263</v>
      </c>
      <c r="AT9" t="s">
        <v>264</v>
      </c>
      <c r="AU9">
        <v>3</v>
      </c>
      <c r="AV9">
        <v>2.9</v>
      </c>
      <c r="AY9" s="17">
        <v>1</v>
      </c>
    </row>
    <row r="10" spans="1:51">
      <c r="A10" t="s">
        <v>669</v>
      </c>
      <c r="B10" t="s">
        <v>670</v>
      </c>
      <c r="C10" t="s">
        <v>671</v>
      </c>
      <c r="D10" t="s">
        <v>212</v>
      </c>
      <c r="E10">
        <v>3</v>
      </c>
      <c r="F10" t="s">
        <v>213</v>
      </c>
      <c r="G10" t="s">
        <v>214</v>
      </c>
      <c r="H10" t="s">
        <v>262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-5.6505200000000002E-5</v>
      </c>
      <c r="S10">
        <v>8.5354719162000006</v>
      </c>
      <c r="T10">
        <v>-2.6440167426999999</v>
      </c>
      <c r="U10">
        <v>0.35686707499999998</v>
      </c>
      <c r="V10">
        <v>5.3209261893999997</v>
      </c>
      <c r="W10">
        <v>0.43950068949999999</v>
      </c>
      <c r="X10">
        <v>-1.7796828747</v>
      </c>
      <c r="Y10">
        <v>-1.4861600398999999</v>
      </c>
      <c r="Z10">
        <v>1.9284827709000001</v>
      </c>
      <c r="AA10">
        <v>1.3491704464000001</v>
      </c>
      <c r="AB10">
        <v>-1.182928443</v>
      </c>
      <c r="AC10">
        <v>-1.2557334899999999</v>
      </c>
      <c r="AD10">
        <v>0.1157151461</v>
      </c>
      <c r="AE10">
        <v>0.2751225531</v>
      </c>
      <c r="AF10">
        <v>0.48181363939999999</v>
      </c>
      <c r="AG10">
        <v>-0.3894770145</v>
      </c>
      <c r="AH10">
        <v>0.47028923030000003</v>
      </c>
      <c r="AI10">
        <v>-0.3064621985</v>
      </c>
      <c r="AJ10">
        <v>-0.83775502440000005</v>
      </c>
      <c r="AK10">
        <v>0.45369923109999999</v>
      </c>
      <c r="AL10">
        <v>1.7192809999999999E-4</v>
      </c>
      <c r="AM10">
        <v>4.0632992999999999E-2</v>
      </c>
      <c r="AN10">
        <v>0.1554538459</v>
      </c>
      <c r="AO10">
        <v>3.8452740800000003E-2</v>
      </c>
      <c r="AP10">
        <v>0.16385969519999999</v>
      </c>
      <c r="AQ10">
        <v>0.16385969519999999</v>
      </c>
      <c r="AR10">
        <v>8.9356088415000006</v>
      </c>
      <c r="AS10" t="s">
        <v>263</v>
      </c>
      <c r="AT10" t="s">
        <v>264</v>
      </c>
      <c r="AU10">
        <v>3</v>
      </c>
      <c r="AV10">
        <v>2.9</v>
      </c>
      <c r="AY10" s="17">
        <v>1</v>
      </c>
    </row>
    <row r="11" spans="1:51">
      <c r="A11" t="s">
        <v>681</v>
      </c>
      <c r="B11" t="s">
        <v>682</v>
      </c>
      <c r="C11" t="s">
        <v>683</v>
      </c>
      <c r="D11" t="s">
        <v>212</v>
      </c>
      <c r="E11">
        <v>3</v>
      </c>
      <c r="F11" t="s">
        <v>213</v>
      </c>
      <c r="G11" t="s">
        <v>214</v>
      </c>
      <c r="H11" t="s">
        <v>262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-6.4671000000000005E-5</v>
      </c>
      <c r="S11">
        <v>7.0174098015000004</v>
      </c>
      <c r="T11">
        <v>10.0299129486</v>
      </c>
      <c r="U11">
        <v>2.1861267089999998</v>
      </c>
      <c r="V11">
        <v>9.6302909851000003</v>
      </c>
      <c r="W11">
        <v>0.24527215960000001</v>
      </c>
      <c r="X11">
        <v>-3.9949274063</v>
      </c>
      <c r="Y11">
        <v>-5.2276749611</v>
      </c>
      <c r="Z11">
        <v>1.4600443839999999</v>
      </c>
      <c r="AA11">
        <v>-1.5014449357999999</v>
      </c>
      <c r="AB11">
        <v>0.39730942250000001</v>
      </c>
      <c r="AC11">
        <v>-2.7295031548000002</v>
      </c>
      <c r="AD11">
        <v>-0.26613295079999999</v>
      </c>
      <c r="AE11">
        <v>1.9563052653999999</v>
      </c>
      <c r="AF11">
        <v>2.0278892517</v>
      </c>
      <c r="AG11">
        <v>-0.90154594180000003</v>
      </c>
      <c r="AH11">
        <v>1.0960357189000001</v>
      </c>
      <c r="AI11">
        <v>-0.75521785019999998</v>
      </c>
      <c r="AJ11">
        <v>0.34067213540000002</v>
      </c>
      <c r="AK11">
        <v>0.4023853838</v>
      </c>
      <c r="AL11">
        <v>1.926528E-4</v>
      </c>
      <c r="AM11">
        <v>4.4879030399999999E-2</v>
      </c>
      <c r="AN11">
        <v>0.14884452519999999</v>
      </c>
      <c r="AO11">
        <v>0.22548434140000001</v>
      </c>
      <c r="AP11">
        <v>0.34824064370000002</v>
      </c>
      <c r="AQ11">
        <v>0.34824064370000002</v>
      </c>
      <c r="AR11">
        <v>12.241045465099999</v>
      </c>
      <c r="AS11" t="s">
        <v>263</v>
      </c>
      <c r="AT11" t="s">
        <v>264</v>
      </c>
      <c r="AU11">
        <v>3</v>
      </c>
      <c r="AV11">
        <v>2.9</v>
      </c>
      <c r="AY11" s="17">
        <v>1</v>
      </c>
    </row>
    <row r="12" spans="1:51">
      <c r="A12" t="s">
        <v>691</v>
      </c>
      <c r="B12" t="s">
        <v>692</v>
      </c>
      <c r="C12" t="s">
        <v>693</v>
      </c>
      <c r="D12" t="s">
        <v>212</v>
      </c>
      <c r="E12">
        <v>3</v>
      </c>
      <c r="F12" t="s">
        <v>213</v>
      </c>
      <c r="G12" t="s">
        <v>214</v>
      </c>
      <c r="H12" t="s">
        <v>262</v>
      </c>
      <c r="I12" t="s">
        <v>216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-8.8215000000000002E-6</v>
      </c>
      <c r="S12">
        <v>-1.2209930419999999</v>
      </c>
      <c r="T12">
        <v>3.9231562614</v>
      </c>
      <c r="U12">
        <v>4.6264491081000001</v>
      </c>
      <c r="V12">
        <v>6.8086242675999999</v>
      </c>
      <c r="W12">
        <v>-8.3475723266999999</v>
      </c>
      <c r="X12">
        <v>-0.5706172585</v>
      </c>
      <c r="Y12">
        <v>-1.5434076785999999</v>
      </c>
      <c r="Z12">
        <v>0.74162256719999997</v>
      </c>
      <c r="AA12">
        <v>-2.2728605270000002</v>
      </c>
      <c r="AB12">
        <v>0.1953047514</v>
      </c>
      <c r="AC12">
        <v>-2.7673530578999999</v>
      </c>
      <c r="AD12">
        <v>2.0462729931000001</v>
      </c>
      <c r="AE12">
        <v>0.36562386159999999</v>
      </c>
      <c r="AF12">
        <v>0.26620054240000002</v>
      </c>
      <c r="AG12">
        <v>-0.53335738180000003</v>
      </c>
      <c r="AH12">
        <v>-0.62391877169999999</v>
      </c>
      <c r="AI12">
        <v>-3.6506057000000001E-3</v>
      </c>
      <c r="AJ12">
        <v>0.70234251020000005</v>
      </c>
      <c r="AK12">
        <v>0.25748682020000002</v>
      </c>
      <c r="AL12">
        <v>1.6076E-4</v>
      </c>
      <c r="AM12">
        <v>4.2598612600000002E-2</v>
      </c>
      <c r="AN12">
        <v>0.1356319487</v>
      </c>
      <c r="AO12">
        <v>0.16939729449999999</v>
      </c>
      <c r="AP12">
        <v>0.20674489439999999</v>
      </c>
      <c r="AQ12">
        <v>0.20674489439999999</v>
      </c>
      <c r="AR12">
        <v>4.1087685576000004</v>
      </c>
      <c r="AS12" t="s">
        <v>263</v>
      </c>
      <c r="AT12" t="s">
        <v>264</v>
      </c>
      <c r="AU12">
        <v>4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212</v>
      </c>
      <c r="E13">
        <v>3</v>
      </c>
      <c r="F13" t="s">
        <v>213</v>
      </c>
      <c r="G13" t="s">
        <v>214</v>
      </c>
      <c r="H13" t="s">
        <v>262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1.50502E-5</v>
      </c>
      <c r="S13">
        <v>3.7466681004</v>
      </c>
      <c r="T13">
        <v>2.6764264107</v>
      </c>
      <c r="U13">
        <v>2.1369943618999998</v>
      </c>
      <c r="V13">
        <v>6.8359894752999999</v>
      </c>
      <c r="W13">
        <v>-7.898121357</v>
      </c>
      <c r="X13">
        <v>-2.0938720703000002</v>
      </c>
      <c r="Y13">
        <v>-3.7499847412</v>
      </c>
      <c r="Z13">
        <v>1.2046396732</v>
      </c>
      <c r="AA13">
        <v>-3.1286954899999997E-2</v>
      </c>
      <c r="AB13">
        <v>-1.1025809049999999</v>
      </c>
      <c r="AC13">
        <v>-2.0600116253</v>
      </c>
      <c r="AD13">
        <v>1.8368206024</v>
      </c>
      <c r="AE13">
        <v>1.0655982494</v>
      </c>
      <c r="AF13">
        <v>1.4182615279999999</v>
      </c>
      <c r="AG13">
        <v>-0.5625482798</v>
      </c>
      <c r="AH13">
        <v>0.11627712849999999</v>
      </c>
      <c r="AI13">
        <v>-0.44911617040000001</v>
      </c>
      <c r="AJ13">
        <v>0.62977850440000005</v>
      </c>
      <c r="AK13">
        <v>1.1664941311000001</v>
      </c>
      <c r="AL13">
        <v>1.5189700000000001E-4</v>
      </c>
      <c r="AM13">
        <v>3.9465032499999997E-2</v>
      </c>
      <c r="AN13">
        <v>0.15910011530000001</v>
      </c>
      <c r="AO13">
        <v>0.14248630400000001</v>
      </c>
      <c r="AP13">
        <v>0.21400959789999999</v>
      </c>
      <c r="AQ13">
        <v>0.21400959789999999</v>
      </c>
      <c r="AR13">
        <v>4.6044304952999999</v>
      </c>
      <c r="AS13" t="s">
        <v>263</v>
      </c>
      <c r="AT13" t="s">
        <v>264</v>
      </c>
      <c r="AU13">
        <v>4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277</v>
      </c>
      <c r="AE1" t="s">
        <v>206</v>
      </c>
      <c r="AF1" t="s">
        <v>207</v>
      </c>
      <c r="AG1" s="17" t="s">
        <v>208</v>
      </c>
    </row>
    <row r="2" spans="1:33">
      <c r="A2" t="s">
        <v>259</v>
      </c>
      <c r="B2" t="s">
        <v>260</v>
      </c>
      <c r="C2" t="s">
        <v>278</v>
      </c>
      <c r="D2" t="s">
        <v>212</v>
      </c>
      <c r="E2">
        <v>3</v>
      </c>
      <c r="F2" t="s">
        <v>213</v>
      </c>
      <c r="G2" t="s">
        <v>214</v>
      </c>
      <c r="H2" t="s">
        <v>262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-2.3460410557000002</v>
      </c>
      <c r="S2">
        <v>-16</v>
      </c>
      <c r="T2">
        <v>91.895899987999996</v>
      </c>
      <c r="U2">
        <v>100.8732630352</v>
      </c>
      <c r="V2">
        <v>3.8350156693000002</v>
      </c>
      <c r="W2">
        <v>3.4329891E-3</v>
      </c>
      <c r="X2">
        <v>-6.5542000000000004E-5</v>
      </c>
      <c r="Y2">
        <v>3.6895362897999999</v>
      </c>
      <c r="Z2">
        <v>90.681011891400004</v>
      </c>
      <c r="AA2">
        <v>69.304949614799995</v>
      </c>
      <c r="AB2">
        <v>344.7223290105</v>
      </c>
      <c r="AC2">
        <v>366.00191599200002</v>
      </c>
      <c r="AD2">
        <v>1</v>
      </c>
      <c r="AG2" s="17">
        <v>1</v>
      </c>
    </row>
    <row r="3" spans="1:33">
      <c r="A3" t="s">
        <v>561</v>
      </c>
      <c r="B3" t="s">
        <v>562</v>
      </c>
      <c r="C3" t="s">
        <v>564</v>
      </c>
      <c r="D3" t="s">
        <v>212</v>
      </c>
      <c r="E3">
        <v>3</v>
      </c>
      <c r="F3" t="s">
        <v>213</v>
      </c>
      <c r="G3" t="s">
        <v>214</v>
      </c>
      <c r="H3" t="s">
        <v>262</v>
      </c>
      <c r="I3" t="s">
        <v>216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0</v>
      </c>
      <c r="S3">
        <v>0</v>
      </c>
      <c r="T3">
        <v>88.685008315900006</v>
      </c>
      <c r="U3">
        <v>88.685008315900006</v>
      </c>
      <c r="V3">
        <v>3.7998633199</v>
      </c>
      <c r="W3">
        <v>4.3968150999999997E-3</v>
      </c>
      <c r="X3">
        <v>-6.6282600000000001E-5</v>
      </c>
      <c r="Y3">
        <v>3.7056235363000001</v>
      </c>
      <c r="Z3">
        <v>86.977751295700003</v>
      </c>
      <c r="AA3">
        <v>68.533096868000001</v>
      </c>
      <c r="AB3">
        <v>346.86273466630001</v>
      </c>
      <c r="AC3">
        <v>373.59857699759999</v>
      </c>
      <c r="AD3">
        <v>1</v>
      </c>
      <c r="AG3" s="17">
        <v>1</v>
      </c>
    </row>
    <row r="4" spans="1:33">
      <c r="A4" t="s">
        <v>571</v>
      </c>
      <c r="B4" t="s">
        <v>572</v>
      </c>
      <c r="C4" t="s">
        <v>574</v>
      </c>
      <c r="D4" t="s">
        <v>212</v>
      </c>
      <c r="E4">
        <v>3</v>
      </c>
      <c r="F4" t="s">
        <v>213</v>
      </c>
      <c r="G4" t="s">
        <v>214</v>
      </c>
      <c r="H4" t="s">
        <v>262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-1.1730205279000001</v>
      </c>
      <c r="S4">
        <v>-8</v>
      </c>
      <c r="T4">
        <v>97.369877195599997</v>
      </c>
      <c r="U4">
        <v>101.8521327964</v>
      </c>
      <c r="V4">
        <v>3.8251059805000001</v>
      </c>
      <c r="W4">
        <v>3.3234451E-3</v>
      </c>
      <c r="X4">
        <v>-6.1491900000000007E-5</v>
      </c>
      <c r="Y4">
        <v>3.7109435692999999</v>
      </c>
      <c r="Z4">
        <v>95.261367481400001</v>
      </c>
      <c r="AA4">
        <v>81.570441615199996</v>
      </c>
      <c r="AB4">
        <v>335.12108123249999</v>
      </c>
      <c r="AC4">
        <v>360.45005116700003</v>
      </c>
      <c r="AD4">
        <v>1</v>
      </c>
      <c r="AG4" s="17">
        <v>1</v>
      </c>
    </row>
    <row r="5" spans="1:33">
      <c r="A5" t="s">
        <v>583</v>
      </c>
      <c r="B5" t="s">
        <v>584</v>
      </c>
      <c r="C5" t="s">
        <v>586</v>
      </c>
      <c r="D5" t="s">
        <v>212</v>
      </c>
      <c r="E5">
        <v>3</v>
      </c>
      <c r="F5" t="s">
        <v>213</v>
      </c>
      <c r="G5" t="s">
        <v>214</v>
      </c>
      <c r="H5" t="s">
        <v>262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-2.3460410557000002</v>
      </c>
      <c r="S5">
        <v>-16</v>
      </c>
      <c r="T5">
        <v>95.430815564699998</v>
      </c>
      <c r="U5">
        <v>104.50853228619999</v>
      </c>
      <c r="V5">
        <v>3.8769255901999999</v>
      </c>
      <c r="W5">
        <v>3.0712631999999999E-3</v>
      </c>
      <c r="X5">
        <v>-6.2415299999999999E-5</v>
      </c>
      <c r="Y5">
        <v>3.7272962274000001</v>
      </c>
      <c r="Z5">
        <v>94.328269956400007</v>
      </c>
      <c r="AA5">
        <v>78.020336141900003</v>
      </c>
      <c r="AB5">
        <v>348.73112758240001</v>
      </c>
      <c r="AC5">
        <v>373.00147123959999</v>
      </c>
      <c r="AD5">
        <v>1</v>
      </c>
      <c r="AG5" s="17">
        <v>1</v>
      </c>
    </row>
    <row r="6" spans="1:33">
      <c r="A6" t="s">
        <v>601</v>
      </c>
      <c r="B6" t="s">
        <v>602</v>
      </c>
      <c r="C6" t="s">
        <v>604</v>
      </c>
      <c r="D6" t="s">
        <v>212</v>
      </c>
      <c r="E6">
        <v>3</v>
      </c>
      <c r="F6" t="s">
        <v>213</v>
      </c>
      <c r="G6" t="s">
        <v>214</v>
      </c>
      <c r="H6" t="s">
        <v>262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-2.3460410557000002</v>
      </c>
      <c r="S6">
        <v>-16</v>
      </c>
      <c r="T6">
        <v>89.545704951800005</v>
      </c>
      <c r="U6">
        <v>98.532544315099997</v>
      </c>
      <c r="V6">
        <v>3.8381763135</v>
      </c>
      <c r="W6">
        <v>3.0676131999999999E-3</v>
      </c>
      <c r="X6">
        <v>-6.1644999999999997E-5</v>
      </c>
      <c r="Y6">
        <v>3.6896188822</v>
      </c>
      <c r="Z6">
        <v>88.942576216199996</v>
      </c>
      <c r="AA6">
        <v>68.594906472199995</v>
      </c>
      <c r="AB6">
        <v>345.04994958409998</v>
      </c>
      <c r="AC6">
        <v>368.94752698730002</v>
      </c>
      <c r="AD6">
        <v>1</v>
      </c>
      <c r="AG6" s="17">
        <v>1</v>
      </c>
    </row>
    <row r="7" spans="1:33">
      <c r="A7" t="s">
        <v>624</v>
      </c>
      <c r="B7" t="s">
        <v>625</v>
      </c>
      <c r="C7" t="s">
        <v>627</v>
      </c>
      <c r="D7" t="s">
        <v>212</v>
      </c>
      <c r="E7">
        <v>3</v>
      </c>
      <c r="F7" t="s">
        <v>213</v>
      </c>
      <c r="G7" t="s">
        <v>214</v>
      </c>
      <c r="H7" t="s">
        <v>262</v>
      </c>
      <c r="I7" t="s">
        <v>216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-2.3460410557000002</v>
      </c>
      <c r="S7">
        <v>-16</v>
      </c>
      <c r="T7">
        <v>93.645759933099995</v>
      </c>
      <c r="U7">
        <v>102.6926728314</v>
      </c>
      <c r="V7">
        <v>3.8652111226999999</v>
      </c>
      <c r="W7">
        <v>3.6614688E-3</v>
      </c>
      <c r="X7">
        <v>-6.8050499999999995E-5</v>
      </c>
      <c r="Y7">
        <v>3.7377537644999999</v>
      </c>
      <c r="Z7">
        <v>92.942802307299999</v>
      </c>
      <c r="AA7">
        <v>78.425185615199993</v>
      </c>
      <c r="AB7">
        <v>341.60957454859999</v>
      </c>
      <c r="AC7">
        <v>367.09523813110002</v>
      </c>
      <c r="AD7">
        <v>1</v>
      </c>
      <c r="AG7" s="17">
        <v>1</v>
      </c>
    </row>
    <row r="8" spans="1:33">
      <c r="A8" t="s">
        <v>631</v>
      </c>
      <c r="B8" t="s">
        <v>632</v>
      </c>
      <c r="C8" t="s">
        <v>634</v>
      </c>
      <c r="D8" t="s">
        <v>212</v>
      </c>
      <c r="E8">
        <v>3</v>
      </c>
      <c r="F8" t="s">
        <v>213</v>
      </c>
      <c r="G8" t="s">
        <v>214</v>
      </c>
      <c r="H8" t="s">
        <v>262</v>
      </c>
      <c r="I8" t="s">
        <v>216</v>
      </c>
      <c r="K8" t="s">
        <v>619</v>
      </c>
      <c r="L8" t="s">
        <v>620</v>
      </c>
      <c r="M8" t="s">
        <v>621</v>
      </c>
      <c r="N8" t="s">
        <v>622</v>
      </c>
      <c r="O8" t="s">
        <v>623</v>
      </c>
      <c r="P8">
        <v>0</v>
      </c>
      <c r="Q8">
        <v>0</v>
      </c>
      <c r="R8">
        <v>-2.3460410557000002</v>
      </c>
      <c r="S8">
        <v>-16</v>
      </c>
      <c r="T8">
        <v>88.775991528899993</v>
      </c>
      <c r="U8">
        <v>97.755664632299997</v>
      </c>
      <c r="V8">
        <v>3.8377571148</v>
      </c>
      <c r="W8">
        <v>4.1778377E-3</v>
      </c>
      <c r="X8">
        <v>-6.7238700000000004E-5</v>
      </c>
      <c r="Y8">
        <v>3.7488440070000002</v>
      </c>
      <c r="Z8">
        <v>87.462095069399993</v>
      </c>
      <c r="AA8">
        <v>69.033571908699997</v>
      </c>
      <c r="AB8">
        <v>343.83431909820001</v>
      </c>
      <c r="AC8">
        <v>367.97726187810002</v>
      </c>
      <c r="AD8">
        <v>1</v>
      </c>
      <c r="AG8" s="17">
        <v>1</v>
      </c>
    </row>
    <row r="9" spans="1:33">
      <c r="A9" t="s">
        <v>646</v>
      </c>
      <c r="B9" t="s">
        <v>647</v>
      </c>
      <c r="C9" t="s">
        <v>649</v>
      </c>
      <c r="D9" t="s">
        <v>212</v>
      </c>
      <c r="E9">
        <v>3</v>
      </c>
      <c r="F9" t="s">
        <v>213</v>
      </c>
      <c r="G9" t="s">
        <v>214</v>
      </c>
      <c r="H9" t="s">
        <v>262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0</v>
      </c>
      <c r="S9">
        <v>0</v>
      </c>
      <c r="T9">
        <v>95.149721386300001</v>
      </c>
      <c r="U9">
        <v>95.149721386300001</v>
      </c>
      <c r="V9">
        <v>3.8096620168999999</v>
      </c>
      <c r="W9">
        <v>4.0162019000000004E-3</v>
      </c>
      <c r="X9">
        <v>-6.3015999999999994E-5</v>
      </c>
      <c r="Y9">
        <v>3.7300007685000001</v>
      </c>
      <c r="Z9">
        <v>82.883529409000005</v>
      </c>
      <c r="AA9">
        <v>60.544699100899997</v>
      </c>
      <c r="AB9">
        <v>333.95073518470002</v>
      </c>
      <c r="AC9">
        <v>359.56034492589998</v>
      </c>
      <c r="AD9">
        <v>1</v>
      </c>
      <c r="AG9" s="17">
        <v>1</v>
      </c>
    </row>
    <row r="10" spans="1:33">
      <c r="A10" t="s">
        <v>669</v>
      </c>
      <c r="B10" t="s">
        <v>670</v>
      </c>
      <c r="C10" t="s">
        <v>672</v>
      </c>
      <c r="D10" t="s">
        <v>212</v>
      </c>
      <c r="E10">
        <v>3</v>
      </c>
      <c r="F10" t="s">
        <v>213</v>
      </c>
      <c r="G10" t="s">
        <v>214</v>
      </c>
      <c r="H10" t="s">
        <v>262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-1.1730205279000001</v>
      </c>
      <c r="S10">
        <v>-8</v>
      </c>
      <c r="T10">
        <v>92.8910216381</v>
      </c>
      <c r="U10">
        <v>97.416244762900007</v>
      </c>
      <c r="V10">
        <v>3.8621192441000001</v>
      </c>
      <c r="W10">
        <v>3.645836E-3</v>
      </c>
      <c r="X10">
        <v>-6.5327900000000002E-5</v>
      </c>
      <c r="Y10">
        <v>3.7711766618000002</v>
      </c>
      <c r="Z10">
        <v>91.988363286500004</v>
      </c>
      <c r="AA10">
        <v>73.866068132500004</v>
      </c>
      <c r="AB10">
        <v>324.85479391730001</v>
      </c>
      <c r="AC10">
        <v>350.08005373669999</v>
      </c>
      <c r="AD10">
        <v>1</v>
      </c>
      <c r="AG10" s="17">
        <v>1</v>
      </c>
    </row>
    <row r="11" spans="1:33">
      <c r="A11" t="s">
        <v>681</v>
      </c>
      <c r="B11" t="s">
        <v>682</v>
      </c>
      <c r="C11" t="s">
        <v>684</v>
      </c>
      <c r="D11" t="s">
        <v>212</v>
      </c>
      <c r="E11">
        <v>3</v>
      </c>
      <c r="F11" t="s">
        <v>213</v>
      </c>
      <c r="G11" t="s">
        <v>214</v>
      </c>
      <c r="H11" t="s">
        <v>262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-2.3460410557000002</v>
      </c>
      <c r="S11">
        <v>-16</v>
      </c>
      <c r="T11">
        <v>83.4619411292</v>
      </c>
      <c r="U11">
        <v>92.727854895199997</v>
      </c>
      <c r="V11">
        <v>3.9557540645999998</v>
      </c>
      <c r="W11">
        <v>2.4916176E-3</v>
      </c>
      <c r="X11">
        <v>-5.6847700000000001E-5</v>
      </c>
      <c r="Y11">
        <v>3.7899367885999999</v>
      </c>
      <c r="Z11">
        <v>81.848359422800002</v>
      </c>
      <c r="AA11">
        <v>63.020830971300001</v>
      </c>
      <c r="AB11">
        <v>355.10838311369997</v>
      </c>
      <c r="AC11">
        <v>379.46665023949998</v>
      </c>
      <c r="AD11">
        <v>1</v>
      </c>
      <c r="AG11" s="17">
        <v>1</v>
      </c>
    </row>
    <row r="12" spans="1:33">
      <c r="A12" t="s">
        <v>691</v>
      </c>
      <c r="B12" t="s">
        <v>692</v>
      </c>
      <c r="C12" t="s">
        <v>694</v>
      </c>
      <c r="D12" t="s">
        <v>212</v>
      </c>
      <c r="E12">
        <v>3</v>
      </c>
      <c r="F12" t="s">
        <v>213</v>
      </c>
      <c r="G12" t="s">
        <v>214</v>
      </c>
      <c r="H12" t="s">
        <v>262</v>
      </c>
      <c r="I12" t="s">
        <v>216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-2.3460410557000002</v>
      </c>
      <c r="S12">
        <v>-16</v>
      </c>
      <c r="T12">
        <v>94.142235538099996</v>
      </c>
      <c r="U12">
        <v>103.0607300562</v>
      </c>
      <c r="V12">
        <v>3.8083117246999998</v>
      </c>
      <c r="W12">
        <v>2.7596805000000002E-3</v>
      </c>
      <c r="X12">
        <v>-5.9796200000000002E-5</v>
      </c>
      <c r="Y12">
        <v>3.677659834</v>
      </c>
      <c r="Z12">
        <v>92.236996508000004</v>
      </c>
      <c r="AA12">
        <v>77.240751146299999</v>
      </c>
      <c r="AB12">
        <v>328.2431060911</v>
      </c>
      <c r="AC12">
        <v>352.13442894500002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212</v>
      </c>
      <c r="E13">
        <v>3</v>
      </c>
      <c r="F13" t="s">
        <v>213</v>
      </c>
      <c r="G13" t="s">
        <v>214</v>
      </c>
      <c r="H13" t="s">
        <v>262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-1.1730205279000001</v>
      </c>
      <c r="S13">
        <v>-8</v>
      </c>
      <c r="T13">
        <v>92.584684771100001</v>
      </c>
      <c r="U13">
        <v>97.127899127299997</v>
      </c>
      <c r="V13">
        <v>3.8787789758</v>
      </c>
      <c r="W13">
        <v>4.7640952000000004E-3</v>
      </c>
      <c r="X13">
        <v>-7.2934000000000003E-5</v>
      </c>
      <c r="Y13">
        <v>3.7986901164</v>
      </c>
      <c r="Z13">
        <v>91.882440381500004</v>
      </c>
      <c r="AA13">
        <v>73.659486896100006</v>
      </c>
      <c r="AB13">
        <v>343.52701424209999</v>
      </c>
      <c r="AC13">
        <v>368.0947687698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532</v>
      </c>
      <c r="JL1" t="s">
        <v>272</v>
      </c>
      <c r="JM1" t="s">
        <v>533</v>
      </c>
      <c r="JN1" t="s">
        <v>534</v>
      </c>
      <c r="JO1" t="s">
        <v>535</v>
      </c>
      <c r="JP1" t="s">
        <v>536</v>
      </c>
      <c r="JQ1" t="s">
        <v>537</v>
      </c>
      <c r="JR1" s="17" t="s">
        <v>538</v>
      </c>
      <c r="JS1" s="17" t="s">
        <v>206</v>
      </c>
      <c r="JT1" s="17" t="s">
        <v>207</v>
      </c>
      <c r="JU1" s="17" t="s">
        <v>208</v>
      </c>
    </row>
    <row r="2" spans="1:281">
      <c r="A2" t="s">
        <v>539</v>
      </c>
      <c r="B2" t="s">
        <v>540</v>
      </c>
      <c r="C2" t="s">
        <v>541</v>
      </c>
      <c r="D2" t="s">
        <v>212</v>
      </c>
      <c r="E2">
        <v>3</v>
      </c>
      <c r="F2" t="s">
        <v>213</v>
      </c>
      <c r="G2" t="s">
        <v>214</v>
      </c>
      <c r="H2" t="s">
        <v>542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0</v>
      </c>
      <c r="S2">
        <v>0.40000000079999998</v>
      </c>
      <c r="T2">
        <v>0.3000000015</v>
      </c>
      <c r="U2">
        <v>0.50000000010000001</v>
      </c>
      <c r="V2">
        <v>0.40000000079999998</v>
      </c>
      <c r="W2">
        <v>0.40000000079999998</v>
      </c>
      <c r="X2">
        <v>0.50000000010000001</v>
      </c>
      <c r="Y2">
        <v>0.50000000010000001</v>
      </c>
      <c r="Z2">
        <v>0.50000000010000001</v>
      </c>
      <c r="AA2">
        <v>0.60000000119999997</v>
      </c>
      <c r="AB2">
        <v>0.60000000119999997</v>
      </c>
      <c r="AC2">
        <v>0.7000000005</v>
      </c>
      <c r="AD2">
        <v>0.7000000005</v>
      </c>
      <c r="AE2">
        <v>0.60000000119999997</v>
      </c>
      <c r="AF2">
        <v>0.79999999980000003</v>
      </c>
      <c r="AG2">
        <v>0.60000000119999997</v>
      </c>
      <c r="AH2">
        <v>0.7000000005</v>
      </c>
      <c r="AI2">
        <v>0.90000000089999999</v>
      </c>
      <c r="AJ2">
        <v>1.0000000002</v>
      </c>
      <c r="AK2">
        <v>1.2000000006</v>
      </c>
      <c r="AL2">
        <v>3.7000000010999998</v>
      </c>
      <c r="AM2">
        <v>7.8000000011999999</v>
      </c>
      <c r="AN2">
        <v>14.5000000011</v>
      </c>
      <c r="AO2">
        <v>22.1000000001</v>
      </c>
      <c r="AP2">
        <v>30.000000000699998</v>
      </c>
      <c r="AQ2">
        <v>38.5999999999</v>
      </c>
      <c r="AR2">
        <v>47.000000000500002</v>
      </c>
      <c r="AS2">
        <v>55.100000001399998</v>
      </c>
      <c r="AT2">
        <v>64.000000000300005</v>
      </c>
      <c r="AU2">
        <v>71.900000000800006</v>
      </c>
      <c r="AV2">
        <v>80.100000000999998</v>
      </c>
      <c r="AW2">
        <v>89.1000000011</v>
      </c>
      <c r="AX2">
        <v>98.900000000899993</v>
      </c>
      <c r="AY2">
        <v>108.0000000002</v>
      </c>
      <c r="AZ2">
        <v>117.2000000006</v>
      </c>
      <c r="BA2">
        <v>125.6000000012</v>
      </c>
      <c r="BB2">
        <v>134.1000000011</v>
      </c>
      <c r="BC2">
        <v>143.1000000011</v>
      </c>
      <c r="BD2">
        <v>152.50000000009999</v>
      </c>
      <c r="BE2">
        <v>161.5000000002</v>
      </c>
      <c r="BF2">
        <v>170.40000000090001</v>
      </c>
      <c r="BG2">
        <v>178.8000000015</v>
      </c>
      <c r="BH2">
        <v>187.7000000004</v>
      </c>
      <c r="BI2">
        <v>196.5</v>
      </c>
      <c r="BJ2">
        <v>205.90000000079999</v>
      </c>
      <c r="BK2">
        <v>214.60000000119999</v>
      </c>
      <c r="BL2">
        <v>223.50000000009999</v>
      </c>
      <c r="BM2">
        <v>231.9000000007</v>
      </c>
      <c r="BN2">
        <v>240.30000000129999</v>
      </c>
      <c r="BO2">
        <v>249.20000000019999</v>
      </c>
      <c r="BP2">
        <v>258.30000000130002</v>
      </c>
      <c r="BQ2">
        <v>266.80000000119998</v>
      </c>
      <c r="BR2">
        <v>275.30000000119998</v>
      </c>
      <c r="BS2">
        <v>283.5000000014</v>
      </c>
      <c r="BT2">
        <v>291.50000000120002</v>
      </c>
      <c r="BU2">
        <v>299.80000000069998</v>
      </c>
      <c r="BV2">
        <v>308.39999999989999</v>
      </c>
      <c r="BW2">
        <v>316.10000000000002</v>
      </c>
      <c r="BX2">
        <v>324.50000000059998</v>
      </c>
      <c r="BY2">
        <v>331.90000000100002</v>
      </c>
      <c r="BZ2">
        <v>339.5</v>
      </c>
      <c r="CA2">
        <v>346.90000000049997</v>
      </c>
      <c r="CB2">
        <v>354.50000000130001</v>
      </c>
      <c r="CC2">
        <v>362.50000000109998</v>
      </c>
      <c r="CD2">
        <v>369.50000000070003</v>
      </c>
      <c r="CE2">
        <v>377.2000000008</v>
      </c>
      <c r="CF2">
        <v>383.9000000007</v>
      </c>
      <c r="CG2">
        <v>390.800000001</v>
      </c>
      <c r="CH2">
        <v>397.3999999998</v>
      </c>
      <c r="CI2">
        <v>404.80000000029997</v>
      </c>
      <c r="CJ2">
        <v>411.79999999990002</v>
      </c>
      <c r="CK2">
        <v>418.50000000159997</v>
      </c>
      <c r="CL2">
        <v>425.70000000160002</v>
      </c>
      <c r="CM2">
        <v>432.00000000070003</v>
      </c>
      <c r="CN2">
        <v>437.90000000079999</v>
      </c>
      <c r="CO2">
        <v>443.20000000149997</v>
      </c>
      <c r="CP2">
        <v>448.10000000140002</v>
      </c>
      <c r="CQ2">
        <v>455.30000000140001</v>
      </c>
      <c r="CR2">
        <v>461.40000000010002</v>
      </c>
      <c r="CS2">
        <v>461.90000000020001</v>
      </c>
      <c r="CT2">
        <v>462.0000000014</v>
      </c>
      <c r="CU2">
        <v>462.0000000014</v>
      </c>
      <c r="CV2">
        <v>462.10000000060001</v>
      </c>
      <c r="CW2">
        <v>462.1999999999</v>
      </c>
      <c r="CX2">
        <v>462.10000000060001</v>
      </c>
      <c r="CY2">
        <v>462.10000000060001</v>
      </c>
      <c r="CZ2">
        <v>462.30000000109999</v>
      </c>
      <c r="DA2">
        <v>462.30000000109999</v>
      </c>
      <c r="DB2">
        <v>462.4000000003</v>
      </c>
      <c r="DC2">
        <v>462.30000000109999</v>
      </c>
      <c r="DD2">
        <v>462.30000000109999</v>
      </c>
      <c r="DE2">
        <v>462.50000000149998</v>
      </c>
      <c r="DF2">
        <v>462.50000000149998</v>
      </c>
      <c r="DG2">
        <v>462.4000000003</v>
      </c>
      <c r="DH2">
        <v>0.60000000119999997</v>
      </c>
      <c r="DI2">
        <v>1.2999999999</v>
      </c>
      <c r="DJ2">
        <v>1.2999999999</v>
      </c>
      <c r="DK2">
        <v>1.2000000006</v>
      </c>
      <c r="DL2">
        <v>1.2999999999</v>
      </c>
      <c r="DM2">
        <v>1.2999999999</v>
      </c>
      <c r="DN2">
        <v>1.2000000006</v>
      </c>
      <c r="DO2">
        <v>1.5000000003</v>
      </c>
      <c r="DP2">
        <v>1.2999999999</v>
      </c>
      <c r="DQ2">
        <v>1.400000001</v>
      </c>
      <c r="DR2">
        <v>1.6000000014</v>
      </c>
      <c r="DS2">
        <v>1.2999999999</v>
      </c>
      <c r="DT2">
        <v>1.5000000003</v>
      </c>
      <c r="DU2">
        <v>1.5000000003</v>
      </c>
      <c r="DV2">
        <v>1.5000000003</v>
      </c>
      <c r="DW2">
        <v>1.2999999999</v>
      </c>
      <c r="DX2">
        <v>1.5000000003</v>
      </c>
      <c r="DY2">
        <v>1.400000001</v>
      </c>
      <c r="DZ2">
        <v>1.400000001</v>
      </c>
      <c r="EA2">
        <v>3.9000000015</v>
      </c>
      <c r="EB2">
        <v>8.1000000008999997</v>
      </c>
      <c r="EC2">
        <v>15.199999999799999</v>
      </c>
      <c r="ED2">
        <v>22.800000000600001</v>
      </c>
      <c r="EE2">
        <v>30.700000001199999</v>
      </c>
      <c r="EF2">
        <v>39.300000000399997</v>
      </c>
      <c r="EG2">
        <v>47.5999999999</v>
      </c>
      <c r="EH2">
        <v>55.800000000099999</v>
      </c>
      <c r="EI2">
        <v>64.400000001099997</v>
      </c>
      <c r="EJ2">
        <v>72.500000000200004</v>
      </c>
      <c r="EK2">
        <v>80.400000000700004</v>
      </c>
      <c r="EL2">
        <v>89.200000000299994</v>
      </c>
      <c r="EM2">
        <v>98.700000000499998</v>
      </c>
      <c r="EN2">
        <v>107.6000000012</v>
      </c>
      <c r="EO2">
        <v>117.60000000140001</v>
      </c>
      <c r="EP2">
        <v>125.79999999979999</v>
      </c>
      <c r="EQ2">
        <v>134.40000000079999</v>
      </c>
      <c r="ER2">
        <v>143.3000000015</v>
      </c>
      <c r="ES2">
        <v>152.900000001</v>
      </c>
      <c r="ET2">
        <v>161.7000000006</v>
      </c>
      <c r="EU2">
        <v>170.900000001</v>
      </c>
      <c r="EV2">
        <v>179.5000000002</v>
      </c>
      <c r="EW2">
        <v>188.29999999980001</v>
      </c>
      <c r="EX2">
        <v>197.5000000002</v>
      </c>
      <c r="EY2">
        <v>207.10000000139999</v>
      </c>
      <c r="EZ2">
        <v>215.90000000110001</v>
      </c>
      <c r="FA2">
        <v>224.60000000139999</v>
      </c>
      <c r="FB2">
        <v>233.2000000006</v>
      </c>
      <c r="FC2">
        <v>242.0000000002</v>
      </c>
      <c r="FD2">
        <v>251.0000000002</v>
      </c>
      <c r="FE2">
        <v>260.10000000129997</v>
      </c>
      <c r="FF2">
        <v>268.90000000089998</v>
      </c>
      <c r="FG2">
        <v>277.40000000089998</v>
      </c>
      <c r="FH2">
        <v>285.8000000015</v>
      </c>
      <c r="FI2">
        <v>294.30000000140001</v>
      </c>
      <c r="FJ2">
        <v>302.99999999990001</v>
      </c>
      <c r="FK2">
        <v>311.70000000020002</v>
      </c>
      <c r="FL2">
        <v>319.60000000069999</v>
      </c>
      <c r="FM2">
        <v>328.10000000060001</v>
      </c>
      <c r="FN2">
        <v>335.9</v>
      </c>
      <c r="FO2">
        <v>343.80000000059999</v>
      </c>
      <c r="FP2">
        <v>351.90000000150002</v>
      </c>
      <c r="FQ2">
        <v>360.00000000059998</v>
      </c>
      <c r="FR2">
        <v>367.60000000140002</v>
      </c>
      <c r="FS2">
        <v>375.70000000049998</v>
      </c>
      <c r="FT2">
        <v>382.60000000079998</v>
      </c>
      <c r="FU2">
        <v>389.90000000010002</v>
      </c>
      <c r="FV2">
        <v>397.10000000010001</v>
      </c>
      <c r="FW2">
        <v>404.3000000001</v>
      </c>
      <c r="FX2">
        <v>411.60000000129997</v>
      </c>
      <c r="FY2">
        <v>418.50000000159997</v>
      </c>
      <c r="FZ2">
        <v>425.10000000039997</v>
      </c>
      <c r="GA2">
        <v>431.90000000139997</v>
      </c>
      <c r="GB2">
        <v>437.4000000007</v>
      </c>
      <c r="GC2">
        <v>441.8999999998</v>
      </c>
      <c r="GD2">
        <v>446.4000000007</v>
      </c>
      <c r="GE2">
        <v>452.69999999980001</v>
      </c>
      <c r="GF2">
        <v>458.09999999979999</v>
      </c>
      <c r="GG2">
        <v>462.0000000014</v>
      </c>
      <c r="GH2">
        <v>462.0000000014</v>
      </c>
      <c r="GI2">
        <v>462.0000000014</v>
      </c>
      <c r="GJ2">
        <v>462.1999999999</v>
      </c>
      <c r="GK2">
        <v>462.10000000060001</v>
      </c>
      <c r="GL2">
        <v>462.30000000109999</v>
      </c>
      <c r="GM2">
        <v>462.1999999999</v>
      </c>
      <c r="GN2">
        <v>462.4000000003</v>
      </c>
      <c r="GO2">
        <v>462.4000000003</v>
      </c>
      <c r="GP2">
        <v>462.1999999999</v>
      </c>
      <c r="GQ2">
        <v>462.30000000109999</v>
      </c>
      <c r="GR2">
        <v>462.30000000109999</v>
      </c>
      <c r="GS2">
        <v>462.30000000109999</v>
      </c>
      <c r="GT2">
        <v>462.4000000003</v>
      </c>
      <c r="GU2">
        <v>462.30000000109999</v>
      </c>
      <c r="GV2">
        <v>462.30000000109999</v>
      </c>
      <c r="GW2">
        <v>462.50000000149998</v>
      </c>
      <c r="GX2">
        <v>1</v>
      </c>
      <c r="GY2">
        <v>101.6999999993</v>
      </c>
      <c r="GZ2">
        <v>98.900000000899993</v>
      </c>
      <c r="HA2">
        <v>98.900000000899993</v>
      </c>
      <c r="HB2">
        <v>107.6000000012</v>
      </c>
      <c r="HC2">
        <v>100.8424262092</v>
      </c>
      <c r="HD2">
        <v>-8.7000000002999993</v>
      </c>
      <c r="HE2">
        <v>462.50000000149998</v>
      </c>
      <c r="HF2">
        <v>335.77580278929997</v>
      </c>
      <c r="HG2">
        <v>78.251475835999997</v>
      </c>
      <c r="HH2">
        <v>462.50000000149998</v>
      </c>
      <c r="HI2">
        <v>462.50000000149998</v>
      </c>
      <c r="HJ2">
        <v>462.50000000149998</v>
      </c>
      <c r="HK2">
        <v>462.50000000149998</v>
      </c>
      <c r="HL2">
        <v>105.57184750730001</v>
      </c>
      <c r="HM2">
        <v>3.6895362897999999</v>
      </c>
      <c r="HN2">
        <v>3.5530792389000001</v>
      </c>
      <c r="HO2">
        <v>3.6294821041000001</v>
      </c>
      <c r="HP2">
        <v>3.6023857756000002</v>
      </c>
      <c r="HQ2">
        <v>3.8350156693000002</v>
      </c>
      <c r="HR2">
        <v>2.7477927180999999</v>
      </c>
      <c r="HS2">
        <v>22.590950373199998</v>
      </c>
      <c r="HT2">
        <v>-21.114369501500001</v>
      </c>
      <c r="HU2">
        <v>-144</v>
      </c>
      <c r="HV2">
        <v>436.6182289985</v>
      </c>
      <c r="HW2">
        <v>93.841642228699996</v>
      </c>
      <c r="HX2">
        <v>640</v>
      </c>
      <c r="HY2">
        <v>22.590950373199998</v>
      </c>
      <c r="HZ2">
        <v>-21.114369501500001</v>
      </c>
      <c r="IA2">
        <v>-144</v>
      </c>
      <c r="IB2">
        <v>436.6182289985</v>
      </c>
      <c r="IC2">
        <v>93.841642228699996</v>
      </c>
      <c r="ID2">
        <v>640</v>
      </c>
      <c r="IE2">
        <v>25.881771003000001</v>
      </c>
      <c r="IF2">
        <v>1.2148880966</v>
      </c>
      <c r="IG2">
        <v>-30.4985337243</v>
      </c>
      <c r="IH2">
        <v>-208</v>
      </c>
      <c r="II2">
        <v>457.89781598000002</v>
      </c>
      <c r="IJ2">
        <v>103.22580645159999</v>
      </c>
      <c r="IK2">
        <v>704</v>
      </c>
      <c r="IL2">
        <v>414.02727862530003</v>
      </c>
      <c r="IM2">
        <v>114.9560117302</v>
      </c>
      <c r="IN2">
        <v>438.04285868699998</v>
      </c>
      <c r="IO2">
        <v>124.3401759531</v>
      </c>
      <c r="IP2">
        <v>7.6000000007999997</v>
      </c>
      <c r="IQ2">
        <v>7.2</v>
      </c>
      <c r="IR2">
        <v>10.0000000002</v>
      </c>
      <c r="IS2">
        <v>4.2136145318000002</v>
      </c>
      <c r="IT2">
        <v>4.2136145318000002</v>
      </c>
      <c r="IU2">
        <v>8.2999999995000007</v>
      </c>
      <c r="IV2">
        <v>-23.460410557199999</v>
      </c>
      <c r="IW2">
        <v>14.200000001399999</v>
      </c>
      <c r="IX2">
        <v>84.457478005900001</v>
      </c>
      <c r="IY2">
        <v>9.9999999983999999</v>
      </c>
      <c r="IZ2">
        <v>103.22580645159999</v>
      </c>
      <c r="JA2">
        <v>-27.580238232599999</v>
      </c>
      <c r="JB2">
        <v>0.29162635180000002</v>
      </c>
      <c r="JC2">
        <v>-2.1389320000000001E-4</v>
      </c>
      <c r="JD2">
        <v>4.1450000000000001E-7</v>
      </c>
      <c r="JE2">
        <v>0.27103677030000001</v>
      </c>
      <c r="JF2">
        <v>0.37087816060000001</v>
      </c>
      <c r="JG2">
        <v>0.10564415150000001</v>
      </c>
      <c r="JH2">
        <v>100.8732630352</v>
      </c>
      <c r="JI2">
        <v>3.8350156693000002</v>
      </c>
      <c r="JJ2">
        <v>3.4329891E-3</v>
      </c>
      <c r="JK2">
        <v>-6.5542000000000004E-5</v>
      </c>
      <c r="JL2">
        <v>3.6895362897999999</v>
      </c>
      <c r="JM2">
        <v>1.1956784552999999</v>
      </c>
      <c r="JN2">
        <v>0.3339129126</v>
      </c>
      <c r="JO2">
        <v>3.2395000003000001</v>
      </c>
      <c r="JP2">
        <v>3.069</v>
      </c>
      <c r="JQ2">
        <v>4.2625000001000002</v>
      </c>
      <c r="JR2" s="17" t="s">
        <v>543</v>
      </c>
      <c r="JU2" s="17">
        <v>1</v>
      </c>
    </row>
    <row r="3" spans="1:281">
      <c r="A3" t="s">
        <v>565</v>
      </c>
      <c r="B3" t="s">
        <v>566</v>
      </c>
      <c r="C3" t="s">
        <v>567</v>
      </c>
      <c r="D3" t="s">
        <v>212</v>
      </c>
      <c r="E3">
        <v>3</v>
      </c>
      <c r="F3" t="s">
        <v>213</v>
      </c>
      <c r="G3" t="s">
        <v>214</v>
      </c>
      <c r="H3" t="s">
        <v>542</v>
      </c>
      <c r="I3" t="s">
        <v>216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0</v>
      </c>
      <c r="S3">
        <v>0.7000000005</v>
      </c>
      <c r="T3">
        <v>0.60000000119999997</v>
      </c>
      <c r="U3">
        <v>0.60000000119999997</v>
      </c>
      <c r="V3">
        <v>0.7000000005</v>
      </c>
      <c r="W3">
        <v>0.7000000005</v>
      </c>
      <c r="X3">
        <v>0.7000000005</v>
      </c>
      <c r="Y3">
        <v>0.60000000119999997</v>
      </c>
      <c r="Z3">
        <v>0.7000000005</v>
      </c>
      <c r="AA3">
        <v>0.90000000089999999</v>
      </c>
      <c r="AB3">
        <v>0.90000000089999999</v>
      </c>
      <c r="AC3">
        <v>1.1000000013</v>
      </c>
      <c r="AD3">
        <v>1.0000000002</v>
      </c>
      <c r="AE3">
        <v>1.1000000013</v>
      </c>
      <c r="AF3">
        <v>1.1000000013</v>
      </c>
      <c r="AG3">
        <v>1.1000000013</v>
      </c>
      <c r="AH3">
        <v>1.1000000013</v>
      </c>
      <c r="AI3">
        <v>1.1000000013</v>
      </c>
      <c r="AJ3">
        <v>1.1000000013</v>
      </c>
      <c r="AK3">
        <v>1.400000001</v>
      </c>
      <c r="AL3">
        <v>1.7000000007</v>
      </c>
      <c r="AM3">
        <v>2.5000000005</v>
      </c>
      <c r="AN3">
        <v>5.1000000002999997</v>
      </c>
      <c r="AO3">
        <v>11.800000000200001</v>
      </c>
      <c r="AP3">
        <v>19.700000000700001</v>
      </c>
      <c r="AQ3">
        <v>27</v>
      </c>
      <c r="AR3">
        <v>34.999999999899998</v>
      </c>
      <c r="AS3">
        <v>43.300000001199997</v>
      </c>
      <c r="AT3">
        <v>52.700000000199999</v>
      </c>
      <c r="AU3">
        <v>61.200000000099998</v>
      </c>
      <c r="AV3">
        <v>69.600000000700007</v>
      </c>
      <c r="AW3">
        <v>77.500000001199993</v>
      </c>
      <c r="AX3">
        <v>86.200000001600003</v>
      </c>
      <c r="AY3">
        <v>95.200000001600003</v>
      </c>
      <c r="AZ3">
        <v>104.800000001</v>
      </c>
      <c r="BA3">
        <v>113.9000000003</v>
      </c>
      <c r="BB3">
        <v>122.4000000002</v>
      </c>
      <c r="BC3">
        <v>130.8000000008</v>
      </c>
      <c r="BD3">
        <v>139.4</v>
      </c>
      <c r="BE3">
        <v>148.50000000110001</v>
      </c>
      <c r="BF3">
        <v>158.300000001</v>
      </c>
      <c r="BG3">
        <v>167.300000001</v>
      </c>
      <c r="BH3">
        <v>176.1999999999</v>
      </c>
      <c r="BI3">
        <v>184.3000000008</v>
      </c>
      <c r="BJ3">
        <v>192.60000000030001</v>
      </c>
      <c r="BK3">
        <v>202.40000000009999</v>
      </c>
      <c r="BL3">
        <v>211.40000000009999</v>
      </c>
      <c r="BM3">
        <v>220.60000000060001</v>
      </c>
      <c r="BN3">
        <v>228.90000000009999</v>
      </c>
      <c r="BO3">
        <v>236.80000000059999</v>
      </c>
      <c r="BP3">
        <v>245.6000000002</v>
      </c>
      <c r="BQ3">
        <v>254.7000000013</v>
      </c>
      <c r="BR3">
        <v>263.3999999998</v>
      </c>
      <c r="BS3">
        <v>272.30000000050001</v>
      </c>
      <c r="BT3">
        <v>280.40000000150002</v>
      </c>
      <c r="BU3">
        <v>288.70000000099998</v>
      </c>
      <c r="BV3">
        <v>296.00000000030002</v>
      </c>
      <c r="BW3">
        <v>305.00000000030002</v>
      </c>
      <c r="BX3">
        <v>313.20000000049998</v>
      </c>
      <c r="BY3">
        <v>321.6000000011</v>
      </c>
      <c r="BZ3">
        <v>329.40000000049997</v>
      </c>
      <c r="CA3">
        <v>337.10000000060001</v>
      </c>
      <c r="CB3">
        <v>344.00000000099999</v>
      </c>
      <c r="CC3">
        <v>351.20000000099998</v>
      </c>
      <c r="CD3">
        <v>359.50000000049999</v>
      </c>
      <c r="CE3">
        <v>367.10000000129997</v>
      </c>
      <c r="CF3">
        <v>374.60000000100001</v>
      </c>
      <c r="CG3">
        <v>381.800000001</v>
      </c>
      <c r="CH3">
        <v>388.6000000002</v>
      </c>
      <c r="CI3">
        <v>395.70000000089999</v>
      </c>
      <c r="CJ3">
        <v>401.6000000011</v>
      </c>
      <c r="CK3">
        <v>409.20000000009998</v>
      </c>
      <c r="CL3">
        <v>416.40000000010002</v>
      </c>
      <c r="CM3">
        <v>423.20000000110002</v>
      </c>
      <c r="CN3">
        <v>429.90000000100002</v>
      </c>
      <c r="CO3">
        <v>436.80000000130002</v>
      </c>
      <c r="CP3">
        <v>444.1999999999</v>
      </c>
      <c r="CQ3">
        <v>452.60000000050002</v>
      </c>
      <c r="CR3">
        <v>460.50000000099999</v>
      </c>
      <c r="CS3">
        <v>462.60000000069999</v>
      </c>
      <c r="CT3">
        <v>462.80000000119998</v>
      </c>
      <c r="CU3">
        <v>462.7</v>
      </c>
      <c r="CV3">
        <v>462.80000000119998</v>
      </c>
      <c r="CW3">
        <v>462.7</v>
      </c>
      <c r="CX3">
        <v>462.7</v>
      </c>
      <c r="CY3">
        <v>462.80000000119998</v>
      </c>
      <c r="CZ3">
        <v>462.90000000039998</v>
      </c>
      <c r="DA3">
        <v>462.90000000039998</v>
      </c>
      <c r="DB3">
        <v>462.80000000119998</v>
      </c>
      <c r="DC3">
        <v>462.80000000119998</v>
      </c>
      <c r="DD3">
        <v>462.90000000039998</v>
      </c>
      <c r="DE3">
        <v>462.90000000039998</v>
      </c>
      <c r="DF3">
        <v>462.90000000039998</v>
      </c>
      <c r="DG3">
        <v>463.00000000159997</v>
      </c>
      <c r="DH3">
        <v>0.80000000159999995</v>
      </c>
      <c r="DI3">
        <v>1.400000001</v>
      </c>
      <c r="DJ3">
        <v>1.5000000003</v>
      </c>
      <c r="DK3">
        <v>1.6000000014</v>
      </c>
      <c r="DL3">
        <v>1.6000000014</v>
      </c>
      <c r="DM3">
        <v>1.8</v>
      </c>
      <c r="DN3">
        <v>1.8</v>
      </c>
      <c r="DO3">
        <v>1.9000000011</v>
      </c>
      <c r="DP3">
        <v>1.9000000011</v>
      </c>
      <c r="DQ3">
        <v>1.9000000011</v>
      </c>
      <c r="DR3">
        <v>1.9000000011</v>
      </c>
      <c r="DS3">
        <v>1.9000000011</v>
      </c>
      <c r="DT3">
        <v>2.0000000004</v>
      </c>
      <c r="DU3">
        <v>2.0000000004</v>
      </c>
      <c r="DV3">
        <v>2.1000000015000002</v>
      </c>
      <c r="DW3">
        <v>2.0000000004</v>
      </c>
      <c r="DX3">
        <v>2.2000000007999998</v>
      </c>
      <c r="DY3">
        <v>2.2000000007999998</v>
      </c>
      <c r="DZ3">
        <v>2.2000000007999998</v>
      </c>
      <c r="EA3">
        <v>2.4000000012</v>
      </c>
      <c r="EB3">
        <v>3.0999999999000001</v>
      </c>
      <c r="EC3">
        <v>7.3000000010999999</v>
      </c>
      <c r="ED3">
        <v>13.3999999998</v>
      </c>
      <c r="EE3">
        <v>20.599999999800001</v>
      </c>
      <c r="EF3">
        <v>28.4000000011</v>
      </c>
      <c r="EG3">
        <v>35.800000001500003</v>
      </c>
      <c r="EH3">
        <v>44.700000000400003</v>
      </c>
      <c r="EI3">
        <v>53.6000000011</v>
      </c>
      <c r="EJ3">
        <v>61.900000000600002</v>
      </c>
      <c r="EK3">
        <v>70.499999999799996</v>
      </c>
      <c r="EL3">
        <v>78.199999999900001</v>
      </c>
      <c r="EM3">
        <v>86.600000000500003</v>
      </c>
      <c r="EN3">
        <v>95.800000001000001</v>
      </c>
      <c r="EO3">
        <v>105.3000000011</v>
      </c>
      <c r="EP3">
        <v>114.4000000004</v>
      </c>
      <c r="EQ3">
        <v>122.2000000016</v>
      </c>
      <c r="ER3">
        <v>131.00000000119999</v>
      </c>
      <c r="ES3">
        <v>139.7000000015</v>
      </c>
      <c r="ET3">
        <v>149.5000000014</v>
      </c>
      <c r="EU3">
        <v>158.69999999999999</v>
      </c>
      <c r="EV3">
        <v>167.80000000109999</v>
      </c>
      <c r="EW3">
        <v>176.60000000069999</v>
      </c>
      <c r="EX3">
        <v>185.10000000060001</v>
      </c>
      <c r="EY3">
        <v>193.69999999980001</v>
      </c>
      <c r="EZ3">
        <v>203.4000000003</v>
      </c>
      <c r="FA3">
        <v>212.7</v>
      </c>
      <c r="FB3">
        <v>221.9000000005</v>
      </c>
      <c r="FC3">
        <v>230.60000000080001</v>
      </c>
      <c r="FD3">
        <v>238.60000000060001</v>
      </c>
      <c r="FE3">
        <v>247.20000000159999</v>
      </c>
      <c r="FF3">
        <v>257.0000000014</v>
      </c>
      <c r="FG3">
        <v>266.30000000109999</v>
      </c>
      <c r="FH3">
        <v>275.00000000149998</v>
      </c>
      <c r="FI3">
        <v>283.80000000109999</v>
      </c>
      <c r="FJ3">
        <v>291.50000000120002</v>
      </c>
      <c r="FK3">
        <v>299.70000000139999</v>
      </c>
      <c r="FL3">
        <v>308.80000000069998</v>
      </c>
      <c r="FM3">
        <v>317.70000000139999</v>
      </c>
      <c r="FN3">
        <v>326.2000000013</v>
      </c>
      <c r="FO3">
        <v>334.1</v>
      </c>
      <c r="FP3">
        <v>341.70000000089999</v>
      </c>
      <c r="FQ3">
        <v>349.29999999990002</v>
      </c>
      <c r="FR3">
        <v>357.80000000159998</v>
      </c>
      <c r="FS3">
        <v>366.1000000011</v>
      </c>
      <c r="FT3">
        <v>374.00000000159997</v>
      </c>
      <c r="FU3">
        <v>381.19999999980001</v>
      </c>
      <c r="FV3">
        <v>388.80000000059999</v>
      </c>
      <c r="FW3">
        <v>395.59999999979999</v>
      </c>
      <c r="FX3">
        <v>402.50000000009999</v>
      </c>
      <c r="FY3">
        <v>410.20000000030001</v>
      </c>
      <c r="FZ3">
        <v>417.5000000014</v>
      </c>
      <c r="GA3">
        <v>424.60000000029999</v>
      </c>
      <c r="GB3">
        <v>430.50000000040001</v>
      </c>
      <c r="GC3">
        <v>436.50000000159997</v>
      </c>
      <c r="GD3">
        <v>444.00000000130001</v>
      </c>
      <c r="GE3">
        <v>451.60000000029999</v>
      </c>
      <c r="GF3">
        <v>458.50000000059998</v>
      </c>
      <c r="GG3">
        <v>462.4000000003</v>
      </c>
      <c r="GH3">
        <v>462.4000000003</v>
      </c>
      <c r="GI3">
        <v>462.60000000069999</v>
      </c>
      <c r="GJ3">
        <v>462.80000000119998</v>
      </c>
      <c r="GK3">
        <v>462.80000000119998</v>
      </c>
      <c r="GL3">
        <v>462.90000000039998</v>
      </c>
      <c r="GM3">
        <v>463.00000000159997</v>
      </c>
      <c r="GN3">
        <v>463.00000000159997</v>
      </c>
      <c r="GO3">
        <v>463.00000000159997</v>
      </c>
      <c r="GP3">
        <v>463.10000000079998</v>
      </c>
      <c r="GQ3">
        <v>462.90000000039998</v>
      </c>
      <c r="GR3">
        <v>463.00000000159997</v>
      </c>
      <c r="GS3">
        <v>463.00000000159997</v>
      </c>
      <c r="GT3">
        <v>463.00000000159997</v>
      </c>
      <c r="GU3">
        <v>463.00000000159997</v>
      </c>
      <c r="GV3">
        <v>463.00000000159997</v>
      </c>
      <c r="GW3">
        <v>463.00000000159997</v>
      </c>
      <c r="GX3">
        <v>1</v>
      </c>
      <c r="GY3">
        <v>89.099999999199994</v>
      </c>
      <c r="GZ3">
        <v>86.200000001600003</v>
      </c>
      <c r="HA3">
        <v>86.200000001600003</v>
      </c>
      <c r="HB3">
        <v>95.800000001000001</v>
      </c>
      <c r="HC3">
        <v>88.0868250555</v>
      </c>
      <c r="HD3">
        <v>-9.5999999993999996</v>
      </c>
      <c r="HE3">
        <v>463.00000000159997</v>
      </c>
      <c r="HF3">
        <v>347.46091792670001</v>
      </c>
      <c r="HG3">
        <v>67.934913607599995</v>
      </c>
      <c r="HH3">
        <v>463.10000000079998</v>
      </c>
      <c r="HI3">
        <v>463.10000000079998</v>
      </c>
      <c r="HJ3">
        <v>463.00000000159997</v>
      </c>
      <c r="HK3">
        <v>463.10000000079998</v>
      </c>
      <c r="HL3">
        <v>105.57184750730001</v>
      </c>
      <c r="HM3">
        <v>3.7056235363000001</v>
      </c>
      <c r="HN3">
        <v>3.5606922757000001</v>
      </c>
      <c r="HO3">
        <v>3.6441057578999998</v>
      </c>
      <c r="HP3">
        <v>3.5647774586000001</v>
      </c>
      <c r="HQ3">
        <v>3.7998633199</v>
      </c>
      <c r="HR3">
        <v>2.8059495864000001</v>
      </c>
      <c r="HS3">
        <v>20.151911447900002</v>
      </c>
      <c r="HT3">
        <v>-18.7683284457</v>
      </c>
      <c r="HU3">
        <v>-128</v>
      </c>
      <c r="HV3">
        <v>435.54774298209998</v>
      </c>
      <c r="HW3">
        <v>96.187683284499997</v>
      </c>
      <c r="HX3">
        <v>656</v>
      </c>
      <c r="HY3">
        <v>20.151911447900002</v>
      </c>
      <c r="HZ3">
        <v>-18.7683284457</v>
      </c>
      <c r="IA3">
        <v>-128</v>
      </c>
      <c r="IB3">
        <v>435.54774298209998</v>
      </c>
      <c r="IC3">
        <v>96.187683284499997</v>
      </c>
      <c r="ID3">
        <v>656</v>
      </c>
      <c r="IE3">
        <v>27.552257018700001</v>
      </c>
      <c r="IF3">
        <v>1.7072570200999999</v>
      </c>
      <c r="IG3">
        <v>-28.152492668600001</v>
      </c>
      <c r="IH3">
        <v>-192</v>
      </c>
      <c r="II3">
        <v>462.2835853135</v>
      </c>
      <c r="IJ3">
        <v>105.57184750730001</v>
      </c>
      <c r="IK3">
        <v>720</v>
      </c>
      <c r="IL3">
        <v>415.39583153429999</v>
      </c>
      <c r="IM3">
        <v>114.9560117302</v>
      </c>
      <c r="IN3">
        <v>445.73322894170002</v>
      </c>
      <c r="IO3">
        <v>124.3401759531</v>
      </c>
      <c r="IP3">
        <v>7.9000000005000004</v>
      </c>
      <c r="IQ3">
        <v>8.4000000006000004</v>
      </c>
      <c r="IR3">
        <v>9.7999999998000007</v>
      </c>
      <c r="IS3">
        <v>3.7757087904</v>
      </c>
      <c r="IT3">
        <v>3.7757087904</v>
      </c>
      <c r="IU3">
        <v>8.7999999996000007</v>
      </c>
      <c r="IV3">
        <v>-21.114369501500001</v>
      </c>
      <c r="IW3">
        <v>15.9000000003</v>
      </c>
      <c r="IX3">
        <v>89.149560117299998</v>
      </c>
      <c r="IY3">
        <v>14.300000000700001</v>
      </c>
      <c r="IZ3">
        <v>103.22580645159999</v>
      </c>
      <c r="JA3">
        <v>-24.456435127500001</v>
      </c>
      <c r="JB3">
        <v>0.29217606060000001</v>
      </c>
      <c r="JC3">
        <v>-2.1215240000000001E-4</v>
      </c>
      <c r="JD3">
        <v>4.024E-7</v>
      </c>
      <c r="JE3">
        <v>0.26986011669999999</v>
      </c>
      <c r="JF3">
        <v>0.38434576570000001</v>
      </c>
      <c r="JG3">
        <v>0.12966687560000001</v>
      </c>
      <c r="JH3">
        <v>88.685008315900006</v>
      </c>
      <c r="JI3">
        <v>3.7998633199</v>
      </c>
      <c r="JJ3">
        <v>4.3968150999999997E-3</v>
      </c>
      <c r="JK3">
        <v>-6.6282600000000001E-5</v>
      </c>
      <c r="JL3">
        <v>3.7056235363000001</v>
      </c>
      <c r="JM3">
        <v>0.79700348880000005</v>
      </c>
      <c r="JN3">
        <v>0.39235820869999999</v>
      </c>
      <c r="JO3">
        <v>3.3673750002</v>
      </c>
      <c r="JP3">
        <v>3.5805000002999998</v>
      </c>
      <c r="JQ3">
        <v>4.1772499998999999</v>
      </c>
      <c r="JR3" s="17" t="s">
        <v>543</v>
      </c>
      <c r="JU3" s="17">
        <v>1</v>
      </c>
    </row>
    <row r="4" spans="1:281">
      <c r="A4" t="s">
        <v>568</v>
      </c>
      <c r="B4" t="s">
        <v>569</v>
      </c>
      <c r="C4" t="s">
        <v>570</v>
      </c>
      <c r="D4" t="s">
        <v>212</v>
      </c>
      <c r="E4">
        <v>3</v>
      </c>
      <c r="F4" t="s">
        <v>213</v>
      </c>
      <c r="G4" t="s">
        <v>214</v>
      </c>
      <c r="H4" t="s">
        <v>542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0</v>
      </c>
      <c r="S4">
        <v>0.50000000010000001</v>
      </c>
      <c r="T4">
        <v>0.7000000005</v>
      </c>
      <c r="U4">
        <v>0.50000000010000001</v>
      </c>
      <c r="V4">
        <v>0.59999999940000004</v>
      </c>
      <c r="W4">
        <v>0.7000000005</v>
      </c>
      <c r="X4">
        <v>0.59999999940000004</v>
      </c>
      <c r="Y4">
        <v>0.7000000005</v>
      </c>
      <c r="Z4">
        <v>0.7000000005</v>
      </c>
      <c r="AA4">
        <v>0.50000000010000001</v>
      </c>
      <c r="AB4">
        <v>0.50000000010000001</v>
      </c>
      <c r="AC4">
        <v>0.59999999940000004</v>
      </c>
      <c r="AD4">
        <v>0.79999999980000003</v>
      </c>
      <c r="AE4">
        <v>0.7000000005</v>
      </c>
      <c r="AF4">
        <v>0.79999999980000003</v>
      </c>
      <c r="AG4">
        <v>0.90000000089999999</v>
      </c>
      <c r="AH4">
        <v>1.2999999999</v>
      </c>
      <c r="AI4">
        <v>1.5999999996000001</v>
      </c>
      <c r="AJ4">
        <v>2.0999999997000001</v>
      </c>
      <c r="AK4">
        <v>2.3000000000999998</v>
      </c>
      <c r="AL4">
        <v>3.0000000006</v>
      </c>
      <c r="AM4">
        <v>7.7999999993999998</v>
      </c>
      <c r="AN4">
        <v>15.4000000002</v>
      </c>
      <c r="AO4">
        <v>23.199999999599999</v>
      </c>
      <c r="AP4">
        <v>31.000000000899998</v>
      </c>
      <c r="AQ4">
        <v>39.199999999299997</v>
      </c>
      <c r="AR4">
        <v>47.699999999200003</v>
      </c>
      <c r="AS4">
        <v>55.800000000099999</v>
      </c>
      <c r="AT4">
        <v>64.200000000700001</v>
      </c>
      <c r="AU4">
        <v>72.700000000599999</v>
      </c>
      <c r="AV4">
        <v>81.500000000200004</v>
      </c>
      <c r="AW4">
        <v>90.099999999399998</v>
      </c>
      <c r="AX4">
        <v>100.00000000039999</v>
      </c>
      <c r="AY4">
        <v>109.2000000008</v>
      </c>
      <c r="AZ4">
        <v>118.00000000039999</v>
      </c>
      <c r="BA4">
        <v>127.00000000039999</v>
      </c>
      <c r="BB4">
        <v>135.89999999930001</v>
      </c>
      <c r="BC4">
        <v>144.39999999919999</v>
      </c>
      <c r="BD4">
        <v>153.2999999999</v>
      </c>
      <c r="BE4">
        <v>162.20000000069999</v>
      </c>
      <c r="BF4">
        <v>170.89999999919999</v>
      </c>
      <c r="BG4">
        <v>180.09999999959999</v>
      </c>
      <c r="BH4">
        <v>189.09999999959999</v>
      </c>
      <c r="BI4">
        <v>197.7999999999</v>
      </c>
      <c r="BJ4">
        <v>206.09999999940001</v>
      </c>
      <c r="BK4">
        <v>215.29999999980001</v>
      </c>
      <c r="BL4">
        <v>224.0999999995</v>
      </c>
      <c r="BM4">
        <v>233.0999999995</v>
      </c>
      <c r="BN4">
        <v>241.70000000050001</v>
      </c>
      <c r="BO4">
        <v>250.29999999969999</v>
      </c>
      <c r="BP4">
        <v>258.9000000007</v>
      </c>
      <c r="BQ4">
        <v>267.40000000060002</v>
      </c>
      <c r="BR4">
        <v>275.79999999939997</v>
      </c>
      <c r="BS4">
        <v>283.99999999969998</v>
      </c>
      <c r="BT4">
        <v>292.60000000069999</v>
      </c>
      <c r="BU4">
        <v>300.99999999950001</v>
      </c>
      <c r="BV4">
        <v>308.99999999929997</v>
      </c>
      <c r="BW4">
        <v>317.1000000002</v>
      </c>
      <c r="BX4">
        <v>325.30000000040002</v>
      </c>
      <c r="BY4">
        <v>332.7000000008</v>
      </c>
      <c r="BZ4">
        <v>340.50000000019998</v>
      </c>
      <c r="CA4">
        <v>348.59999999939998</v>
      </c>
      <c r="CB4">
        <v>356.10000000090002</v>
      </c>
      <c r="CC4">
        <v>363.7999999992</v>
      </c>
      <c r="CD4">
        <v>370.89999999989999</v>
      </c>
      <c r="CE4">
        <v>378.19999999919997</v>
      </c>
      <c r="CF4">
        <v>385.59999999960002</v>
      </c>
      <c r="CG4">
        <v>392.70000000030001</v>
      </c>
      <c r="CH4">
        <v>399.7999999992</v>
      </c>
      <c r="CI4">
        <v>406.80000000069998</v>
      </c>
      <c r="CJ4">
        <v>413.80000000029997</v>
      </c>
      <c r="CK4">
        <v>420.89999999920002</v>
      </c>
      <c r="CL4">
        <v>427.79999999950002</v>
      </c>
      <c r="CM4">
        <v>433.9</v>
      </c>
      <c r="CN4">
        <v>440.69999999919997</v>
      </c>
      <c r="CO4">
        <v>447.50000000019998</v>
      </c>
      <c r="CP4">
        <v>453.79999999929998</v>
      </c>
      <c r="CQ4">
        <v>459.9999999991</v>
      </c>
      <c r="CR4">
        <v>460.39999999989999</v>
      </c>
      <c r="CS4">
        <v>460.60000000029999</v>
      </c>
      <c r="CT4">
        <v>460.60000000029999</v>
      </c>
      <c r="CU4">
        <v>460.49999999919999</v>
      </c>
      <c r="CV4">
        <v>460.49999999919999</v>
      </c>
      <c r="CW4">
        <v>460.49999999919999</v>
      </c>
      <c r="CX4">
        <v>460.69999999959998</v>
      </c>
      <c r="CY4">
        <v>460.60000000029999</v>
      </c>
      <c r="CZ4">
        <v>460.49999999919999</v>
      </c>
      <c r="DA4">
        <v>460.49999999919999</v>
      </c>
      <c r="DB4">
        <v>460.60000000029999</v>
      </c>
      <c r="DC4">
        <v>460.69999999959998</v>
      </c>
      <c r="DD4">
        <v>460.69999999959998</v>
      </c>
      <c r="DE4">
        <v>460.39999999989999</v>
      </c>
      <c r="DF4">
        <v>460.39999999989999</v>
      </c>
      <c r="DG4">
        <v>460.19999999949999</v>
      </c>
      <c r="DH4">
        <v>0.7000000005</v>
      </c>
      <c r="DI4">
        <v>1.2999999999</v>
      </c>
      <c r="DJ4">
        <v>1.2000000006</v>
      </c>
      <c r="DK4">
        <v>1.5999999996000001</v>
      </c>
      <c r="DL4">
        <v>1.3999999992000001</v>
      </c>
      <c r="DM4">
        <v>1.5000000003</v>
      </c>
      <c r="DN4">
        <v>1.7000000007</v>
      </c>
      <c r="DO4">
        <v>1.5999999996000001</v>
      </c>
      <c r="DP4">
        <v>1.5999999996000001</v>
      </c>
      <c r="DQ4">
        <v>1.8</v>
      </c>
      <c r="DR4">
        <v>1.5999999996000001</v>
      </c>
      <c r="DS4">
        <v>1.5999999996000001</v>
      </c>
      <c r="DT4">
        <v>1.7000000007</v>
      </c>
      <c r="DU4">
        <v>1.8999999993000001</v>
      </c>
      <c r="DV4">
        <v>2.0000000004</v>
      </c>
      <c r="DW4">
        <v>2.2000000007999998</v>
      </c>
      <c r="DX4">
        <v>2.6999999991000001</v>
      </c>
      <c r="DY4">
        <v>3.0000000006</v>
      </c>
      <c r="DZ4">
        <v>3.5000000007000001</v>
      </c>
      <c r="EA4">
        <v>3.6999999993000001</v>
      </c>
      <c r="EB4">
        <v>8.2000000001999993</v>
      </c>
      <c r="EC4">
        <v>16.499999999700002</v>
      </c>
      <c r="ED4">
        <v>24.600000000600001</v>
      </c>
      <c r="EE4">
        <v>32.699999999699997</v>
      </c>
      <c r="EF4">
        <v>40.4999999992</v>
      </c>
      <c r="EG4">
        <v>48.1</v>
      </c>
      <c r="EH4">
        <v>55.800000000099999</v>
      </c>
      <c r="EI4">
        <v>64.399999999299993</v>
      </c>
      <c r="EJ4">
        <v>73.000000000300005</v>
      </c>
      <c r="EK4">
        <v>81.500000000200004</v>
      </c>
      <c r="EL4">
        <v>90.700000000700001</v>
      </c>
      <c r="EM4">
        <v>99.0999999995</v>
      </c>
      <c r="EN4">
        <v>108.0999999995</v>
      </c>
      <c r="EO4">
        <v>117.5999999996</v>
      </c>
      <c r="EP4">
        <v>126.7000000007</v>
      </c>
      <c r="EQ4">
        <v>135.70000000069999</v>
      </c>
      <c r="ER4">
        <v>144.39999999919999</v>
      </c>
      <c r="ES4">
        <v>153.0999999995</v>
      </c>
      <c r="ET4">
        <v>162.39999999930001</v>
      </c>
      <c r="EU4">
        <v>171.00000000029999</v>
      </c>
      <c r="EV4">
        <v>180.20000000069999</v>
      </c>
      <c r="EW4">
        <v>189.39999999930001</v>
      </c>
      <c r="EX4">
        <v>198.3</v>
      </c>
      <c r="EY4">
        <v>207.20000000069999</v>
      </c>
      <c r="EZ4">
        <v>215.89999999919999</v>
      </c>
      <c r="FA4">
        <v>224.8</v>
      </c>
      <c r="FB4">
        <v>233.8</v>
      </c>
      <c r="FC4">
        <v>242.89999999930001</v>
      </c>
      <c r="FD4">
        <v>251.59999999959999</v>
      </c>
      <c r="FE4">
        <v>260.20000000060003</v>
      </c>
      <c r="FF4">
        <v>269.09999999950003</v>
      </c>
      <c r="FG4">
        <v>277.59999999939998</v>
      </c>
      <c r="FH4">
        <v>286.20000000049998</v>
      </c>
      <c r="FI4">
        <v>295.20000000049998</v>
      </c>
      <c r="FJ4">
        <v>303.79999999969999</v>
      </c>
      <c r="FK4">
        <v>312.09999999920001</v>
      </c>
      <c r="FL4">
        <v>320.29999999939997</v>
      </c>
      <c r="FM4">
        <v>328.1999999999</v>
      </c>
      <c r="FN4">
        <v>336.60000000050002</v>
      </c>
      <c r="FO4">
        <v>345.10000000050002</v>
      </c>
      <c r="FP4">
        <v>352.89999999989999</v>
      </c>
      <c r="FQ4">
        <v>360.80000000040002</v>
      </c>
      <c r="FR4">
        <v>368.70000000089999</v>
      </c>
      <c r="FS4">
        <v>376.39999999920002</v>
      </c>
      <c r="FT4">
        <v>383.59999999920001</v>
      </c>
      <c r="FU4">
        <v>391.2</v>
      </c>
      <c r="FV4">
        <v>398.80000000080003</v>
      </c>
      <c r="FW4">
        <v>406.19999999940001</v>
      </c>
      <c r="FX4">
        <v>413.39999999949998</v>
      </c>
      <c r="FY4">
        <v>420.29999999979998</v>
      </c>
      <c r="FZ4">
        <v>427.29999999939997</v>
      </c>
      <c r="GA4">
        <v>433.39999999989999</v>
      </c>
      <c r="GB4">
        <v>440.30000000019999</v>
      </c>
      <c r="GC4">
        <v>446.2999999996</v>
      </c>
      <c r="GD4">
        <v>452.40000000010002</v>
      </c>
      <c r="GE4">
        <v>458.00000000049999</v>
      </c>
      <c r="GF4">
        <v>460.30000000059999</v>
      </c>
      <c r="GG4">
        <v>460.49999999919999</v>
      </c>
      <c r="GH4">
        <v>460.49999999919999</v>
      </c>
      <c r="GI4">
        <v>460.39999999989999</v>
      </c>
      <c r="GJ4">
        <v>460.60000000029999</v>
      </c>
      <c r="GK4">
        <v>460.49999999919999</v>
      </c>
      <c r="GL4">
        <v>460.60000000029999</v>
      </c>
      <c r="GM4">
        <v>460.39999999989999</v>
      </c>
      <c r="GN4">
        <v>460.60000000029999</v>
      </c>
      <c r="GO4">
        <v>460.60000000029999</v>
      </c>
      <c r="GP4">
        <v>460.60000000029999</v>
      </c>
      <c r="GQ4">
        <v>460.39999999989999</v>
      </c>
      <c r="GR4">
        <v>460.39999999989999</v>
      </c>
      <c r="GS4">
        <v>460.49999999919999</v>
      </c>
      <c r="GT4">
        <v>460.60000000029999</v>
      </c>
      <c r="GU4">
        <v>460.69999999959998</v>
      </c>
      <c r="GV4">
        <v>460.49999999919999</v>
      </c>
      <c r="GW4">
        <v>460.49999999919999</v>
      </c>
      <c r="GX4">
        <v>1</v>
      </c>
      <c r="GY4">
        <v>102.6000000002</v>
      </c>
      <c r="GZ4">
        <v>100.00000000039999</v>
      </c>
      <c r="HA4">
        <v>100.00000000039999</v>
      </c>
      <c r="HB4">
        <v>108.0999999995</v>
      </c>
      <c r="HC4">
        <v>101.8295994792</v>
      </c>
      <c r="HD4">
        <v>-8.0999999990999996</v>
      </c>
      <c r="HE4">
        <v>460.49980462309998</v>
      </c>
      <c r="HF4">
        <v>330.66135894899998</v>
      </c>
      <c r="HG4">
        <v>86.030163898699996</v>
      </c>
      <c r="HH4">
        <v>460.69999999959998</v>
      </c>
      <c r="HI4">
        <v>460.69993487430003</v>
      </c>
      <c r="HJ4">
        <v>460.69999999959998</v>
      </c>
      <c r="HK4">
        <v>460.69999999959998</v>
      </c>
      <c r="HL4">
        <v>103.22580645159999</v>
      </c>
      <c r="HM4">
        <v>3.7109435692999999</v>
      </c>
      <c r="HN4">
        <v>3.5755508709999999</v>
      </c>
      <c r="HO4">
        <v>3.6488967308000002</v>
      </c>
      <c r="HP4">
        <v>3.5676334000000001</v>
      </c>
      <c r="HQ4">
        <v>3.8251059805000001</v>
      </c>
      <c r="HR4">
        <v>2.8889379893</v>
      </c>
      <c r="HS4">
        <v>15.799435580400001</v>
      </c>
      <c r="HT4">
        <v>-23.460410557199999</v>
      </c>
      <c r="HU4">
        <v>-160</v>
      </c>
      <c r="HV4">
        <v>432.49095842809999</v>
      </c>
      <c r="HW4">
        <v>91.495601172999997</v>
      </c>
      <c r="HX4">
        <v>624</v>
      </c>
      <c r="HY4">
        <v>15.799435580400001</v>
      </c>
      <c r="HZ4">
        <v>-23.460410557199999</v>
      </c>
      <c r="IA4">
        <v>-160</v>
      </c>
      <c r="IB4">
        <v>432.49095842809999</v>
      </c>
      <c r="IC4">
        <v>91.495601172999997</v>
      </c>
      <c r="ID4">
        <v>624</v>
      </c>
      <c r="IE4">
        <v>28.208976446099999</v>
      </c>
      <c r="IF4">
        <v>2.1085097142000002</v>
      </c>
      <c r="IG4">
        <v>-32.844574780099997</v>
      </c>
      <c r="IH4">
        <v>-224</v>
      </c>
      <c r="II4">
        <v>457.81992836260002</v>
      </c>
      <c r="IJ4">
        <v>100.87976539589999</v>
      </c>
      <c r="IK4">
        <v>688</v>
      </c>
      <c r="IL4">
        <v>416.69152284770001</v>
      </c>
      <c r="IM4">
        <v>114.9560117302</v>
      </c>
      <c r="IN4">
        <v>442.6836101152</v>
      </c>
      <c r="IO4">
        <v>124.3401759531</v>
      </c>
      <c r="IP4">
        <v>8.2999999995000007</v>
      </c>
      <c r="IQ4">
        <v>6.8000000009999999</v>
      </c>
      <c r="IR4">
        <v>9.9000000009000004</v>
      </c>
      <c r="IS4">
        <v>3.9270465778000001</v>
      </c>
      <c r="IT4">
        <v>3.9270465778000001</v>
      </c>
      <c r="IU4">
        <v>9.2000000003999993</v>
      </c>
      <c r="IV4">
        <v>-23.460410557199999</v>
      </c>
      <c r="IW4">
        <v>13.6000000002</v>
      </c>
      <c r="IX4">
        <v>84.457478005900001</v>
      </c>
      <c r="IY4">
        <v>11.700000000899999</v>
      </c>
      <c r="IZ4">
        <v>98.533724340199996</v>
      </c>
      <c r="JA4">
        <v>-27.767858776899999</v>
      </c>
      <c r="JB4">
        <v>0.28879621649999998</v>
      </c>
      <c r="JC4">
        <v>-1.9000319999999999E-4</v>
      </c>
      <c r="JD4">
        <v>3.6660000000000001E-7</v>
      </c>
      <c r="JE4">
        <v>0.26947324350000001</v>
      </c>
      <c r="JF4">
        <v>0.2439495421</v>
      </c>
      <c r="JG4">
        <v>0.10213013429999999</v>
      </c>
      <c r="JH4">
        <v>101.8521327964</v>
      </c>
      <c r="JI4">
        <v>3.8251059805000001</v>
      </c>
      <c r="JJ4">
        <v>3.3234451E-3</v>
      </c>
      <c r="JK4">
        <v>-6.1491900000000007E-5</v>
      </c>
      <c r="JL4">
        <v>3.7109435692999999</v>
      </c>
      <c r="JM4">
        <v>1.0626574219</v>
      </c>
      <c r="JN4">
        <v>0.38173969549999998</v>
      </c>
      <c r="JO4">
        <v>3.5378749998000001</v>
      </c>
      <c r="JP4">
        <v>2.8985000003999999</v>
      </c>
      <c r="JQ4">
        <v>4.2198750004000001</v>
      </c>
      <c r="JR4" s="17" t="s">
        <v>543</v>
      </c>
      <c r="JU4" s="17">
        <v>1</v>
      </c>
    </row>
    <row r="5" spans="1:281">
      <c r="A5" t="s">
        <v>587</v>
      </c>
      <c r="B5" t="s">
        <v>588</v>
      </c>
      <c r="C5" t="s">
        <v>589</v>
      </c>
      <c r="D5" t="s">
        <v>212</v>
      </c>
      <c r="E5">
        <v>3</v>
      </c>
      <c r="F5" t="s">
        <v>213</v>
      </c>
      <c r="G5" t="s">
        <v>214</v>
      </c>
      <c r="H5" t="s">
        <v>542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0</v>
      </c>
      <c r="S5">
        <v>0.39999999899999999</v>
      </c>
      <c r="T5">
        <v>0.49999999830000003</v>
      </c>
      <c r="U5">
        <v>0.39999999899999999</v>
      </c>
      <c r="V5">
        <v>0.39999999899999999</v>
      </c>
      <c r="W5">
        <v>0.39999999899999999</v>
      </c>
      <c r="X5">
        <v>0.29999999970000002</v>
      </c>
      <c r="Y5">
        <v>0.29999999970000002</v>
      </c>
      <c r="Z5">
        <v>0.39999999899999999</v>
      </c>
      <c r="AA5">
        <v>0.59999999940000004</v>
      </c>
      <c r="AB5">
        <v>0.59999999940000004</v>
      </c>
      <c r="AC5">
        <v>0.69999999869999996</v>
      </c>
      <c r="AD5">
        <v>0.69999999869999996</v>
      </c>
      <c r="AE5">
        <v>0.69999999869999996</v>
      </c>
      <c r="AF5">
        <v>0.69999999869999996</v>
      </c>
      <c r="AG5">
        <v>0.79999999980000003</v>
      </c>
      <c r="AH5">
        <v>0.79999999980000003</v>
      </c>
      <c r="AI5">
        <v>0.89999999909999995</v>
      </c>
      <c r="AJ5">
        <v>1.0999999995</v>
      </c>
      <c r="AK5">
        <v>1.0999999995</v>
      </c>
      <c r="AL5">
        <v>3.0999999999000001</v>
      </c>
      <c r="AM5">
        <v>9.6999999986999992</v>
      </c>
      <c r="AN5">
        <v>16.9999999998</v>
      </c>
      <c r="AO5">
        <v>24.8999999985</v>
      </c>
      <c r="AP5">
        <v>32.599999998599998</v>
      </c>
      <c r="AQ5">
        <v>40.699999999600003</v>
      </c>
      <c r="AR5">
        <v>49.299999998799997</v>
      </c>
      <c r="AS5">
        <v>57.999999999099998</v>
      </c>
      <c r="AT5">
        <v>66.3999999997</v>
      </c>
      <c r="AU5">
        <v>74.999999998899995</v>
      </c>
      <c r="AV5">
        <v>83.299999998399997</v>
      </c>
      <c r="AW5">
        <v>91.999999998700005</v>
      </c>
      <c r="AX5">
        <v>102.0999999982</v>
      </c>
      <c r="AY5">
        <v>112.1999999996</v>
      </c>
      <c r="AZ5">
        <v>120.7999999988</v>
      </c>
      <c r="BA5">
        <v>129.79999999879999</v>
      </c>
      <c r="BB5">
        <v>138.09999999830001</v>
      </c>
      <c r="BC5">
        <v>147.4999999991</v>
      </c>
      <c r="BD5">
        <v>156.59999999839999</v>
      </c>
      <c r="BE5">
        <v>165.9999999993</v>
      </c>
      <c r="BF5">
        <v>174.69999999960001</v>
      </c>
      <c r="BG5">
        <v>183.39999999989999</v>
      </c>
      <c r="BH5">
        <v>191.8999999998</v>
      </c>
      <c r="BI5">
        <v>201.69999999960001</v>
      </c>
      <c r="BJ5">
        <v>210.29999999879999</v>
      </c>
      <c r="BK5">
        <v>219.4</v>
      </c>
      <c r="BL5">
        <v>228.09999999839999</v>
      </c>
      <c r="BM5">
        <v>236.79999999879999</v>
      </c>
      <c r="BN5">
        <v>244.89999999969999</v>
      </c>
      <c r="BO5">
        <v>254.2999999987</v>
      </c>
      <c r="BP5">
        <v>262.89999999970001</v>
      </c>
      <c r="BQ5">
        <v>271.79999999860001</v>
      </c>
      <c r="BR5">
        <v>279.79999999839998</v>
      </c>
      <c r="BS5">
        <v>288.2999999983</v>
      </c>
      <c r="BT5">
        <v>296.19999999890001</v>
      </c>
      <c r="BU5">
        <v>305.19999999890001</v>
      </c>
      <c r="BV5">
        <v>312.99999999829998</v>
      </c>
      <c r="BW5">
        <v>321.5</v>
      </c>
      <c r="BX5">
        <v>329.09999999899998</v>
      </c>
      <c r="BY5">
        <v>337.39999999849999</v>
      </c>
      <c r="BZ5">
        <v>344.59999999849998</v>
      </c>
      <c r="CA5">
        <v>351.79999999850003</v>
      </c>
      <c r="CB5">
        <v>360.49999999890002</v>
      </c>
      <c r="CC5">
        <v>367.69999999890001</v>
      </c>
      <c r="CD5">
        <v>375.29999999969999</v>
      </c>
      <c r="CE5">
        <v>382.49999999969998</v>
      </c>
      <c r="CF5">
        <v>389.79999999900002</v>
      </c>
      <c r="CG5">
        <v>396.6</v>
      </c>
      <c r="CH5">
        <v>403.39999999920002</v>
      </c>
      <c r="CI5">
        <v>411.09999999939998</v>
      </c>
      <c r="CJ5">
        <v>417.89999999859998</v>
      </c>
      <c r="CK5">
        <v>425.19999999970003</v>
      </c>
      <c r="CL5">
        <v>431.69999999919997</v>
      </c>
      <c r="CM5">
        <v>438.59999999950003</v>
      </c>
      <c r="CN5">
        <v>445.29999999939997</v>
      </c>
      <c r="CO5">
        <v>452.69999999980001</v>
      </c>
      <c r="CP5">
        <v>462.89999999859998</v>
      </c>
      <c r="CQ5">
        <v>467.49999999879998</v>
      </c>
      <c r="CR5">
        <v>468.69999999940001</v>
      </c>
      <c r="CS5">
        <v>470.09999999860003</v>
      </c>
      <c r="CT5">
        <v>470.89999999840001</v>
      </c>
      <c r="CU5">
        <v>470.89999999840001</v>
      </c>
      <c r="CV5">
        <v>470.99999999950001</v>
      </c>
      <c r="CW5">
        <v>470.99999999950001</v>
      </c>
      <c r="CX5">
        <v>471.0999999988</v>
      </c>
      <c r="CY5">
        <v>470.79999999910001</v>
      </c>
      <c r="CZ5">
        <v>471.0999999988</v>
      </c>
      <c r="DA5">
        <v>471.2</v>
      </c>
      <c r="DB5">
        <v>471.0999999988</v>
      </c>
      <c r="DC5">
        <v>471.39999999849999</v>
      </c>
      <c r="DD5">
        <v>471.39999999849999</v>
      </c>
      <c r="DE5">
        <v>471.2999999992</v>
      </c>
      <c r="DF5">
        <v>471.59999999889999</v>
      </c>
      <c r="DG5">
        <v>471.2</v>
      </c>
      <c r="DH5">
        <v>0.59999999940000004</v>
      </c>
      <c r="DI5">
        <v>1.2999999999</v>
      </c>
      <c r="DJ5">
        <v>1.0999999995</v>
      </c>
      <c r="DK5">
        <v>1.2999999999</v>
      </c>
      <c r="DL5">
        <v>1.1999999988000001</v>
      </c>
      <c r="DM5">
        <v>1.2999999999</v>
      </c>
      <c r="DN5">
        <v>1.2999999999</v>
      </c>
      <c r="DO5">
        <v>1.2999999999</v>
      </c>
      <c r="DP5">
        <v>1.2999999999</v>
      </c>
      <c r="DQ5">
        <v>1.2999999999</v>
      </c>
      <c r="DR5">
        <v>1.3999999992000001</v>
      </c>
      <c r="DS5">
        <v>1.3999999992000001</v>
      </c>
      <c r="DT5">
        <v>1.3999999992000001</v>
      </c>
      <c r="DU5">
        <v>1.4999999985000001</v>
      </c>
      <c r="DV5">
        <v>1.6999999989000001</v>
      </c>
      <c r="DW5">
        <v>1.6999999989000001</v>
      </c>
      <c r="DX5">
        <v>1.6999999989000001</v>
      </c>
      <c r="DY5">
        <v>1.8</v>
      </c>
      <c r="DZ5">
        <v>1.8999999993000001</v>
      </c>
      <c r="EA5">
        <v>3.3999999995999999</v>
      </c>
      <c r="EB5">
        <v>10.699999998899999</v>
      </c>
      <c r="EC5">
        <v>18.0999999993</v>
      </c>
      <c r="ED5">
        <v>25.9999999998</v>
      </c>
      <c r="EE5">
        <v>33.399999998399998</v>
      </c>
      <c r="EF5">
        <v>41.999999999499998</v>
      </c>
      <c r="EG5">
        <v>49.999999999300002</v>
      </c>
      <c r="EH5">
        <v>58.799999998899999</v>
      </c>
      <c r="EI5">
        <v>66.999999999099998</v>
      </c>
      <c r="EJ5">
        <v>75.499999998999996</v>
      </c>
      <c r="EK5">
        <v>83.799999998499999</v>
      </c>
      <c r="EL5">
        <v>92.299999998399997</v>
      </c>
      <c r="EM5">
        <v>101.6999999993</v>
      </c>
      <c r="EN5">
        <v>111.8999999999</v>
      </c>
      <c r="EO5">
        <v>120.9999999992</v>
      </c>
      <c r="EP5">
        <v>130.09999999850001</v>
      </c>
      <c r="EQ5">
        <v>138.4999999991</v>
      </c>
      <c r="ER5">
        <v>147.69999999949999</v>
      </c>
      <c r="ES5">
        <v>156.99999999920001</v>
      </c>
      <c r="ET5">
        <v>166.3999999982</v>
      </c>
      <c r="EU5">
        <v>175.0999999986</v>
      </c>
      <c r="EV5">
        <v>183.9999999993</v>
      </c>
      <c r="EW5">
        <v>192.49999999920001</v>
      </c>
      <c r="EX5">
        <v>202.49999999939999</v>
      </c>
      <c r="EY5">
        <v>211.49999999939999</v>
      </c>
      <c r="EZ5">
        <v>220.49999999939999</v>
      </c>
      <c r="FA5">
        <v>229.39999999829999</v>
      </c>
      <c r="FB5">
        <v>238.29999999910001</v>
      </c>
      <c r="FC5">
        <v>246.89999999829999</v>
      </c>
      <c r="FD5">
        <v>256.29999999910001</v>
      </c>
      <c r="FE5">
        <v>265.19999999980001</v>
      </c>
      <c r="FF5">
        <v>273.89999999830002</v>
      </c>
      <c r="FG5">
        <v>282.79999999900002</v>
      </c>
      <c r="FH5">
        <v>291.09999999860003</v>
      </c>
      <c r="FI5">
        <v>299.39999999989999</v>
      </c>
      <c r="FJ5">
        <v>308.59999999849998</v>
      </c>
      <c r="FK5">
        <v>317.29999999879999</v>
      </c>
      <c r="FL5">
        <v>325.49999999900001</v>
      </c>
      <c r="FM5">
        <v>333.39999999949998</v>
      </c>
      <c r="FN5">
        <v>341.7999999983</v>
      </c>
      <c r="FO5">
        <v>349.19999999869998</v>
      </c>
      <c r="FP5">
        <v>357.79999999979998</v>
      </c>
      <c r="FQ5">
        <v>365.59999999920001</v>
      </c>
      <c r="FR5">
        <v>373.99999999980002</v>
      </c>
      <c r="FS5">
        <v>381.29999999910001</v>
      </c>
      <c r="FT5">
        <v>388.99999999919999</v>
      </c>
      <c r="FU5">
        <v>396.09999999989998</v>
      </c>
      <c r="FV5">
        <v>403.29999999990002</v>
      </c>
      <c r="FW5">
        <v>410.9999999982</v>
      </c>
      <c r="FX5">
        <v>417.99999999969998</v>
      </c>
      <c r="FY5">
        <v>425.49999999940002</v>
      </c>
      <c r="FZ5">
        <v>431.79999999850003</v>
      </c>
      <c r="GA5">
        <v>438.49999999840003</v>
      </c>
      <c r="GB5">
        <v>445.09999999899998</v>
      </c>
      <c r="GC5">
        <v>450.8999999998</v>
      </c>
      <c r="GD5">
        <v>458.49999999879998</v>
      </c>
      <c r="GE5">
        <v>467.39999999949998</v>
      </c>
      <c r="GF5">
        <v>468.49999999900001</v>
      </c>
      <c r="GG5">
        <v>469.69999999959998</v>
      </c>
      <c r="GH5">
        <v>470.79999999910001</v>
      </c>
      <c r="GI5">
        <v>471.2</v>
      </c>
      <c r="GJ5">
        <v>470.99999999950001</v>
      </c>
      <c r="GK5">
        <v>470.99999999950001</v>
      </c>
      <c r="GL5">
        <v>470.89999999840001</v>
      </c>
      <c r="GM5">
        <v>470.89999999840001</v>
      </c>
      <c r="GN5">
        <v>470.89999999840001</v>
      </c>
      <c r="GO5">
        <v>470.79999999910001</v>
      </c>
      <c r="GP5">
        <v>470.99999999950001</v>
      </c>
      <c r="GQ5">
        <v>471.2</v>
      </c>
      <c r="GR5">
        <v>471.0999999988</v>
      </c>
      <c r="GS5">
        <v>471.0999999988</v>
      </c>
      <c r="GT5">
        <v>471.2</v>
      </c>
      <c r="GU5">
        <v>471.0999999988</v>
      </c>
      <c r="GV5">
        <v>471.2</v>
      </c>
      <c r="GW5">
        <v>471.39999999849999</v>
      </c>
      <c r="GX5">
        <v>1</v>
      </c>
      <c r="GY5">
        <v>105.10000000070001</v>
      </c>
      <c r="GZ5">
        <v>102.0999999982</v>
      </c>
      <c r="HA5">
        <v>102.0999999982</v>
      </c>
      <c r="HB5">
        <v>111.8999999999</v>
      </c>
      <c r="HC5">
        <v>104.3244378433</v>
      </c>
      <c r="HD5">
        <v>-9.8000000016000008</v>
      </c>
      <c r="HE5">
        <v>471.39995757169999</v>
      </c>
      <c r="HF5">
        <v>339.83750530380001</v>
      </c>
      <c r="HG5">
        <v>86.913958420499995</v>
      </c>
      <c r="HH5">
        <v>471.59999999889999</v>
      </c>
      <c r="HI5">
        <v>471.39995757169999</v>
      </c>
      <c r="HJ5">
        <v>471.59999999889999</v>
      </c>
      <c r="HK5">
        <v>471.39999999849999</v>
      </c>
      <c r="HL5">
        <v>107.91788856300001</v>
      </c>
      <c r="HM5">
        <v>3.7272962274000001</v>
      </c>
      <c r="HN5">
        <v>3.6012520757000002</v>
      </c>
      <c r="HO5">
        <v>3.6664960193999998</v>
      </c>
      <c r="HP5">
        <v>3.6297609866</v>
      </c>
      <c r="HQ5">
        <v>3.8769255901999999</v>
      </c>
      <c r="HR5">
        <v>2.8044157913999999</v>
      </c>
      <c r="HS5">
        <v>17.410479422800002</v>
      </c>
      <c r="HT5">
        <v>-23.460410557199999</v>
      </c>
      <c r="HU5">
        <v>-160</v>
      </c>
      <c r="HV5">
        <v>444.16194314709998</v>
      </c>
      <c r="HW5">
        <v>93.841642228699996</v>
      </c>
      <c r="HX5">
        <v>640</v>
      </c>
      <c r="HY5">
        <v>17.410479422800002</v>
      </c>
      <c r="HZ5">
        <v>-23.460410557199999</v>
      </c>
      <c r="IA5">
        <v>-160</v>
      </c>
      <c r="IB5">
        <v>444.16194314709998</v>
      </c>
      <c r="IC5">
        <v>93.841642228699996</v>
      </c>
      <c r="ID5">
        <v>640</v>
      </c>
      <c r="IE5">
        <v>27.238014424700001</v>
      </c>
      <c r="IF5">
        <v>1.1025456083</v>
      </c>
      <c r="IG5">
        <v>-32.844574780099997</v>
      </c>
      <c r="IH5">
        <v>-224</v>
      </c>
      <c r="II5">
        <v>468.43228680430002</v>
      </c>
      <c r="IJ5">
        <v>103.22580645159999</v>
      </c>
      <c r="IK5">
        <v>704</v>
      </c>
      <c r="IL5">
        <v>426.75146372429998</v>
      </c>
      <c r="IM5">
        <v>117.3020527859</v>
      </c>
      <c r="IN5">
        <v>454.74272380039997</v>
      </c>
      <c r="IO5">
        <v>126.6862170088</v>
      </c>
      <c r="IP5">
        <v>7.4000000004000004</v>
      </c>
      <c r="IQ5">
        <v>10.199999998799999</v>
      </c>
      <c r="IR5">
        <v>10.200000000599999</v>
      </c>
      <c r="IS5">
        <v>4.1970878570999997</v>
      </c>
      <c r="IT5">
        <v>4.1970878570999997</v>
      </c>
      <c r="IU5">
        <v>8.4000000006000004</v>
      </c>
      <c r="IV5">
        <v>-25.806451612899998</v>
      </c>
      <c r="IW5">
        <v>14.6000000004</v>
      </c>
      <c r="IX5">
        <v>84.457478005900001</v>
      </c>
      <c r="IY5">
        <v>14.699999999699999</v>
      </c>
      <c r="IZ5">
        <v>100.87976539589999</v>
      </c>
      <c r="JA5">
        <v>-28.136989876299999</v>
      </c>
      <c r="JB5">
        <v>0.28622218020000001</v>
      </c>
      <c r="JC5">
        <v>-1.9422910000000001E-4</v>
      </c>
      <c r="JD5">
        <v>3.7669999999999998E-7</v>
      </c>
      <c r="JE5">
        <v>0.26829099140000001</v>
      </c>
      <c r="JF5">
        <v>0.29420255039999998</v>
      </c>
      <c r="JG5">
        <v>0.1211777198</v>
      </c>
      <c r="JH5">
        <v>104.50853228619999</v>
      </c>
      <c r="JI5">
        <v>3.8769255901999999</v>
      </c>
      <c r="JJ5">
        <v>3.0712631999999999E-3</v>
      </c>
      <c r="JK5">
        <v>-6.2415299999999999E-5</v>
      </c>
      <c r="JL5">
        <v>3.7272962274000001</v>
      </c>
      <c r="JM5">
        <v>1.4379326639000001</v>
      </c>
      <c r="JN5">
        <v>0.49468569820000002</v>
      </c>
      <c r="JO5">
        <v>3.1542500001999998</v>
      </c>
      <c r="JP5">
        <v>4.3477499995000004</v>
      </c>
      <c r="JQ5">
        <v>4.3477500002999996</v>
      </c>
      <c r="JR5" s="17" t="s">
        <v>543</v>
      </c>
      <c r="JU5" s="17">
        <v>1</v>
      </c>
    </row>
    <row r="6" spans="1:281">
      <c r="A6" t="s">
        <v>598</v>
      </c>
      <c r="B6" t="s">
        <v>599</v>
      </c>
      <c r="C6" t="s">
        <v>600</v>
      </c>
      <c r="D6" t="s">
        <v>212</v>
      </c>
      <c r="E6">
        <v>3</v>
      </c>
      <c r="F6" t="s">
        <v>213</v>
      </c>
      <c r="G6" t="s">
        <v>214</v>
      </c>
      <c r="H6" t="s">
        <v>542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0</v>
      </c>
      <c r="S6">
        <v>0.3000000015</v>
      </c>
      <c r="T6">
        <v>0.20000000039999999</v>
      </c>
      <c r="U6">
        <v>0.3000000015</v>
      </c>
      <c r="V6">
        <v>0.3000000015</v>
      </c>
      <c r="W6">
        <v>0.20000000039999999</v>
      </c>
      <c r="X6">
        <v>0.3000000015</v>
      </c>
      <c r="Y6">
        <v>0.1000000011</v>
      </c>
      <c r="Z6">
        <v>0.20000000039999999</v>
      </c>
      <c r="AA6">
        <v>0.20000000039999999</v>
      </c>
      <c r="AB6">
        <v>0.3000000015</v>
      </c>
      <c r="AC6">
        <v>0.40000000079999998</v>
      </c>
      <c r="AD6">
        <v>0.3000000015</v>
      </c>
      <c r="AE6">
        <v>0.20000000039999999</v>
      </c>
      <c r="AF6">
        <v>0.50000000010000001</v>
      </c>
      <c r="AG6">
        <v>0.3000000015</v>
      </c>
      <c r="AH6">
        <v>0.50000000010000001</v>
      </c>
      <c r="AI6">
        <v>0.60000000119999997</v>
      </c>
      <c r="AJ6">
        <v>0.50000000010000001</v>
      </c>
      <c r="AK6">
        <v>0.60000000119999997</v>
      </c>
      <c r="AL6">
        <v>1.2000000006</v>
      </c>
      <c r="AM6">
        <v>4.8000000005999999</v>
      </c>
      <c r="AN6">
        <v>12.4000000014</v>
      </c>
      <c r="AO6">
        <v>20.500000000499998</v>
      </c>
      <c r="AP6">
        <v>27.700000000599999</v>
      </c>
      <c r="AQ6">
        <v>35.6000000011</v>
      </c>
      <c r="AR6">
        <v>43.700000000199999</v>
      </c>
      <c r="AS6">
        <v>52.4000000005</v>
      </c>
      <c r="AT6">
        <v>61.000000001499998</v>
      </c>
      <c r="AU6">
        <v>69.500000001399997</v>
      </c>
      <c r="AV6">
        <v>78.400000000299997</v>
      </c>
      <c r="AW6">
        <v>86.600000000500003</v>
      </c>
      <c r="AX6">
        <v>96.000000001399997</v>
      </c>
      <c r="AY6">
        <v>106.0000000016</v>
      </c>
      <c r="AZ6">
        <v>114.4000000004</v>
      </c>
      <c r="BA6">
        <v>123.60000000079999</v>
      </c>
      <c r="BB6">
        <v>132.7000000001</v>
      </c>
      <c r="BC6">
        <v>141.50000000150001</v>
      </c>
      <c r="BD6">
        <v>150.00000000150001</v>
      </c>
      <c r="BE6">
        <v>159.00000000150001</v>
      </c>
      <c r="BF6">
        <v>167.5000000014</v>
      </c>
      <c r="BG6">
        <v>176.90000000040001</v>
      </c>
      <c r="BH6">
        <v>185.90000000040001</v>
      </c>
      <c r="BI6">
        <v>194.7</v>
      </c>
      <c r="BJ6">
        <v>203.00000000130001</v>
      </c>
      <c r="BK6">
        <v>211.80000000090001</v>
      </c>
      <c r="BL6">
        <v>220.40000000020001</v>
      </c>
      <c r="BM6">
        <v>229.20000000159999</v>
      </c>
      <c r="BN6">
        <v>238.30000000090001</v>
      </c>
      <c r="BO6">
        <v>246.8000000008</v>
      </c>
      <c r="BP6">
        <v>255.20000000140001</v>
      </c>
      <c r="BQ6">
        <v>264.00000000099999</v>
      </c>
      <c r="BR6">
        <v>272.20000000120001</v>
      </c>
      <c r="BS6">
        <v>280.50000000080001</v>
      </c>
      <c r="BT6">
        <v>289.10000000000002</v>
      </c>
      <c r="BU6">
        <v>297.30000000019999</v>
      </c>
      <c r="BV6">
        <v>305.20000000070002</v>
      </c>
      <c r="BW6">
        <v>313.29999999979998</v>
      </c>
      <c r="BX6">
        <v>321.4000000007</v>
      </c>
      <c r="BY6">
        <v>329.00000000149998</v>
      </c>
      <c r="BZ6">
        <v>336.90000000020001</v>
      </c>
      <c r="CA6">
        <v>344.80000000080003</v>
      </c>
      <c r="CB6">
        <v>352.30000000050001</v>
      </c>
      <c r="CC6">
        <v>359.70000000089999</v>
      </c>
      <c r="CD6">
        <v>367.10000000129997</v>
      </c>
      <c r="CE6">
        <v>374.49999999990001</v>
      </c>
      <c r="CF6">
        <v>381.40000000020001</v>
      </c>
      <c r="CG6">
        <v>388.89999999989999</v>
      </c>
      <c r="CH6">
        <v>395.80000000019999</v>
      </c>
      <c r="CI6">
        <v>402.79999999979998</v>
      </c>
      <c r="CJ6">
        <v>409.60000000090002</v>
      </c>
      <c r="CK6">
        <v>416.40000000010002</v>
      </c>
      <c r="CL6">
        <v>423.40000000150002</v>
      </c>
      <c r="CM6">
        <v>429.70000000060003</v>
      </c>
      <c r="CN6">
        <v>436.80000000130002</v>
      </c>
      <c r="CO6">
        <v>443.90000000020001</v>
      </c>
      <c r="CP6">
        <v>450.20000000110002</v>
      </c>
      <c r="CQ6">
        <v>456.70000000060003</v>
      </c>
      <c r="CR6">
        <v>460.0000000009</v>
      </c>
      <c r="CS6">
        <v>460.1000000002</v>
      </c>
      <c r="CT6">
        <v>460.1000000002</v>
      </c>
      <c r="CU6">
        <v>460.0000000009</v>
      </c>
      <c r="CV6">
        <v>460.1000000002</v>
      </c>
      <c r="CW6">
        <v>460.0000000009</v>
      </c>
      <c r="CX6">
        <v>460.1000000002</v>
      </c>
      <c r="CY6">
        <v>460.1000000002</v>
      </c>
      <c r="CZ6">
        <v>460.20000000139999</v>
      </c>
      <c r="DA6">
        <v>460.1000000002</v>
      </c>
      <c r="DB6">
        <v>460.20000000139999</v>
      </c>
      <c r="DC6">
        <v>460.30000000059999</v>
      </c>
      <c r="DD6">
        <v>460.0000000009</v>
      </c>
      <c r="DE6">
        <v>460.1000000002</v>
      </c>
      <c r="DF6">
        <v>460.20000000139999</v>
      </c>
      <c r="DG6">
        <v>460.1000000002</v>
      </c>
      <c r="DH6">
        <v>0.90000000089999999</v>
      </c>
      <c r="DI6">
        <v>1.2000000006</v>
      </c>
      <c r="DJ6">
        <v>1.2000000006</v>
      </c>
      <c r="DK6">
        <v>1.2999999999</v>
      </c>
      <c r="DL6">
        <v>1.2000000006</v>
      </c>
      <c r="DM6">
        <v>1.2999999999</v>
      </c>
      <c r="DN6">
        <v>1.2999999999</v>
      </c>
      <c r="DO6">
        <v>1.2000000006</v>
      </c>
      <c r="DP6">
        <v>1.400000001</v>
      </c>
      <c r="DQ6">
        <v>1.2999999999</v>
      </c>
      <c r="DR6">
        <v>1.2999999999</v>
      </c>
      <c r="DS6">
        <v>1.2000000006</v>
      </c>
      <c r="DT6">
        <v>1.1000000013</v>
      </c>
      <c r="DU6">
        <v>1.2999999999</v>
      </c>
      <c r="DV6">
        <v>1.2000000006</v>
      </c>
      <c r="DW6">
        <v>1.1000000013</v>
      </c>
      <c r="DX6">
        <v>1.2999999999</v>
      </c>
      <c r="DY6">
        <v>1.1000000013</v>
      </c>
      <c r="DZ6">
        <v>1.1000000013</v>
      </c>
      <c r="EA6">
        <v>1.8</v>
      </c>
      <c r="EB6">
        <v>5.8000000007999999</v>
      </c>
      <c r="EC6">
        <v>12.800000000400001</v>
      </c>
      <c r="ED6">
        <v>20.800000000200001</v>
      </c>
      <c r="EE6">
        <v>28.900000001199999</v>
      </c>
      <c r="EF6">
        <v>37.000000000299998</v>
      </c>
      <c r="EG6">
        <v>45.000000000100002</v>
      </c>
      <c r="EH6">
        <v>53.300000001400001</v>
      </c>
      <c r="EI6">
        <v>61.600000000900003</v>
      </c>
      <c r="EJ6">
        <v>70.200000000100005</v>
      </c>
      <c r="EK6">
        <v>78.400000000299997</v>
      </c>
      <c r="EL6">
        <v>87.800000001200004</v>
      </c>
      <c r="EM6">
        <v>96.100000000700007</v>
      </c>
      <c r="EN6">
        <v>105.3000000011</v>
      </c>
      <c r="EO6">
        <v>114.9000000005</v>
      </c>
      <c r="EP6">
        <v>123.8000000012</v>
      </c>
      <c r="EQ6">
        <v>132.60000000080001</v>
      </c>
      <c r="ER6">
        <v>141.8000000012</v>
      </c>
      <c r="ES6">
        <v>150.5000000016</v>
      </c>
      <c r="ET6">
        <v>159.4000000005</v>
      </c>
      <c r="EU6">
        <v>168.2000000001</v>
      </c>
      <c r="EV6">
        <v>177.3000000012</v>
      </c>
      <c r="EW6">
        <v>186.70000000019999</v>
      </c>
      <c r="EX6">
        <v>195.4999999998</v>
      </c>
      <c r="EY6">
        <v>204.3000000012</v>
      </c>
      <c r="EZ6">
        <v>212.90000000040001</v>
      </c>
      <c r="FA6">
        <v>221.8000000012</v>
      </c>
      <c r="FB6">
        <v>230.9000000005</v>
      </c>
      <c r="FC6">
        <v>239.9999999998</v>
      </c>
      <c r="FD6">
        <v>248.8000000012</v>
      </c>
      <c r="FE6">
        <v>257.10000000069999</v>
      </c>
      <c r="FF6">
        <v>266.2</v>
      </c>
      <c r="FG6">
        <v>274.9000000003</v>
      </c>
      <c r="FH6">
        <v>283.300000001</v>
      </c>
      <c r="FI6">
        <v>292.10000000060001</v>
      </c>
      <c r="FJ6">
        <v>300.50000000120002</v>
      </c>
      <c r="FK6">
        <v>308.89999999999998</v>
      </c>
      <c r="FL6">
        <v>317.0000000009</v>
      </c>
      <c r="FM6">
        <v>325.20000000110002</v>
      </c>
      <c r="FN6">
        <v>333.30000000019999</v>
      </c>
      <c r="FO6">
        <v>341.50000000049999</v>
      </c>
      <c r="FP6">
        <v>349.50000000030002</v>
      </c>
      <c r="FQ6">
        <v>357.40000000079999</v>
      </c>
      <c r="FR6">
        <v>365.10000000090002</v>
      </c>
      <c r="FS6">
        <v>372.9000000003</v>
      </c>
      <c r="FT6">
        <v>380.10000000029999</v>
      </c>
      <c r="FU6">
        <v>387.80000000040002</v>
      </c>
      <c r="FV6">
        <v>395.2000000008</v>
      </c>
      <c r="FW6">
        <v>402.10000000119999</v>
      </c>
      <c r="FX6">
        <v>409.40000000049997</v>
      </c>
      <c r="FY6">
        <v>416.10000000039997</v>
      </c>
      <c r="FZ6">
        <v>422.70000000099998</v>
      </c>
      <c r="GA6">
        <v>429.40000000089998</v>
      </c>
      <c r="GB6">
        <v>435.4000000003</v>
      </c>
      <c r="GC6">
        <v>441.60000000010001</v>
      </c>
      <c r="GD6">
        <v>447.70000000060003</v>
      </c>
      <c r="GE6">
        <v>453.4000000003</v>
      </c>
      <c r="GF6">
        <v>458.59999999989998</v>
      </c>
      <c r="GG6">
        <v>459.8999999998</v>
      </c>
      <c r="GH6">
        <v>460.1000000002</v>
      </c>
      <c r="GI6">
        <v>460.20000000139999</v>
      </c>
      <c r="GJ6">
        <v>460.20000000139999</v>
      </c>
      <c r="GK6">
        <v>460.1000000002</v>
      </c>
      <c r="GL6">
        <v>460.20000000139999</v>
      </c>
      <c r="GM6">
        <v>460.20000000139999</v>
      </c>
      <c r="GN6">
        <v>460.1000000002</v>
      </c>
      <c r="GO6">
        <v>460.30000000059999</v>
      </c>
      <c r="GP6">
        <v>460.20000000139999</v>
      </c>
      <c r="GQ6">
        <v>460.1000000002</v>
      </c>
      <c r="GR6">
        <v>460.30000000059999</v>
      </c>
      <c r="GS6">
        <v>460.1000000002</v>
      </c>
      <c r="GT6">
        <v>460.30000000059999</v>
      </c>
      <c r="GU6">
        <v>460.39999999989999</v>
      </c>
      <c r="GV6">
        <v>460.1000000002</v>
      </c>
      <c r="GW6">
        <v>460.30000000059999</v>
      </c>
      <c r="GX6">
        <v>1</v>
      </c>
      <c r="GY6">
        <v>98.799999999799994</v>
      </c>
      <c r="GZ6">
        <v>96.000000001399997</v>
      </c>
      <c r="HA6">
        <v>96.000000001399997</v>
      </c>
      <c r="HB6">
        <v>105.3000000011</v>
      </c>
      <c r="HC6">
        <v>98.033775123500007</v>
      </c>
      <c r="HD6">
        <v>-9.2999999997000007</v>
      </c>
      <c r="HE6">
        <v>460.29997827329998</v>
      </c>
      <c r="HF6">
        <v>336.5618794124</v>
      </c>
      <c r="HG6">
        <v>77.082976643899997</v>
      </c>
      <c r="HH6">
        <v>460.39999999989999</v>
      </c>
      <c r="HI6">
        <v>460.39999999989999</v>
      </c>
      <c r="HJ6">
        <v>460.30000000059999</v>
      </c>
      <c r="HK6">
        <v>460.39999999989999</v>
      </c>
      <c r="HL6">
        <v>105.57184750730001</v>
      </c>
      <c r="HM6">
        <v>3.6896188822</v>
      </c>
      <c r="HN6">
        <v>3.5675543438999999</v>
      </c>
      <c r="HO6">
        <v>3.6274646492999998</v>
      </c>
      <c r="HP6">
        <v>3.6261877829000002</v>
      </c>
      <c r="HQ6">
        <v>3.8381763135</v>
      </c>
      <c r="HR6">
        <v>2.7853314546000001</v>
      </c>
      <c r="HS6">
        <v>20.950798479700001</v>
      </c>
      <c r="HT6">
        <v>-21.114369501500001</v>
      </c>
      <c r="HU6">
        <v>-144</v>
      </c>
      <c r="HV6">
        <v>434.59565453599998</v>
      </c>
      <c r="HW6">
        <v>93.841642228699996</v>
      </c>
      <c r="HX6">
        <v>640</v>
      </c>
      <c r="HY6">
        <v>20.950798479700001</v>
      </c>
      <c r="HZ6">
        <v>-21.114369501500001</v>
      </c>
      <c r="IA6">
        <v>-144</v>
      </c>
      <c r="IB6">
        <v>434.59565453599998</v>
      </c>
      <c r="IC6">
        <v>93.841642228699996</v>
      </c>
      <c r="ID6">
        <v>640</v>
      </c>
      <c r="IE6">
        <v>25.804345464000001</v>
      </c>
      <c r="IF6">
        <v>0.60312873560000002</v>
      </c>
      <c r="IG6">
        <v>-30.4985337243</v>
      </c>
      <c r="IH6">
        <v>-208</v>
      </c>
      <c r="II6">
        <v>458.49323193909999</v>
      </c>
      <c r="IJ6">
        <v>103.22580645159999</v>
      </c>
      <c r="IK6">
        <v>704</v>
      </c>
      <c r="IL6">
        <v>413.6448560563</v>
      </c>
      <c r="IM6">
        <v>114.9560117302</v>
      </c>
      <c r="IN6">
        <v>442.32074959260001</v>
      </c>
      <c r="IO6">
        <v>124.3401759531</v>
      </c>
      <c r="IP6">
        <v>8.0999999990999996</v>
      </c>
      <c r="IQ6">
        <v>7.0999999989000004</v>
      </c>
      <c r="IR6">
        <v>10.0000000002</v>
      </c>
      <c r="IS6">
        <v>4.5254346630000004</v>
      </c>
      <c r="IT6">
        <v>4.5254346630000004</v>
      </c>
      <c r="IU6">
        <v>8.3999999988000003</v>
      </c>
      <c r="IV6">
        <v>-23.460410557199999</v>
      </c>
      <c r="IW6">
        <v>13.800000000600001</v>
      </c>
      <c r="IX6">
        <v>79.765395894400001</v>
      </c>
      <c r="IY6">
        <v>10.8999999993</v>
      </c>
      <c r="IZ6">
        <v>98.533724340199996</v>
      </c>
      <c r="JA6">
        <v>-26.766319146200001</v>
      </c>
      <c r="JB6">
        <v>0.28788121750000001</v>
      </c>
      <c r="JC6">
        <v>-1.9483409999999999E-4</v>
      </c>
      <c r="JD6">
        <v>3.8930000000000003E-7</v>
      </c>
      <c r="JE6">
        <v>0.2710307032</v>
      </c>
      <c r="JF6">
        <v>0.33964902759999999</v>
      </c>
      <c r="JG6">
        <v>0.12492344180000001</v>
      </c>
      <c r="JH6">
        <v>98.532544315099997</v>
      </c>
      <c r="JI6">
        <v>3.8381763135</v>
      </c>
      <c r="JJ6">
        <v>3.0676131999999999E-3</v>
      </c>
      <c r="JK6">
        <v>-6.1644999999999997E-5</v>
      </c>
      <c r="JL6">
        <v>3.6896188822</v>
      </c>
      <c r="JM6">
        <v>1.5110613786</v>
      </c>
      <c r="JN6">
        <v>0.39472271330000003</v>
      </c>
      <c r="JO6">
        <v>3.4526249995999998</v>
      </c>
      <c r="JP6">
        <v>3.0263749995000002</v>
      </c>
      <c r="JQ6">
        <v>4.2625000001000002</v>
      </c>
      <c r="JR6" s="17" t="s">
        <v>543</v>
      </c>
      <c r="JU6" s="17">
        <v>1</v>
      </c>
    </row>
    <row r="7" spans="1:281">
      <c r="A7" t="s">
        <v>613</v>
      </c>
      <c r="B7" t="s">
        <v>614</v>
      </c>
      <c r="C7" t="s">
        <v>615</v>
      </c>
      <c r="D7" t="s">
        <v>212</v>
      </c>
      <c r="E7">
        <v>3</v>
      </c>
      <c r="F7" t="s">
        <v>213</v>
      </c>
      <c r="G7" t="s">
        <v>214</v>
      </c>
      <c r="H7" t="s">
        <v>542</v>
      </c>
      <c r="I7" t="s">
        <v>216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0</v>
      </c>
      <c r="S7">
        <v>0.3000000015</v>
      </c>
      <c r="T7">
        <v>0.60000000119999997</v>
      </c>
      <c r="U7">
        <v>0.40000000079999998</v>
      </c>
      <c r="V7">
        <v>0.50000000010000001</v>
      </c>
      <c r="W7">
        <v>0.50000000010000001</v>
      </c>
      <c r="X7">
        <v>0.40000000079999998</v>
      </c>
      <c r="Y7">
        <v>0.40000000079999998</v>
      </c>
      <c r="Z7">
        <v>0.60000000119999997</v>
      </c>
      <c r="AA7">
        <v>0.40000000079999998</v>
      </c>
      <c r="AB7">
        <v>0.7000000005</v>
      </c>
      <c r="AC7">
        <v>0.50000000010000001</v>
      </c>
      <c r="AD7">
        <v>0.60000000119999997</v>
      </c>
      <c r="AE7">
        <v>0.50000000010000001</v>
      </c>
      <c r="AF7">
        <v>0.50000000010000001</v>
      </c>
      <c r="AG7">
        <v>0.40000000079999998</v>
      </c>
      <c r="AH7">
        <v>0.50000000010000001</v>
      </c>
      <c r="AI7">
        <v>0.90000000089999999</v>
      </c>
      <c r="AJ7">
        <v>0.7000000005</v>
      </c>
      <c r="AK7">
        <v>0.90000000089999999</v>
      </c>
      <c r="AL7">
        <v>3.0000000006</v>
      </c>
      <c r="AM7">
        <v>7.9000000005000004</v>
      </c>
      <c r="AN7">
        <v>14.800000000800001</v>
      </c>
      <c r="AO7">
        <v>23.300000000699999</v>
      </c>
      <c r="AP7">
        <v>31.800000000699999</v>
      </c>
      <c r="AQ7">
        <v>39.600000000100003</v>
      </c>
      <c r="AR7">
        <v>48.200000001100001</v>
      </c>
      <c r="AS7">
        <v>56.800000000300003</v>
      </c>
      <c r="AT7">
        <v>64.600000001500007</v>
      </c>
      <c r="AU7">
        <v>73.400000001099997</v>
      </c>
      <c r="AV7">
        <v>82.500000000399993</v>
      </c>
      <c r="AW7">
        <v>91.3</v>
      </c>
      <c r="AX7">
        <v>100.10000000150001</v>
      </c>
      <c r="AY7">
        <v>109.50000000049999</v>
      </c>
      <c r="AZ7">
        <v>118.4000000012</v>
      </c>
      <c r="BA7">
        <v>127.10000000150001</v>
      </c>
      <c r="BB7">
        <v>135.80000000000001</v>
      </c>
      <c r="BC7">
        <v>144.70000000069999</v>
      </c>
      <c r="BD7">
        <v>154.00000000049999</v>
      </c>
      <c r="BE7">
        <v>164.1</v>
      </c>
      <c r="BF7">
        <v>172.40000000129999</v>
      </c>
      <c r="BG7">
        <v>181.70000000100001</v>
      </c>
      <c r="BH7">
        <v>189.9000000012</v>
      </c>
      <c r="BI7">
        <v>199.30000000019999</v>
      </c>
      <c r="BJ7">
        <v>208.70000000100001</v>
      </c>
      <c r="BK7">
        <v>217.5000000007</v>
      </c>
      <c r="BL7">
        <v>226.00000000060001</v>
      </c>
      <c r="BM7">
        <v>235.09999999990001</v>
      </c>
      <c r="BN7">
        <v>244.00000000060001</v>
      </c>
      <c r="BO7">
        <v>252.60000000159999</v>
      </c>
      <c r="BP7">
        <v>261.2000000008</v>
      </c>
      <c r="BQ7">
        <v>269.90000000110001</v>
      </c>
      <c r="BR7">
        <v>277.90000000100002</v>
      </c>
      <c r="BS7">
        <v>286.10000000119999</v>
      </c>
      <c r="BT7">
        <v>295.30000000159998</v>
      </c>
      <c r="BU7">
        <v>303.30000000140001</v>
      </c>
      <c r="BV7">
        <v>311.50000000159997</v>
      </c>
      <c r="BW7">
        <v>319.80000000109999</v>
      </c>
      <c r="BX7">
        <v>327.50000000120002</v>
      </c>
      <c r="BY7">
        <v>335.1000000002</v>
      </c>
      <c r="BZ7">
        <v>343.00000000080001</v>
      </c>
      <c r="CA7">
        <v>351.00000000059998</v>
      </c>
      <c r="CB7">
        <v>358.70000000070002</v>
      </c>
      <c r="CC7">
        <v>366.3000000015</v>
      </c>
      <c r="CD7">
        <v>373.50000000149998</v>
      </c>
      <c r="CE7">
        <v>380.50000000109998</v>
      </c>
      <c r="CF7">
        <v>387.30000000029997</v>
      </c>
      <c r="CG7">
        <v>394.70000000070002</v>
      </c>
      <c r="CH7">
        <v>401.8000000015</v>
      </c>
      <c r="CI7">
        <v>408.7</v>
      </c>
      <c r="CJ7">
        <v>415.70000000139999</v>
      </c>
      <c r="CK7">
        <v>422.59999999989998</v>
      </c>
      <c r="CL7">
        <v>429.10000000119999</v>
      </c>
      <c r="CM7">
        <v>435.4000000003</v>
      </c>
      <c r="CN7">
        <v>443.70000000160002</v>
      </c>
      <c r="CO7">
        <v>452.10000000039997</v>
      </c>
      <c r="CP7">
        <v>457.8000000001</v>
      </c>
      <c r="CQ7">
        <v>462.4000000003</v>
      </c>
      <c r="CR7">
        <v>464.3000000015</v>
      </c>
      <c r="CS7">
        <v>464.3000000015</v>
      </c>
      <c r="CT7">
        <v>464.5</v>
      </c>
      <c r="CU7">
        <v>464.5</v>
      </c>
      <c r="CV7">
        <v>464.5</v>
      </c>
      <c r="CW7">
        <v>464.60000000119999</v>
      </c>
      <c r="CX7">
        <v>464.5</v>
      </c>
      <c r="CY7">
        <v>464.60000000119999</v>
      </c>
      <c r="CZ7">
        <v>464.7000000004</v>
      </c>
      <c r="DA7">
        <v>464.7000000004</v>
      </c>
      <c r="DB7">
        <v>464.80000000159998</v>
      </c>
      <c r="DC7">
        <v>464.80000000159998</v>
      </c>
      <c r="DD7">
        <v>464.80000000159998</v>
      </c>
      <c r="DE7">
        <v>464.90000000089998</v>
      </c>
      <c r="DF7">
        <v>464.90000000089998</v>
      </c>
      <c r="DG7">
        <v>464.90000000089998</v>
      </c>
      <c r="DH7">
        <v>0.7000000005</v>
      </c>
      <c r="DI7">
        <v>1.2000000006</v>
      </c>
      <c r="DJ7">
        <v>1.2999999999</v>
      </c>
      <c r="DK7">
        <v>1.1000000013</v>
      </c>
      <c r="DL7">
        <v>1.1000000013</v>
      </c>
      <c r="DM7">
        <v>1.2999999999</v>
      </c>
      <c r="DN7">
        <v>1.1000000013</v>
      </c>
      <c r="DO7">
        <v>1.400000001</v>
      </c>
      <c r="DP7">
        <v>1.400000001</v>
      </c>
      <c r="DQ7">
        <v>1.1000000013</v>
      </c>
      <c r="DR7">
        <v>1.2000000006</v>
      </c>
      <c r="DS7">
        <v>1.2999999999</v>
      </c>
      <c r="DT7">
        <v>1.400000001</v>
      </c>
      <c r="DU7">
        <v>1.1000000013</v>
      </c>
      <c r="DV7">
        <v>1.400000001</v>
      </c>
      <c r="DW7">
        <v>1.400000001</v>
      </c>
      <c r="DX7">
        <v>1.6000000014</v>
      </c>
      <c r="DY7">
        <v>1.8</v>
      </c>
      <c r="DZ7">
        <v>1.8</v>
      </c>
      <c r="EA7">
        <v>3.8000000003999999</v>
      </c>
      <c r="EB7">
        <v>9.1000000010999997</v>
      </c>
      <c r="EC7">
        <v>16.1000000007</v>
      </c>
      <c r="ED7">
        <v>24.699999999900001</v>
      </c>
      <c r="EE7">
        <v>32.900000000200002</v>
      </c>
      <c r="EF7">
        <v>40.800000000700003</v>
      </c>
      <c r="EG7">
        <v>49.000000000900002</v>
      </c>
      <c r="EH7">
        <v>57.400000001499997</v>
      </c>
      <c r="EI7">
        <v>65.500000000599996</v>
      </c>
      <c r="EJ7">
        <v>74.100000001599994</v>
      </c>
      <c r="EK7">
        <v>82.800000000099999</v>
      </c>
      <c r="EL7">
        <v>91.500000000499995</v>
      </c>
      <c r="EM7">
        <v>100.4000000012</v>
      </c>
      <c r="EN7">
        <v>109.7000000009</v>
      </c>
      <c r="EO7">
        <v>118.3000000001</v>
      </c>
      <c r="EP7">
        <v>127.4000000012</v>
      </c>
      <c r="EQ7">
        <v>137.09999999990001</v>
      </c>
      <c r="ER7">
        <v>146.70000000109999</v>
      </c>
      <c r="ES7">
        <v>155.70000000120001</v>
      </c>
      <c r="ET7">
        <v>164.90000000160001</v>
      </c>
      <c r="EU7">
        <v>173.50000000079999</v>
      </c>
      <c r="EV7">
        <v>181.9000000014</v>
      </c>
      <c r="EW7">
        <v>192.2000000013</v>
      </c>
      <c r="EX7">
        <v>201.0000000009</v>
      </c>
      <c r="EY7">
        <v>210.1000000002</v>
      </c>
      <c r="EZ7">
        <v>219.00000000099999</v>
      </c>
      <c r="FA7">
        <v>227.6000000002</v>
      </c>
      <c r="FB7">
        <v>236.80000000059999</v>
      </c>
      <c r="FC7">
        <v>245.7000000013</v>
      </c>
      <c r="FD7">
        <v>254.5000000009</v>
      </c>
      <c r="FE7">
        <v>263.40000000160001</v>
      </c>
      <c r="FF7">
        <v>272.00000000080001</v>
      </c>
      <c r="FG7">
        <v>280.40000000150002</v>
      </c>
      <c r="FH7">
        <v>289.30000000040002</v>
      </c>
      <c r="FI7">
        <v>298.10000000000002</v>
      </c>
      <c r="FJ7">
        <v>306.40000000129999</v>
      </c>
      <c r="FK7">
        <v>315.10000000159999</v>
      </c>
      <c r="FL7">
        <v>323.50000000040001</v>
      </c>
      <c r="FM7">
        <v>331.70000000060003</v>
      </c>
      <c r="FN7">
        <v>339.7000000004</v>
      </c>
      <c r="FO7">
        <v>348.40000000079999</v>
      </c>
      <c r="FP7">
        <v>356.00000000159997</v>
      </c>
      <c r="FQ7">
        <v>364.2</v>
      </c>
      <c r="FR7">
        <v>372.10000000050002</v>
      </c>
      <c r="FS7">
        <v>379.80000000059999</v>
      </c>
      <c r="FT7">
        <v>386.80000000019999</v>
      </c>
      <c r="FU7">
        <v>394.20000000060003</v>
      </c>
      <c r="FV7">
        <v>401.8000000015</v>
      </c>
      <c r="FW7">
        <v>408.90000000039998</v>
      </c>
      <c r="FX7">
        <v>416.10000000039997</v>
      </c>
      <c r="FY7">
        <v>423.00000000070003</v>
      </c>
      <c r="FZ7">
        <v>429.60000000129997</v>
      </c>
      <c r="GA7">
        <v>436.30000000119998</v>
      </c>
      <c r="GB7">
        <v>442.9</v>
      </c>
      <c r="GC7">
        <v>450.80000000050001</v>
      </c>
      <c r="GD7">
        <v>456.60000000129997</v>
      </c>
      <c r="GE7">
        <v>460.9</v>
      </c>
      <c r="GF7">
        <v>464.20000000030001</v>
      </c>
      <c r="GG7">
        <v>464.5</v>
      </c>
      <c r="GH7">
        <v>464.60000000119999</v>
      </c>
      <c r="GI7">
        <v>464.7000000004</v>
      </c>
      <c r="GJ7">
        <v>464.7000000004</v>
      </c>
      <c r="GK7">
        <v>464.7000000004</v>
      </c>
      <c r="GL7">
        <v>464.7000000004</v>
      </c>
      <c r="GM7">
        <v>464.80000000159998</v>
      </c>
      <c r="GN7">
        <v>464.90000000089998</v>
      </c>
      <c r="GO7">
        <v>464.80000000159998</v>
      </c>
      <c r="GP7">
        <v>464.60000000119999</v>
      </c>
      <c r="GQ7">
        <v>464.80000000159998</v>
      </c>
      <c r="GR7">
        <v>464.80000000159998</v>
      </c>
      <c r="GS7">
        <v>464.90000000089998</v>
      </c>
      <c r="GT7">
        <v>464.90000000089998</v>
      </c>
      <c r="GU7">
        <v>464.80000000159998</v>
      </c>
      <c r="GV7">
        <v>464.90000000089998</v>
      </c>
      <c r="GW7">
        <v>464.90000000089998</v>
      </c>
      <c r="GX7">
        <v>1</v>
      </c>
      <c r="GY7">
        <v>104.60000000060001</v>
      </c>
      <c r="GZ7">
        <v>100.10000000150001</v>
      </c>
      <c r="HA7">
        <v>100.10000000150001</v>
      </c>
      <c r="HB7">
        <v>109.7000000009</v>
      </c>
      <c r="HC7">
        <v>102.266143258</v>
      </c>
      <c r="HD7">
        <v>-9.5999999993999996</v>
      </c>
      <c r="HE7">
        <v>464.90000000089998</v>
      </c>
      <c r="HF7">
        <v>332.9891912237</v>
      </c>
      <c r="HG7">
        <v>87.045568940099997</v>
      </c>
      <c r="HH7">
        <v>464.90000000089998</v>
      </c>
      <c r="HI7">
        <v>464.90000000089998</v>
      </c>
      <c r="HJ7">
        <v>464.90000000089998</v>
      </c>
      <c r="HK7">
        <v>464.90000000089998</v>
      </c>
      <c r="HL7">
        <v>103.22580645159999</v>
      </c>
      <c r="HM7">
        <v>3.7377537644999999</v>
      </c>
      <c r="HN7">
        <v>3.5969251632999999</v>
      </c>
      <c r="HO7">
        <v>3.6730714706000001</v>
      </c>
      <c r="HP7">
        <v>3.5810489328999999</v>
      </c>
      <c r="HQ7">
        <v>3.8652111226999999</v>
      </c>
      <c r="HR7">
        <v>2.8261854751</v>
      </c>
      <c r="HS7">
        <v>15.220574317900001</v>
      </c>
      <c r="HT7">
        <v>-23.460410557199999</v>
      </c>
      <c r="HU7">
        <v>-160</v>
      </c>
      <c r="HV7">
        <v>435.25533448160002</v>
      </c>
      <c r="HW7">
        <v>91.495601172999997</v>
      </c>
      <c r="HX7">
        <v>624</v>
      </c>
      <c r="HY7">
        <v>15.220574317900001</v>
      </c>
      <c r="HZ7">
        <v>-23.460410557199999</v>
      </c>
      <c r="IA7">
        <v>-160</v>
      </c>
      <c r="IB7">
        <v>435.25533448160002</v>
      </c>
      <c r="IC7">
        <v>91.495601172999997</v>
      </c>
      <c r="ID7">
        <v>624</v>
      </c>
      <c r="IE7">
        <v>29.6446655192</v>
      </c>
      <c r="IF7">
        <v>0.70295762579999999</v>
      </c>
      <c r="IG7">
        <v>-32.844574780099997</v>
      </c>
      <c r="IH7">
        <v>-224</v>
      </c>
      <c r="II7">
        <v>460.74099806409998</v>
      </c>
      <c r="IJ7">
        <v>100.87976539589999</v>
      </c>
      <c r="IK7">
        <v>688</v>
      </c>
      <c r="IL7">
        <v>420.0347601638</v>
      </c>
      <c r="IM7">
        <v>114.9560117302</v>
      </c>
      <c r="IN7">
        <v>446.99848354469998</v>
      </c>
      <c r="IO7">
        <v>124.3401759531</v>
      </c>
      <c r="IP7">
        <v>6.9999999996</v>
      </c>
      <c r="IQ7">
        <v>8.3999999988000003</v>
      </c>
      <c r="IR7">
        <v>10.299999999900001</v>
      </c>
      <c r="IS7">
        <v>4.5032092849999996</v>
      </c>
      <c r="IT7">
        <v>4.5032092849999996</v>
      </c>
      <c r="IU7">
        <v>8.2000000001999993</v>
      </c>
      <c r="IV7">
        <v>-25.806451612899998</v>
      </c>
      <c r="IW7">
        <v>15.4000000002</v>
      </c>
      <c r="IX7">
        <v>96.187683284499997</v>
      </c>
      <c r="IY7">
        <v>12.8999999997</v>
      </c>
      <c r="IZ7">
        <v>98.533724340199996</v>
      </c>
      <c r="JA7">
        <v>-27.839246134</v>
      </c>
      <c r="JB7">
        <v>0.28908274210000001</v>
      </c>
      <c r="JC7">
        <v>-2.089084E-4</v>
      </c>
      <c r="JD7">
        <v>3.995E-7</v>
      </c>
      <c r="JE7">
        <v>0.26754036329999997</v>
      </c>
      <c r="JF7">
        <v>0.17945487299999999</v>
      </c>
      <c r="JG7">
        <v>7.7621789400000002E-2</v>
      </c>
      <c r="JH7">
        <v>102.6926728314</v>
      </c>
      <c r="JI7">
        <v>3.8652111226999999</v>
      </c>
      <c r="JJ7">
        <v>3.6614688E-3</v>
      </c>
      <c r="JK7">
        <v>-6.8050499999999995E-5</v>
      </c>
      <c r="JL7">
        <v>3.7377537644999999</v>
      </c>
      <c r="JM7">
        <v>0.78243887170000004</v>
      </c>
      <c r="JN7">
        <v>0.32176659410000003</v>
      </c>
      <c r="JO7">
        <v>2.9837499998000001</v>
      </c>
      <c r="JP7">
        <v>3.5804999995000002</v>
      </c>
      <c r="JQ7">
        <v>4.3903749999999997</v>
      </c>
      <c r="JR7" s="17" t="s">
        <v>543</v>
      </c>
      <c r="JU7" s="17">
        <v>1</v>
      </c>
    </row>
    <row r="8" spans="1:281">
      <c r="A8" t="s">
        <v>628</v>
      </c>
      <c r="B8" t="s">
        <v>629</v>
      </c>
      <c r="C8" t="s">
        <v>630</v>
      </c>
      <c r="D8" t="s">
        <v>212</v>
      </c>
      <c r="E8">
        <v>3</v>
      </c>
      <c r="F8" t="s">
        <v>213</v>
      </c>
      <c r="G8" t="s">
        <v>214</v>
      </c>
      <c r="H8" t="s">
        <v>542</v>
      </c>
      <c r="I8" t="s">
        <v>216</v>
      </c>
      <c r="K8" t="s">
        <v>619</v>
      </c>
      <c r="L8" t="s">
        <v>620</v>
      </c>
      <c r="M8" t="s">
        <v>621</v>
      </c>
      <c r="N8" t="s">
        <v>622</v>
      </c>
      <c r="O8" t="s">
        <v>623</v>
      </c>
      <c r="P8">
        <v>0</v>
      </c>
      <c r="Q8">
        <v>0</v>
      </c>
      <c r="R8">
        <v>0</v>
      </c>
      <c r="S8">
        <v>0.40000000079999998</v>
      </c>
      <c r="T8">
        <v>0.40000000079999998</v>
      </c>
      <c r="U8">
        <v>0.3000000015</v>
      </c>
      <c r="V8">
        <v>0.3000000015</v>
      </c>
      <c r="W8">
        <v>0.1000000011</v>
      </c>
      <c r="X8">
        <v>0.20000000039999999</v>
      </c>
      <c r="Y8">
        <v>0.40000000079999998</v>
      </c>
      <c r="Z8">
        <v>0.40000000079999998</v>
      </c>
      <c r="AA8">
        <v>0.60000000119999997</v>
      </c>
      <c r="AB8">
        <v>0.60000000119999997</v>
      </c>
      <c r="AC8">
        <v>0.60000000119999997</v>
      </c>
      <c r="AD8">
        <v>0.60000000119999997</v>
      </c>
      <c r="AE8">
        <v>0.60000000119999997</v>
      </c>
      <c r="AF8">
        <v>0.7000000005</v>
      </c>
      <c r="AG8">
        <v>0.7000000005</v>
      </c>
      <c r="AH8">
        <v>0.80000000159999995</v>
      </c>
      <c r="AI8">
        <v>0.80000000159999995</v>
      </c>
      <c r="AJ8">
        <v>1.0000000002</v>
      </c>
      <c r="AK8">
        <v>1.3000000017</v>
      </c>
      <c r="AL8">
        <v>3.2000000009999998</v>
      </c>
      <c r="AM8">
        <v>4.4000000015999996</v>
      </c>
      <c r="AN8">
        <v>11.5000000005</v>
      </c>
      <c r="AO8">
        <v>19.300000001699999</v>
      </c>
      <c r="AP8">
        <v>27.100000001200002</v>
      </c>
      <c r="AQ8">
        <v>35.400000000699997</v>
      </c>
      <c r="AR8">
        <v>43.700000000199999</v>
      </c>
      <c r="AS8">
        <v>52.600000000900003</v>
      </c>
      <c r="AT8">
        <v>60.900000000399999</v>
      </c>
      <c r="AU8">
        <v>69.100000000600005</v>
      </c>
      <c r="AV8">
        <v>77.600000000500003</v>
      </c>
      <c r="AW8">
        <v>86.500000001299995</v>
      </c>
      <c r="AX8">
        <v>95.500000001299995</v>
      </c>
      <c r="AY8">
        <v>105.0000000014</v>
      </c>
      <c r="AZ8">
        <v>113.7000000017</v>
      </c>
      <c r="BA8">
        <v>122.60000000060001</v>
      </c>
      <c r="BB8">
        <v>131.50000000130001</v>
      </c>
      <c r="BC8">
        <v>140.40000000020001</v>
      </c>
      <c r="BD8">
        <v>149.5000000014</v>
      </c>
      <c r="BE8">
        <v>158.5000000014</v>
      </c>
      <c r="BF8">
        <v>167.5000000014</v>
      </c>
      <c r="BG8">
        <v>176.300000001</v>
      </c>
      <c r="BH8">
        <v>185.10000000060001</v>
      </c>
      <c r="BI8">
        <v>194.10000000060001</v>
      </c>
      <c r="BJ8">
        <v>202.90000000020001</v>
      </c>
      <c r="BK8">
        <v>212.10000000060001</v>
      </c>
      <c r="BL8">
        <v>221.20000000179999</v>
      </c>
      <c r="BM8">
        <v>229.9000000003</v>
      </c>
      <c r="BN8">
        <v>238.50000000130001</v>
      </c>
      <c r="BO8">
        <v>247.30000000090001</v>
      </c>
      <c r="BP8">
        <v>256.20000000160002</v>
      </c>
      <c r="BQ8">
        <v>264.90000000010002</v>
      </c>
      <c r="BR8">
        <v>273.39999999999998</v>
      </c>
      <c r="BS8">
        <v>281.80000000069998</v>
      </c>
      <c r="BT8">
        <v>290.1000000002</v>
      </c>
      <c r="BU8">
        <v>298.60000000010001</v>
      </c>
      <c r="BV8">
        <v>306.80000000029997</v>
      </c>
      <c r="BW8">
        <v>315.20000000089999</v>
      </c>
      <c r="BX8">
        <v>322.90000000100002</v>
      </c>
      <c r="BY8">
        <v>331.00000000009999</v>
      </c>
      <c r="BZ8">
        <v>339.0000000018</v>
      </c>
      <c r="CA8">
        <v>346.90000000049997</v>
      </c>
      <c r="CB8">
        <v>354.30000000090001</v>
      </c>
      <c r="CC8">
        <v>362.10000000029999</v>
      </c>
      <c r="CD8">
        <v>369.50000000070003</v>
      </c>
      <c r="CE8">
        <v>376.90000000110001</v>
      </c>
      <c r="CF8">
        <v>384.2000000004</v>
      </c>
      <c r="CG8">
        <v>391.40000000039998</v>
      </c>
      <c r="CH8">
        <v>398.4</v>
      </c>
      <c r="CI8">
        <v>405.50000000080001</v>
      </c>
      <c r="CJ8">
        <v>412.50000000040001</v>
      </c>
      <c r="CK8">
        <v>419.5000000018</v>
      </c>
      <c r="CL8">
        <v>426.10000000060001</v>
      </c>
      <c r="CM8">
        <v>432.60000000010001</v>
      </c>
      <c r="CN8">
        <v>439.8000000001</v>
      </c>
      <c r="CO8">
        <v>447.00000000009999</v>
      </c>
      <c r="CP8">
        <v>453.90000000039998</v>
      </c>
      <c r="CQ8">
        <v>458.10000000169998</v>
      </c>
      <c r="CR8">
        <v>458.10000000169998</v>
      </c>
      <c r="CS8">
        <v>458.20000000089999</v>
      </c>
      <c r="CT8">
        <v>458.30000000019999</v>
      </c>
      <c r="CU8">
        <v>458.30000000019999</v>
      </c>
      <c r="CV8">
        <v>458.30000000019999</v>
      </c>
      <c r="CW8">
        <v>458.30000000019999</v>
      </c>
      <c r="CX8">
        <v>458.40000000129999</v>
      </c>
      <c r="CY8">
        <v>458.40000000129999</v>
      </c>
      <c r="CZ8">
        <v>458.40000000129999</v>
      </c>
      <c r="DA8">
        <v>458.50000000059998</v>
      </c>
      <c r="DB8">
        <v>458.40000000129999</v>
      </c>
      <c r="DC8">
        <v>458.60000000180003</v>
      </c>
      <c r="DD8">
        <v>458.60000000180003</v>
      </c>
      <c r="DE8">
        <v>458.70000000099998</v>
      </c>
      <c r="DF8">
        <v>458.70000000099998</v>
      </c>
      <c r="DG8">
        <v>458.80000000029997</v>
      </c>
      <c r="DH8">
        <v>0.50000000010000001</v>
      </c>
      <c r="DI8">
        <v>1.0000000002</v>
      </c>
      <c r="DJ8">
        <v>1.1000000013</v>
      </c>
      <c r="DK8">
        <v>0.90000000089999999</v>
      </c>
      <c r="DL8">
        <v>1.0000000002</v>
      </c>
      <c r="DM8">
        <v>1.0000000002</v>
      </c>
      <c r="DN8">
        <v>1.2000000006</v>
      </c>
      <c r="DO8">
        <v>1.3000000017</v>
      </c>
      <c r="DP8">
        <v>1.2000000006</v>
      </c>
      <c r="DQ8">
        <v>1.1000000013</v>
      </c>
      <c r="DR8">
        <v>1.0000000002</v>
      </c>
      <c r="DS8">
        <v>1.2000000006</v>
      </c>
      <c r="DT8">
        <v>1.1000000013</v>
      </c>
      <c r="DU8">
        <v>1.3000000017</v>
      </c>
      <c r="DV8">
        <v>1.400000001</v>
      </c>
      <c r="DW8">
        <v>1.5000000003</v>
      </c>
      <c r="DX8">
        <v>1.6000000014</v>
      </c>
      <c r="DY8">
        <v>1.7000000007</v>
      </c>
      <c r="DZ8">
        <v>1.6000000014</v>
      </c>
      <c r="EA8">
        <v>3.8000000003999999</v>
      </c>
      <c r="EB8">
        <v>5.3000000006999999</v>
      </c>
      <c r="EC8">
        <v>12.4000000014</v>
      </c>
      <c r="ED8">
        <v>20.300000000099999</v>
      </c>
      <c r="EE8">
        <v>27.900000000999999</v>
      </c>
      <c r="EF8">
        <v>36.100000001200002</v>
      </c>
      <c r="EG8">
        <v>44.200000000300001</v>
      </c>
      <c r="EH8">
        <v>52.800000001299999</v>
      </c>
      <c r="EI8">
        <v>61.100000000800001</v>
      </c>
      <c r="EJ8">
        <v>69.500000001399997</v>
      </c>
      <c r="EK8">
        <v>77.800000000899999</v>
      </c>
      <c r="EL8">
        <v>86.700000001700005</v>
      </c>
      <c r="EM8">
        <v>95.300000000899999</v>
      </c>
      <c r="EN8">
        <v>104.7000000017</v>
      </c>
      <c r="EO8">
        <v>113.800000001</v>
      </c>
      <c r="EP8">
        <v>122.60000000060001</v>
      </c>
      <c r="EQ8">
        <v>131.30000000090001</v>
      </c>
      <c r="ER8">
        <v>140.30000000090001</v>
      </c>
      <c r="ES8">
        <v>149.40000000020001</v>
      </c>
      <c r="ET8">
        <v>158.70000000179999</v>
      </c>
      <c r="EU8">
        <v>167.80000000109999</v>
      </c>
      <c r="EV8">
        <v>176.90000000040001</v>
      </c>
      <c r="EW8">
        <v>185.80000000109999</v>
      </c>
      <c r="EX8">
        <v>194.90000000040001</v>
      </c>
      <c r="EY8">
        <v>203.90000000040001</v>
      </c>
      <c r="EZ8">
        <v>213.10000000080001</v>
      </c>
      <c r="FA8">
        <v>222.20000000019999</v>
      </c>
      <c r="FB8">
        <v>231.20000000019999</v>
      </c>
      <c r="FC8">
        <v>240.20000000019999</v>
      </c>
      <c r="FD8">
        <v>248.9000000005</v>
      </c>
      <c r="FE8">
        <v>258.30000000130002</v>
      </c>
      <c r="FF8">
        <v>267.10000000090002</v>
      </c>
      <c r="FG8">
        <v>275.80000000130002</v>
      </c>
      <c r="FH8">
        <v>284.50000000159997</v>
      </c>
      <c r="FI8">
        <v>293.10000000079998</v>
      </c>
      <c r="FJ8">
        <v>301.70000000179999</v>
      </c>
      <c r="FK8">
        <v>310.5000000014</v>
      </c>
      <c r="FL8">
        <v>318.70000000160002</v>
      </c>
      <c r="FM8">
        <v>327.40000000010002</v>
      </c>
      <c r="FN8">
        <v>335.60000000029999</v>
      </c>
      <c r="FO8">
        <v>343.80000000059999</v>
      </c>
      <c r="FP8">
        <v>351.90000000150002</v>
      </c>
      <c r="FQ8">
        <v>359.80000000019999</v>
      </c>
      <c r="FR8">
        <v>368.00000000040001</v>
      </c>
      <c r="FS8">
        <v>375.60000000119999</v>
      </c>
      <c r="FT8">
        <v>383.30000000130002</v>
      </c>
      <c r="FU8">
        <v>391.10000000069999</v>
      </c>
      <c r="FV8">
        <v>398.4</v>
      </c>
      <c r="FW8">
        <v>405.70000000120001</v>
      </c>
      <c r="FX8">
        <v>412.8000000001</v>
      </c>
      <c r="FY8">
        <v>420.00000000009999</v>
      </c>
      <c r="FZ8">
        <v>426.60000000069999</v>
      </c>
      <c r="GA8">
        <v>433.60000000029999</v>
      </c>
      <c r="GB8">
        <v>440.00000000049999</v>
      </c>
      <c r="GC8">
        <v>445.80000000130002</v>
      </c>
      <c r="GD8">
        <v>452.00000000109998</v>
      </c>
      <c r="GE8">
        <v>456.90000000100002</v>
      </c>
      <c r="GF8">
        <v>458.30000000019999</v>
      </c>
      <c r="GG8">
        <v>458.30000000019999</v>
      </c>
      <c r="GH8">
        <v>458.40000000129999</v>
      </c>
      <c r="GI8">
        <v>458.50000000059998</v>
      </c>
      <c r="GJ8">
        <v>458.50000000059998</v>
      </c>
      <c r="GK8">
        <v>458.50000000059998</v>
      </c>
      <c r="GL8">
        <v>458.50000000059998</v>
      </c>
      <c r="GM8">
        <v>458.60000000180003</v>
      </c>
      <c r="GN8">
        <v>458.50000000059998</v>
      </c>
      <c r="GO8">
        <v>458.60000000180003</v>
      </c>
      <c r="GP8">
        <v>458.60000000180003</v>
      </c>
      <c r="GQ8">
        <v>458.80000000029997</v>
      </c>
      <c r="GR8">
        <v>458.70000000099998</v>
      </c>
      <c r="GS8">
        <v>458.80000000029997</v>
      </c>
      <c r="GT8">
        <v>458.80000000029997</v>
      </c>
      <c r="GU8">
        <v>458.70000000099998</v>
      </c>
      <c r="GV8">
        <v>458.70000000099998</v>
      </c>
      <c r="GW8">
        <v>458.70000000099998</v>
      </c>
      <c r="GX8">
        <v>1</v>
      </c>
      <c r="GY8">
        <v>98.3999999989</v>
      </c>
      <c r="GZ8">
        <v>95.500000001299995</v>
      </c>
      <c r="HA8">
        <v>95.500000001299995</v>
      </c>
      <c r="HB8">
        <v>104.7000000017</v>
      </c>
      <c r="HC8">
        <v>97.507455042299995</v>
      </c>
      <c r="HD8">
        <v>-9.2000000003999993</v>
      </c>
      <c r="HE8">
        <v>458.70000000099998</v>
      </c>
      <c r="HF8">
        <v>335.1028555849</v>
      </c>
      <c r="HG8">
        <v>77.765035421999997</v>
      </c>
      <c r="HH8">
        <v>458.80000000029997</v>
      </c>
      <c r="HI8">
        <v>458.79997820199998</v>
      </c>
      <c r="HJ8">
        <v>458.80000000029997</v>
      </c>
      <c r="HK8">
        <v>458.80000000029997</v>
      </c>
      <c r="HL8">
        <v>103.22580645159999</v>
      </c>
      <c r="HM8">
        <v>3.7488440070000002</v>
      </c>
      <c r="HN8">
        <v>3.6036100792000001</v>
      </c>
      <c r="HO8">
        <v>3.6881810864000002</v>
      </c>
      <c r="HP8">
        <v>3.5714038726999999</v>
      </c>
      <c r="HQ8">
        <v>3.8377571148</v>
      </c>
      <c r="HR8">
        <v>2.913608644</v>
      </c>
      <c r="HS8">
        <v>19.742419620300002</v>
      </c>
      <c r="HT8">
        <v>-21.114369501500001</v>
      </c>
      <c r="HU8">
        <v>-144</v>
      </c>
      <c r="HV8">
        <v>432.61031062709998</v>
      </c>
      <c r="HW8">
        <v>91.495601172999997</v>
      </c>
      <c r="HX8">
        <v>624</v>
      </c>
      <c r="HY8">
        <v>19.742419620300002</v>
      </c>
      <c r="HZ8">
        <v>-21.114369501500001</v>
      </c>
      <c r="IA8">
        <v>-144</v>
      </c>
      <c r="IB8">
        <v>432.61031062709998</v>
      </c>
      <c r="IC8">
        <v>91.495601172999997</v>
      </c>
      <c r="ID8">
        <v>624</v>
      </c>
      <c r="IE8">
        <v>26.1896675749</v>
      </c>
      <c r="IF8">
        <v>1.3138964595</v>
      </c>
      <c r="IG8">
        <v>-30.4985337243</v>
      </c>
      <c r="IH8">
        <v>-208</v>
      </c>
      <c r="II8">
        <v>456.75325340699999</v>
      </c>
      <c r="IJ8">
        <v>100.87976539589999</v>
      </c>
      <c r="IK8">
        <v>688</v>
      </c>
      <c r="IL8">
        <v>412.86789100689998</v>
      </c>
      <c r="IM8">
        <v>112.6099706745</v>
      </c>
      <c r="IN8">
        <v>440.69098637569999</v>
      </c>
      <c r="IO8">
        <v>121.9941348974</v>
      </c>
      <c r="IP8">
        <v>7.8999999987000002</v>
      </c>
      <c r="IQ8">
        <v>7.2</v>
      </c>
      <c r="IR8">
        <v>9.5000000001</v>
      </c>
      <c r="IS8">
        <v>3.3926105143999998</v>
      </c>
      <c r="IT8">
        <v>3.3926105143999998</v>
      </c>
      <c r="IU8">
        <v>8.7999999996000007</v>
      </c>
      <c r="IV8">
        <v>-23.460410557199999</v>
      </c>
      <c r="IW8">
        <v>14.4999999993</v>
      </c>
      <c r="IX8">
        <v>86.803519061599999</v>
      </c>
      <c r="IY8">
        <v>12.200000000999999</v>
      </c>
      <c r="IZ8">
        <v>98.533724340199996</v>
      </c>
      <c r="JA8">
        <v>-26.7030489146</v>
      </c>
      <c r="JB8">
        <v>0.29018995860000002</v>
      </c>
      <c r="JC8">
        <v>-2.0548410000000001E-4</v>
      </c>
      <c r="JD8">
        <v>3.826E-7</v>
      </c>
      <c r="JE8">
        <v>0.26674889600000001</v>
      </c>
      <c r="JF8">
        <v>0.14289016090000001</v>
      </c>
      <c r="JG8">
        <v>6.6901960299999993E-2</v>
      </c>
      <c r="JH8">
        <v>97.755664632299997</v>
      </c>
      <c r="JI8">
        <v>3.8377571148</v>
      </c>
      <c r="JJ8">
        <v>4.1778377E-3</v>
      </c>
      <c r="JK8">
        <v>-6.7238700000000004E-5</v>
      </c>
      <c r="JL8">
        <v>3.7488440070000002</v>
      </c>
      <c r="JM8">
        <v>0.61794709449999996</v>
      </c>
      <c r="JN8">
        <v>0.20285176990000001</v>
      </c>
      <c r="JO8">
        <v>3.3673749994</v>
      </c>
      <c r="JP8">
        <v>3.069</v>
      </c>
      <c r="JQ8">
        <v>4.0493750000000004</v>
      </c>
      <c r="JR8" s="17" t="s">
        <v>543</v>
      </c>
      <c r="JU8" s="17">
        <v>1</v>
      </c>
    </row>
    <row r="9" spans="1:281">
      <c r="A9" t="s">
        <v>643</v>
      </c>
      <c r="B9" t="s">
        <v>644</v>
      </c>
      <c r="C9" t="s">
        <v>645</v>
      </c>
      <c r="D9" t="s">
        <v>212</v>
      </c>
      <c r="E9">
        <v>3</v>
      </c>
      <c r="F9" t="s">
        <v>213</v>
      </c>
      <c r="G9" t="s">
        <v>214</v>
      </c>
      <c r="H9" t="s">
        <v>542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0</v>
      </c>
      <c r="S9">
        <v>0.89999999909999995</v>
      </c>
      <c r="T9">
        <v>1.0999999995</v>
      </c>
      <c r="U9">
        <v>1.0999999995</v>
      </c>
      <c r="V9">
        <v>1.0000000002</v>
      </c>
      <c r="W9">
        <v>1.0000000002</v>
      </c>
      <c r="X9">
        <v>0.79999999980000003</v>
      </c>
      <c r="Y9">
        <v>0.89999999909999995</v>
      </c>
      <c r="Z9">
        <v>1.0999999995</v>
      </c>
      <c r="AA9">
        <v>1.2000000006</v>
      </c>
      <c r="AB9">
        <v>1.2000000006</v>
      </c>
      <c r="AC9">
        <v>1.2999999999</v>
      </c>
      <c r="AD9">
        <v>1.2999999999</v>
      </c>
      <c r="AE9">
        <v>1.5000000003</v>
      </c>
      <c r="AF9">
        <v>1.5999999996000001</v>
      </c>
      <c r="AG9">
        <v>1.5999999996000001</v>
      </c>
      <c r="AH9">
        <v>1.7000000007</v>
      </c>
      <c r="AI9">
        <v>1.7000000007</v>
      </c>
      <c r="AJ9">
        <v>2.3999999993999999</v>
      </c>
      <c r="AK9">
        <v>4.8000000005999999</v>
      </c>
      <c r="AL9">
        <v>7.9000000005000004</v>
      </c>
      <c r="AM9">
        <v>12.0999999999</v>
      </c>
      <c r="AN9">
        <v>16.499999999700002</v>
      </c>
      <c r="AO9">
        <v>21.0999999999</v>
      </c>
      <c r="AP9">
        <v>26.599999999200001</v>
      </c>
      <c r="AQ9">
        <v>33.900000000399999</v>
      </c>
      <c r="AR9">
        <v>41.699999999799999</v>
      </c>
      <c r="AS9">
        <v>49.999999999300002</v>
      </c>
      <c r="AT9">
        <v>57.999999999099998</v>
      </c>
      <c r="AU9">
        <v>66.699999999400006</v>
      </c>
      <c r="AV9">
        <v>75.699999999400006</v>
      </c>
      <c r="AW9">
        <v>84.199999999300005</v>
      </c>
      <c r="AX9">
        <v>92.899999999599999</v>
      </c>
      <c r="AY9">
        <v>102.19999999940001</v>
      </c>
      <c r="AZ9">
        <v>111.19999999940001</v>
      </c>
      <c r="BA9">
        <v>120.30000000050001</v>
      </c>
      <c r="BB9">
        <v>129.19999999940001</v>
      </c>
      <c r="BC9">
        <v>137.89999999969999</v>
      </c>
      <c r="BD9">
        <v>146.5000000007</v>
      </c>
      <c r="BE9">
        <v>155.3999999996</v>
      </c>
      <c r="BF9">
        <v>163.8999999996</v>
      </c>
      <c r="BG9">
        <v>173.30000000039999</v>
      </c>
      <c r="BH9">
        <v>182.69999999940001</v>
      </c>
      <c r="BI9">
        <v>191.39999999969999</v>
      </c>
      <c r="BJ9">
        <v>199.8999999996</v>
      </c>
      <c r="BK9">
        <v>208.50000000060001</v>
      </c>
      <c r="BL9">
        <v>217.19999999909999</v>
      </c>
      <c r="BM9">
        <v>226.80000000039999</v>
      </c>
      <c r="BN9">
        <v>235.5000000007</v>
      </c>
      <c r="BO9">
        <v>244.1999999992</v>
      </c>
      <c r="BP9">
        <v>252.80000000019999</v>
      </c>
      <c r="BQ9">
        <v>261.00000000040001</v>
      </c>
      <c r="BR9">
        <v>269.59999999960002</v>
      </c>
      <c r="BS9">
        <v>278.59999999960002</v>
      </c>
      <c r="BT9">
        <v>287.3</v>
      </c>
      <c r="BU9">
        <v>295.70000000060003</v>
      </c>
      <c r="BV9">
        <v>303.5999999993</v>
      </c>
      <c r="BW9">
        <v>311.99999999990001</v>
      </c>
      <c r="BX9">
        <v>319.79999999929998</v>
      </c>
      <c r="BY9">
        <v>328.4000000003</v>
      </c>
      <c r="BZ9">
        <v>336.49999999940002</v>
      </c>
      <c r="CA9">
        <v>344.60000000039997</v>
      </c>
      <c r="CB9">
        <v>351.80000000040002</v>
      </c>
      <c r="CC9">
        <v>359.59999999979999</v>
      </c>
      <c r="CD9">
        <v>366.79999999979998</v>
      </c>
      <c r="CE9">
        <v>374.29999999950002</v>
      </c>
      <c r="CF9">
        <v>382.2</v>
      </c>
      <c r="CG9">
        <v>389.69999999970003</v>
      </c>
      <c r="CH9">
        <v>396.80000000040002</v>
      </c>
      <c r="CI9">
        <v>403.7000000008</v>
      </c>
      <c r="CJ9">
        <v>410.59999999920001</v>
      </c>
      <c r="CK9">
        <v>417.4000000003</v>
      </c>
      <c r="CL9">
        <v>424.19999999949999</v>
      </c>
      <c r="CM9">
        <v>431.39999999949998</v>
      </c>
      <c r="CN9">
        <v>438.29999999979998</v>
      </c>
      <c r="CO9">
        <v>445.79999999950002</v>
      </c>
      <c r="CP9">
        <v>451.60000000029999</v>
      </c>
      <c r="CQ9">
        <v>457.09999999960002</v>
      </c>
      <c r="CR9">
        <v>459.69999999940001</v>
      </c>
      <c r="CS9">
        <v>459.80000000050001</v>
      </c>
      <c r="CT9">
        <v>459.69999999940001</v>
      </c>
      <c r="CU9">
        <v>459.8999999998</v>
      </c>
      <c r="CV9">
        <v>459.8999999998</v>
      </c>
      <c r="CW9">
        <v>459.80000000050001</v>
      </c>
      <c r="CX9">
        <v>459.80000000050001</v>
      </c>
      <c r="CY9">
        <v>459.69999999940001</v>
      </c>
      <c r="CZ9">
        <v>459.8999999998</v>
      </c>
      <c r="DA9">
        <v>459.80000000050001</v>
      </c>
      <c r="DB9">
        <v>459.80000000050001</v>
      </c>
      <c r="DC9">
        <v>459.80000000050001</v>
      </c>
      <c r="DD9">
        <v>459.8999999998</v>
      </c>
      <c r="DE9">
        <v>459.8999999998</v>
      </c>
      <c r="DF9">
        <v>459.8999999998</v>
      </c>
      <c r="DG9">
        <v>459.9999999991</v>
      </c>
      <c r="DH9">
        <v>0.89999999909999995</v>
      </c>
      <c r="DI9">
        <v>1.5999999996000001</v>
      </c>
      <c r="DJ9">
        <v>1.8</v>
      </c>
      <c r="DK9">
        <v>1.7000000007</v>
      </c>
      <c r="DL9">
        <v>1.8999999993000001</v>
      </c>
      <c r="DM9">
        <v>1.8999999993000001</v>
      </c>
      <c r="DN9">
        <v>1.8</v>
      </c>
      <c r="DO9">
        <v>2.0000000004</v>
      </c>
      <c r="DP9">
        <v>2.0000000004</v>
      </c>
      <c r="DQ9">
        <v>2.0999999997000001</v>
      </c>
      <c r="DR9">
        <v>1.8999999993000001</v>
      </c>
      <c r="DS9">
        <v>1.8999999993000001</v>
      </c>
      <c r="DT9">
        <v>1.8999999993000001</v>
      </c>
      <c r="DU9">
        <v>2.3000000000999998</v>
      </c>
      <c r="DV9">
        <v>2.5000000005</v>
      </c>
      <c r="DW9">
        <v>2.5000000005</v>
      </c>
      <c r="DX9">
        <v>2.5000000005</v>
      </c>
      <c r="DY9">
        <v>2.8000000001999998</v>
      </c>
      <c r="DZ9">
        <v>5.4999999992999999</v>
      </c>
      <c r="EA9">
        <v>8.5999999991999996</v>
      </c>
      <c r="EB9">
        <v>12.8999999997</v>
      </c>
      <c r="EC9">
        <v>17.299999999499999</v>
      </c>
      <c r="ED9">
        <v>21.699999999300001</v>
      </c>
      <c r="EE9">
        <v>27.200000000399999</v>
      </c>
      <c r="EF9">
        <v>34.700000000199999</v>
      </c>
      <c r="EG9">
        <v>42.400000000299997</v>
      </c>
      <c r="EH9">
        <v>50.499999999400004</v>
      </c>
      <c r="EI9">
        <v>58.399999999899997</v>
      </c>
      <c r="EJ9">
        <v>67.199999999499994</v>
      </c>
      <c r="EK9">
        <v>75.899999999800002</v>
      </c>
      <c r="EL9">
        <v>84.3999999997</v>
      </c>
      <c r="EM9">
        <v>92.599999999900007</v>
      </c>
      <c r="EN9">
        <v>101.8999999997</v>
      </c>
      <c r="EO9">
        <v>110.999999999</v>
      </c>
      <c r="EP9">
        <v>120.30000000050001</v>
      </c>
      <c r="EQ9">
        <v>129.30000000050001</v>
      </c>
      <c r="ER9">
        <v>137.89999999969999</v>
      </c>
      <c r="ES9">
        <v>146.3999999996</v>
      </c>
      <c r="ET9">
        <v>155.1999999992</v>
      </c>
      <c r="EU9">
        <v>164.0000000007</v>
      </c>
      <c r="EV9">
        <v>173.39999999969999</v>
      </c>
      <c r="EW9">
        <v>182.60000000010001</v>
      </c>
      <c r="EX9">
        <v>191.60000000010001</v>
      </c>
      <c r="EY9">
        <v>200.19999999929999</v>
      </c>
      <c r="EZ9">
        <v>208.8000000003</v>
      </c>
      <c r="FA9">
        <v>218.00000000079999</v>
      </c>
      <c r="FB9">
        <v>227.30000000050001</v>
      </c>
      <c r="FC9">
        <v>236.80000000059999</v>
      </c>
      <c r="FD9">
        <v>245.19999999940001</v>
      </c>
      <c r="FE9">
        <v>253.89999999969999</v>
      </c>
      <c r="FF9">
        <v>262.39999999960003</v>
      </c>
      <c r="FG9">
        <v>271.50000000070003</v>
      </c>
      <c r="FH9">
        <v>280.60000000000002</v>
      </c>
      <c r="FI9">
        <v>289.60000000010001</v>
      </c>
      <c r="FJ9">
        <v>297.89999999960003</v>
      </c>
      <c r="FK9">
        <v>306.19999999909999</v>
      </c>
      <c r="FL9">
        <v>314.3</v>
      </c>
      <c r="FM9">
        <v>322.70000000060003</v>
      </c>
      <c r="FN9">
        <v>331.39999999909998</v>
      </c>
      <c r="FO9">
        <v>340.09999999939998</v>
      </c>
      <c r="FP9">
        <v>348.09999999920001</v>
      </c>
      <c r="FQ9">
        <v>355.70000000009998</v>
      </c>
      <c r="FR9">
        <v>363.9000000003</v>
      </c>
      <c r="FS9">
        <v>371.49999999929997</v>
      </c>
      <c r="FT9">
        <v>379.4999999991</v>
      </c>
      <c r="FU9">
        <v>387.09999999989998</v>
      </c>
      <c r="FV9">
        <v>394.89999999930001</v>
      </c>
      <c r="FW9">
        <v>402.0999999993</v>
      </c>
      <c r="FX9">
        <v>408.99999999969998</v>
      </c>
      <c r="FY9">
        <v>416.19999999970003</v>
      </c>
      <c r="FZ9">
        <v>423.00000000070003</v>
      </c>
      <c r="GA9">
        <v>430.09999999960002</v>
      </c>
      <c r="GB9">
        <v>437.09999999920001</v>
      </c>
      <c r="GC9">
        <v>443.29999999900002</v>
      </c>
      <c r="GD9">
        <v>449.59999999989998</v>
      </c>
      <c r="GE9">
        <v>454.90000000060002</v>
      </c>
      <c r="GF9">
        <v>459.1</v>
      </c>
      <c r="GG9">
        <v>459.69999999940001</v>
      </c>
      <c r="GH9">
        <v>459.9999999991</v>
      </c>
      <c r="GI9">
        <v>459.8999999998</v>
      </c>
      <c r="GJ9">
        <v>459.8999999998</v>
      </c>
      <c r="GK9">
        <v>459.80000000050001</v>
      </c>
      <c r="GL9">
        <v>459.69999999940001</v>
      </c>
      <c r="GM9">
        <v>459.80000000050001</v>
      </c>
      <c r="GN9">
        <v>459.8999999998</v>
      </c>
      <c r="GO9">
        <v>459.80000000050001</v>
      </c>
      <c r="GP9">
        <v>459.80000000050001</v>
      </c>
      <c r="GQ9">
        <v>459.8999999998</v>
      </c>
      <c r="GR9">
        <v>459.80000000050001</v>
      </c>
      <c r="GS9">
        <v>459.8999999998</v>
      </c>
      <c r="GT9">
        <v>459.9999999991</v>
      </c>
      <c r="GU9">
        <v>459.8999999998</v>
      </c>
      <c r="GV9">
        <v>459.8999999998</v>
      </c>
      <c r="GW9">
        <v>459.8999999998</v>
      </c>
      <c r="GX9">
        <v>1</v>
      </c>
      <c r="GY9">
        <v>96.799999999299999</v>
      </c>
      <c r="GZ9">
        <v>92.899999999599999</v>
      </c>
      <c r="HA9">
        <v>92.899999999599999</v>
      </c>
      <c r="HB9">
        <v>101.8999999997</v>
      </c>
      <c r="HC9">
        <v>94.805859332200001</v>
      </c>
      <c r="HD9">
        <v>-9</v>
      </c>
      <c r="HE9">
        <v>459.8999999998</v>
      </c>
      <c r="HF9">
        <v>334.29459723880001</v>
      </c>
      <c r="HG9">
        <v>60.200837046799997</v>
      </c>
      <c r="HH9">
        <v>459.9999999991</v>
      </c>
      <c r="HI9">
        <v>459.9999999991</v>
      </c>
      <c r="HJ9">
        <v>459.9999999991</v>
      </c>
      <c r="HK9">
        <v>459.9999999991</v>
      </c>
      <c r="HL9">
        <v>103.22580645159999</v>
      </c>
      <c r="HM9">
        <v>3.7300007685000001</v>
      </c>
      <c r="HN9">
        <v>3.5996377550999998</v>
      </c>
      <c r="HO9">
        <v>3.6685887361999998</v>
      </c>
      <c r="HP9">
        <v>3.6267669411000001</v>
      </c>
      <c r="HQ9">
        <v>3.8096620168999999</v>
      </c>
      <c r="HR9">
        <v>2.961986982</v>
      </c>
      <c r="HS9">
        <v>34.605022285399997</v>
      </c>
      <c r="HT9">
        <v>-16.422287390000001</v>
      </c>
      <c r="HU9">
        <v>-112</v>
      </c>
      <c r="HV9">
        <v>429.100456571</v>
      </c>
      <c r="HW9">
        <v>91.495601172999997</v>
      </c>
      <c r="HX9">
        <v>624</v>
      </c>
      <c r="HY9">
        <v>34.605022285399997</v>
      </c>
      <c r="HZ9">
        <v>-16.422287390000001</v>
      </c>
      <c r="IA9">
        <v>-112</v>
      </c>
      <c r="IB9">
        <v>429.100456571</v>
      </c>
      <c r="IC9">
        <v>91.495601172999997</v>
      </c>
      <c r="ID9">
        <v>624</v>
      </c>
      <c r="IE9">
        <v>30.899543428099999</v>
      </c>
      <c r="IF9">
        <v>12.2661919773</v>
      </c>
      <c r="IG9">
        <v>-25.806451612899998</v>
      </c>
      <c r="IH9">
        <v>-176</v>
      </c>
      <c r="II9">
        <v>454.71006631220001</v>
      </c>
      <c r="IJ9">
        <v>100.87976539589999</v>
      </c>
      <c r="IK9">
        <v>688</v>
      </c>
      <c r="IL9">
        <v>394.49543428560003</v>
      </c>
      <c r="IM9">
        <v>107.91788856300001</v>
      </c>
      <c r="IN9">
        <v>421.29499945549998</v>
      </c>
      <c r="IO9">
        <v>117.3020527859</v>
      </c>
      <c r="IP9">
        <v>7.4999999997</v>
      </c>
      <c r="IQ9">
        <v>7.4999999997</v>
      </c>
      <c r="IR9">
        <v>9.6000000011999997</v>
      </c>
      <c r="IS9">
        <v>3.3430798353000002</v>
      </c>
      <c r="IT9">
        <v>3.3430798353000002</v>
      </c>
      <c r="IU9">
        <v>8.1000000008999997</v>
      </c>
      <c r="IV9">
        <v>-18.7683284457</v>
      </c>
      <c r="IW9">
        <v>12.8999999997</v>
      </c>
      <c r="IX9">
        <v>93.841642228699996</v>
      </c>
      <c r="IY9">
        <v>11.300000000100001</v>
      </c>
      <c r="IZ9">
        <v>98.533724340199996</v>
      </c>
      <c r="JA9">
        <v>-26.156786006200001</v>
      </c>
      <c r="JB9">
        <v>0.29079082649999999</v>
      </c>
      <c r="JC9">
        <v>-1.9705910000000001E-4</v>
      </c>
      <c r="JD9">
        <v>3.6689999999999998E-7</v>
      </c>
      <c r="JE9">
        <v>0.2680964595</v>
      </c>
      <c r="JF9">
        <v>0.20698377949999999</v>
      </c>
      <c r="JG9">
        <v>9.9450304099999998E-2</v>
      </c>
      <c r="JH9">
        <v>95.149721386300001</v>
      </c>
      <c r="JI9">
        <v>3.8096620168999999</v>
      </c>
      <c r="JJ9">
        <v>4.0162019000000004E-3</v>
      </c>
      <c r="JK9">
        <v>-6.3015999999999994E-5</v>
      </c>
      <c r="JL9">
        <v>3.7300007685000001</v>
      </c>
      <c r="JM9">
        <v>0.65643503479999998</v>
      </c>
      <c r="JN9">
        <v>0.28791182050000003</v>
      </c>
      <c r="JO9">
        <v>3.1968749998999999</v>
      </c>
      <c r="JP9">
        <v>3.1968749998999999</v>
      </c>
      <c r="JQ9">
        <v>4.0920000004999997</v>
      </c>
      <c r="JR9" s="17" t="s">
        <v>543</v>
      </c>
      <c r="JU9" s="17">
        <v>1</v>
      </c>
    </row>
    <row r="10" spans="1:281">
      <c r="A10" t="s">
        <v>658</v>
      </c>
      <c r="B10" t="s">
        <v>659</v>
      </c>
      <c r="C10" t="s">
        <v>660</v>
      </c>
      <c r="D10" t="s">
        <v>212</v>
      </c>
      <c r="E10">
        <v>3</v>
      </c>
      <c r="F10" t="s">
        <v>213</v>
      </c>
      <c r="G10" t="s">
        <v>214</v>
      </c>
      <c r="H10" t="s">
        <v>542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</v>
      </c>
      <c r="S10">
        <v>0.19999999860000001</v>
      </c>
      <c r="T10">
        <v>0.39999999899999999</v>
      </c>
      <c r="U10">
        <v>0.39999999899999999</v>
      </c>
      <c r="V10">
        <v>0.50000000010000001</v>
      </c>
      <c r="W10">
        <v>0.39999999899999999</v>
      </c>
      <c r="X10">
        <v>0.50000000010000001</v>
      </c>
      <c r="Y10">
        <v>0.59999999940000004</v>
      </c>
      <c r="Z10">
        <v>0.59999999940000004</v>
      </c>
      <c r="AA10">
        <v>0.59999999940000004</v>
      </c>
      <c r="AB10">
        <v>0.50000000010000001</v>
      </c>
      <c r="AC10">
        <v>0.59999999940000004</v>
      </c>
      <c r="AD10">
        <v>0.59999999940000004</v>
      </c>
      <c r="AE10">
        <v>0.89999999909999995</v>
      </c>
      <c r="AF10">
        <v>0.79999999980000003</v>
      </c>
      <c r="AG10">
        <v>0.79999999980000003</v>
      </c>
      <c r="AH10">
        <v>0.89999999909999995</v>
      </c>
      <c r="AI10">
        <v>0.79999999980000003</v>
      </c>
      <c r="AJ10">
        <v>1.0000000002</v>
      </c>
      <c r="AK10">
        <v>0.89999999909999995</v>
      </c>
      <c r="AL10">
        <v>1.1999999988000001</v>
      </c>
      <c r="AM10">
        <v>3.8999999996999999</v>
      </c>
      <c r="AN10">
        <v>11.199999998999999</v>
      </c>
      <c r="AO10">
        <v>18.599999999400001</v>
      </c>
      <c r="AP10">
        <v>26.200000000199999</v>
      </c>
      <c r="AQ10">
        <v>34.700000000199999</v>
      </c>
      <c r="AR10">
        <v>43.099999998999998</v>
      </c>
      <c r="AS10">
        <v>51.199999999900001</v>
      </c>
      <c r="AT10">
        <v>60.099999998800001</v>
      </c>
      <c r="AU10">
        <v>68.299999998999994</v>
      </c>
      <c r="AV10">
        <v>76.699999999599996</v>
      </c>
      <c r="AW10">
        <v>85.699999999599996</v>
      </c>
      <c r="AX10">
        <v>95.099999998599998</v>
      </c>
      <c r="AY10">
        <v>105.2</v>
      </c>
      <c r="AZ10">
        <v>113.7999999992</v>
      </c>
      <c r="BA10">
        <v>122.7999999992</v>
      </c>
      <c r="BB10">
        <v>131.40000000020001</v>
      </c>
      <c r="BC10">
        <v>140.40000000020001</v>
      </c>
      <c r="BD10">
        <v>149.40000000020001</v>
      </c>
      <c r="BE10">
        <v>158.5999999988</v>
      </c>
      <c r="BF10">
        <v>167.49999999959999</v>
      </c>
      <c r="BG10">
        <v>176.4000000003</v>
      </c>
      <c r="BH10">
        <v>184.79999999910001</v>
      </c>
      <c r="BI10">
        <v>194.1999999999</v>
      </c>
      <c r="BJ10">
        <v>203.0999999988</v>
      </c>
      <c r="BK10">
        <v>212.39999999849999</v>
      </c>
      <c r="BL10">
        <v>220.99999999950001</v>
      </c>
      <c r="BM10">
        <v>229.5999999988</v>
      </c>
      <c r="BN10">
        <v>238.19999999980001</v>
      </c>
      <c r="BO10">
        <v>247.19999999980001</v>
      </c>
      <c r="BP10">
        <v>255.5999999986</v>
      </c>
      <c r="BQ10">
        <v>264.69999999970003</v>
      </c>
      <c r="BR10">
        <v>273.09999999849998</v>
      </c>
      <c r="BS10">
        <v>281.79999999879999</v>
      </c>
      <c r="BT10">
        <v>289.8999999998</v>
      </c>
      <c r="BU10">
        <v>298.19999999930002</v>
      </c>
      <c r="BV10">
        <v>306.49999999879998</v>
      </c>
      <c r="BW10">
        <v>314.89999999939999</v>
      </c>
      <c r="BX10">
        <v>322.89999999920002</v>
      </c>
      <c r="BY10">
        <v>330.89999999899999</v>
      </c>
      <c r="BZ10">
        <v>338.49999999980002</v>
      </c>
      <c r="CA10">
        <v>346.2999999992</v>
      </c>
      <c r="CB10">
        <v>353.90000000010002</v>
      </c>
      <c r="CC10">
        <v>361.69999999949999</v>
      </c>
      <c r="CD10">
        <v>369.30000000029997</v>
      </c>
      <c r="CE10">
        <v>376.69999999890001</v>
      </c>
      <c r="CF10">
        <v>384</v>
      </c>
      <c r="CG10">
        <v>391.09999999889999</v>
      </c>
      <c r="CH10">
        <v>398.09999999849998</v>
      </c>
      <c r="CI10">
        <v>405.29999999850003</v>
      </c>
      <c r="CJ10">
        <v>412.3</v>
      </c>
      <c r="CK10">
        <v>419.3999999989</v>
      </c>
      <c r="CL10">
        <v>426.4000000003</v>
      </c>
      <c r="CM10">
        <v>432.9999999991</v>
      </c>
      <c r="CN10">
        <v>439.8000000001</v>
      </c>
      <c r="CO10">
        <v>444.39999999849999</v>
      </c>
      <c r="CP10">
        <v>449.39999999949998</v>
      </c>
      <c r="CQ10">
        <v>455.5</v>
      </c>
      <c r="CR10">
        <v>456.69999999880002</v>
      </c>
      <c r="CS10">
        <v>456.89999999920002</v>
      </c>
      <c r="CT10">
        <v>456.79999999990002</v>
      </c>
      <c r="CU10">
        <v>456.79999999990002</v>
      </c>
      <c r="CV10">
        <v>456.79999999990002</v>
      </c>
      <c r="CW10">
        <v>456.99999999850002</v>
      </c>
      <c r="CX10">
        <v>457.09999999960002</v>
      </c>
      <c r="CY10">
        <v>457.09999999960002</v>
      </c>
      <c r="CZ10">
        <v>456.99999999850002</v>
      </c>
      <c r="DA10">
        <v>457.09999999960002</v>
      </c>
      <c r="DB10">
        <v>456.89999999920002</v>
      </c>
      <c r="DC10">
        <v>456.99999999850002</v>
      </c>
      <c r="DD10">
        <v>456.89999999920002</v>
      </c>
      <c r="DE10">
        <v>456.99999999850002</v>
      </c>
      <c r="DF10">
        <v>456.89999999920002</v>
      </c>
      <c r="DG10">
        <v>456.99999999850002</v>
      </c>
      <c r="DH10">
        <v>0.39999999899999999</v>
      </c>
      <c r="DI10">
        <v>1.0999999995</v>
      </c>
      <c r="DJ10">
        <v>1.2999999999</v>
      </c>
      <c r="DK10">
        <v>1.2999999999</v>
      </c>
      <c r="DL10">
        <v>1.1999999988000001</v>
      </c>
      <c r="DM10">
        <v>1.2999999999</v>
      </c>
      <c r="DN10">
        <v>1.1999999988000001</v>
      </c>
      <c r="DO10">
        <v>1.1999999988000001</v>
      </c>
      <c r="DP10">
        <v>1.1999999988000001</v>
      </c>
      <c r="DQ10">
        <v>1.2999999999</v>
      </c>
      <c r="DR10">
        <v>1.2999999999</v>
      </c>
      <c r="DS10">
        <v>1.4999999985000001</v>
      </c>
      <c r="DT10">
        <v>1.5999999996000001</v>
      </c>
      <c r="DU10">
        <v>1.4999999985000001</v>
      </c>
      <c r="DV10">
        <v>1.4999999985000001</v>
      </c>
      <c r="DW10">
        <v>1.6999999989000001</v>
      </c>
      <c r="DX10">
        <v>1.4999999985000001</v>
      </c>
      <c r="DY10">
        <v>1.6999999989000001</v>
      </c>
      <c r="DZ10">
        <v>1.4999999985000001</v>
      </c>
      <c r="EA10">
        <v>1.8</v>
      </c>
      <c r="EB10">
        <v>4.6000000001999997</v>
      </c>
      <c r="EC10">
        <v>11.699999999099999</v>
      </c>
      <c r="ED10">
        <v>19.399999999199999</v>
      </c>
      <c r="EE10">
        <v>27.0999999993</v>
      </c>
      <c r="EF10">
        <v>35.399999998799998</v>
      </c>
      <c r="EG10">
        <v>43.5999999991</v>
      </c>
      <c r="EH10">
        <v>51.999999999700002</v>
      </c>
      <c r="EI10">
        <v>60.299999999199997</v>
      </c>
      <c r="EJ10">
        <v>68.699999999799999</v>
      </c>
      <c r="EK10">
        <v>76.900000000000006</v>
      </c>
      <c r="EL10">
        <v>85.399999999900004</v>
      </c>
      <c r="EM10">
        <v>94.199999999499994</v>
      </c>
      <c r="EN10">
        <v>104.0999999987</v>
      </c>
      <c r="EO10">
        <v>113.7999999992</v>
      </c>
      <c r="EP10">
        <v>122.7999999992</v>
      </c>
      <c r="EQ10">
        <v>131.29999999910001</v>
      </c>
      <c r="ER10">
        <v>140.29999999910001</v>
      </c>
      <c r="ES10">
        <v>149.5999999988</v>
      </c>
      <c r="ET10">
        <v>158.7999999992</v>
      </c>
      <c r="EU10">
        <v>167.59999999889999</v>
      </c>
      <c r="EV10">
        <v>176.89999999860001</v>
      </c>
      <c r="EW10">
        <v>185.7</v>
      </c>
      <c r="EX10">
        <v>194.79999999930001</v>
      </c>
      <c r="EY10">
        <v>203.99999999970001</v>
      </c>
      <c r="EZ10">
        <v>213.2999999994</v>
      </c>
      <c r="FA10">
        <v>222.2999999994</v>
      </c>
      <c r="FB10">
        <v>230.9999999998</v>
      </c>
      <c r="FC10">
        <v>239.599999999</v>
      </c>
      <c r="FD10">
        <v>248.8999999987</v>
      </c>
      <c r="FE10">
        <v>257.70000000009998</v>
      </c>
      <c r="FF10">
        <v>266.79999999939997</v>
      </c>
      <c r="FG10">
        <v>275.79999999939997</v>
      </c>
      <c r="FH10">
        <v>284.39999999859998</v>
      </c>
      <c r="FI10">
        <v>292.79999999929998</v>
      </c>
      <c r="FJ10">
        <v>301.49999999959999</v>
      </c>
      <c r="FK10">
        <v>310.0999999988</v>
      </c>
      <c r="FL10">
        <v>318.59999999870001</v>
      </c>
      <c r="FM10">
        <v>326.89999999999998</v>
      </c>
      <c r="FN10">
        <v>335.19999999949999</v>
      </c>
      <c r="FO10">
        <v>343.1</v>
      </c>
      <c r="FP10">
        <v>351.19999999919997</v>
      </c>
      <c r="FQ10">
        <v>359.0999999997</v>
      </c>
      <c r="FR10">
        <v>367.09999999950003</v>
      </c>
      <c r="FS10">
        <v>375.19999999859999</v>
      </c>
      <c r="FT10">
        <v>382.70000000009998</v>
      </c>
      <c r="FU10">
        <v>390.19999999980001</v>
      </c>
      <c r="FV10">
        <v>397.3999999998</v>
      </c>
      <c r="FW10">
        <v>404.59999999979999</v>
      </c>
      <c r="FX10">
        <v>411.89999999920002</v>
      </c>
      <c r="FY10">
        <v>419.09999999920001</v>
      </c>
      <c r="FZ10">
        <v>426.0999999988</v>
      </c>
      <c r="GA10">
        <v>432.69999999940001</v>
      </c>
      <c r="GB10">
        <v>438.89999999920002</v>
      </c>
      <c r="GC10">
        <v>443.40000000010002</v>
      </c>
      <c r="GD10">
        <v>447.59999999950003</v>
      </c>
      <c r="GE10">
        <v>452.59999999870001</v>
      </c>
      <c r="GF10">
        <v>456.59999999950003</v>
      </c>
      <c r="GG10">
        <v>456.79999999990002</v>
      </c>
      <c r="GH10">
        <v>456.69999999880002</v>
      </c>
      <c r="GI10">
        <v>456.89999999920002</v>
      </c>
      <c r="GJ10">
        <v>457.09999999960002</v>
      </c>
      <c r="GK10">
        <v>456.89999999920002</v>
      </c>
      <c r="GL10">
        <v>456.89999999920002</v>
      </c>
      <c r="GM10">
        <v>456.89999999920002</v>
      </c>
      <c r="GN10">
        <v>456.99999999850002</v>
      </c>
      <c r="GO10">
        <v>456.79999999990002</v>
      </c>
      <c r="GP10">
        <v>456.99999999850002</v>
      </c>
      <c r="GQ10">
        <v>456.89999999920002</v>
      </c>
      <c r="GR10">
        <v>456.99999999850002</v>
      </c>
      <c r="GS10">
        <v>456.89999999920002</v>
      </c>
      <c r="GT10">
        <v>456.99999999850002</v>
      </c>
      <c r="GU10">
        <v>457.09999999960002</v>
      </c>
      <c r="GV10">
        <v>457.09999999960002</v>
      </c>
      <c r="GW10">
        <v>456.99999999850002</v>
      </c>
      <c r="GX10">
        <v>1</v>
      </c>
      <c r="GY10">
        <v>98.200000000399996</v>
      </c>
      <c r="GZ10">
        <v>95.099999998599998</v>
      </c>
      <c r="HA10">
        <v>95.099999998599998</v>
      </c>
      <c r="HB10">
        <v>104.0999999987</v>
      </c>
      <c r="HC10">
        <v>97.061273382300001</v>
      </c>
      <c r="HD10">
        <v>-9</v>
      </c>
      <c r="HE10">
        <v>456.99999999850002</v>
      </c>
      <c r="HF10">
        <v>320.6845421731</v>
      </c>
      <c r="HG10">
        <v>78.036319876700006</v>
      </c>
      <c r="HH10">
        <v>457.09999999960002</v>
      </c>
      <c r="HI10">
        <v>457.09999999960002</v>
      </c>
      <c r="HJ10">
        <v>457.09999999960002</v>
      </c>
      <c r="HK10">
        <v>457.09999999960002</v>
      </c>
      <c r="HL10">
        <v>103.22580645159999</v>
      </c>
      <c r="HM10">
        <v>3.7711766618000002</v>
      </c>
      <c r="HN10">
        <v>3.6203106242</v>
      </c>
      <c r="HO10">
        <v>3.7101703213000001</v>
      </c>
      <c r="HP10">
        <v>3.6207874201000001</v>
      </c>
      <c r="HQ10">
        <v>3.8621192441000001</v>
      </c>
      <c r="HR10">
        <v>3.0183544337999999</v>
      </c>
      <c r="HS10">
        <v>19.024953505599999</v>
      </c>
      <c r="HT10">
        <v>-21.114369501500001</v>
      </c>
      <c r="HU10">
        <v>-144</v>
      </c>
      <c r="HV10">
        <v>417.74581555539999</v>
      </c>
      <c r="HW10">
        <v>86.803519061599999</v>
      </c>
      <c r="HX10">
        <v>592</v>
      </c>
      <c r="HY10">
        <v>19.024953505599999</v>
      </c>
      <c r="HZ10">
        <v>-21.114369501500001</v>
      </c>
      <c r="IA10">
        <v>-144</v>
      </c>
      <c r="IB10">
        <v>417.74581555539999</v>
      </c>
      <c r="IC10">
        <v>86.803519061599999</v>
      </c>
      <c r="ID10">
        <v>592</v>
      </c>
      <c r="IE10">
        <v>39.354184444300003</v>
      </c>
      <c r="IF10">
        <v>0.90265835159999996</v>
      </c>
      <c r="IG10">
        <v>-30.4985337243</v>
      </c>
      <c r="IH10">
        <v>-208</v>
      </c>
      <c r="II10">
        <v>442.97107537480002</v>
      </c>
      <c r="IJ10">
        <v>96.187683284499997</v>
      </c>
      <c r="IK10">
        <v>656</v>
      </c>
      <c r="IL10">
        <v>398.72086204980002</v>
      </c>
      <c r="IM10">
        <v>107.91788856300001</v>
      </c>
      <c r="IN10">
        <v>427.76479597380001</v>
      </c>
      <c r="IO10">
        <v>117.3020527859</v>
      </c>
      <c r="IP10">
        <v>7.7000000001000002</v>
      </c>
      <c r="IQ10">
        <v>6.8000000009999999</v>
      </c>
      <c r="IR10">
        <v>10.1000000013</v>
      </c>
      <c r="IS10">
        <v>3.2574153654</v>
      </c>
      <c r="IT10">
        <v>3.2574153654</v>
      </c>
      <c r="IU10">
        <v>8.2000000001999993</v>
      </c>
      <c r="IV10">
        <v>-23.460410557199999</v>
      </c>
      <c r="IW10">
        <v>13.800000000600001</v>
      </c>
      <c r="IX10">
        <v>84.457478005900001</v>
      </c>
      <c r="IY10">
        <v>10.400000001</v>
      </c>
      <c r="IZ10">
        <v>96.187683284499997</v>
      </c>
      <c r="JA10">
        <v>-26.279351323099998</v>
      </c>
      <c r="JB10">
        <v>0.28477957510000002</v>
      </c>
      <c r="JC10">
        <v>-1.842278E-4</v>
      </c>
      <c r="JD10">
        <v>3.5950000000000001E-7</v>
      </c>
      <c r="JE10">
        <v>0.2651692269</v>
      </c>
      <c r="JF10">
        <v>0.2609422689</v>
      </c>
      <c r="JG10">
        <v>9.5878171100000006E-2</v>
      </c>
      <c r="JH10">
        <v>97.416244762900007</v>
      </c>
      <c r="JI10">
        <v>3.8621192441000001</v>
      </c>
      <c r="JJ10">
        <v>3.645836E-3</v>
      </c>
      <c r="JK10">
        <v>-6.5327900000000002E-5</v>
      </c>
      <c r="JL10">
        <v>3.7711766618000002</v>
      </c>
      <c r="JM10">
        <v>1.1390816625</v>
      </c>
      <c r="JN10">
        <v>0.36537949759999999</v>
      </c>
      <c r="JO10">
        <v>3.2821250000000002</v>
      </c>
      <c r="JP10">
        <v>2.8985000003999999</v>
      </c>
      <c r="JQ10">
        <v>4.3051250006000004</v>
      </c>
      <c r="JR10" s="17" t="s">
        <v>543</v>
      </c>
      <c r="JU10" s="17">
        <v>1</v>
      </c>
    </row>
    <row r="11" spans="1:281">
      <c r="A11" t="s">
        <v>685</v>
      </c>
      <c r="B11" t="s">
        <v>686</v>
      </c>
      <c r="C11" t="s">
        <v>687</v>
      </c>
      <c r="D11" t="s">
        <v>212</v>
      </c>
      <c r="E11">
        <v>3</v>
      </c>
      <c r="F11" t="s">
        <v>213</v>
      </c>
      <c r="G11" t="s">
        <v>214</v>
      </c>
      <c r="H11" t="s">
        <v>542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0</v>
      </c>
      <c r="S11">
        <v>0.1000000011</v>
      </c>
      <c r="T11">
        <v>0.1000000011</v>
      </c>
      <c r="U11">
        <v>0.29999999970000002</v>
      </c>
      <c r="V11">
        <v>0.29999999970000002</v>
      </c>
      <c r="W11">
        <v>0.29999999970000002</v>
      </c>
      <c r="X11">
        <v>0.50000000010000001</v>
      </c>
      <c r="Y11">
        <v>0.50000000010000001</v>
      </c>
      <c r="Z11">
        <v>0.50000000010000001</v>
      </c>
      <c r="AA11">
        <v>0.60000000119999997</v>
      </c>
      <c r="AB11">
        <v>0.7000000005</v>
      </c>
      <c r="AC11">
        <v>0.79999999980000003</v>
      </c>
      <c r="AD11">
        <v>1.1000000013</v>
      </c>
      <c r="AE11">
        <v>0.90000000089999999</v>
      </c>
      <c r="AF11">
        <v>1.0000000002</v>
      </c>
      <c r="AG11">
        <v>1.1000000013</v>
      </c>
      <c r="AH11">
        <v>1.0000000002</v>
      </c>
      <c r="AI11">
        <v>0.79999999980000003</v>
      </c>
      <c r="AJ11">
        <v>0.60000000119999997</v>
      </c>
      <c r="AK11">
        <v>0.7000000005</v>
      </c>
      <c r="AL11">
        <v>1.6000000014</v>
      </c>
      <c r="AM11">
        <v>1.9000000011</v>
      </c>
      <c r="AN11">
        <v>3.3000000002999998</v>
      </c>
      <c r="AO11">
        <v>11.0000000004</v>
      </c>
      <c r="AP11">
        <v>19.9000000011</v>
      </c>
      <c r="AQ11">
        <v>28.500000000299998</v>
      </c>
      <c r="AR11">
        <v>37.000000000299998</v>
      </c>
      <c r="AS11">
        <v>45.900000001000002</v>
      </c>
      <c r="AT11">
        <v>54.600000001300003</v>
      </c>
      <c r="AU11">
        <v>62.6000000011</v>
      </c>
      <c r="AV11">
        <v>71.700000000399996</v>
      </c>
      <c r="AW11">
        <v>80.5</v>
      </c>
      <c r="AX11">
        <v>90.400000000999995</v>
      </c>
      <c r="AY11">
        <v>100.5999999998</v>
      </c>
      <c r="AZ11">
        <v>109.3000000001</v>
      </c>
      <c r="BA11">
        <v>117.9000000011</v>
      </c>
      <c r="BB11">
        <v>126.9000000011</v>
      </c>
      <c r="BC11">
        <v>136.3000000001</v>
      </c>
      <c r="BD11">
        <v>145.80000000019999</v>
      </c>
      <c r="BE11">
        <v>155.40000000149999</v>
      </c>
      <c r="BF11">
        <v>164.30000000039999</v>
      </c>
      <c r="BG11">
        <v>173.0000000007</v>
      </c>
      <c r="BH11">
        <v>182.39999999969999</v>
      </c>
      <c r="BI11">
        <v>191.1</v>
      </c>
      <c r="BJ11">
        <v>200.39999999969999</v>
      </c>
      <c r="BK11">
        <v>208.8000000003</v>
      </c>
      <c r="BL11">
        <v>217.3000000003</v>
      </c>
      <c r="BM11">
        <v>226.80000000039999</v>
      </c>
      <c r="BN11">
        <v>235.80000000039999</v>
      </c>
      <c r="BO11">
        <v>244.70000000109999</v>
      </c>
      <c r="BP11">
        <v>254.00000000079999</v>
      </c>
      <c r="BQ11">
        <v>262.30000000029997</v>
      </c>
      <c r="BR11">
        <v>270.2000000008</v>
      </c>
      <c r="BS11">
        <v>279.0999999997</v>
      </c>
      <c r="BT11">
        <v>287.9000000012</v>
      </c>
      <c r="BU11">
        <v>296.60000000150001</v>
      </c>
      <c r="BV11">
        <v>305.00000000030002</v>
      </c>
      <c r="BW11">
        <v>312.4000000007</v>
      </c>
      <c r="BX11">
        <v>320.40000000049997</v>
      </c>
      <c r="BY11">
        <v>328.4000000003</v>
      </c>
      <c r="BZ11">
        <v>336.10000000039997</v>
      </c>
      <c r="CA11">
        <v>343.80000000059999</v>
      </c>
      <c r="CB11">
        <v>351.90000000150002</v>
      </c>
      <c r="CC11">
        <v>359.70000000089999</v>
      </c>
      <c r="CD11">
        <v>367.50000000030002</v>
      </c>
      <c r="CE11">
        <v>374.49999999990001</v>
      </c>
      <c r="CF11">
        <v>382.90000000049997</v>
      </c>
      <c r="CG11">
        <v>390.30000000090001</v>
      </c>
      <c r="CH11">
        <v>397.30000000050001</v>
      </c>
      <c r="CI11">
        <v>404.40000000129999</v>
      </c>
      <c r="CJ11">
        <v>411.90000000100002</v>
      </c>
      <c r="CK11">
        <v>418.10000000079998</v>
      </c>
      <c r="CL11">
        <v>425.20000000149997</v>
      </c>
      <c r="CM11">
        <v>431.20000000089999</v>
      </c>
      <c r="CN11">
        <v>439.3</v>
      </c>
      <c r="CO11">
        <v>447.00000000009999</v>
      </c>
      <c r="CP11">
        <v>452.80000000090001</v>
      </c>
      <c r="CQ11">
        <v>459.50000000080001</v>
      </c>
      <c r="CR11">
        <v>464.79999999969999</v>
      </c>
      <c r="CS11">
        <v>465.20000000060003</v>
      </c>
      <c r="CT11">
        <v>465.00000000009999</v>
      </c>
      <c r="CU11">
        <v>465.00000000009999</v>
      </c>
      <c r="CV11">
        <v>465.10000000129997</v>
      </c>
      <c r="CW11">
        <v>465.10000000129997</v>
      </c>
      <c r="CX11">
        <v>465.20000000060003</v>
      </c>
      <c r="CY11">
        <v>465.29999999979998</v>
      </c>
      <c r="CZ11">
        <v>465.40000000100002</v>
      </c>
      <c r="DA11">
        <v>465.40000000100002</v>
      </c>
      <c r="DB11">
        <v>465.50000000019998</v>
      </c>
      <c r="DC11">
        <v>465.29999999979998</v>
      </c>
      <c r="DD11">
        <v>465.50000000019998</v>
      </c>
      <c r="DE11">
        <v>465.60000000140002</v>
      </c>
      <c r="DF11">
        <v>465.60000000140002</v>
      </c>
      <c r="DG11">
        <v>465.70000000070002</v>
      </c>
      <c r="DH11">
        <v>0.90000000089999999</v>
      </c>
      <c r="DI11">
        <v>1.5000000003</v>
      </c>
      <c r="DJ11">
        <v>1.6000000014</v>
      </c>
      <c r="DK11">
        <v>1.7000000007</v>
      </c>
      <c r="DL11">
        <v>1.7000000007</v>
      </c>
      <c r="DM11">
        <v>1.7000000007</v>
      </c>
      <c r="DN11">
        <v>1.9000000011</v>
      </c>
      <c r="DO11">
        <v>1.9000000011</v>
      </c>
      <c r="DP11">
        <v>2.0000000004</v>
      </c>
      <c r="DQ11">
        <v>2.0000000004</v>
      </c>
      <c r="DR11">
        <v>2.2000000007999998</v>
      </c>
      <c r="DS11">
        <v>2.2000000007999998</v>
      </c>
      <c r="DT11">
        <v>2.3000000000999998</v>
      </c>
      <c r="DU11">
        <v>2.3000000000999998</v>
      </c>
      <c r="DV11">
        <v>2.5000000005</v>
      </c>
      <c r="DW11">
        <v>2.4000000012</v>
      </c>
      <c r="DX11">
        <v>2.4000000012</v>
      </c>
      <c r="DY11">
        <v>2.5000000005</v>
      </c>
      <c r="DZ11">
        <v>2.7000000008999998</v>
      </c>
      <c r="EA11">
        <v>3.2000000009999998</v>
      </c>
      <c r="EB11">
        <v>3.8999999996999999</v>
      </c>
      <c r="EC11">
        <v>5.9000000001000004</v>
      </c>
      <c r="ED11">
        <v>13.6000000002</v>
      </c>
      <c r="EE11">
        <v>21.8999999997</v>
      </c>
      <c r="EF11">
        <v>30.000000000699998</v>
      </c>
      <c r="EG11">
        <v>38.300000000200001</v>
      </c>
      <c r="EH11">
        <v>47.000000000500002</v>
      </c>
      <c r="EI11">
        <v>55.5000000004</v>
      </c>
      <c r="EJ11">
        <v>63.700000000599999</v>
      </c>
      <c r="EK11">
        <v>72.500000000200004</v>
      </c>
      <c r="EL11">
        <v>81.299999999799994</v>
      </c>
      <c r="EM11">
        <v>90.100000001300003</v>
      </c>
      <c r="EN11">
        <v>100.4000000012</v>
      </c>
      <c r="EO11">
        <v>110.09999999990001</v>
      </c>
      <c r="EP11">
        <v>118.9000000013</v>
      </c>
      <c r="EQ11">
        <v>128.3000000003</v>
      </c>
      <c r="ER11">
        <v>136.90000000129999</v>
      </c>
      <c r="ES11">
        <v>145.90000000129999</v>
      </c>
      <c r="ET11">
        <v>155.09999999990001</v>
      </c>
      <c r="EU11">
        <v>165.1000000002</v>
      </c>
      <c r="EV11">
        <v>174.1000000002</v>
      </c>
      <c r="EW11">
        <v>183.30000000059999</v>
      </c>
      <c r="EX11">
        <v>192.39999999989999</v>
      </c>
      <c r="EY11">
        <v>201.60000000030001</v>
      </c>
      <c r="EZ11">
        <v>210.50000000099999</v>
      </c>
      <c r="FA11">
        <v>220.10000000049999</v>
      </c>
      <c r="FB11">
        <v>229.40000000020001</v>
      </c>
      <c r="FC11">
        <v>238.60000000060001</v>
      </c>
      <c r="FD11">
        <v>247.50000000130001</v>
      </c>
      <c r="FE11">
        <v>255.6000000004</v>
      </c>
      <c r="FF11">
        <v>265.10000000050002</v>
      </c>
      <c r="FG11">
        <v>274.6999999999</v>
      </c>
      <c r="FH11">
        <v>283.4000000003</v>
      </c>
      <c r="FI11">
        <v>292.300000001</v>
      </c>
      <c r="FJ11">
        <v>300.90000000020001</v>
      </c>
      <c r="FK11">
        <v>308.30000000059999</v>
      </c>
      <c r="FL11">
        <v>317.60000000029999</v>
      </c>
      <c r="FM11">
        <v>325.80000000050001</v>
      </c>
      <c r="FN11">
        <v>334.50000000080001</v>
      </c>
      <c r="FO11">
        <v>342.80000000040002</v>
      </c>
      <c r="FP11">
        <v>350.59999999979999</v>
      </c>
      <c r="FQ11">
        <v>358.50000000030002</v>
      </c>
      <c r="FR11">
        <v>366.90000000089998</v>
      </c>
      <c r="FS11">
        <v>374.70000000030001</v>
      </c>
      <c r="FT11">
        <v>382.60000000079998</v>
      </c>
      <c r="FU11">
        <v>390.19999999980001</v>
      </c>
      <c r="FV11">
        <v>398.00000000099999</v>
      </c>
      <c r="FW11">
        <v>404.3000000001</v>
      </c>
      <c r="FX11">
        <v>412.00000000030002</v>
      </c>
      <c r="FY11">
        <v>420.00000000009999</v>
      </c>
      <c r="FZ11">
        <v>427.30000000119998</v>
      </c>
      <c r="GA11">
        <v>433.50000000099999</v>
      </c>
      <c r="GB11">
        <v>439.5999999997</v>
      </c>
      <c r="GC11">
        <v>445.10000000079998</v>
      </c>
      <c r="GD11">
        <v>451.9</v>
      </c>
      <c r="GE11">
        <v>457.9000000012</v>
      </c>
      <c r="GF11">
        <v>463.10000000079998</v>
      </c>
      <c r="GG11">
        <v>465.10000000129997</v>
      </c>
      <c r="GH11">
        <v>465.20000000060003</v>
      </c>
      <c r="GI11">
        <v>465.10000000129997</v>
      </c>
      <c r="GJ11">
        <v>465.29999999979998</v>
      </c>
      <c r="GK11">
        <v>465.40000000100002</v>
      </c>
      <c r="GL11">
        <v>465.29999999979998</v>
      </c>
      <c r="GM11">
        <v>465.40000000100002</v>
      </c>
      <c r="GN11">
        <v>465.40000000100002</v>
      </c>
      <c r="GO11">
        <v>465.20000000060003</v>
      </c>
      <c r="GP11">
        <v>465.60000000140002</v>
      </c>
      <c r="GQ11">
        <v>465.60000000140002</v>
      </c>
      <c r="GR11">
        <v>465.50000000019998</v>
      </c>
      <c r="GS11">
        <v>465.60000000140002</v>
      </c>
      <c r="GT11">
        <v>465.50000000019998</v>
      </c>
      <c r="GU11">
        <v>465.79999999990002</v>
      </c>
      <c r="GV11">
        <v>465.40000000100002</v>
      </c>
      <c r="GW11">
        <v>465.60000000140002</v>
      </c>
      <c r="GX11">
        <v>1</v>
      </c>
      <c r="GY11">
        <v>93.0000000008</v>
      </c>
      <c r="GZ11">
        <v>90.400000000999995</v>
      </c>
      <c r="HA11">
        <v>90.400000000999995</v>
      </c>
      <c r="HB11">
        <v>100.4000000012</v>
      </c>
      <c r="HC11">
        <v>92.448529097000005</v>
      </c>
      <c r="HD11">
        <v>-10.0000000002</v>
      </c>
      <c r="HE11">
        <v>465.60001073789999</v>
      </c>
      <c r="HF11">
        <v>346.12179514590002</v>
      </c>
      <c r="HG11">
        <v>72.007418939100006</v>
      </c>
      <c r="HH11">
        <v>465.79999999990002</v>
      </c>
      <c r="HI11">
        <v>465.79999999990002</v>
      </c>
      <c r="HJ11">
        <v>465.70000000070002</v>
      </c>
      <c r="HK11">
        <v>465.79999999990002</v>
      </c>
      <c r="HL11">
        <v>105.57184750730001</v>
      </c>
      <c r="HM11">
        <v>3.7899367885999999</v>
      </c>
      <c r="HN11">
        <v>3.6336635973</v>
      </c>
      <c r="HO11">
        <v>3.7258507383000001</v>
      </c>
      <c r="HP11">
        <v>3.8021532243</v>
      </c>
      <c r="HQ11">
        <v>3.9557540645999998</v>
      </c>
      <c r="HR11">
        <v>2.9215429007</v>
      </c>
      <c r="HS11">
        <v>20.441110157899999</v>
      </c>
      <c r="HT11">
        <v>-18.7683284457</v>
      </c>
      <c r="HU11">
        <v>-128</v>
      </c>
      <c r="HV11">
        <v>438.57032424290003</v>
      </c>
      <c r="HW11">
        <v>93.841642228699996</v>
      </c>
      <c r="HX11">
        <v>640</v>
      </c>
      <c r="HY11">
        <v>20.441110157899999</v>
      </c>
      <c r="HZ11">
        <v>-18.7683284457</v>
      </c>
      <c r="IA11">
        <v>-128</v>
      </c>
      <c r="IB11">
        <v>438.57032424290003</v>
      </c>
      <c r="IC11">
        <v>93.841642228699996</v>
      </c>
      <c r="ID11">
        <v>640</v>
      </c>
      <c r="IE11">
        <v>27.229675756999999</v>
      </c>
      <c r="IF11">
        <v>1.6135817064</v>
      </c>
      <c r="IG11">
        <v>-28.152492668600001</v>
      </c>
      <c r="IH11">
        <v>-192</v>
      </c>
      <c r="II11">
        <v>462.92859136869998</v>
      </c>
      <c r="IJ11">
        <v>103.22580645159999</v>
      </c>
      <c r="IK11">
        <v>704</v>
      </c>
      <c r="IL11">
        <v>418.129214085</v>
      </c>
      <c r="IM11">
        <v>112.6099706745</v>
      </c>
      <c r="IN11">
        <v>447.86928279979998</v>
      </c>
      <c r="IO11">
        <v>121.9941348974</v>
      </c>
      <c r="IP11">
        <v>8.9000000007000004</v>
      </c>
      <c r="IQ11">
        <v>6.7999999991999998</v>
      </c>
      <c r="IR11">
        <v>10.299999999900001</v>
      </c>
      <c r="IS11">
        <v>4.4574445758000003</v>
      </c>
      <c r="IT11">
        <v>4.4574445758000003</v>
      </c>
      <c r="IU11">
        <v>10.8999999993</v>
      </c>
      <c r="IV11">
        <v>-21.114369501500001</v>
      </c>
      <c r="IW11">
        <v>15.699999999899999</v>
      </c>
      <c r="IX11">
        <v>77.419354838700002</v>
      </c>
      <c r="IY11">
        <v>10.9000000011</v>
      </c>
      <c r="IZ11">
        <v>100.87976539589999</v>
      </c>
      <c r="JA11">
        <v>-24.231175478000001</v>
      </c>
      <c r="JB11">
        <v>0.2736697555</v>
      </c>
      <c r="JC11">
        <v>-1.5546949999999999E-4</v>
      </c>
      <c r="JD11">
        <v>3.2730000000000003E-7</v>
      </c>
      <c r="JE11">
        <v>0.26385664349999999</v>
      </c>
      <c r="JF11">
        <v>0.33921959200000001</v>
      </c>
      <c r="JG11">
        <v>0.1152783622</v>
      </c>
      <c r="JH11">
        <v>92.727854895199997</v>
      </c>
      <c r="JI11">
        <v>3.9557540645999998</v>
      </c>
      <c r="JJ11">
        <v>2.4916176E-3</v>
      </c>
      <c r="JK11">
        <v>-5.6847700000000001E-5</v>
      </c>
      <c r="JL11">
        <v>3.7899367885999999</v>
      </c>
      <c r="JM11">
        <v>1.2035559024</v>
      </c>
      <c r="JN11">
        <v>0.4282075326</v>
      </c>
      <c r="JO11">
        <v>3.7936250003</v>
      </c>
      <c r="JP11">
        <v>2.8984999996999998</v>
      </c>
      <c r="JQ11">
        <v>4.3903749999999997</v>
      </c>
      <c r="JR11" s="17" t="s">
        <v>543</v>
      </c>
      <c r="JU11" s="17">
        <v>1</v>
      </c>
    </row>
    <row r="12" spans="1:281">
      <c r="A12" t="s">
        <v>688</v>
      </c>
      <c r="B12" t="s">
        <v>689</v>
      </c>
      <c r="C12" t="s">
        <v>690</v>
      </c>
      <c r="D12" t="s">
        <v>212</v>
      </c>
      <c r="E12">
        <v>3</v>
      </c>
      <c r="F12" t="s">
        <v>213</v>
      </c>
      <c r="G12" t="s">
        <v>214</v>
      </c>
      <c r="H12" t="s">
        <v>542</v>
      </c>
      <c r="I12" t="s">
        <v>216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0</v>
      </c>
      <c r="S12">
        <v>0.50000000010000001</v>
      </c>
      <c r="T12">
        <v>0.59999999940000004</v>
      </c>
      <c r="U12">
        <v>0.7000000005</v>
      </c>
      <c r="V12">
        <v>0.7000000005</v>
      </c>
      <c r="W12">
        <v>0.79999999980000003</v>
      </c>
      <c r="X12">
        <v>0.59999999940000004</v>
      </c>
      <c r="Y12">
        <v>0.50000000010000001</v>
      </c>
      <c r="Z12">
        <v>0.59999999940000004</v>
      </c>
      <c r="AA12">
        <v>0.7000000005</v>
      </c>
      <c r="AB12">
        <v>0.79999999980000003</v>
      </c>
      <c r="AC12">
        <v>0.7000000005</v>
      </c>
      <c r="AD12">
        <v>0.79999999980000003</v>
      </c>
      <c r="AE12">
        <v>0.79999999980000003</v>
      </c>
      <c r="AF12">
        <v>0.89999999909999995</v>
      </c>
      <c r="AG12">
        <v>1.0999999995</v>
      </c>
      <c r="AH12">
        <v>1.2000000006</v>
      </c>
      <c r="AI12">
        <v>1.5999999996000001</v>
      </c>
      <c r="AJ12">
        <v>1.8999999993000001</v>
      </c>
      <c r="AK12">
        <v>2.3999999993999999</v>
      </c>
      <c r="AL12">
        <v>3.6999999993000001</v>
      </c>
      <c r="AM12">
        <v>9.5000000001</v>
      </c>
      <c r="AN12">
        <v>16.499999999700002</v>
      </c>
      <c r="AO12">
        <v>24.400000000199999</v>
      </c>
      <c r="AP12">
        <v>32.4000000001</v>
      </c>
      <c r="AQ12">
        <v>40.699999999600003</v>
      </c>
      <c r="AR12">
        <v>49.100000000199998</v>
      </c>
      <c r="AS12">
        <v>57.300000000399997</v>
      </c>
      <c r="AT12">
        <v>65.800000000300003</v>
      </c>
      <c r="AU12">
        <v>73.700000000800003</v>
      </c>
      <c r="AV12">
        <v>82.500000000399993</v>
      </c>
      <c r="AW12">
        <v>91.3</v>
      </c>
      <c r="AX12">
        <v>101.0000000006</v>
      </c>
      <c r="AY12">
        <v>110.3000000003</v>
      </c>
      <c r="AZ12">
        <v>119.09999999990001</v>
      </c>
      <c r="BA12">
        <v>127.8000000002</v>
      </c>
      <c r="BB12">
        <v>136.50000000049999</v>
      </c>
      <c r="BC12">
        <v>145.39999999939999</v>
      </c>
      <c r="BD12">
        <v>154.39999999939999</v>
      </c>
      <c r="BE12">
        <v>162.7000000008</v>
      </c>
      <c r="BF12">
        <v>171.7000000008</v>
      </c>
      <c r="BG12">
        <v>180.20000000069999</v>
      </c>
      <c r="BH12">
        <v>189.39999999930001</v>
      </c>
      <c r="BI12">
        <v>198.20000000069999</v>
      </c>
      <c r="BJ12">
        <v>207.00000000029999</v>
      </c>
      <c r="BK12">
        <v>215.3999999991</v>
      </c>
      <c r="BL12">
        <v>224.2000000006</v>
      </c>
      <c r="BM12">
        <v>232.90000000090001</v>
      </c>
      <c r="BN12">
        <v>241.29999999969999</v>
      </c>
      <c r="BO12">
        <v>249.70000000030001</v>
      </c>
      <c r="BP12">
        <v>258.29999999950002</v>
      </c>
      <c r="BQ12">
        <v>266.70000000009998</v>
      </c>
      <c r="BR12">
        <v>275.10000000069999</v>
      </c>
      <c r="BS12">
        <v>282.99999999940002</v>
      </c>
      <c r="BT12">
        <v>291.10000000039997</v>
      </c>
      <c r="BU12">
        <v>299.49999999919999</v>
      </c>
      <c r="BV12">
        <v>307.60000000010001</v>
      </c>
      <c r="BW12">
        <v>315.89999999960003</v>
      </c>
      <c r="BX12">
        <v>323.50000000040001</v>
      </c>
      <c r="BY12">
        <v>331.00000000009999</v>
      </c>
      <c r="BZ12">
        <v>338.99999999990001</v>
      </c>
      <c r="CA12">
        <v>346.49999999969998</v>
      </c>
      <c r="CB12">
        <v>354.10000000050002</v>
      </c>
      <c r="CC12">
        <v>361.6000000002</v>
      </c>
      <c r="CD12">
        <v>369.00000000059998</v>
      </c>
      <c r="CE12">
        <v>375.79999999979998</v>
      </c>
      <c r="CF12">
        <v>382.99999999980002</v>
      </c>
      <c r="CG12">
        <v>390.40000000020001</v>
      </c>
      <c r="CH12">
        <v>397.30000000050001</v>
      </c>
      <c r="CI12">
        <v>404.3000000001</v>
      </c>
      <c r="CJ12">
        <v>411.00000000009999</v>
      </c>
      <c r="CK12">
        <v>418.10000000079998</v>
      </c>
      <c r="CL12">
        <v>424.49999999919999</v>
      </c>
      <c r="CM12">
        <v>431.39999999949998</v>
      </c>
      <c r="CN12">
        <v>437.4000000007</v>
      </c>
      <c r="CO12">
        <v>443.49999999940002</v>
      </c>
      <c r="CP12">
        <v>448.5999999997</v>
      </c>
      <c r="CQ12">
        <v>453.60000000069999</v>
      </c>
      <c r="CR12">
        <v>457.7000000008</v>
      </c>
      <c r="CS12">
        <v>457.89999999939999</v>
      </c>
      <c r="CT12">
        <v>457.89999999939999</v>
      </c>
      <c r="CU12">
        <v>457.89999999939999</v>
      </c>
      <c r="CV12">
        <v>457.89999999939999</v>
      </c>
      <c r="CW12">
        <v>457.89999999939999</v>
      </c>
      <c r="CX12">
        <v>457.89999999939999</v>
      </c>
      <c r="CY12">
        <v>457.89999999939999</v>
      </c>
      <c r="CZ12">
        <v>457.89999999939999</v>
      </c>
      <c r="DA12">
        <v>458.00000000049999</v>
      </c>
      <c r="DB12">
        <v>458.00000000049999</v>
      </c>
      <c r="DC12">
        <v>458.09999999979999</v>
      </c>
      <c r="DD12">
        <v>458.09999999979999</v>
      </c>
      <c r="DE12">
        <v>458.09999999979999</v>
      </c>
      <c r="DF12">
        <v>458.09999999979999</v>
      </c>
      <c r="DG12">
        <v>458.00000000049999</v>
      </c>
      <c r="DH12">
        <v>0.59999999940000004</v>
      </c>
      <c r="DI12">
        <v>1.2000000006</v>
      </c>
      <c r="DJ12">
        <v>1.0999999995</v>
      </c>
      <c r="DK12">
        <v>1.2000000006</v>
      </c>
      <c r="DL12">
        <v>1.2999999999</v>
      </c>
      <c r="DM12">
        <v>1.2000000006</v>
      </c>
      <c r="DN12">
        <v>1.2000000006</v>
      </c>
      <c r="DO12">
        <v>1.2000000006</v>
      </c>
      <c r="DP12">
        <v>1.2999999999</v>
      </c>
      <c r="DQ12">
        <v>1.2000000006</v>
      </c>
      <c r="DR12">
        <v>1.2999999999</v>
      </c>
      <c r="DS12">
        <v>1.3999999992000001</v>
      </c>
      <c r="DT12">
        <v>1.2000000006</v>
      </c>
      <c r="DU12">
        <v>1.0999999995</v>
      </c>
      <c r="DV12">
        <v>1.5999999996000001</v>
      </c>
      <c r="DW12">
        <v>2.0000000004</v>
      </c>
      <c r="DX12">
        <v>2.3999999993999999</v>
      </c>
      <c r="DY12">
        <v>2.6999999991000001</v>
      </c>
      <c r="DZ12">
        <v>2.8999999994999999</v>
      </c>
      <c r="EA12">
        <v>3.8999999996999999</v>
      </c>
      <c r="EB12">
        <v>10.299999999900001</v>
      </c>
      <c r="EC12">
        <v>17.200000000199999</v>
      </c>
      <c r="ED12">
        <v>25.299999999299999</v>
      </c>
      <c r="EE12">
        <v>33.299999999100002</v>
      </c>
      <c r="EF12">
        <v>41.499999999400004</v>
      </c>
      <c r="EG12">
        <v>49.6000000003</v>
      </c>
      <c r="EH12">
        <v>57.600000000100003</v>
      </c>
      <c r="EI12">
        <v>66.000000000699998</v>
      </c>
      <c r="EJ12">
        <v>73.800000000099999</v>
      </c>
      <c r="EK12">
        <v>82.500000000399993</v>
      </c>
      <c r="EL12">
        <v>91.399999999299993</v>
      </c>
      <c r="EM12">
        <v>100.3000000001</v>
      </c>
      <c r="EN12">
        <v>109.5999999998</v>
      </c>
      <c r="EO12">
        <v>119.0000000006</v>
      </c>
      <c r="EP12">
        <v>127.5999999998</v>
      </c>
      <c r="EQ12">
        <v>136.80000000019999</v>
      </c>
      <c r="ER12">
        <v>145.50000000049999</v>
      </c>
      <c r="ES12">
        <v>154.59999999979999</v>
      </c>
      <c r="ET12">
        <v>163.20000000089999</v>
      </c>
      <c r="EU12">
        <v>172.20000000089999</v>
      </c>
      <c r="EV12">
        <v>180.8000000001</v>
      </c>
      <c r="EW12">
        <v>189.89999999939999</v>
      </c>
      <c r="EX12">
        <v>198.8000000001</v>
      </c>
      <c r="EY12">
        <v>207.89999999939999</v>
      </c>
      <c r="EZ12">
        <v>216.09999999959999</v>
      </c>
      <c r="FA12">
        <v>225.0999999997</v>
      </c>
      <c r="FB12">
        <v>234.00000000040001</v>
      </c>
      <c r="FC12">
        <v>243.00000000040001</v>
      </c>
      <c r="FD12">
        <v>251.8</v>
      </c>
      <c r="FE12">
        <v>260.50000000030002</v>
      </c>
      <c r="FF12">
        <v>268.70000000049998</v>
      </c>
      <c r="FG12">
        <v>277.29999999969999</v>
      </c>
      <c r="FH12">
        <v>285.59999999920001</v>
      </c>
      <c r="FI12">
        <v>294.20000000030001</v>
      </c>
      <c r="FJ12">
        <v>302.70000000020002</v>
      </c>
      <c r="FK12">
        <v>310.99999999969998</v>
      </c>
      <c r="FL12">
        <v>319.10000000060001</v>
      </c>
      <c r="FM12">
        <v>327.10000000039997</v>
      </c>
      <c r="FN12">
        <v>335.30000000059999</v>
      </c>
      <c r="FO12">
        <v>343.19999999930002</v>
      </c>
      <c r="FP12">
        <v>350.89999999949998</v>
      </c>
      <c r="FQ12">
        <v>358.70000000070002</v>
      </c>
      <c r="FR12">
        <v>366.79999999979998</v>
      </c>
      <c r="FS12">
        <v>373.79999999939997</v>
      </c>
      <c r="FT12">
        <v>381.10000000050002</v>
      </c>
      <c r="FU12">
        <v>388.69999999949999</v>
      </c>
      <c r="FV12">
        <v>395.89999999949998</v>
      </c>
      <c r="FW12">
        <v>403.09999999950003</v>
      </c>
      <c r="FX12">
        <v>409.90000000060002</v>
      </c>
      <c r="FY12">
        <v>416.99999999950001</v>
      </c>
      <c r="FZ12">
        <v>423.50000000080001</v>
      </c>
      <c r="GA12">
        <v>430.09999999960002</v>
      </c>
      <c r="GB12">
        <v>435.90000000039998</v>
      </c>
      <c r="GC12">
        <v>441.50000000080001</v>
      </c>
      <c r="GD12">
        <v>446.5999999993</v>
      </c>
      <c r="GE12">
        <v>450.60000000010001</v>
      </c>
      <c r="GF12">
        <v>455.5999999993</v>
      </c>
      <c r="GG12">
        <v>457.8000000001</v>
      </c>
      <c r="GH12">
        <v>457.7000000008</v>
      </c>
      <c r="GI12">
        <v>457.7000000008</v>
      </c>
      <c r="GJ12">
        <v>457.7000000008</v>
      </c>
      <c r="GK12">
        <v>457.7000000008</v>
      </c>
      <c r="GL12">
        <v>457.89999999939999</v>
      </c>
      <c r="GM12">
        <v>458.00000000049999</v>
      </c>
      <c r="GN12">
        <v>458.00000000049999</v>
      </c>
      <c r="GO12">
        <v>457.89999999939999</v>
      </c>
      <c r="GP12">
        <v>458.09999999979999</v>
      </c>
      <c r="GQ12">
        <v>458.00000000049999</v>
      </c>
      <c r="GR12">
        <v>458.00000000049999</v>
      </c>
      <c r="GS12">
        <v>458.09999999979999</v>
      </c>
      <c r="GT12">
        <v>458.09999999979999</v>
      </c>
      <c r="GU12">
        <v>458.00000000049999</v>
      </c>
      <c r="GV12">
        <v>458.00000000049999</v>
      </c>
      <c r="GW12">
        <v>458.00000000049999</v>
      </c>
      <c r="GX12">
        <v>1</v>
      </c>
      <c r="GY12">
        <v>103.90000000009999</v>
      </c>
      <c r="GZ12">
        <v>101.0000000006</v>
      </c>
      <c r="HA12">
        <v>101.0000000006</v>
      </c>
      <c r="HB12">
        <v>109.5999999998</v>
      </c>
      <c r="HC12">
        <v>102.9768172892</v>
      </c>
      <c r="HD12">
        <v>-8.5999999991999996</v>
      </c>
      <c r="HE12">
        <v>458.00000000049999</v>
      </c>
      <c r="HF12">
        <v>319.40852433999999</v>
      </c>
      <c r="HG12">
        <v>86.075332897400003</v>
      </c>
      <c r="HH12">
        <v>458.09999999979999</v>
      </c>
      <c r="HI12">
        <v>458.09999999979999</v>
      </c>
      <c r="HJ12">
        <v>458.09999999979999</v>
      </c>
      <c r="HK12">
        <v>458.09999999979999</v>
      </c>
      <c r="HL12">
        <v>105.57184750730001</v>
      </c>
      <c r="HM12">
        <v>3.677659834</v>
      </c>
      <c r="HN12">
        <v>3.5496479864000001</v>
      </c>
      <c r="HO12">
        <v>3.6180488895999998</v>
      </c>
      <c r="HP12">
        <v>3.5800914616999999</v>
      </c>
      <c r="HQ12">
        <v>3.8083117246999998</v>
      </c>
      <c r="HR12">
        <v>2.8746443987000001</v>
      </c>
      <c r="HS12">
        <v>16.9014843918</v>
      </c>
      <c r="HT12">
        <v>-23.460410557199999</v>
      </c>
      <c r="HU12">
        <v>-160</v>
      </c>
      <c r="HV12">
        <v>422.38534162920001</v>
      </c>
      <c r="HW12">
        <v>89.149560117299998</v>
      </c>
      <c r="HX12">
        <v>608</v>
      </c>
      <c r="HY12">
        <v>16.9014843918</v>
      </c>
      <c r="HZ12">
        <v>-23.460410557199999</v>
      </c>
      <c r="IA12">
        <v>-160</v>
      </c>
      <c r="IB12">
        <v>422.38534162920001</v>
      </c>
      <c r="IC12">
        <v>89.149560117299998</v>
      </c>
      <c r="ID12">
        <v>608</v>
      </c>
      <c r="IE12">
        <v>35.714658370599999</v>
      </c>
      <c r="IF12">
        <v>1.9052390301</v>
      </c>
      <c r="IG12">
        <v>-32.844574780099997</v>
      </c>
      <c r="IH12">
        <v>-224</v>
      </c>
      <c r="II12">
        <v>446.27666448309998</v>
      </c>
      <c r="IJ12">
        <v>98.533724340199996</v>
      </c>
      <c r="IK12">
        <v>672</v>
      </c>
      <c r="IL12">
        <v>405.48385723749999</v>
      </c>
      <c r="IM12">
        <v>112.6099706745</v>
      </c>
      <c r="IN12">
        <v>431.4048461045</v>
      </c>
      <c r="IO12">
        <v>121.9941348974</v>
      </c>
      <c r="IP12">
        <v>6.9999999996</v>
      </c>
      <c r="IQ12">
        <v>6.0999999987000004</v>
      </c>
      <c r="IR12">
        <v>9.7000000004999993</v>
      </c>
      <c r="IS12">
        <v>4.1416798821</v>
      </c>
      <c r="IT12">
        <v>4.1416798821</v>
      </c>
      <c r="IU12">
        <v>7.7000000001000002</v>
      </c>
      <c r="IV12">
        <v>-25.806451612899998</v>
      </c>
      <c r="IW12">
        <v>12.8999999997</v>
      </c>
      <c r="IX12">
        <v>77.419354838700002</v>
      </c>
      <c r="IY12">
        <v>10.1000000013</v>
      </c>
      <c r="IZ12">
        <v>96.187683284499997</v>
      </c>
      <c r="JA12">
        <v>-28.129439707300001</v>
      </c>
      <c r="JB12">
        <v>0.28855906110000001</v>
      </c>
      <c r="JC12">
        <v>-1.84129E-4</v>
      </c>
      <c r="JD12">
        <v>3.7319999999999998E-7</v>
      </c>
      <c r="JE12">
        <v>0.27191204330000002</v>
      </c>
      <c r="JF12">
        <v>0.27416801470000002</v>
      </c>
      <c r="JG12">
        <v>9.3803373400000001E-2</v>
      </c>
      <c r="JH12">
        <v>103.0607300562</v>
      </c>
      <c r="JI12">
        <v>3.8083117246999998</v>
      </c>
      <c r="JJ12">
        <v>2.7596805000000002E-3</v>
      </c>
      <c r="JK12">
        <v>-5.9796200000000002E-5</v>
      </c>
      <c r="JL12">
        <v>3.677659834</v>
      </c>
      <c r="JM12">
        <v>1.2146275768000001</v>
      </c>
      <c r="JN12">
        <v>0.38076840159999997</v>
      </c>
      <c r="JO12">
        <v>2.9837499998000001</v>
      </c>
      <c r="JP12">
        <v>2.6001249994000002</v>
      </c>
      <c r="JQ12">
        <v>4.1346250001999998</v>
      </c>
      <c r="JR12" s="17" t="s">
        <v>543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212</v>
      </c>
      <c r="E13">
        <v>3</v>
      </c>
      <c r="F13" t="s">
        <v>213</v>
      </c>
      <c r="G13" t="s">
        <v>214</v>
      </c>
      <c r="H13" t="s">
        <v>542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0.20000000039999999</v>
      </c>
      <c r="T13">
        <v>0.20000000039999999</v>
      </c>
      <c r="U13">
        <v>0.29999999970000002</v>
      </c>
      <c r="V13">
        <v>0.20000000039999999</v>
      </c>
      <c r="W13">
        <v>0.29999999970000002</v>
      </c>
      <c r="X13">
        <v>0.40000000079999998</v>
      </c>
      <c r="Y13">
        <v>9.9999999300000003E-2</v>
      </c>
      <c r="Z13">
        <v>0.40000000079999998</v>
      </c>
      <c r="AA13">
        <v>0.20000000039999999</v>
      </c>
      <c r="AB13">
        <v>0.20000000039999999</v>
      </c>
      <c r="AC13">
        <v>0.29999999970000002</v>
      </c>
      <c r="AD13">
        <v>0.29999999970000002</v>
      </c>
      <c r="AE13">
        <v>0.40000000079999998</v>
      </c>
      <c r="AF13">
        <v>0.40000000079999998</v>
      </c>
      <c r="AG13">
        <v>0.20000000039999999</v>
      </c>
      <c r="AH13">
        <v>0.40000000079999998</v>
      </c>
      <c r="AI13">
        <v>0.50000000010000001</v>
      </c>
      <c r="AJ13">
        <v>0.50000000010000001</v>
      </c>
      <c r="AK13">
        <v>0.7000000005</v>
      </c>
      <c r="AL13">
        <v>0.50000000010000001</v>
      </c>
      <c r="AM13">
        <v>2.5999999998000001</v>
      </c>
      <c r="AN13">
        <v>11.0999999997</v>
      </c>
      <c r="AO13">
        <v>18.500000000099998</v>
      </c>
      <c r="AP13">
        <v>25.9999999998</v>
      </c>
      <c r="AQ13">
        <v>34.100000000800001</v>
      </c>
      <c r="AR13">
        <v>41.900000000200002</v>
      </c>
      <c r="AS13">
        <v>51.100000000599998</v>
      </c>
      <c r="AT13">
        <v>59.900000000200002</v>
      </c>
      <c r="AU13">
        <v>68.999999999500005</v>
      </c>
      <c r="AV13">
        <v>77.400000000099993</v>
      </c>
      <c r="AW13">
        <v>85.999999999300002</v>
      </c>
      <c r="AX13">
        <v>94.4</v>
      </c>
      <c r="AY13">
        <v>103.8000000008</v>
      </c>
      <c r="AZ13">
        <v>112.9999999994</v>
      </c>
      <c r="BA13">
        <v>122.99999999960001</v>
      </c>
      <c r="BB13">
        <v>131.19999999980001</v>
      </c>
      <c r="BC13">
        <v>140.10000000049999</v>
      </c>
      <c r="BD13">
        <v>148.90000000009999</v>
      </c>
      <c r="BE13">
        <v>158.1999999999</v>
      </c>
      <c r="BF13">
        <v>167.60000000069999</v>
      </c>
      <c r="BG13">
        <v>177.10000000080001</v>
      </c>
      <c r="BH13">
        <v>185.7</v>
      </c>
      <c r="BI13">
        <v>194.1999999999</v>
      </c>
      <c r="BJ13">
        <v>203.49999999959999</v>
      </c>
      <c r="BK13">
        <v>212.90000000040001</v>
      </c>
      <c r="BL13">
        <v>221.79999999930001</v>
      </c>
      <c r="BM13">
        <v>231.29999999949999</v>
      </c>
      <c r="BN13">
        <v>239.9000000005</v>
      </c>
      <c r="BO13">
        <v>248.10000000069999</v>
      </c>
      <c r="BP13">
        <v>257.40000000039998</v>
      </c>
      <c r="BQ13">
        <v>266.60000000079998</v>
      </c>
      <c r="BR13">
        <v>275.10000000069999</v>
      </c>
      <c r="BS13">
        <v>284.29999999929998</v>
      </c>
      <c r="BT13">
        <v>292.49999999959999</v>
      </c>
      <c r="BU13">
        <v>300.60000000050002</v>
      </c>
      <c r="BV13">
        <v>308.99999999929997</v>
      </c>
      <c r="BW13">
        <v>317.60000000029999</v>
      </c>
      <c r="BX13">
        <v>325.9999999991</v>
      </c>
      <c r="BY13">
        <v>334.00000000070003</v>
      </c>
      <c r="BZ13">
        <v>341.50000000049999</v>
      </c>
      <c r="CA13">
        <v>349.09999999950003</v>
      </c>
      <c r="CB13">
        <v>357</v>
      </c>
      <c r="CC13">
        <v>365.29999999950002</v>
      </c>
      <c r="CD13">
        <v>372.7999999992</v>
      </c>
      <c r="CE13">
        <v>380.10000000029999</v>
      </c>
      <c r="CF13">
        <v>387.6</v>
      </c>
      <c r="CG13">
        <v>394.39999999920002</v>
      </c>
      <c r="CH13">
        <v>401.59999999920001</v>
      </c>
      <c r="CI13">
        <v>409.20000000009998</v>
      </c>
      <c r="CJ13">
        <v>416.40000000010002</v>
      </c>
      <c r="CK13">
        <v>423.69999999940001</v>
      </c>
      <c r="CL13">
        <v>430.5999999997</v>
      </c>
      <c r="CM13">
        <v>437.4000000007</v>
      </c>
      <c r="CN13">
        <v>443.79999999910001</v>
      </c>
      <c r="CO13">
        <v>450.60000000010001</v>
      </c>
      <c r="CP13">
        <v>458.80000000029997</v>
      </c>
      <c r="CQ13">
        <v>460.9</v>
      </c>
      <c r="CR13">
        <v>460.9</v>
      </c>
      <c r="CS13">
        <v>460.99999999929997</v>
      </c>
      <c r="CT13">
        <v>460.80000000069998</v>
      </c>
      <c r="CU13">
        <v>460.9</v>
      </c>
      <c r="CV13">
        <v>460.99999999929997</v>
      </c>
      <c r="CW13">
        <v>460.99999999929997</v>
      </c>
      <c r="CX13">
        <v>461.10000000039997</v>
      </c>
      <c r="CY13">
        <v>460.99999999929997</v>
      </c>
      <c r="CZ13">
        <v>460.99999999929997</v>
      </c>
      <c r="DA13">
        <v>461.10000000039997</v>
      </c>
      <c r="DB13">
        <v>461.19999999970003</v>
      </c>
      <c r="DC13">
        <v>461.10000000039997</v>
      </c>
      <c r="DD13">
        <v>461.10000000039997</v>
      </c>
      <c r="DE13">
        <v>461.19999999970003</v>
      </c>
      <c r="DF13">
        <v>461.19999999970003</v>
      </c>
      <c r="DG13">
        <v>461.10000000039997</v>
      </c>
      <c r="DH13">
        <v>0.50000000010000001</v>
      </c>
      <c r="DI13">
        <v>1.0000000002</v>
      </c>
      <c r="DJ13">
        <v>1.0999999995</v>
      </c>
      <c r="DK13">
        <v>1.0000000002</v>
      </c>
      <c r="DL13">
        <v>1.0999999995</v>
      </c>
      <c r="DM13">
        <v>1.0999999995</v>
      </c>
      <c r="DN13">
        <v>1.2000000006</v>
      </c>
      <c r="DO13">
        <v>1.2000000006</v>
      </c>
      <c r="DP13">
        <v>1.2000000006</v>
      </c>
      <c r="DQ13">
        <v>1.2000000006</v>
      </c>
      <c r="DR13">
        <v>1.0999999995</v>
      </c>
      <c r="DS13">
        <v>1.2000000006</v>
      </c>
      <c r="DT13">
        <v>1.2000000006</v>
      </c>
      <c r="DU13">
        <v>1.2999999999</v>
      </c>
      <c r="DV13">
        <v>1.3999999992000001</v>
      </c>
      <c r="DW13">
        <v>1.3999999992000001</v>
      </c>
      <c r="DX13">
        <v>1.3999999992000001</v>
      </c>
      <c r="DY13">
        <v>1.3999999992000001</v>
      </c>
      <c r="DZ13">
        <v>1.3999999992000001</v>
      </c>
      <c r="EA13">
        <v>1.5999999996000001</v>
      </c>
      <c r="EB13">
        <v>4.0000000008000001</v>
      </c>
      <c r="EC13">
        <v>11.8999999995</v>
      </c>
      <c r="ED13">
        <v>19.399999999199999</v>
      </c>
      <c r="EE13">
        <v>27.0999999993</v>
      </c>
      <c r="EF13">
        <v>34.799999999400001</v>
      </c>
      <c r="EG13">
        <v>42.900000000399999</v>
      </c>
      <c r="EH13">
        <v>51.7</v>
      </c>
      <c r="EI13">
        <v>60.7</v>
      </c>
      <c r="EJ13">
        <v>69.7</v>
      </c>
      <c r="EK13">
        <v>77.499999999400004</v>
      </c>
      <c r="EL13">
        <v>85.999999999300002</v>
      </c>
      <c r="EM13">
        <v>94.699999999599996</v>
      </c>
      <c r="EN13">
        <v>104.1000000005</v>
      </c>
      <c r="EO13">
        <v>113.6999999999</v>
      </c>
      <c r="EP13">
        <v>123.10000000070001</v>
      </c>
      <c r="EQ13">
        <v>131.7999999992</v>
      </c>
      <c r="ER13">
        <v>140.10000000049999</v>
      </c>
      <c r="ES13">
        <v>149.10000000049999</v>
      </c>
      <c r="ET13">
        <v>158.69999999999999</v>
      </c>
      <c r="EU13">
        <v>168.6000000009</v>
      </c>
      <c r="EV13">
        <v>177.90000000059999</v>
      </c>
      <c r="EW13">
        <v>186.59999999909999</v>
      </c>
      <c r="EX13">
        <v>195.2999999994</v>
      </c>
      <c r="EY13">
        <v>204.79999999949999</v>
      </c>
      <c r="EZ13">
        <v>214.40000000079999</v>
      </c>
      <c r="FA13">
        <v>224.2000000006</v>
      </c>
      <c r="FB13">
        <v>233.0000000002</v>
      </c>
      <c r="FC13">
        <v>241</v>
      </c>
      <c r="FD13">
        <v>250.40000000079999</v>
      </c>
      <c r="FE13">
        <v>259.79999999979998</v>
      </c>
      <c r="FF13">
        <v>269.20000000060003</v>
      </c>
      <c r="FG13">
        <v>278.39999999920002</v>
      </c>
      <c r="FH13">
        <v>286.70000000060003</v>
      </c>
      <c r="FI13">
        <v>294.90000000079999</v>
      </c>
      <c r="FJ13">
        <v>304.00000000009999</v>
      </c>
      <c r="FK13">
        <v>313.00000000009999</v>
      </c>
      <c r="FL13">
        <v>321.7000000004</v>
      </c>
      <c r="FM13">
        <v>330.09999999920001</v>
      </c>
      <c r="FN13">
        <v>338.20000000009998</v>
      </c>
      <c r="FO13">
        <v>346.40000000039998</v>
      </c>
      <c r="FP13">
        <v>354.30000000090001</v>
      </c>
      <c r="FQ13">
        <v>363.10000000050002</v>
      </c>
      <c r="FR13">
        <v>371.49999999929997</v>
      </c>
      <c r="FS13">
        <v>379.4999999991</v>
      </c>
      <c r="FT13">
        <v>386.80000000019999</v>
      </c>
      <c r="FU13">
        <v>394.20000000060003</v>
      </c>
      <c r="FV13">
        <v>401.49999999990001</v>
      </c>
      <c r="FW13">
        <v>408.99999999969998</v>
      </c>
      <c r="FX13">
        <v>416.49999999940002</v>
      </c>
      <c r="FY13">
        <v>423.8999999998</v>
      </c>
      <c r="FZ13">
        <v>430.3</v>
      </c>
      <c r="GA13">
        <v>436.99999999990001</v>
      </c>
      <c r="GB13">
        <v>442.99999999929997</v>
      </c>
      <c r="GC13">
        <v>448.7000000008</v>
      </c>
      <c r="GD13">
        <v>455.7000000004</v>
      </c>
      <c r="GE13">
        <v>460.80000000069998</v>
      </c>
      <c r="GF13">
        <v>460.69999999959998</v>
      </c>
      <c r="GG13">
        <v>460.69999999959998</v>
      </c>
      <c r="GH13">
        <v>460.80000000069998</v>
      </c>
      <c r="GI13">
        <v>460.80000000069998</v>
      </c>
      <c r="GJ13">
        <v>460.80000000069998</v>
      </c>
      <c r="GK13">
        <v>460.99999999929997</v>
      </c>
      <c r="GL13">
        <v>460.99999999929997</v>
      </c>
      <c r="GM13">
        <v>461.10000000039997</v>
      </c>
      <c r="GN13">
        <v>460.99999999929997</v>
      </c>
      <c r="GO13">
        <v>460.99999999929997</v>
      </c>
      <c r="GP13">
        <v>461.10000000039997</v>
      </c>
      <c r="GQ13">
        <v>461.10000000039997</v>
      </c>
      <c r="GR13">
        <v>460.99999999929997</v>
      </c>
      <c r="GS13">
        <v>461.10000000039997</v>
      </c>
      <c r="GT13">
        <v>461.19999999970003</v>
      </c>
      <c r="GU13">
        <v>460.9</v>
      </c>
      <c r="GV13">
        <v>460.99999999929997</v>
      </c>
      <c r="GW13">
        <v>461.10000000039997</v>
      </c>
      <c r="GX13">
        <v>1</v>
      </c>
      <c r="GY13">
        <v>97.499999999899998</v>
      </c>
      <c r="GZ13">
        <v>94.4</v>
      </c>
      <c r="HA13">
        <v>94.4</v>
      </c>
      <c r="HB13">
        <v>104.1000000005</v>
      </c>
      <c r="HC13">
        <v>96.487661281599998</v>
      </c>
      <c r="HD13">
        <v>-9.7000000004999993</v>
      </c>
      <c r="HE13">
        <v>461.10000000039997</v>
      </c>
      <c r="HF13">
        <v>339.62403773149998</v>
      </c>
      <c r="HG13">
        <v>77.562463406700004</v>
      </c>
      <c r="HH13">
        <v>461.19999999970003</v>
      </c>
      <c r="HI13">
        <v>461.19999999970003</v>
      </c>
      <c r="HJ13">
        <v>461.19999999970003</v>
      </c>
      <c r="HK13">
        <v>461.19999999970003</v>
      </c>
      <c r="HL13">
        <v>100.87976539589999</v>
      </c>
      <c r="HM13">
        <v>3.7986901164</v>
      </c>
      <c r="HN13">
        <v>3.6537725678999999</v>
      </c>
      <c r="HO13">
        <v>3.7338210504</v>
      </c>
      <c r="HP13">
        <v>3.5800516343000002</v>
      </c>
      <c r="HQ13">
        <v>3.8787789758</v>
      </c>
      <c r="HR13">
        <v>2.9188767418000001</v>
      </c>
      <c r="HS13">
        <v>18.925197874999999</v>
      </c>
      <c r="HT13">
        <v>-21.114369501500001</v>
      </c>
      <c r="HU13">
        <v>-144</v>
      </c>
      <c r="HV13">
        <v>436.1116990132</v>
      </c>
      <c r="HW13">
        <v>91.495601172999997</v>
      </c>
      <c r="HX13">
        <v>624</v>
      </c>
      <c r="HY13">
        <v>18.925197874999999</v>
      </c>
      <c r="HZ13">
        <v>-21.114369501500001</v>
      </c>
      <c r="IA13">
        <v>-144</v>
      </c>
      <c r="IB13">
        <v>436.1116990132</v>
      </c>
      <c r="IC13">
        <v>91.495601172999997</v>
      </c>
      <c r="ID13">
        <v>624</v>
      </c>
      <c r="IE13">
        <v>25.088300986499998</v>
      </c>
      <c r="IF13">
        <v>0.70224438950000001</v>
      </c>
      <c r="IG13">
        <v>-30.4985337243</v>
      </c>
      <c r="IH13">
        <v>-208</v>
      </c>
      <c r="II13">
        <v>460.67945354080001</v>
      </c>
      <c r="IJ13">
        <v>100.87976539589999</v>
      </c>
      <c r="IK13">
        <v>688</v>
      </c>
      <c r="IL13">
        <v>417.18650113820001</v>
      </c>
      <c r="IM13">
        <v>112.6099706745</v>
      </c>
      <c r="IN13">
        <v>445.51026780979998</v>
      </c>
      <c r="IO13">
        <v>121.9941348974</v>
      </c>
      <c r="IP13">
        <v>8.4999999999</v>
      </c>
      <c r="IQ13">
        <v>8.2000000001999993</v>
      </c>
      <c r="IR13">
        <v>10.0000000002</v>
      </c>
      <c r="IS13">
        <v>3.4556655494999999</v>
      </c>
      <c r="IT13">
        <v>3.4556655494999999</v>
      </c>
      <c r="IU13">
        <v>9.2999999997000007</v>
      </c>
      <c r="IV13">
        <v>-25.806451612899998</v>
      </c>
      <c r="IW13">
        <v>14.9000000001</v>
      </c>
      <c r="IX13">
        <v>84.457478005900001</v>
      </c>
      <c r="IY13">
        <v>11.9000000013</v>
      </c>
      <c r="IZ13">
        <v>98.533724340199996</v>
      </c>
      <c r="JA13">
        <v>-26.345337649200001</v>
      </c>
      <c r="JB13">
        <v>0.28911865749999999</v>
      </c>
      <c r="JC13">
        <v>-2.1579260000000001E-4</v>
      </c>
      <c r="JD13">
        <v>3.9280000000000002E-7</v>
      </c>
      <c r="JE13">
        <v>0.2632486382</v>
      </c>
      <c r="JF13">
        <v>0.2610577261</v>
      </c>
      <c r="JG13">
        <v>9.9142673200000003E-2</v>
      </c>
      <c r="JH13">
        <v>97.127899127299997</v>
      </c>
      <c r="JI13">
        <v>3.8787789758</v>
      </c>
      <c r="JJ13">
        <v>4.7640952000000004E-3</v>
      </c>
      <c r="JK13">
        <v>-7.2934000000000003E-5</v>
      </c>
      <c r="JL13">
        <v>3.7986901164</v>
      </c>
      <c r="JM13">
        <v>0.88482052320000004</v>
      </c>
      <c r="JN13">
        <v>0.32571013910000002</v>
      </c>
      <c r="JO13">
        <v>3.6231249999999999</v>
      </c>
      <c r="JP13">
        <v>3.4952500001</v>
      </c>
      <c r="JQ13">
        <v>4.2625000001000002</v>
      </c>
      <c r="JR13" s="17" t="s">
        <v>543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69.304949614799995</v>
      </c>
      <c r="D16" s="9">
        <f>AVERAGE(C18:C20)</f>
        <v>76.061894743099998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68.533096868000001</v>
      </c>
      <c r="D17" s="9">
        <f>AVERAGE(C21:C23)</f>
        <v>69.334485541599989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81.570441615199996</v>
      </c>
      <c r="D18" s="11">
        <f>AVERAGE(C24:C26)</f>
        <v>71.375883416700006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78.020336141900003</v>
      </c>
      <c r="D19" s="6">
        <f>AVERAGE('Summary(3pcs)'!E35:E36)</f>
        <v>166.2894262482879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68.594906472199995</v>
      </c>
      <c r="D20" s="9">
        <f>AVERAGE('Summary(3pcs)'!E37:E39)</f>
        <v>163.46428054297121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78.425185615199993</v>
      </c>
      <c r="D21" s="9">
        <f>AVERAGE('Summary(3pcs)'!E40:E42)</f>
        <v>160.29510402040458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69.033571908699997</v>
      </c>
      <c r="D22" s="11">
        <f>AVERAGE('Summary(3pcs)'!E43:E45)</f>
        <v>156.56565545063791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60.544699100899997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73.866068132500004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63.020830971300001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77.240751146299999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-5.3888426636000002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0.18735834309999999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-1.2690939922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-0.68114217129999999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4.2519399663000002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2.8923615969999998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6.8280863519999997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-3.1046998024999999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-1.7879301210000003</v>
      </c>
      <c r="C39" s="5">
        <f>'Summary(3pcs)'!M35</f>
        <v>-5.3888426636000002</v>
      </c>
      <c r="D39" s="11">
        <f t="shared" si="0"/>
        <v>0.25023713060000002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0.18735834309999999</v>
      </c>
      <c r="D40" s="6">
        <f t="shared" si="0"/>
        <v>9.5808156000000005E-2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-1.2690939922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-0.68114217129999999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2.7169220282</v>
      </c>
      <c r="C43" s="8">
        <f>'Summary(3pcs)'!M40</f>
        <v>4.2519399663000002</v>
      </c>
      <c r="D43" s="6">
        <f t="shared" ref="D43:D54" si="2">C55</f>
        <v>9.2288751110000007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2.8923615969999998</v>
      </c>
      <c r="D44" s="9">
        <f t="shared" si="2"/>
        <v>-1.5941742106000003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6.8280863519999997</v>
      </c>
      <c r="D45" s="11">
        <f t="shared" si="2"/>
        <v>-3.9653935344000004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-3.1046998024999999</v>
      </c>
      <c r="D46" s="6">
        <f t="shared" si="2"/>
        <v>3.2259084470000001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0.25023713060000002</v>
      </c>
      <c r="D47" s="9">
        <f t="shared" si="2"/>
        <v>2.7255788869000002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9.5808156000000005E-2</v>
      </c>
      <c r="D48" s="11">
        <f t="shared" si="2"/>
        <v>4.7043199365000001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10.580085326500001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2.8271399638000001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-0.55519557549999998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6.6300820081000005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1.72380395325</v>
      </c>
      <c r="C55" s="5">
        <f>'Summary(3pcs)'!N35</f>
        <v>9.2288751110000007</v>
      </c>
      <c r="D55" s="6">
        <f>AVERAGE(D31:D33)</f>
        <v>-2.1568594375666668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-1.5941742106000003</v>
      </c>
      <c r="D56" s="9">
        <f>AVERAGE(D34:D36)</f>
        <v>2.1543864639999999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-3.9653935344000004</v>
      </c>
      <c r="D57" s="9">
        <f>AVERAGE(D37:D39)</f>
        <v>1.3245412266999999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3.2259084470000001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5.209281028425</v>
      </c>
      <c r="C59" s="8">
        <f>'Summary(3pcs)'!N40</f>
        <v>2.7255788869000002</v>
      </c>
      <c r="D59" s="9">
        <f>AVERAGE(D43:D45)</f>
        <v>1.2231024553333334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4.7043199365000001</v>
      </c>
      <c r="D60" s="9">
        <f>AVERAGE(D46:D48)</f>
        <v>3.5519357568000003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10.580085326500001</v>
      </c>
      <c r="D61" s="9">
        <f>AVERAGE(D49:D51)</f>
        <v>4.2840099049333338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2.8271399638000001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-0.55519557549999998</v>
      </c>
      <c r="D63" s="6">
        <f>AVERAGE(C71:C73)</f>
        <v>5.7638511657333327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6.6300820081000005</v>
      </c>
      <c r="D64" s="9">
        <f>AVERAGE(C74:C76)</f>
        <v>2.9846715927000003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3.1328942775666668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-0.81897171336666652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2.7534354527666665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3.2539629936000001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-6.5572394530000002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2.5431652068999999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11.4392623901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4.0848999023000001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1.7673912048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5.8335638046000007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1.1306409836000002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1.9898099899000004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6.0082683563000003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-1.1450574398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4.5354719162000006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3.0174098015000004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-5.2209930419999999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-0.25333189960000002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0.69087266920000001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7.177972790000009E-2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7.4976539611999993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-0.17156267169999984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1.8225069046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8.1109447478999996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-8.6662874221999999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-5.3614141941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-5.6440167426999999</v>
      </c>
    </row>
    <row r="96" spans="1:7">
      <c r="A96" s="1" t="s">
        <v>87</v>
      </c>
      <c r="C96" s="5">
        <f>'Summary(3pcs)'!W44</f>
        <v>7.0299129485999998</v>
      </c>
    </row>
    <row r="97" spans="1:3">
      <c r="A97" s="1" t="s">
        <v>87</v>
      </c>
      <c r="C97" s="8">
        <f>'Summary(3pcs)'!W45</f>
        <v>0.92315626139999996</v>
      </c>
    </row>
    <row r="98" spans="1:3" ht="17.25" thickBot="1">
      <c r="A98" s="1" t="s">
        <v>87</v>
      </c>
      <c r="C98" s="10">
        <f>'Summary(3pcs)'!W46</f>
        <v>-0.32357358930000002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