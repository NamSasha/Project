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<sst xmlns="http://schemas.openxmlformats.org/spreadsheetml/2006/main" count="1419" uniqueCount="671">
  <si>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</si>
  <si>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</si>
  <si>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</si>
  <si>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</si>
  <si>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</si>
  <si>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</si>
  <si>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</si>
  <si>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</si>
  <si>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</si>
  <si>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</si>
  <si>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</si>
  <si>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</si>
  <si>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</si>
  <si>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</si>
  <si>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</si>
  <si>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</si>
  <si>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</si>
  <si>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</si>
  <si>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</si>
  <si>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</si>
  <si>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</si>
  <si>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</si>
  <si>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</si>
  <si>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</si>
  <si>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</si>
  <si>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</si>
  <si>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</si>
  <si>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</si>
  <si>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</si>
  <si>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</si>
  <si>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</si>
  <si>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</si>
  <si>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</si>
  <si>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</si>
  <si>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</si>
  <si>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</si>
  <si>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</si>
  <si>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</si>
  <si>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</si>
  <si>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</si>
  <si>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</si>
  <si>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</si>
  <si>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</si>
  <si>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</si>
  <si>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</si>
  <si>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</si>
  <si>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</si>
  <si>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</si>
  <si>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</si>
  <si>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</si>
  <si>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</si>
  <si>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</si>
  <si>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</si>
  <si>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</si>
  <si>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</si>
  <si>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</si>
  <si>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</si>
  <si>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</si>
  <si>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</si>
  <si>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</si>
  <si>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</si>
  <si>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</si>
  <si>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</si>
  <si>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</si>
  <si>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</si>
  <si>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</si>
  <si>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</si>
  <si>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</si>
  <si>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</si>
  <si>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</si>
  <si>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</si>
  <si>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</si>
  <si>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</si>
  <si>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</si>
  <si>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</si>
  <si>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</si>
  <si>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</si>
  <si>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</si>
  <si>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</si>
  <si>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</si>
  <si>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</si>
  <si>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</si>
  <si>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</si>
  <si>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</si>
  <si>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</si>
  <si>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</si>
  <si>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</si>
  <si>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</si>
  <si>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</si>
  <si>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</si>
  <si>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</si>
  <si>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</si>
  <si>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</si>
  <si>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</si>
  <si>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</si>
  <si>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</si>
  <si>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</si>
  <si>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</si>
  <si>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</si>
  <si>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</si>
  <si>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</si>
  <si>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</si>
  <si>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</si>
  <si>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</si>
  <si>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</si>
  <si>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</si>
  <si>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</si>
  <si>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</si>
  <si>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</si>
  <si>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</si>
  <si>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</si>
  <si>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</si>
  <si>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</si>
  <si>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</si>
  <si>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</si>
  <si>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</si>
  <si>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</si>
  <si>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</si>
  <si>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</si>
  <si>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</si>
  <si>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</si>
  <si>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</si>
  <si>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</si>
  <si>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</si>
  <si>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</si>
  <si>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</si>
  <si>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</si>
  <si>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</si>
  <si>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</si>
  <si>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</si>
  <si>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</si>
  <si>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</si>
  <si>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</si>
  <si>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</si>
  <si>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</si>
  <si>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</si>
  <si>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</si>
  <si>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</si>
  <si>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</si>
  <si>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</si>
  <si>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</si>
  <si>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</si>
  <si>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</si>
  <si>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</si>
  <si>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</si>
  <si>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</si>
  <si>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</si>
  <si>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</si>
  <si>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</si>
  <si>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</si>
  <si>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</si>
  <si>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</si>
  <si>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</si>
  <si>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</si>
  <si>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</si>
  <si>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</si>
  <si>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</si>
  <si>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</si>
  <si>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</si>
  <si>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</si>
  <si>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</si>
  <si>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</si>
  <si>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</si>
  <si>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</si>
  <si>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</si>
  <si>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</si>
  <si>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</si>
  <si>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</si>
  <si>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</si>
  <si>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</si>
  <si>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</si>
  <si>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</si>
  <si>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D:\EVMS\TP\LOG\VSY841ZN9NAD 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</si>
  <si>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</si>
  <si>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</si>
  <si>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</si>
  <si>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</si>
  <si>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</si>
  <si>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</si>
  <si>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</si>
  <si>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</si>
  <si>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</si>
  <si>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</si>
  <si>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</si>
  <si>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</si>
  <si>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</si>
  <si>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</si>
  <si>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</si>
  <si>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</si>
  <si>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</si>
  <si>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</si>
  <si>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</si>
  <si>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</si>
  <si>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</si>
  <si>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</si>
  <si>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</si>
  <si>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</si>
  <si>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</si>
  <si>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</si>
  <si>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</si>
  <si>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</si>
  <si>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</si>
  <si>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</si>
  <si>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</si>
  <si>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</si>
  <si>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</si>
  <si>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</si>
  <si>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</si>
  <si>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</si>
  <si>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T220923102958633VCMLEBC050</t>
  </si>
  <si>
    <t>'2022-09-23 10:30:07:854</t>
  </si>
  <si>
    <t>VCMLEBC050A</t>
  </si>
  <si>
    <t>DB_C1001</t>
  </si>
  <si>
    <t>210615ADOE</t>
  </si>
  <si>
    <t>R13A_OC_MFG_C10_21091603_b1779c9</t>
  </si>
  <si>
    <t xml:space="preserve">VSY841ZN9NAD </t>
  </si>
  <si>
    <t>22cb77240206</t>
  </si>
  <si>
    <t>0x5240fe628377cc01</t>
  </si>
  <si>
    <t>AS4C345164EBA4B2A938043103</t>
  </si>
  <si>
    <t>AJ8C351323GGB3B3A642</t>
  </si>
  <si>
    <t>DNA22241024430C12A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</si>
  <si>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</si>
  <si>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</si>
  <si>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</si>
  <si>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</si>
  <si>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</si>
  <si>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</si>
  <si>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T220923103108629VCMLEBC050</t>
  </si>
  <si>
    <t>'2022-09-23 10:31:17:543</t>
  </si>
  <si>
    <t>22cb77240159</t>
  </si>
  <si>
    <t>0x5240f56284c8ef07</t>
  </si>
  <si>
    <t>AS4C345184BAA4B2A941017103</t>
  </si>
  <si>
    <t>AJ8C351323GFB4B3A636</t>
  </si>
  <si>
    <t>DNA22241024430C09A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</si>
  <si>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</si>
  <si>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</si>
  <si>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</si>
  <si>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</si>
  <si>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</si>
  <si>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</si>
  <si>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</si>
  <si>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</si>
  <si>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</si>
  <si>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</si>
  <si>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</si>
  <si>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</si>
  <si>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</si>
  <si>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</si>
  <si>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</si>
  <si>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</si>
  <si>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</si>
  <si>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</si>
  <si>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</si>
  <si>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</si>
  <si>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</si>
  <si>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</si>
  <si>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</si>
  <si>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</si>
  <si>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</si>
  <si>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</si>
  <si>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</si>
  <si>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</si>
  <si>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</si>
  <si>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</si>
  <si>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</si>
  <si>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T220923103025478VCMLEBC050</t>
  </si>
  <si>
    <t>'2022-09-23 10:30:54:795</t>
  </si>
  <si>
    <t>R13A_IPQC_MFG_SFR_InfDn_C10_21090805_b1779c9</t>
  </si>
  <si>
    <t>D6x_Wide</t>
  </si>
  <si>
    <t>Normal</t>
  </si>
  <si>
    <t>T220923103135016VCMLEBC050</t>
  </si>
  <si>
    <t>'2022-09-23 10:32:03:656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</si>
  <si>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</si>
  <si>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</si>
  <si>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</si>
  <si>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</si>
  <si>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</si>
  <si>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</si>
  <si>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</si>
  <si>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</si>
  <si>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</si>
  <si>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</si>
  <si>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</si>
  <si>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</si>
  <si>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</si>
  <si>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10:30:44:769</t>
  </si>
  <si>
    <t>'2022-09-23 10:31:53:634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</si>
  <si>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</si>
  <si>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</si>
  <si>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</si>
  <si>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</si>
  <si>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</si>
  <si>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</si>
  <si>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</si>
  <si>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</si>
  <si>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</si>
  <si>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</si>
  <si>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</si>
  <si>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</si>
  <si>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</si>
  <si>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</si>
  <si>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</si>
  <si>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</si>
  <si>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</si>
  <si>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</si>
  <si>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</si>
  <si>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</si>
  <si>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</si>
  <si>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</si>
  <si>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</si>
  <si>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</si>
  <si>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</si>
  <si>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</si>
  <si>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</si>
  <si>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</si>
  <si>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</si>
  <si>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</si>
  <si>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</si>
  <si>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</si>
  <si>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</si>
  <si>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</si>
  <si>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</si>
  <si>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</si>
  <si>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</si>
  <si>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</si>
  <si>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</si>
  <si>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</si>
  <si>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</si>
  <si>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</si>
  <si>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</si>
  <si>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</si>
  <si>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</si>
  <si>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</si>
  <si>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</si>
  <si>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</si>
  <si>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</si>
  <si>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</si>
  <si>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</si>
  <si>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</si>
  <si>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</si>
  <si>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</si>
  <si>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</si>
  <si>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</si>
  <si>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</si>
  <si>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</si>
  <si>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</si>
  <si>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</si>
  <si>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</si>
  <si>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</si>
  <si>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</si>
  <si>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</si>
  <si>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</si>
  <si>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</si>
  <si>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</si>
  <si>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</si>
  <si>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</si>
  <si>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</si>
  <si>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</si>
  <si>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</si>
  <si>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</si>
  <si>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</si>
  <si>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</si>
  <si>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</si>
  <si>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</si>
  <si>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</si>
  <si>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</si>
  <si>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</si>
  <si>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</si>
  <si>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</si>
  <si>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</si>
  <si>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</si>
  <si>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</si>
  <si>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</si>
  <si>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</si>
  <si>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</si>
  <si>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</si>
  <si>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</si>
  <si>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</si>
  <si>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</si>
  <si>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</si>
  <si>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</si>
  <si>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</si>
  <si>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</si>
  <si>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</si>
  <si>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</si>
  <si>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</si>
  <si>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</si>
  <si>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</si>
  <si>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</si>
  <si>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</si>
  <si>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</si>
  <si>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</si>
  <si>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</si>
  <si>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</si>
  <si>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</si>
  <si>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</si>
  <si>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</si>
  <si>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</si>
  <si>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</si>
  <si>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</si>
  <si>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</si>
  <si>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</si>
  <si>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</si>
  <si>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</si>
  <si>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</si>
  <si>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</si>
  <si>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</si>
  <si>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</si>
  <si>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</si>
  <si>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</si>
  <si>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</si>
  <si>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</si>
  <si>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</si>
  <si>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</si>
  <si>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</si>
  <si>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</si>
  <si>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</si>
  <si>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</si>
  <si>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</si>
  <si>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</si>
  <si>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</si>
  <si>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</si>
  <si>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</si>
  <si>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</si>
  <si>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</si>
  <si>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</si>
  <si>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</si>
  <si>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</si>
  <si>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</si>
  <si>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</si>
  <si>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</si>
  <si>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</si>
  <si>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</si>
  <si>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</si>
  <si>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</si>
  <si>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</si>
  <si>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</si>
  <si>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</si>
  <si>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</si>
  <si>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</si>
  <si>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</si>
  <si>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</si>
  <si>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</si>
  <si>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</si>
  <si>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</si>
  <si>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</si>
  <si>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</si>
  <si>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</si>
  <si>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</si>
  <si>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</si>
  <si>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</si>
  <si>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</si>
  <si>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</si>
  <si>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</si>
  <si>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</si>
  <si>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</si>
  <si>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</si>
  <si>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</si>
  <si>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</si>
  <si>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</si>
  <si>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</si>
  <si>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</si>
  <si>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</si>
  <si>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</si>
  <si>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</si>
  <si>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</si>
  <si>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</si>
  <si>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</si>
  <si>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</si>
  <si>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</si>
  <si>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</si>
  <si>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</si>
  <si>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</si>
  <si>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</si>
  <si>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</si>
  <si>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</si>
  <si>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</si>
  <si>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</si>
  <si>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</si>
  <si>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</si>
  <si>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</si>
  <si>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</si>
  <si>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</si>
  <si>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</si>
  <si>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</si>
  <si>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</si>
  <si>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</si>
  <si>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</si>
  <si>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</si>
  <si>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</si>
  <si>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</si>
  <si>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</si>
  <si>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</si>
  <si>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</si>
  <si>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</si>
  <si>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</si>
  <si>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</si>
  <si>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</si>
  <si>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</si>
  <si>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</si>
  <si>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</si>
  <si>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</si>
  <si>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</si>
  <si>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</si>
  <si>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</si>
  <si>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</si>
  <si>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</si>
  <si>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</si>
  <si>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</si>
  <si>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</si>
  <si>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</si>
  <si>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</si>
  <si>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</si>
  <si>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</si>
  <si>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</si>
  <si>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</si>
  <si>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</si>
  <si>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</si>
  <si>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</si>
  <si>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</si>
  <si>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</si>
  <si>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</si>
  <si>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</si>
  <si>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</si>
  <si>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</si>
  <si>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</si>
  <si>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</si>
  <si>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</si>
  <si>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</si>
  <si>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</si>
  <si>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</si>
  <si>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</si>
  <si>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</si>
  <si>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</si>
  <si>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</si>
  <si>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</si>
  <si>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</si>
  <si>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</si>
  <si>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</si>
  <si>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</si>
  <si>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</si>
  <si>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</si>
  <si>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</si>
  <si>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</si>
  <si>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T220923103010643VCMLEBC050</t>
  </si>
  <si>
    <t>'2022-09-23 10:30:23:178</t>
  </si>
  <si>
    <t>R13A_IPQC_MFG_Laser_C10_21090805_b1779c9</t>
  </si>
  <si>
    <t>v9p4</t>
  </si>
  <si>
    <t>T220923103120189VCMLEBC050</t>
  </si>
  <si>
    <t>'2022-09-23 10:31:32:716</t>
  </si>
  <si>
    <t>AG</t>
  </si>
  <si>
    <t>T220923103218070VCMLEBC050</t>
  </si>
  <si>
    <t>'2022-09-23 10:32:26:946</t>
  </si>
  <si>
    <t>22cb77240531</t>
  </si>
  <si>
    <t>0x5240f56283b6f207</t>
  </si>
  <si>
    <t>AS4C345184AHA4B29638064104</t>
  </si>
  <si>
    <t>AJ8C351313PBB3B3A628</t>
  </si>
  <si>
    <t>DNA22241025240M12A</t>
  </si>
  <si>
    <t>T220923103325558VCMLEBC050</t>
  </si>
  <si>
    <t>'2022-09-23 10:33:34:428</t>
  </si>
  <si>
    <t>22cb77240063</t>
  </si>
  <si>
    <t>0x5240fe6282d2c701</t>
  </si>
  <si>
    <t>AS4C345184AGA4B2A145051117</t>
  </si>
  <si>
    <t>AJ8C351313PHB4B3A638</t>
  </si>
  <si>
    <t>DNA22241023740I08A</t>
  </si>
  <si>
    <t>T220923103245115VCMLEBC050</t>
  </si>
  <si>
    <t>'2022-09-23 10:33:14:841</t>
  </si>
  <si>
    <t>T220923103351902VCMLEBC050</t>
  </si>
  <si>
    <t>'2022-09-23 10:34:21:656</t>
  </si>
  <si>
    <t>'2022-09-23 10:33:04:813</t>
  </si>
  <si>
    <t>'2022-09-23 10:34:11:630</t>
  </si>
  <si>
    <t>T220923103230267VCMLEBC050</t>
  </si>
  <si>
    <t>'2022-09-23 10:32:42:797</t>
  </si>
  <si>
    <t>T220923103337066VCMLEBC050</t>
  </si>
  <si>
    <t>'2022-09-23 10:33:49:600</t>
  </si>
  <si>
    <t>T220923103432861VCMLEBC050</t>
  </si>
  <si>
    <t>'2022-09-23 10:34:41:808</t>
  </si>
  <si>
    <t>22cb77240793</t>
  </si>
  <si>
    <t>0x5240fc6283770f05</t>
  </si>
  <si>
    <t>AS4C345174E1A4B2A543052005</t>
  </si>
  <si>
    <t>AJ8C351323GDB4B3A648</t>
  </si>
  <si>
    <t>DNA22241025240M14A</t>
  </si>
  <si>
    <t>T220923103541975VCMLEBC050</t>
  </si>
  <si>
    <t>'2022-09-23 10:35:50:768</t>
  </si>
  <si>
    <t>22cb77240725</t>
  </si>
  <si>
    <t>0x5240f56284c8f203</t>
  </si>
  <si>
    <t>AS4C34518498A4B2A236037001</t>
  </si>
  <si>
    <t>AJ9C35338193F2B3A640</t>
  </si>
  <si>
    <t>DNA22245093060A02A</t>
  </si>
  <si>
    <t>T220923103648126VCMLEBC050</t>
  </si>
  <si>
    <t>'2022-09-23 10:36:56:976</t>
  </si>
  <si>
    <t>22cb77240860</t>
  </si>
  <si>
    <t>0x5240fe6283109f07</t>
  </si>
  <si>
    <t>AS4C3451A6A6A4B2A045008010</t>
  </si>
  <si>
    <t>AJ9C3533719JF1B3A635</t>
  </si>
  <si>
    <t>DNA22245091520I10A</t>
  </si>
  <si>
    <t>T220923103500269VCMLEBC050</t>
  </si>
  <si>
    <t>'2022-09-23 10:35:30:109</t>
  </si>
  <si>
    <t>T220923103608202VCMLEBC050</t>
  </si>
  <si>
    <t>'2022-09-23 10:36:38:215</t>
  </si>
  <si>
    <t>'2022-09-23 10:35:20:084</t>
  </si>
  <si>
    <t>'2022-09-23 10:36:28:190</t>
  </si>
  <si>
    <t>T220923103445435VCMLEBC050</t>
  </si>
  <si>
    <t>'2022-09-23 10:34:57:964</t>
  </si>
  <si>
    <t>T220923103553373VCMLEBC050</t>
  </si>
  <si>
    <t>'2022-09-23 10:36:05:904</t>
  </si>
  <si>
    <t>T220923103659612VCMLEBC050</t>
  </si>
  <si>
    <t>'2022-09-23 10:37:12:141</t>
  </si>
  <si>
    <t>T220923103754649VCMLEBC050</t>
  </si>
  <si>
    <t>'2022-09-23 10:38:03:582</t>
  </si>
  <si>
    <t>22cb77240882</t>
  </si>
  <si>
    <t>0x5240f56283b68605</t>
  </si>
  <si>
    <t>AS4C345164CLA4B2A237020020</t>
  </si>
  <si>
    <t>AJ9C3533919DF4B3A633</t>
  </si>
  <si>
    <t>DNA22233144980J08A</t>
  </si>
  <si>
    <t>T220923103859691VCMLEBC050</t>
  </si>
  <si>
    <t>'2022-09-23 10:39:08:571</t>
  </si>
  <si>
    <t>22cb77240147</t>
  </si>
  <si>
    <t>0x5240f56284c8ec03</t>
  </si>
  <si>
    <t>AS4C345174BMA4B29834023028</t>
  </si>
  <si>
    <t>AJ9C3533918JF1B3A615</t>
  </si>
  <si>
    <t>DNA22245093030M04A</t>
  </si>
  <si>
    <t>T220923103714438VCMLEBC050</t>
  </si>
  <si>
    <t>'2022-09-23 10:37:43:912</t>
  </si>
  <si>
    <t>T220923103821124VCMLEBC050</t>
  </si>
  <si>
    <t>'2022-09-23 10:38:50:082</t>
  </si>
  <si>
    <t>'2022-09-23 10:37:33:887</t>
  </si>
  <si>
    <t>'2022-09-23 10:38:40:053</t>
  </si>
  <si>
    <t>T220923103806288VCMLEBC050</t>
  </si>
  <si>
    <t>'2022-09-23 10:38:18:821</t>
  </si>
  <si>
    <t>T220923103911227VCMLEBC050</t>
  </si>
  <si>
    <t>'2022-09-23 10:39:23:770</t>
  </si>
  <si>
    <t>T220923100303311VCMLEBC050</t>
  </si>
  <si>
    <t>'2022-09-23 10:03:12:598</t>
  </si>
  <si>
    <t>22cb77240001</t>
  </si>
  <si>
    <t>0x5240fe6279df8b03</t>
  </si>
  <si>
    <t>AS4C345196JFA4B29843017040</t>
  </si>
  <si>
    <t>AJ9C3533819FF4B3A635</t>
  </si>
  <si>
    <t>DNA22245093600E12A</t>
  </si>
  <si>
    <t>T220923103926075VCMLEBC050</t>
  </si>
  <si>
    <t>'2022-09-23 10:02:53:761</t>
  </si>
  <si>
    <t>'2022-09-23 10:02:43:736</t>
  </si>
  <si>
    <t>T220923100330090VCMLEBC050</t>
  </si>
  <si>
    <t>'2022-09-23 10:04:00:157</t>
  </si>
  <si>
    <t>'2022-09-23 10:03:50:132</t>
  </si>
  <si>
    <t>T220923100315248VCMLEBC050</t>
  </si>
  <si>
    <t>'2022-09-23 10:03:27:785</t>
  </si>
  <si>
    <t>T220923100413571VCMLEBC050</t>
  </si>
  <si>
    <t>'2022-09-23 10:04:22:776</t>
  </si>
  <si>
    <t>22cb77240937</t>
  </si>
  <si>
    <t>0x5240fe627767ee03</t>
  </si>
  <si>
    <t>AS4C345174BLA4B2A236049102</t>
  </si>
  <si>
    <t>AJ9C3533819MF4B3A632</t>
  </si>
  <si>
    <t>DNA22233144480E04A</t>
  </si>
  <si>
    <t>T220923100425427VCMLEBC050</t>
  </si>
  <si>
    <t>'2022-09-23 10:04:37:965</t>
  </si>
  <si>
    <t>T220923100440266VCMLEBC050</t>
  </si>
  <si>
    <t>'2022-09-23 10:05:10:619</t>
  </si>
  <si>
    <t>'2022-09-23 10:05:00:589</t>
  </si>
  <si>
    <t>T220923100520967VCMLEBC050</t>
  </si>
  <si>
    <t>'2022-09-23 10:05:29:865</t>
  </si>
  <si>
    <t>22cb77240009</t>
  </si>
  <si>
    <t>0x5240fe6279df9205</t>
  </si>
  <si>
    <t>AS4C345174BKA4B2A437025009</t>
  </si>
  <si>
    <t>AJ9C353381A0F3B3A624</t>
  </si>
  <si>
    <t>DNA22233144980I14A</t>
  </si>
  <si>
    <t>T220923100532872VCMLEBC050</t>
  </si>
  <si>
    <t>'2022-09-23 10:05:45:401</t>
  </si>
  <si>
    <t>T220923100547709VCMLEBC050</t>
  </si>
  <si>
    <t>'2022-09-23 10:06:07:579</t>
  </si>
  <si>
    <t>'2022-09-23 10:06:17:613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</si>
</sst>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-8.8543386296000008</c:v>
                </c:pt>
                <c:pt idx="1">
                  <c:v>-2.7962439691999998</c:v>
                </c:pt>
                <c:pt idx="2">
                  <c:v>3.5376499981</c:v>
                </c:pt>
                <c:pt idx="3">
                  <c:v>2.5467828450000001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0.96117820519999997</c:v>
                </c:pt>
                <c:pt idx="1">
                  <c:v>9.8336135035000005</c:v>
                </c:pt>
                <c:pt idx="2">
                  <c:v>3.8664245258999999</c:v>
                </c:pt>
                <c:pt idx="3">
                  <c:v>1.7937602310999998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-2.7043108668999998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4.8870720782000001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7904"/>
        <c:axId val="49629440"/>
      </c:scatterChart>
      <c:valAx>
        <c:axId val="49627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629440"/>
        <c:crosses val="autoZero"/>
        <c:crossBetween val="midCat"/>
        <c:majorUnit val="10"/>
      </c:valAx>
      <c:valAx>
        <c:axId val="49629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6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3.9201816376999998</c:v>
                </c:pt>
                <c:pt idx="1">
                  <c:v>3.9868204040999999</c:v>
                </c:pt>
                <c:pt idx="2">
                  <c:v>-6.7538076069999997</c:v>
                </c:pt>
                <c:pt idx="3">
                  <c:v>-1.7321063138999999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-6.0016441103999991</c:v>
                </c:pt>
                <c:pt idx="1">
                  <c:v>-0.14088498669999971</c:v>
                </c:pt>
                <c:pt idx="2">
                  <c:v>9.8694832631000011</c:v>
                </c:pt>
                <c:pt idx="3">
                  <c:v>1.2801060325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3.4845949622666663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-1.4495896219999995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2160"/>
        <c:axId val="51462144"/>
      </c:scatterChart>
      <c:valAx>
        <c:axId val="514521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462144"/>
        <c:crosses val="autoZero"/>
        <c:crossBetween val="midCat"/>
        <c:majorUnit val="10"/>
      </c:valAx>
      <c:valAx>
        <c:axId val="514621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45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5.2431820449000002</c:v>
                </c:pt>
                <c:pt idx="1">
                  <c:v>-3.5310181556</c:v>
                </c:pt>
                <c:pt idx="2">
                  <c:v>-2.3218715888000001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15.1345839384</c:v>
                </c:pt>
                <c:pt idx="1">
                  <c:v>7.1017579982000001</c:v>
                </c:pt>
                <c:pt idx="2">
                  <c:v>8.3233708453999995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-1.0809106253333332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8.7613910780000008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0816"/>
        <c:axId val="51492352"/>
      </c:scatterChart>
      <c:valAx>
        <c:axId val="514908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492352"/>
        <c:crosses val="autoZero"/>
        <c:crossBetween val="midCat"/>
        <c:majorUnit val="10"/>
      </c:valAx>
      <c:valAx>
        <c:axId val="514923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49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2.2573218337999998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8.4369117373000009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-1.1985226368666668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7.9540135269666665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5600"/>
        <c:axId val="51547136"/>
      </c:scatterChart>
      <c:valAx>
        <c:axId val="515456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47136"/>
        <c:crosses val="autoZero"/>
        <c:crossBetween val="midCat"/>
        <c:majorUnit val="10"/>
      </c:valAx>
      <c:valAx>
        <c:axId val="515471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4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87.245613054299994</c:v>
                </c:pt>
                <c:pt idx="1">
                  <c:v>88.883099473200005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86.280440602199988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9520"/>
        <c:axId val="51661056"/>
      </c:scatterChart>
      <c:valAx>
        <c:axId val="5165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661056"/>
        <c:crosses val="autoZero"/>
        <c:crossBetween val="midCat"/>
      </c:valAx>
      <c:valAx>
        <c:axId val="516610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65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82.712609279099993</c:v>
                </c:pt>
                <c:pt idx="1">
                  <c:v>89.1444971409</c:v>
                </c:pt>
                <c:pt idx="2">
                  <c:v>90.180425274599997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90.615133285966678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02400"/>
        <c:axId val="51704192"/>
      </c:scatterChart>
      <c:valAx>
        <c:axId val="5170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04192"/>
        <c:crosses val="autoZero"/>
        <c:crossBetween val="midCat"/>
      </c:valAx>
      <c:valAx>
        <c:axId val="517041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02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92.520477442399994</c:v>
                </c:pt>
                <c:pt idx="1">
                  <c:v>88.734587394399995</c:v>
                </c:pt>
                <c:pt idx="2">
                  <c:v>87.849147527400007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86.333719276066674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55648"/>
        <c:axId val="51761536"/>
      </c:scatterChart>
      <c:valAx>
        <c:axId val="5175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61536"/>
        <c:crosses val="autoZero"/>
        <c:crossBetween val="midCat"/>
      </c:valAx>
      <c:valAx>
        <c:axId val="5176153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5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82.417422906400006</c:v>
                </c:pt>
                <c:pt idx="1">
                  <c:v>93.516616536000001</c:v>
                </c:pt>
                <c:pt idx="2">
                  <c:v>92.015533845500002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91.385208987466669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46528"/>
        <c:axId val="51860608"/>
      </c:scatterChart>
      <c:valAx>
        <c:axId val="5184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860608"/>
        <c:crosses val="autoZero"/>
        <c:crossBetween val="midCat"/>
      </c:valAx>
      <c:valAx>
        <c:axId val="518606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846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-2.2868185043000002</c:v>
                </c:pt>
                <c:pt idx="1">
                  <c:v>1.8326425551999996</c:v>
                </c:pt>
                <c:pt idx="2">
                  <c:v>-11.542214870500001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-4.3696672915999999</c:v>
                </c:pt>
                <c:pt idx="1">
                  <c:v>1.4494218826000003</c:v>
                </c:pt>
                <c:pt idx="2">
                  <c:v>2.0670433044000003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-3.9987969398666672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-0.28440070153333313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17952"/>
        <c:axId val="51919488"/>
      </c:scatterChart>
      <c:valAx>
        <c:axId val="519179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19488"/>
        <c:crosses val="autoZero"/>
        <c:crossBetween val="midCat"/>
        <c:majorUnit val="10"/>
      </c:valAx>
      <c:valAx>
        <c:axId val="519194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1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0.65515136720000022</c:v>
                </c:pt>
                <c:pt idx="1">
                  <c:v>2.8587703705000003</c:v>
                </c:pt>
                <c:pt idx="2">
                  <c:v>6.7234067917000004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-0.93225884440000018</c:v>
                </c:pt>
                <c:pt idx="1">
                  <c:v>1.8485555648999998</c:v>
                </c:pt>
                <c:pt idx="2">
                  <c:v>-1.4944815636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3.4124428431333338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-0.19272828103333342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0448"/>
        <c:axId val="51978624"/>
      </c:scatterChart>
      <c:valAx>
        <c:axId val="519604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78624"/>
        <c:crosses val="autoZero"/>
        <c:crossBetween val="midCat"/>
        <c:majorUnit val="10"/>
      </c:valAx>
      <c:valAx>
        <c:axId val="519786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6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-3.0768407582999999</c:v>
                </c:pt>
                <c:pt idx="1">
                  <c:v>-1.3005864620000001</c:v>
                </c:pt>
                <c:pt idx="2">
                  <c:v>-2.3362565041000001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-1.4859246016000001</c:v>
                </c:pt>
                <c:pt idx="1">
                  <c:v>1.3978366851999997</c:v>
                </c:pt>
                <c:pt idx="2">
                  <c:v>-4.4622337818000002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-2.2378945747999999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-1.5167738994000002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3200"/>
        <c:axId val="52004736"/>
      </c:scatterChart>
      <c:valAx>
        <c:axId val="520032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2004736"/>
        <c:crosses val="autoZero"/>
        <c:crossBetween val="midCat"/>
        <c:majorUnit val="10"/>
      </c:valAx>
      <c:valAx>
        <c:axId val="520047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2003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5.0177259445000004</c:v>
                </c:pt>
                <c:pt idx="1">
                  <c:v>-4.7733817100999998</c:v>
                </c:pt>
                <c:pt idx="2">
                  <c:v>8.3362970351999994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-2.1654666065999999</c:v>
                </c:pt>
                <c:pt idx="1">
                  <c:v>1.3446235657000001</c:v>
                </c:pt>
                <c:pt idx="2">
                  <c:v>9.1825981139999993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2.8602137565333337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2.7872516910333331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72736"/>
        <c:axId val="123174272"/>
      </c:scatterChart>
      <c:valAx>
        <c:axId val="1231727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174272"/>
        <c:crosses val="autoZero"/>
        <c:crossBetween val="midCat"/>
        <c:majorUnit val="10"/>
      </c:valAx>
      <c:valAx>
        <c:axId val="1231742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17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topLeftCell="A3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D:\EVMS\TP\LOG\VSY841ZN9NAD 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D:\EVMS\TP\LOG\VSY841ZN9NAD 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D:\EVMS\TP\LOG\VSY841ZN9NAD 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D:\EVMS\TP\LOG\VSY841ZN9NAD 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172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V31" sqref="V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550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22cb77240206</v>
      </c>
      <c r="C34" s="44">
        <f>IPQC!S2+VLOOKUP($R$31,$AD$38:$AK$42,6,FALSE)+VLOOKUP('File location'!$B$1,'Tester offset'!$A$2:$D$4,2,FALSE)</f>
        <v>87.245613054299994</v>
      </c>
      <c r="D34" s="44">
        <f>IPQC!Z2+VLOOKUP($R$31,$AD$38:$AK$42,6,FALSE)</f>
        <v>71.161742440799998</v>
      </c>
      <c r="E34" s="44">
        <f>VCM!HU2-'Summary(3pcs)'!C34-'Summary(3pcs)'!$D$32</f>
        <v>154.92663618083787</v>
      </c>
      <c r="F34" s="90">
        <f>AVERAGEIF($A$34:$A$45,1,$C$34:$C$45)</f>
        <v>86.280440602199988</v>
      </c>
      <c r="G34" s="91">
        <f>AVERAGEIF($A$34:$A$45,1,$D$34:$D$45)</f>
        <v>67.683827004966659</v>
      </c>
      <c r="H34" s="91">
        <f>AVERAGEIF($A$34:$A$45,1,$E$34:$E$45)</f>
        <v>155.22610200807125</v>
      </c>
      <c r="I34" s="91">
        <f>85-F34</f>
        <v>-1.2804406021999881</v>
      </c>
      <c r="J34"/>
      <c r="K34" s="79">
        <f>T34</f>
        <v>1</v>
      </c>
      <c r="L34" s="80" t="str">
        <f>OC!J2</f>
        <v>22cb77240206</v>
      </c>
      <c r="M34" s="44">
        <f>OC!S2+VLOOKUP($R$31,$AD$38:$AK$42,4,FALSE)</f>
        <v>-8.8543386296000008</v>
      </c>
      <c r="N34" s="44">
        <f>OC!T2+VLOOKUP($R$31,$AD$38:$AK$42,5,FALSE)</f>
        <v>0.96117820519999997</v>
      </c>
      <c r="O34" s="92">
        <f>AVERAGEIF($K$34:$K$45,1,$M$34:$M$45)</f>
        <v>-2.7043108668999998</v>
      </c>
      <c r="P34" s="92">
        <f>AVERAGEIF($K$34:$K$45,1,$N$34:$N$45)</f>
        <v>4.8870720782000001</v>
      </c>
      <c r="Q34" s="90">
        <f>P34*0.001</f>
        <v>4.8870720782000004E-3</v>
      </c>
      <c r="R34" s="90">
        <f>O34*0.001</f>
        <v>-2.7043108668999998E-3</v>
      </c>
      <c r="T34" s="79">
        <v>1</v>
      </c>
      <c r="U34" s="80" t="str">
        <f>FPDC!J2</f>
        <v>22cb77240206</v>
      </c>
      <c r="V34" s="75">
        <f>FPDC!R2+VLOOKUP($R$31,$AD$38:$AK$42,2,FALSE)+VLOOKUP($R$31,$AD$38:$AK$42,7,FALSE)+VLOOKUP('File location'!$B$1,'Tester offset'!$A$2:$D$4,3,FALSE)</f>
        <v>5.0177259445000004</v>
      </c>
      <c r="W34" s="76">
        <f>FPDC!S2+VLOOKUP($R$31,$AD$38:$AK$42,3,FALSE)+VLOOKUP($R$31,$AD$38:$AK$42,8,FALSE)+VLOOKUP('File location'!$B$1,'Tester offset'!$A$2:$D$4,4,FALSE)</f>
        <v>-2.1654666065999999</v>
      </c>
      <c r="X34" s="92">
        <f>AVERAGEIF($T$34:$T$45,1,$V$34:$V$45)</f>
        <v>2.8602137565333337</v>
      </c>
      <c r="Y34" s="92">
        <f>AVERAGEIF($T$34:$T$45,1,$W$34:$W$45)</f>
        <v>2.7872516910333331</v>
      </c>
      <c r="Z34" s="90">
        <f>(X34*-0.01)/4</f>
        <v>-7.1505343913333339E-3</v>
      </c>
      <c r="AA34" s="90">
        <f>(Y34*-0.01)/4</f>
        <v>-6.9681292275833332E-3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22cb77240159</v>
      </c>
      <c r="C35" s="44">
        <f>IPQC!S3+VLOOKUP($R$31,$AD$38:$AK$42,6,FALSE)+VLOOKUP('File location'!$B$1,'Tester offset'!$A$2:$D$4,2,FALSE)</f>
        <v>88.883099473200005</v>
      </c>
      <c r="D35" s="44">
        <f>IPQC!Z3+VLOOKUP($R$31,$AD$38:$AK$42,6,FALSE)</f>
        <v>71.839567079299997</v>
      </c>
      <c r="E35" s="44">
        <f>VCM!HU3-'Summary(3pcs)'!C35-'Summary(3pcs)'!$D$32</f>
        <v>157.25364729403793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22cb77240159</v>
      </c>
      <c r="M35" s="44">
        <f>OC!S3+VLOOKUP($R$31,$AD$38:$AK$42,4,FALSE)</f>
        <v>-2.7962439691999998</v>
      </c>
      <c r="N35" s="44">
        <f>OC!T3+VLOOKUP($R$31,$AD$38:$AK$42,5,FALSE)</f>
        <v>9.8336135035000005</v>
      </c>
      <c r="O35" s="92"/>
      <c r="P35" s="92"/>
      <c r="Q35" s="90"/>
      <c r="R35" s="90"/>
      <c r="T35" s="79">
        <v>1</v>
      </c>
      <c r="U35" s="80" t="str">
        <f>FPDC!J3</f>
        <v>22cb77240159</v>
      </c>
      <c r="V35" s="75">
        <f>FPDC!R3+VLOOKUP($R$31,$AD$38:$AK$42,2,FALSE)+VLOOKUP($R$31,$AD$38:$AK$42,7,FALSE)+VLOOKUP('File location'!$B$1,'Tester offset'!$A$2:$D$4,3,FALSE)</f>
        <v>-4.7733817100999998</v>
      </c>
      <c r="W35" s="76">
        <f>FPDC!S3+VLOOKUP($R$31,$AD$38:$AK$42,3,FALSE)+VLOOKUP($R$31,$AD$38:$AK$42,8,FALSE)+VLOOKUP('File location'!$B$1,'Tester offset'!$A$2:$D$4,4,FALSE)</f>
        <v>1.3446235657000001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22cb77240531</v>
      </c>
      <c r="C36" s="44">
        <f>IPQC!S4+VLOOKUP($R$31,$AD$38:$AK$42,6,FALSE)+VLOOKUP('File location'!$B$1,'Tester offset'!$A$2:$D$4,2,FALSE)</f>
        <v>82.712609279099993</v>
      </c>
      <c r="D36" s="44">
        <f>IPQC!Z4+VLOOKUP($R$31,$AD$38:$AK$42,6,FALSE)</f>
        <v>60.050171494799997</v>
      </c>
      <c r="E36" s="44">
        <f>VCM!HU4-'Summary(3pcs)'!C36-'Summary(3pcs)'!$D$32</f>
        <v>153.49802254933792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22cb77240531</v>
      </c>
      <c r="M36" s="44">
        <f>OC!S4+VLOOKUP($R$31,$AD$38:$AK$42,4,FALSE)</f>
        <v>3.5376499981</v>
      </c>
      <c r="N36" s="44">
        <f>OC!T4+VLOOKUP($R$31,$AD$38:$AK$42,5,FALSE)</f>
        <v>3.8664245258999999</v>
      </c>
      <c r="O36" s="92"/>
      <c r="P36" s="92"/>
      <c r="Q36" s="90"/>
      <c r="R36" s="90"/>
      <c r="T36" s="79">
        <v>1</v>
      </c>
      <c r="U36" s="80" t="str">
        <f>FPDC!J4</f>
        <v>22cb77240531</v>
      </c>
      <c r="V36" s="75">
        <f>FPDC!R4+VLOOKUP($R$31,$AD$38:$AK$42,2,FALSE)+VLOOKUP($R$31,$AD$38:$AK$42,7,FALSE)+VLOOKUP('File location'!$B$1,'Tester offset'!$A$2:$D$4,3,FALSE)</f>
        <v>8.3362970351999994</v>
      </c>
      <c r="W36" s="76">
        <f>FPDC!S4+VLOOKUP($R$31,$AD$38:$AK$42,3,FALSE)+VLOOKUP($R$31,$AD$38:$AK$42,8,FALSE)+VLOOKUP('File location'!$B$1,'Tester offset'!$A$2:$D$4,4,FALSE)</f>
        <v>9.1825981139999993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22cb77240063</v>
      </c>
      <c r="C37" s="44">
        <f>IPQC!S5+VLOOKUP($R$31,$AD$38:$AK$42,6,FALSE)+VLOOKUP('File location'!$B$1,'Tester offset'!$A$2:$D$4,2,FALSE)</f>
        <v>89.1444971409</v>
      </c>
      <c r="D37" s="44">
        <f>IPQC!Z5+VLOOKUP($R$31,$AD$38:$AK$42,6,FALSE)</f>
        <v>68.869754760399999</v>
      </c>
      <c r="E37" s="44">
        <f>VCM!HU5-'Summary(3pcs)'!C37-'Summary(3pcs)'!$D$32</f>
        <v>157.8175693797379</v>
      </c>
      <c r="F37" s="90">
        <f>AVERAGEIF($A$34:$A$45,2,$C$34:$C$45)</f>
        <v>90.615133285966678</v>
      </c>
      <c r="G37" s="91">
        <f>AVERAGEIF($A$34:$A$45,2,$D$34:$D$45)</f>
        <v>70.880472003466664</v>
      </c>
      <c r="H37" s="91">
        <f>AVERAGEIF($A$34:$A$45,2,$E$34:$E$45)</f>
        <v>156.37876475260461</v>
      </c>
      <c r="I37" s="91">
        <f>85-F37</f>
        <v>-5.615133285966678</v>
      </c>
      <c r="J37"/>
      <c r="K37" s="79">
        <f t="shared" si="1"/>
        <v>2</v>
      </c>
      <c r="L37" s="80" t="str">
        <f>OC!J5</f>
        <v>22cb77240063</v>
      </c>
      <c r="M37" s="44">
        <f>OC!S5+VLOOKUP($R$31,$AD$38:$AK$42,4,FALSE)</f>
        <v>2.5467828450000001</v>
      </c>
      <c r="N37" s="44">
        <f>OC!T5+VLOOKUP($R$31,$AD$38:$AK$42,5,FALSE)</f>
        <v>1.7937602310999998</v>
      </c>
      <c r="O37" s="92">
        <f>AVERAGEIF($K$34:$K$45,2,$M$34:$M$45)</f>
        <v>3.4845949622666663</v>
      </c>
      <c r="P37" s="92">
        <f>AVERAGEIF($K$34:$K$45,2,$N$34:$N$45)</f>
        <v>-1.4495896219999995</v>
      </c>
      <c r="Q37" s="90">
        <f>P37*0.001</f>
        <v>-1.4495896219999995E-3</v>
      </c>
      <c r="R37" s="90">
        <f>O37*0.001</f>
        <v>3.4845949622666662E-3</v>
      </c>
      <c r="T37" s="79">
        <v>2</v>
      </c>
      <c r="U37" s="80" t="str">
        <f>FPDC!J5</f>
        <v>22cb77240063</v>
      </c>
      <c r="V37" s="75">
        <f>FPDC!R5+VLOOKUP($R$31,$AD$38:$AK$42,2,FALSE)+VLOOKUP($R$31,$AD$38:$AK$42,7,FALSE)+VLOOKUP('File location'!$B$1,'Tester offset'!$A$2:$D$4,3,FALSE)</f>
        <v>-2.2868185043000002</v>
      </c>
      <c r="W37" s="76">
        <f>FPDC!S5+VLOOKUP($R$31,$AD$38:$AK$42,3,FALSE)+VLOOKUP($R$31,$AD$38:$AK$42,8,FALSE)+VLOOKUP('File location'!$B$1,'Tester offset'!$A$2:$D$4,4,FALSE)</f>
        <v>-4.3696672915999999</v>
      </c>
      <c r="X37" s="92">
        <f>AVERAGEIF($T$34:$T$45,2,$V$34:$V$45)</f>
        <v>-3.9987969398666672</v>
      </c>
      <c r="Y37" s="92">
        <f>AVERAGEIF($T$34:$T$45,2,$W$34:$W$45)</f>
        <v>-0.28440070153333313</v>
      </c>
      <c r="Z37" s="90">
        <f>(X37*-0.01)/4</f>
        <v>9.9969923496666686E-3</v>
      </c>
      <c r="AA37" s="90">
        <f>(Y37*-0.01)/4</f>
        <v>7.1100175383333284E-4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22cb77240793</v>
      </c>
      <c r="C38" s="44">
        <f>IPQC!S6+VLOOKUP($R$31,$AD$38:$AK$42,6,FALSE)+VLOOKUP('File location'!$B$1,'Tester offset'!$A$2:$D$4,2,FALSE)</f>
        <v>90.180425274599997</v>
      </c>
      <c r="D38" s="44">
        <f>IPQC!Z6+VLOOKUP($R$31,$AD$38:$AK$42,6,FALSE)</f>
        <v>71.644447658399997</v>
      </c>
      <c r="E38" s="44">
        <f>VCM!HU6-'Summary(3pcs)'!C38-'Summary(3pcs)'!$D$32</f>
        <v>154.83691021483793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22cb77240793</v>
      </c>
      <c r="M38" s="44">
        <f>OC!S6+VLOOKUP($R$31,$AD$38:$AK$42,4,FALSE)</f>
        <v>3.9201816376999998</v>
      </c>
      <c r="N38" s="44">
        <f>OC!T6+VLOOKUP($R$31,$AD$38:$AK$42,5,FALSE)</f>
        <v>-6.0016441103999991</v>
      </c>
      <c r="O38" s="92"/>
      <c r="P38" s="92"/>
      <c r="Q38" s="90"/>
      <c r="R38" s="90"/>
      <c r="T38" s="79">
        <v>2</v>
      </c>
      <c r="U38" s="80" t="str">
        <f>FPDC!J6</f>
        <v>22cb77240793</v>
      </c>
      <c r="V38" s="75">
        <f>FPDC!R6+VLOOKUP($R$31,$AD$38:$AK$42,2,FALSE)+VLOOKUP($R$31,$AD$38:$AK$42,7,FALSE)+VLOOKUP('File location'!$B$1,'Tester offset'!$A$2:$D$4,3,FALSE)</f>
        <v>1.8326425551999996</v>
      </c>
      <c r="W38" s="76">
        <f>FPDC!S6+VLOOKUP($R$31,$AD$38:$AK$42,3,FALSE)+VLOOKUP($R$31,$AD$38:$AK$42,8,FALSE)+VLOOKUP('File location'!$B$1,'Tester offset'!$A$2:$D$4,4,FALSE)</f>
        <v>1.4494218826000003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22cb77240725</v>
      </c>
      <c r="C39" s="44">
        <f>IPQC!S7+VLOOKUP($R$31,$AD$38:$AK$42,6,FALSE)+VLOOKUP('File location'!$B$1,'Tester offset'!$A$2:$D$4,2,FALSE)</f>
        <v>92.520477442399994</v>
      </c>
      <c r="D39" s="44">
        <f>IPQC!Z7+VLOOKUP($R$31,$AD$38:$AK$42,6,FALSE)</f>
        <v>72.127213591599997</v>
      </c>
      <c r="E39" s="44">
        <f>VCM!HU7-'Summary(3pcs)'!C39-'Summary(3pcs)'!$D$32</f>
        <v>156.48181466323797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22cb77240725</v>
      </c>
      <c r="M39" s="44">
        <f>OC!S7+VLOOKUP($R$31,$AD$38:$AK$42,4,FALSE)</f>
        <v>3.9868204040999999</v>
      </c>
      <c r="N39" s="44">
        <f>OC!T7+VLOOKUP($R$31,$AD$38:$AK$42,5,FALSE)</f>
        <v>-0.14088498669999971</v>
      </c>
      <c r="O39" s="92"/>
      <c r="P39" s="92"/>
      <c r="Q39" s="90"/>
      <c r="R39" s="90"/>
      <c r="T39" s="79">
        <v>2</v>
      </c>
      <c r="U39" s="80" t="str">
        <f>FPDC!J7</f>
        <v>22cb77240725</v>
      </c>
      <c r="V39" s="75">
        <f>FPDC!R7+VLOOKUP($R$31,$AD$38:$AK$42,2,FALSE)+VLOOKUP($R$31,$AD$38:$AK$42,7,FALSE)+VLOOKUP('File location'!$B$1,'Tester offset'!$A$2:$D$4,3,FALSE)</f>
        <v>-11.542214870500001</v>
      </c>
      <c r="W39" s="76">
        <f>FPDC!S7+VLOOKUP($R$31,$AD$38:$AK$42,3,FALSE)+VLOOKUP($R$31,$AD$38:$AK$42,8,FALSE)+VLOOKUP('File location'!$B$1,'Tester offset'!$A$2:$D$4,4,FALSE)</f>
        <v>2.0670433044000003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22cb77240860</v>
      </c>
      <c r="C40" s="44">
        <f>IPQC!S8+VLOOKUP($R$31,$AD$38:$AK$42,6,FALSE)+VLOOKUP('File location'!$B$1,'Tester offset'!$A$2:$D$4,2,FALSE)</f>
        <v>88.734587394399995</v>
      </c>
      <c r="D40" s="44">
        <f>IPQC!Z8+VLOOKUP($R$31,$AD$38:$AK$42,6,FALSE)</f>
        <v>70.643687231000001</v>
      </c>
      <c r="E40" s="44">
        <f>VCM!HU8-'Summary(3pcs)'!C40-'Summary(3pcs)'!$D$32</f>
        <v>159.06088857613793</v>
      </c>
      <c r="F40" s="90">
        <f>AVERAGEIF($A$34:$A$45,3,$C$34:$C$45)</f>
        <v>86.333719276066674</v>
      </c>
      <c r="G40" s="91">
        <f>AVERAGEIF($A$34:$A$45,3,$D$34:$D$45)</f>
        <v>68.694445549500003</v>
      </c>
      <c r="H40" s="91">
        <f>AVERAGEIF($A$34:$A$45,3,$E$34:$E$45)</f>
        <v>155.80453563373791</v>
      </c>
      <c r="I40" s="91">
        <f>85-F40</f>
        <v>-1.3337192760666738</v>
      </c>
      <c r="J40"/>
      <c r="K40" s="79">
        <f t="shared" si="1"/>
        <v>3</v>
      </c>
      <c r="L40" s="80" t="str">
        <f>OC!J8</f>
        <v>22cb77240860</v>
      </c>
      <c r="M40" s="44">
        <f>OC!S8+VLOOKUP($R$31,$AD$38:$AK$42,4,FALSE)</f>
        <v>-6.7538076069999997</v>
      </c>
      <c r="N40" s="44">
        <f>OC!T8+VLOOKUP($R$31,$AD$38:$AK$42,5,FALSE)</f>
        <v>9.8694832631000011</v>
      </c>
      <c r="O40" s="92">
        <f>AVERAGEIF($K$34:$K$45,3,$M$34:$M$45)</f>
        <v>-1.0809106253333332</v>
      </c>
      <c r="P40" s="92">
        <f>AVERAGEIF($K$34:$K$45,3,$N$34:$N$45)</f>
        <v>8.7613910780000008</v>
      </c>
      <c r="Q40" s="90">
        <f>P40*0.001</f>
        <v>8.7613910780000009E-3</v>
      </c>
      <c r="R40" s="90">
        <f>O40*0.001</f>
        <v>-1.0809106253333331E-3</v>
      </c>
      <c r="T40" s="79">
        <v>3</v>
      </c>
      <c r="U40" s="80" t="str">
        <f>FPDC!J8</f>
        <v>22cb77240860</v>
      </c>
      <c r="V40" s="75">
        <f>FPDC!R8+VLOOKUP($R$31,$AD$38:$AK$42,2,FALSE)+VLOOKUP($R$31,$AD$38:$AK$42,7,FALSE)+VLOOKUP('File location'!$B$1,'Tester offset'!$A$2:$D$4,3,FALSE)</f>
        <v>0.65515136720000022</v>
      </c>
      <c r="W40" s="76">
        <f>FPDC!S8+VLOOKUP($R$31,$AD$38:$AK$42,3,FALSE)+VLOOKUP($R$31,$AD$38:$AK$42,8,FALSE)+VLOOKUP('File location'!$B$1,'Tester offset'!$A$2:$D$4,4,FALSE)</f>
        <v>-0.93225884440000018</v>
      </c>
      <c r="X40" s="92">
        <f>AVERAGEIF($T$34:$T$45,3,$V$34:$V$45)</f>
        <v>3.4124428431333338</v>
      </c>
      <c r="Y40" s="92">
        <f>AVERAGEIF($T$34:$T$45,3,$W$34:$W$45)</f>
        <v>-0.19272828103333342</v>
      </c>
      <c r="Z40" s="90">
        <f>(X40*-0.01)/4</f>
        <v>-8.5311071078333339E-3</v>
      </c>
      <c r="AA40" s="90">
        <f>(Y40*-0.01)/4</f>
        <v>4.8182070258333357E-4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22cb77240882</v>
      </c>
      <c r="C41" s="44">
        <f>IPQC!S9+VLOOKUP($R$31,$AD$38:$AK$42,6,FALSE)+VLOOKUP('File location'!$B$1,'Tester offset'!$A$2:$D$4,2,FALSE)</f>
        <v>87.849147527400007</v>
      </c>
      <c r="D41" s="44">
        <f>IPQC!Z9+VLOOKUP($R$31,$AD$38:$AK$42,6,FALSE)</f>
        <v>69.574416580499999</v>
      </c>
      <c r="E41" s="44">
        <f>VCM!HU9-'Summary(3pcs)'!C41-'Summary(3pcs)'!$D$32</f>
        <v>160.04301373973789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22cb77240882</v>
      </c>
      <c r="M41" s="44">
        <f>OC!S9+VLOOKUP($R$31,$AD$38:$AK$42,4,FALSE)</f>
        <v>-1.7321063138999999</v>
      </c>
      <c r="N41" s="44">
        <f>OC!T9+VLOOKUP($R$31,$AD$38:$AK$42,5,FALSE)</f>
        <v>1.2801060325</v>
      </c>
      <c r="O41" s="92"/>
      <c r="P41" s="92"/>
      <c r="Q41" s="90"/>
      <c r="R41" s="90"/>
      <c r="T41" s="79">
        <v>3</v>
      </c>
      <c r="U41" s="80" t="str">
        <f>FPDC!J9</f>
        <v>22cb77240882</v>
      </c>
      <c r="V41" s="75">
        <f>FPDC!R9+VLOOKUP($R$31,$AD$38:$AK$42,2,FALSE)+VLOOKUP($R$31,$AD$38:$AK$42,7,FALSE)+VLOOKUP('File location'!$B$1,'Tester offset'!$A$2:$D$4,3,FALSE)</f>
        <v>2.8587703705000003</v>
      </c>
      <c r="W41" s="76">
        <f>FPDC!S9+VLOOKUP($R$31,$AD$38:$AK$42,3,FALSE)+VLOOKUP($R$31,$AD$38:$AK$42,8,FALSE)+VLOOKUP('File location'!$B$1,'Tester offset'!$A$2:$D$4,4,FALSE)</f>
        <v>1.8485555648999998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22cb77240147</v>
      </c>
      <c r="C42" s="44">
        <f>IPQC!S10+VLOOKUP($R$31,$AD$38:$AK$42,6,FALSE)+VLOOKUP('File location'!$B$1,'Tester offset'!$A$2:$D$4,2,FALSE)</f>
        <v>82.417422906400006</v>
      </c>
      <c r="D42" s="44">
        <f>IPQC!Z10+VLOOKUP($R$31,$AD$38:$AK$42,6,FALSE)</f>
        <v>65.865232836999994</v>
      </c>
      <c r="E42" s="44">
        <f>VCM!HU10-'Summary(3pcs)'!C42-'Summary(3pcs)'!$D$32</f>
        <v>148.3097045853379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22cb77240147</v>
      </c>
      <c r="M42" s="44">
        <f>OC!S10+VLOOKUP($R$31,$AD$38:$AK$42,4,FALSE)</f>
        <v>5.2431820449000002</v>
      </c>
      <c r="N42" s="44">
        <f>OC!T10+VLOOKUP($R$31,$AD$38:$AK$42,5,FALSE)</f>
        <v>15.1345839384</v>
      </c>
      <c r="O42" s="92"/>
      <c r="P42" s="92"/>
      <c r="Q42" s="90"/>
      <c r="R42" s="90"/>
      <c r="T42" s="79">
        <v>3</v>
      </c>
      <c r="U42" s="80" t="str">
        <f>FPDC!J10</f>
        <v>22cb77240147</v>
      </c>
      <c r="V42" s="75">
        <f>FPDC!R10+VLOOKUP($R$31,$AD$38:$AK$42,2,FALSE)+VLOOKUP($R$31,$AD$38:$AK$42,7,FALSE)+VLOOKUP('File location'!$B$1,'Tester offset'!$A$2:$D$4,3,FALSE)</f>
        <v>6.7234067917000004</v>
      </c>
      <c r="W42" s="76">
        <f>FPDC!S10+VLOOKUP($R$31,$AD$38:$AK$42,3,FALSE)+VLOOKUP($R$31,$AD$38:$AK$42,8,FALSE)+VLOOKUP('File location'!$B$1,'Tester offset'!$A$2:$D$4,4,FALSE)</f>
        <v>-1.4944815636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22cb77240001</v>
      </c>
      <c r="C43" s="44">
        <f>IPQC!S11+VLOOKUP($R$31,$AD$38:$AK$42,6,FALSE)+VLOOKUP('File location'!$B$1,'Tester offset'!$A$2:$D$4,2,FALSE)</f>
        <v>93.516616536000001</v>
      </c>
      <c r="D43" s="44">
        <f>IPQC!Z11+VLOOKUP($R$31,$AD$38:$AK$42,6,FALSE)</f>
        <v>69.115018014599997</v>
      </c>
      <c r="E43" s="44">
        <f>VCM!HU11-'Summary(3pcs)'!C43-'Summary(3pcs)'!$D$32</f>
        <v>159.25007996213787</v>
      </c>
      <c r="F43" s="90">
        <f>AVERAGEIF($A$34:$A$45,4,$C$34:$C$45)</f>
        <v>91.385208987466669</v>
      </c>
      <c r="G43" s="91">
        <f>AVERAGEIF($A$34:$A$45,4,$D$34:$D$45)</f>
        <v>71.839065116899988</v>
      </c>
      <c r="H43" s="91">
        <f>AVERAGEIF($A$34:$A$45,4,$E$34:$E$45)</f>
        <v>158.29904382087122</v>
      </c>
      <c r="I43" s="91">
        <f>85-F43</f>
        <v>-6.3852089874666689</v>
      </c>
      <c r="J43"/>
      <c r="K43" s="79">
        <f t="shared" si="1"/>
        <v>4</v>
      </c>
      <c r="L43" s="80" t="str">
        <f>OC!J11</f>
        <v>22cb77240001</v>
      </c>
      <c r="M43" s="44">
        <f>OC!S11+VLOOKUP($R$31,$AD$38:$AK$42,4,FALSE)</f>
        <v>-3.5310181556</v>
      </c>
      <c r="N43" s="44">
        <f>OC!T11+VLOOKUP($R$31,$AD$38:$AK$42,5,FALSE)</f>
        <v>7.1017579982000001</v>
      </c>
      <c r="O43" s="92">
        <f>AVERAGEIF($K$34:$K$45,4,$M$34:$M$45)</f>
        <v>-1.1985226368666668</v>
      </c>
      <c r="P43" s="92">
        <f>AVERAGEIF($K$34:$K$45,4,$N$34:$N$45)</f>
        <v>7.9540135269666665</v>
      </c>
      <c r="Q43" s="90">
        <f>P43*0.001</f>
        <v>7.9540135269666658E-3</v>
      </c>
      <c r="R43" s="90">
        <f>O43*0.001</f>
        <v>-1.1985226368666669E-3</v>
      </c>
      <c r="T43" s="79">
        <v>4</v>
      </c>
      <c r="U43" s="80" t="str">
        <f>FPDC!J11</f>
        <v>22cb77240001</v>
      </c>
      <c r="V43" s="75">
        <f>FPDC!R11+VLOOKUP($R$31,$AD$38:$AK$42,2,FALSE)+VLOOKUP($R$31,$AD$38:$AK$42,7,FALSE)+VLOOKUP('File location'!$B$1,'Tester offset'!$A$2:$D$4,3,FALSE)</f>
        <v>-3.0768407582999999</v>
      </c>
      <c r="W43" s="76">
        <f>FPDC!S11+VLOOKUP($R$31,$AD$38:$AK$42,3,FALSE)+VLOOKUP($R$31,$AD$38:$AK$42,8,FALSE)+VLOOKUP('File location'!$B$1,'Tester offset'!$A$2:$D$4,4,FALSE)</f>
        <v>-1.4859246016000001</v>
      </c>
      <c r="X43" s="92">
        <f>AVERAGEIF($T$34:$T$45,4,$V$34:$V$45)</f>
        <v>-2.2378945747999999</v>
      </c>
      <c r="Y43" s="92">
        <f>AVERAGEIF($T$34:$T$45,4,$W$34:$W$45)</f>
        <v>-1.5167738994000002</v>
      </c>
      <c r="Z43" s="90">
        <f>(X43*-0.01)/4</f>
        <v>5.5947364369999999E-3</v>
      </c>
      <c r="AA43" s="90">
        <f>(Y43*-0.01)/4</f>
        <v>3.7919347485000005E-3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22cb77240937</v>
      </c>
      <c r="C44" s="44">
        <f>IPQC!S12+VLOOKUP($R$31,$AD$38:$AK$42,6,FALSE)+VLOOKUP('File location'!$B$1,'Tester offset'!$A$2:$D$4,2,FALSE)</f>
        <v>92.015533845500002</v>
      </c>
      <c r="D44" s="44">
        <f>IPQC!Z12+VLOOKUP($R$31,$AD$38:$AK$42,6,FALSE)</f>
        <v>76.359862726900005</v>
      </c>
      <c r="E44" s="44">
        <f>VCM!HU12-'Summary(3pcs)'!C44-'Summary(3pcs)'!$D$32</f>
        <v>160.37531721043791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22cb77240937</v>
      </c>
      <c r="M44" s="44">
        <f>OC!S12+VLOOKUP($R$31,$AD$38:$AK$42,4,FALSE)</f>
        <v>-2.3218715888000001</v>
      </c>
      <c r="N44" s="44">
        <f>OC!T12+VLOOKUP($R$31,$AD$38:$AK$42,5,FALSE)</f>
        <v>8.3233708453999995</v>
      </c>
      <c r="O44" s="92"/>
      <c r="P44" s="92"/>
      <c r="Q44" s="90"/>
      <c r="R44" s="90"/>
      <c r="T44" s="79">
        <v>4</v>
      </c>
      <c r="U44" s="80" t="str">
        <f>FPDC!J12</f>
        <v>22cb77240937</v>
      </c>
      <c r="V44" s="75">
        <f>FPDC!R12+VLOOKUP($R$31,$AD$38:$AK$42,2,FALSE)+VLOOKUP($R$31,$AD$38:$AK$42,7,FALSE)+VLOOKUP('File location'!$B$1,'Tester offset'!$A$2:$D$4,3,FALSE)</f>
        <v>-1.3005864620000001</v>
      </c>
      <c r="W44" s="76">
        <f>FPDC!S12+VLOOKUP($R$31,$AD$38:$AK$42,3,FALSE)+VLOOKUP($R$31,$AD$38:$AK$42,8,FALSE)+VLOOKUP('File location'!$B$1,'Tester offset'!$A$2:$D$4,4,FALSE)</f>
        <v>1.3978366851999997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22cb77240009</v>
      </c>
      <c r="C45" s="44">
        <f>IPQC!S13+VLOOKUP($R$31,$AD$38:$AK$42,6,FALSE)+VLOOKUP('File location'!$B$1,'Tester offset'!$A$2:$D$4,2,FALSE)</f>
        <v>88.623476580900004</v>
      </c>
      <c r="D45" s="44">
        <f>IPQC!Z13+VLOOKUP($R$31,$AD$38:$AK$42,6,FALSE)</f>
        <v>70.042314609200005</v>
      </c>
      <c r="E45" s="44">
        <f>VCM!HU13-'Summary(3pcs)'!C45-'Summary(3pcs)'!$D$32</f>
        <v>155.2717342900379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22cb77240009</v>
      </c>
      <c r="M45" s="44">
        <f>OC!S13+VLOOKUP($R$31,$AD$38:$AK$42,4,FALSE)</f>
        <v>2.2573218337999998</v>
      </c>
      <c r="N45" s="44">
        <f>OC!T13+VLOOKUP($R$31,$AD$38:$AK$42,5,FALSE)</f>
        <v>8.4369117373000009</v>
      </c>
      <c r="O45" s="92"/>
      <c r="P45" s="92"/>
      <c r="Q45" s="90"/>
      <c r="R45" s="90"/>
      <c r="T45" s="79">
        <v>4</v>
      </c>
      <c r="U45" s="80" t="str">
        <f>FPDC!J13</f>
        <v>22cb77240009</v>
      </c>
      <c r="V45" s="75">
        <f>FPDC!R13+VLOOKUP($R$31,$AD$38:$AK$42,2,FALSE)+VLOOKUP($R$31,$AD$38:$AK$42,7,FALSE)+VLOOKUP('File location'!$B$1,'Tester offset'!$A$2:$D$4,3,FALSE)</f>
        <v>-2.3362565041000001</v>
      </c>
      <c r="W45" s="76">
        <f>FPDC!S13+VLOOKUP($R$31,$AD$38:$AK$42,3,FALSE)+VLOOKUP($R$31,$AD$38:$AK$42,8,FALSE)+VLOOKUP('File location'!$B$1,'Tester offset'!$A$2:$D$4,4,FALSE)</f>
        <v>-4.4622337818000002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87.245613054299994</v>
      </c>
      <c r="L54" s="49">
        <f t="shared" ref="L54:L65" si="4">D34</f>
        <v>71.161742440799998</v>
      </c>
      <c r="M54" s="49">
        <f t="shared" ref="M54:M65" si="5">E34</f>
        <v>154.92663618083787</v>
      </c>
      <c r="N54" s="49">
        <f t="shared" ref="N54:O65" si="6">M34</f>
        <v>-8.8543386296000008</v>
      </c>
      <c r="O54" s="49">
        <f t="shared" si="6"/>
        <v>0.96117820519999997</v>
      </c>
      <c r="P54" s="49">
        <f t="shared" ref="P54:P65" si="7">V34</f>
        <v>5.0177259445000004</v>
      </c>
      <c r="Q54" s="50">
        <f t="shared" ref="Q54:Q65" si="8">W34</f>
        <v>-2.1654666065999999</v>
      </c>
    </row>
    <row r="55" spans="6:27" ht="19.5">
      <c r="I55" s="47">
        <f t="shared" si="2"/>
        <v>1</v>
      </c>
      <c r="J55" s="46"/>
      <c r="K55" s="51">
        <f t="shared" si="3"/>
        <v>88.883099473200005</v>
      </c>
      <c r="L55" s="52">
        <f t="shared" si="4"/>
        <v>71.839567079299997</v>
      </c>
      <c r="M55" s="52">
        <f t="shared" si="5"/>
        <v>157.25364729403793</v>
      </c>
      <c r="N55" s="52">
        <f t="shared" si="6"/>
        <v>-2.7962439691999998</v>
      </c>
      <c r="O55" s="52">
        <f t="shared" si="6"/>
        <v>9.8336135035000005</v>
      </c>
      <c r="P55" s="52">
        <f t="shared" si="7"/>
        <v>-4.7733817100999998</v>
      </c>
      <c r="Q55" s="53">
        <f t="shared" si="8"/>
        <v>1.3446235657000001</v>
      </c>
    </row>
    <row r="56" spans="6:27" ht="19.5">
      <c r="I56" s="47">
        <f t="shared" si="2"/>
        <v>1</v>
      </c>
      <c r="J56" s="46"/>
      <c r="K56" s="54">
        <f t="shared" si="3"/>
        <v>82.712609279099993</v>
      </c>
      <c r="L56" s="55">
        <f t="shared" si="4"/>
        <v>60.050171494799997</v>
      </c>
      <c r="M56" s="55">
        <f t="shared" si="5"/>
        <v>153.49802254933792</v>
      </c>
      <c r="N56" s="55">
        <f t="shared" si="6"/>
        <v>3.5376499981</v>
      </c>
      <c r="O56" s="55">
        <f t="shared" si="6"/>
        <v>3.8664245258999999</v>
      </c>
      <c r="P56" s="55">
        <f t="shared" si="7"/>
        <v>8.3362970351999994</v>
      </c>
      <c r="Q56" s="56">
        <f t="shared" si="8"/>
        <v>9.1825981139999993</v>
      </c>
    </row>
    <row r="57" spans="6:27" ht="19.5">
      <c r="I57" s="47">
        <f t="shared" si="2"/>
        <v>2</v>
      </c>
      <c r="J57" s="46"/>
      <c r="K57" s="57">
        <f t="shared" si="3"/>
        <v>89.1444971409</v>
      </c>
      <c r="L57" s="58">
        <f t="shared" si="4"/>
        <v>68.869754760399999</v>
      </c>
      <c r="M57" s="58">
        <f t="shared" si="5"/>
        <v>157.8175693797379</v>
      </c>
      <c r="N57" s="58">
        <f t="shared" si="6"/>
        <v>2.5467828450000001</v>
      </c>
      <c r="O57" s="58">
        <f t="shared" si="6"/>
        <v>1.7937602310999998</v>
      </c>
      <c r="P57" s="58">
        <f t="shared" si="7"/>
        <v>-2.2868185043000002</v>
      </c>
      <c r="Q57" s="59">
        <f t="shared" si="8"/>
        <v>-4.3696672915999999</v>
      </c>
    </row>
    <row r="58" spans="6:27" ht="19.5">
      <c r="I58" s="47">
        <f t="shared" si="2"/>
        <v>2</v>
      </c>
      <c r="J58" s="46"/>
      <c r="K58" s="57">
        <f t="shared" si="3"/>
        <v>90.180425274599997</v>
      </c>
      <c r="L58" s="58">
        <f t="shared" si="4"/>
        <v>71.644447658399997</v>
      </c>
      <c r="M58" s="58">
        <f t="shared" si="5"/>
        <v>154.83691021483793</v>
      </c>
      <c r="N58" s="58">
        <f t="shared" si="6"/>
        <v>3.9201816376999998</v>
      </c>
      <c r="O58" s="58">
        <f t="shared" si="6"/>
        <v>-6.0016441103999991</v>
      </c>
      <c r="P58" s="58">
        <f t="shared" si="7"/>
        <v>1.8326425551999996</v>
      </c>
      <c r="Q58" s="59">
        <f t="shared" si="8"/>
        <v>1.4494218826000003</v>
      </c>
    </row>
    <row r="59" spans="6:27" ht="19.5">
      <c r="I59" s="47">
        <f t="shared" si="2"/>
        <v>2</v>
      </c>
      <c r="J59" s="46"/>
      <c r="K59" s="57">
        <f t="shared" si="3"/>
        <v>92.520477442399994</v>
      </c>
      <c r="L59" s="58">
        <f t="shared" si="4"/>
        <v>72.127213591599997</v>
      </c>
      <c r="M59" s="58">
        <f t="shared" si="5"/>
        <v>156.48181466323797</v>
      </c>
      <c r="N59" s="58">
        <f t="shared" si="6"/>
        <v>3.9868204040999999</v>
      </c>
      <c r="O59" s="58">
        <f t="shared" si="6"/>
        <v>-0.14088498669999971</v>
      </c>
      <c r="P59" s="58">
        <f t="shared" si="7"/>
        <v>-11.542214870500001</v>
      </c>
      <c r="Q59" s="59">
        <f t="shared" si="8"/>
        <v>2.0670433044000003</v>
      </c>
    </row>
    <row r="60" spans="6:27" ht="19.5">
      <c r="I60" s="47">
        <f t="shared" si="2"/>
        <v>3</v>
      </c>
      <c r="J60" s="46"/>
      <c r="K60" s="60">
        <f t="shared" si="3"/>
        <v>88.734587394399995</v>
      </c>
      <c r="L60" s="61">
        <f t="shared" si="4"/>
        <v>70.643687231000001</v>
      </c>
      <c r="M60" s="61">
        <f t="shared" si="5"/>
        <v>159.06088857613793</v>
      </c>
      <c r="N60" s="61">
        <f t="shared" si="6"/>
        <v>-6.7538076069999997</v>
      </c>
      <c r="O60" s="61">
        <f t="shared" si="6"/>
        <v>9.8694832631000011</v>
      </c>
      <c r="P60" s="61">
        <f t="shared" si="7"/>
        <v>0.65515136720000022</v>
      </c>
      <c r="Q60" s="62">
        <f t="shared" si="8"/>
        <v>-0.93225884440000018</v>
      </c>
    </row>
    <row r="61" spans="6:27" ht="19.5">
      <c r="I61" s="47">
        <f t="shared" si="2"/>
        <v>3</v>
      </c>
      <c r="J61" s="46"/>
      <c r="K61" s="63">
        <f t="shared" si="3"/>
        <v>87.849147527400007</v>
      </c>
      <c r="L61" s="64">
        <f t="shared" si="4"/>
        <v>69.574416580499999</v>
      </c>
      <c r="M61" s="64">
        <f t="shared" si="5"/>
        <v>160.04301373973789</v>
      </c>
      <c r="N61" s="64">
        <f t="shared" si="6"/>
        <v>-1.7321063138999999</v>
      </c>
      <c r="O61" s="64">
        <f t="shared" si="6"/>
        <v>1.2801060325</v>
      </c>
      <c r="P61" s="64">
        <f t="shared" si="7"/>
        <v>2.8587703705000003</v>
      </c>
      <c r="Q61" s="65">
        <f t="shared" si="8"/>
        <v>1.8485555648999998</v>
      </c>
    </row>
    <row r="62" spans="6:27" ht="19.5">
      <c r="I62" s="47">
        <f t="shared" si="2"/>
        <v>3</v>
      </c>
      <c r="J62" s="46"/>
      <c r="K62" s="66">
        <f t="shared" si="3"/>
        <v>82.417422906400006</v>
      </c>
      <c r="L62" s="67">
        <f t="shared" si="4"/>
        <v>65.865232836999994</v>
      </c>
      <c r="M62" s="67">
        <f t="shared" si="5"/>
        <v>148.3097045853379</v>
      </c>
      <c r="N62" s="67">
        <f t="shared" si="6"/>
        <v>5.2431820449000002</v>
      </c>
      <c r="O62" s="67">
        <f t="shared" si="6"/>
        <v>15.1345839384</v>
      </c>
      <c r="P62" s="67">
        <f t="shared" si="7"/>
        <v>6.7234067917000004</v>
      </c>
      <c r="Q62" s="68">
        <f t="shared" si="8"/>
        <v>-1.4944815636</v>
      </c>
    </row>
    <row r="63" spans="6:27" ht="19.5">
      <c r="I63" s="47">
        <f t="shared" si="2"/>
        <v>4</v>
      </c>
      <c r="J63" s="46"/>
      <c r="K63" s="57">
        <f t="shared" si="3"/>
        <v>93.516616536000001</v>
      </c>
      <c r="L63" s="58">
        <f t="shared" si="4"/>
        <v>69.115018014599997</v>
      </c>
      <c r="M63" s="58">
        <f t="shared" si="5"/>
        <v>159.25007996213787</v>
      </c>
      <c r="N63" s="58">
        <f t="shared" si="6"/>
        <v>-3.5310181556</v>
      </c>
      <c r="O63" s="58">
        <f t="shared" si="6"/>
        <v>7.1017579982000001</v>
      </c>
      <c r="P63" s="58">
        <f t="shared" si="7"/>
        <v>-3.0768407582999999</v>
      </c>
      <c r="Q63" s="59">
        <f t="shared" si="8"/>
        <v>-1.4859246016000001</v>
      </c>
    </row>
    <row r="64" spans="6:27" ht="19.5">
      <c r="I64" s="47">
        <f t="shared" si="2"/>
        <v>4</v>
      </c>
      <c r="J64" s="46"/>
      <c r="K64" s="57">
        <f t="shared" si="3"/>
        <v>92.015533845500002</v>
      </c>
      <c r="L64" s="58">
        <f t="shared" si="4"/>
        <v>76.359862726900005</v>
      </c>
      <c r="M64" s="58">
        <f t="shared" si="5"/>
        <v>160.37531721043791</v>
      </c>
      <c r="N64" s="58">
        <f t="shared" si="6"/>
        <v>-2.3218715888000001</v>
      </c>
      <c r="O64" s="58">
        <f t="shared" si="6"/>
        <v>8.3233708453999995</v>
      </c>
      <c r="P64" s="58">
        <f t="shared" si="7"/>
        <v>-1.3005864620000001</v>
      </c>
      <c r="Q64" s="59">
        <f t="shared" si="8"/>
        <v>1.3978366851999997</v>
      </c>
    </row>
    <row r="65" spans="9:17" ht="20.25" thickBot="1">
      <c r="I65" s="47">
        <f t="shared" si="2"/>
        <v>4</v>
      </c>
      <c r="J65" s="46"/>
      <c r="K65" s="69">
        <f t="shared" si="3"/>
        <v>88.623476580900004</v>
      </c>
      <c r="L65" s="70">
        <f t="shared" si="4"/>
        <v>70.042314609200005</v>
      </c>
      <c r="M65" s="70">
        <f t="shared" si="5"/>
        <v>155.2717342900379</v>
      </c>
      <c r="N65" s="70">
        <f t="shared" si="6"/>
        <v>2.2573218337999998</v>
      </c>
      <c r="O65" s="70">
        <f t="shared" si="6"/>
        <v>8.4369117373000009</v>
      </c>
      <c r="P65" s="70">
        <f t="shared" si="7"/>
        <v>-2.3362565041000001</v>
      </c>
      <c r="Q65" s="71">
        <f t="shared" si="8"/>
        <v>-4.4622337818000002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209</v>
      </c>
      <c r="B2" t="s">
        <v>210</v>
      </c>
      <c r="C2" t="s">
        <v>211</v>
      </c>
      <c r="D2">
        <v>3</v>
      </c>
      <c r="E2" t="s">
        <v>212</v>
      </c>
      <c r="F2" t="s">
        <v>213</v>
      </c>
      <c r="G2" t="s">
        <v>214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2103.6456613703999</v>
      </c>
      <c r="R2">
        <v>1515.5388217948</v>
      </c>
      <c r="S2">
        <v>-8.8543386296000008</v>
      </c>
      <c r="T2">
        <v>-3.0388217948</v>
      </c>
      <c r="U2">
        <v>9.3612900002000003</v>
      </c>
      <c r="V2">
        <v>735.00900000000001</v>
      </c>
      <c r="W2">
        <v>391.51830000000001</v>
      </c>
      <c r="X2">
        <v>391.23099999999999</v>
      </c>
      <c r="Y2">
        <v>391.88850000000002</v>
      </c>
      <c r="Z2">
        <v>390.43579999999997</v>
      </c>
      <c r="AA2">
        <v>563.13869999999997</v>
      </c>
      <c r="AB2" t="s">
        <v>221</v>
      </c>
      <c r="AC2" t="s">
        <v>222</v>
      </c>
      <c r="AD2" t="s">
        <v>223</v>
      </c>
      <c r="AE2" t="s">
        <v>224</v>
      </c>
      <c r="AF2" t="s">
        <v>225</v>
      </c>
      <c r="AG2">
        <v>7</v>
      </c>
      <c r="AH2" t="s">
        <v>226</v>
      </c>
      <c r="AJ2">
        <v>1</v>
      </c>
    </row>
    <row r="3" spans="1:36">
      <c r="A3" t="s">
        <v>227</v>
      </c>
      <c r="B3" t="s">
        <v>228</v>
      </c>
      <c r="C3" t="s">
        <v>211</v>
      </c>
      <c r="D3">
        <v>3</v>
      </c>
      <c r="E3" t="s">
        <v>212</v>
      </c>
      <c r="F3" t="s">
        <v>213</v>
      </c>
      <c r="G3" t="s">
        <v>214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2109.7037560307999</v>
      </c>
      <c r="R3">
        <v>1506.6663864965001</v>
      </c>
      <c r="S3">
        <v>-2.7962439691999998</v>
      </c>
      <c r="T3">
        <v>5.8336135034999996</v>
      </c>
      <c r="U3">
        <v>6.4691596704999998</v>
      </c>
      <c r="V3">
        <v>723.49069999999995</v>
      </c>
      <c r="W3">
        <v>384.9427</v>
      </c>
      <c r="X3">
        <v>380.04219999999998</v>
      </c>
      <c r="Y3">
        <v>382.16390000000001</v>
      </c>
      <c r="Z3">
        <v>381.0949</v>
      </c>
      <c r="AA3">
        <v>552.77581250000003</v>
      </c>
      <c r="AB3" t="s">
        <v>221</v>
      </c>
      <c r="AC3" t="s">
        <v>222</v>
      </c>
      <c r="AD3" t="s">
        <v>223</v>
      </c>
      <c r="AE3" t="s">
        <v>224</v>
      </c>
      <c r="AF3" t="s">
        <v>225</v>
      </c>
      <c r="AG3">
        <v>7</v>
      </c>
      <c r="AH3" t="s">
        <v>226</v>
      </c>
      <c r="AJ3">
        <v>1</v>
      </c>
    </row>
    <row r="4" spans="1:36">
      <c r="A4" t="s">
        <v>551</v>
      </c>
      <c r="B4" t="s">
        <v>552</v>
      </c>
      <c r="C4" t="s">
        <v>211</v>
      </c>
      <c r="D4">
        <v>3</v>
      </c>
      <c r="E4" t="s">
        <v>212</v>
      </c>
      <c r="F4" t="s">
        <v>213</v>
      </c>
      <c r="G4" t="s">
        <v>214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2116.0376499980998</v>
      </c>
      <c r="R4">
        <v>1512.6335754741001</v>
      </c>
      <c r="S4">
        <v>3.5376499981</v>
      </c>
      <c r="T4">
        <v>-0.13357547410000001</v>
      </c>
      <c r="U4">
        <v>3.540170888</v>
      </c>
      <c r="V4">
        <v>736.88959999999997</v>
      </c>
      <c r="W4">
        <v>389.43549999999999</v>
      </c>
      <c r="X4">
        <v>388.23259999999999</v>
      </c>
      <c r="Y4">
        <v>386.767</v>
      </c>
      <c r="Z4">
        <v>386.16879999999998</v>
      </c>
      <c r="AA4">
        <v>562.27028749999999</v>
      </c>
      <c r="AB4" t="s">
        <v>221</v>
      </c>
      <c r="AC4" t="s">
        <v>222</v>
      </c>
      <c r="AD4" t="s">
        <v>223</v>
      </c>
      <c r="AE4" t="s">
        <v>224</v>
      </c>
      <c r="AF4" t="s">
        <v>225</v>
      </c>
      <c r="AG4">
        <v>7</v>
      </c>
      <c r="AH4" t="s">
        <v>226</v>
      </c>
      <c r="AJ4">
        <v>1</v>
      </c>
    </row>
    <row r="5" spans="1:36">
      <c r="A5" t="s">
        <v>558</v>
      </c>
      <c r="B5" t="s">
        <v>559</v>
      </c>
      <c r="C5" t="s">
        <v>211</v>
      </c>
      <c r="D5">
        <v>3</v>
      </c>
      <c r="E5" t="s">
        <v>212</v>
      </c>
      <c r="F5" t="s">
        <v>213</v>
      </c>
      <c r="G5" t="s">
        <v>214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2115.0467828450001</v>
      </c>
      <c r="R5">
        <v>1514.7062397689001</v>
      </c>
      <c r="S5">
        <v>2.5467828450000001</v>
      </c>
      <c r="T5">
        <v>-2.2062397689000002</v>
      </c>
      <c r="U5">
        <v>3.3695098720000001</v>
      </c>
      <c r="V5">
        <v>725.58259999999996</v>
      </c>
      <c r="W5">
        <v>385.32560000000001</v>
      </c>
      <c r="X5">
        <v>385.33030000000002</v>
      </c>
      <c r="Y5">
        <v>383.09620000000001</v>
      </c>
      <c r="Z5">
        <v>384.78210000000001</v>
      </c>
      <c r="AA5">
        <v>555.10807499999999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>
        <v>7</v>
      </c>
      <c r="AH5" t="s">
        <v>226</v>
      </c>
      <c r="AJ5">
        <v>1</v>
      </c>
    </row>
    <row r="6" spans="1:36">
      <c r="A6" t="s">
        <v>575</v>
      </c>
      <c r="B6" t="s">
        <v>576</v>
      </c>
      <c r="C6" t="s">
        <v>211</v>
      </c>
      <c r="D6">
        <v>3</v>
      </c>
      <c r="E6" t="s">
        <v>212</v>
      </c>
      <c r="F6" t="s">
        <v>213</v>
      </c>
      <c r="G6" t="s">
        <v>214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2116.4201816376999</v>
      </c>
      <c r="R6">
        <v>1522.5016441104001</v>
      </c>
      <c r="S6">
        <v>3.9201816376999998</v>
      </c>
      <c r="T6">
        <v>-10.001644110399999</v>
      </c>
      <c r="U6">
        <v>10.7424722007</v>
      </c>
      <c r="V6">
        <v>728.38570000000004</v>
      </c>
      <c r="W6">
        <v>380.13900000000001</v>
      </c>
      <c r="X6">
        <v>391.23899999999998</v>
      </c>
      <c r="Y6">
        <v>380.85969999999998</v>
      </c>
      <c r="Z6">
        <v>386.68459999999999</v>
      </c>
      <c r="AA6">
        <v>556.55813750000004</v>
      </c>
      <c r="AB6" t="s">
        <v>221</v>
      </c>
      <c r="AC6" t="s">
        <v>222</v>
      </c>
      <c r="AD6" t="s">
        <v>223</v>
      </c>
      <c r="AE6" t="s">
        <v>224</v>
      </c>
      <c r="AF6" t="s">
        <v>225</v>
      </c>
      <c r="AG6">
        <v>7</v>
      </c>
      <c r="AH6" t="s">
        <v>226</v>
      </c>
      <c r="AJ6">
        <v>1</v>
      </c>
    </row>
    <row r="7" spans="1:36">
      <c r="A7" t="s">
        <v>582</v>
      </c>
      <c r="B7" t="s">
        <v>583</v>
      </c>
      <c r="C7" t="s">
        <v>211</v>
      </c>
      <c r="D7">
        <v>3</v>
      </c>
      <c r="E7" t="s">
        <v>212</v>
      </c>
      <c r="F7" t="s">
        <v>213</v>
      </c>
      <c r="G7" t="s">
        <v>214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2116.4868204040999</v>
      </c>
      <c r="R7">
        <v>1516.6408849867</v>
      </c>
      <c r="S7">
        <v>3.9868204040999999</v>
      </c>
      <c r="T7">
        <v>-4.1408849866999997</v>
      </c>
      <c r="U7">
        <v>5.7481880107999999</v>
      </c>
      <c r="V7">
        <v>717.62789999999995</v>
      </c>
      <c r="W7">
        <v>376.92989999999998</v>
      </c>
      <c r="X7">
        <v>380.80970000000002</v>
      </c>
      <c r="Y7">
        <v>376.65870000000001</v>
      </c>
      <c r="Z7">
        <v>378.82499999999999</v>
      </c>
      <c r="AA7">
        <v>547.96686250000005</v>
      </c>
      <c r="AB7" t="s">
        <v>221</v>
      </c>
      <c r="AC7" t="s">
        <v>222</v>
      </c>
      <c r="AD7" t="s">
        <v>223</v>
      </c>
      <c r="AE7" t="s">
        <v>224</v>
      </c>
      <c r="AF7" t="s">
        <v>225</v>
      </c>
      <c r="AG7">
        <v>7</v>
      </c>
      <c r="AH7" t="s">
        <v>226</v>
      </c>
      <c r="AJ7">
        <v>1</v>
      </c>
    </row>
    <row r="8" spans="1:36">
      <c r="A8" t="s">
        <v>589</v>
      </c>
      <c r="B8" t="s">
        <v>590</v>
      </c>
      <c r="C8" t="s">
        <v>211</v>
      </c>
      <c r="D8">
        <v>3</v>
      </c>
      <c r="E8" t="s">
        <v>212</v>
      </c>
      <c r="F8" t="s">
        <v>213</v>
      </c>
      <c r="G8" t="s">
        <v>214</v>
      </c>
      <c r="H8" t="s">
        <v>215</v>
      </c>
      <c r="J8" t="s">
        <v>591</v>
      </c>
      <c r="K8" t="s">
        <v>592</v>
      </c>
      <c r="L8" t="s">
        <v>593</v>
      </c>
      <c r="M8" t="s">
        <v>594</v>
      </c>
      <c r="N8" t="s">
        <v>595</v>
      </c>
      <c r="O8">
        <v>0</v>
      </c>
      <c r="P8">
        <v>0</v>
      </c>
      <c r="Q8">
        <v>2105.746192393</v>
      </c>
      <c r="R8">
        <v>1506.6305167369001</v>
      </c>
      <c r="S8">
        <v>-6.7538076069999997</v>
      </c>
      <c r="T8">
        <v>5.8694832631000002</v>
      </c>
      <c r="U8">
        <v>8.9478908669999999</v>
      </c>
      <c r="V8">
        <v>720.64160000000004</v>
      </c>
      <c r="W8">
        <v>383.10469999999998</v>
      </c>
      <c r="X8">
        <v>383.1816</v>
      </c>
      <c r="Y8">
        <v>382.5385</v>
      </c>
      <c r="Z8">
        <v>380.70400000000001</v>
      </c>
      <c r="AA8">
        <v>551.51189999999997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>
        <v>7</v>
      </c>
      <c r="AH8" t="s">
        <v>226</v>
      </c>
      <c r="AJ8">
        <v>1</v>
      </c>
    </row>
    <row r="9" spans="1:36">
      <c r="A9" t="s">
        <v>608</v>
      </c>
      <c r="B9" t="s">
        <v>609</v>
      </c>
      <c r="C9" t="s">
        <v>211</v>
      </c>
      <c r="D9">
        <v>3</v>
      </c>
      <c r="E9" t="s">
        <v>212</v>
      </c>
      <c r="F9" t="s">
        <v>213</v>
      </c>
      <c r="G9" t="s">
        <v>214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2110.7678936860998</v>
      </c>
      <c r="R9">
        <v>1515.2198939675</v>
      </c>
      <c r="S9">
        <v>-1.7321063138999999</v>
      </c>
      <c r="T9">
        <v>-2.7198939675</v>
      </c>
      <c r="U9">
        <v>3.2245953973999999</v>
      </c>
      <c r="V9">
        <v>723.49</v>
      </c>
      <c r="W9">
        <v>380.47280000000001</v>
      </c>
      <c r="X9">
        <v>383.54340000000002</v>
      </c>
      <c r="Y9">
        <v>381.31779999999998</v>
      </c>
      <c r="Z9">
        <v>379.28840000000002</v>
      </c>
      <c r="AA9">
        <v>552.32280000000003</v>
      </c>
      <c r="AB9" t="s">
        <v>221</v>
      </c>
      <c r="AC9" t="s">
        <v>222</v>
      </c>
      <c r="AD9" t="s">
        <v>223</v>
      </c>
      <c r="AE9" t="s">
        <v>224</v>
      </c>
      <c r="AF9" t="s">
        <v>225</v>
      </c>
      <c r="AG9">
        <v>7</v>
      </c>
      <c r="AH9" t="s">
        <v>226</v>
      </c>
      <c r="AJ9">
        <v>1</v>
      </c>
    </row>
    <row r="10" spans="1:36">
      <c r="A10" t="s">
        <v>615</v>
      </c>
      <c r="B10" t="s">
        <v>616</v>
      </c>
      <c r="C10" t="s">
        <v>211</v>
      </c>
      <c r="D10">
        <v>3</v>
      </c>
      <c r="E10" t="s">
        <v>212</v>
      </c>
      <c r="F10" t="s">
        <v>213</v>
      </c>
      <c r="G10" t="s">
        <v>214</v>
      </c>
      <c r="H10" t="s">
        <v>215</v>
      </c>
      <c r="J10" t="s">
        <v>617</v>
      </c>
      <c r="K10" t="s">
        <v>618</v>
      </c>
      <c r="L10" t="s">
        <v>619</v>
      </c>
      <c r="M10" t="s">
        <v>620</v>
      </c>
      <c r="N10" t="s">
        <v>621</v>
      </c>
      <c r="O10">
        <v>0</v>
      </c>
      <c r="P10">
        <v>0</v>
      </c>
      <c r="Q10">
        <v>2117.7431820449001</v>
      </c>
      <c r="R10">
        <v>1501.3654160615999</v>
      </c>
      <c r="S10">
        <v>5.2431820449000002</v>
      </c>
      <c r="T10">
        <v>11.1345839384</v>
      </c>
      <c r="U10">
        <v>12.307311543899999</v>
      </c>
      <c r="V10">
        <v>728.54669999999999</v>
      </c>
      <c r="W10">
        <v>385.0403</v>
      </c>
      <c r="X10">
        <v>380.43619999999999</v>
      </c>
      <c r="Y10">
        <v>379.459</v>
      </c>
      <c r="Z10">
        <v>382.70890000000003</v>
      </c>
      <c r="AA10">
        <v>555.22889999999995</v>
      </c>
      <c r="AB10" t="s">
        <v>221</v>
      </c>
      <c r="AC10" t="s">
        <v>222</v>
      </c>
      <c r="AD10" t="s">
        <v>223</v>
      </c>
      <c r="AE10" t="s">
        <v>224</v>
      </c>
      <c r="AF10" t="s">
        <v>225</v>
      </c>
      <c r="AG10">
        <v>7</v>
      </c>
      <c r="AH10" t="s">
        <v>226</v>
      </c>
      <c r="AJ10">
        <v>1</v>
      </c>
    </row>
    <row r="11" spans="1:36">
      <c r="A11" t="s">
        <v>632</v>
      </c>
      <c r="B11" t="s">
        <v>633</v>
      </c>
      <c r="C11" t="s">
        <v>211</v>
      </c>
      <c r="D11">
        <v>3</v>
      </c>
      <c r="E11" t="s">
        <v>212</v>
      </c>
      <c r="F11" t="s">
        <v>213</v>
      </c>
      <c r="G11" t="s">
        <v>214</v>
      </c>
      <c r="H11" t="s">
        <v>215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2108.9689818443999</v>
      </c>
      <c r="R11">
        <v>1509.3982420018001</v>
      </c>
      <c r="S11">
        <v>-3.5310181556</v>
      </c>
      <c r="T11">
        <v>3.1017579982000001</v>
      </c>
      <c r="U11">
        <v>4.6998927535000004</v>
      </c>
      <c r="V11">
        <v>734.48689999999999</v>
      </c>
      <c r="W11">
        <v>389.96980000000002</v>
      </c>
      <c r="X11">
        <v>386.76080000000002</v>
      </c>
      <c r="Y11">
        <v>387.6284</v>
      </c>
      <c r="Z11">
        <v>384.40859999999998</v>
      </c>
      <c r="AA11">
        <v>560.83939999999996</v>
      </c>
      <c r="AB11" t="s">
        <v>221</v>
      </c>
      <c r="AC11" t="s">
        <v>222</v>
      </c>
      <c r="AD11" t="s">
        <v>223</v>
      </c>
      <c r="AE11" t="s">
        <v>224</v>
      </c>
      <c r="AF11" t="s">
        <v>225</v>
      </c>
      <c r="AG11">
        <v>7</v>
      </c>
      <c r="AH11" t="s">
        <v>226</v>
      </c>
      <c r="AJ11">
        <v>1</v>
      </c>
    </row>
    <row r="12" spans="1:36">
      <c r="A12" t="s">
        <v>647</v>
      </c>
      <c r="B12" t="s">
        <v>648</v>
      </c>
      <c r="C12" t="s">
        <v>211</v>
      </c>
      <c r="D12">
        <v>3</v>
      </c>
      <c r="E12" t="s">
        <v>212</v>
      </c>
      <c r="F12" t="s">
        <v>213</v>
      </c>
      <c r="G12" t="s">
        <v>214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2110.1781284111999</v>
      </c>
      <c r="R12">
        <v>1508.1766291546001</v>
      </c>
      <c r="S12">
        <v>-2.3218715888000001</v>
      </c>
      <c r="T12">
        <v>4.3233708454000004</v>
      </c>
      <c r="U12">
        <v>4.9074049295000002</v>
      </c>
      <c r="V12">
        <v>734.77880000000005</v>
      </c>
      <c r="W12">
        <v>387.5299</v>
      </c>
      <c r="X12">
        <v>387.24829999999997</v>
      </c>
      <c r="Y12">
        <v>388.02690000000001</v>
      </c>
      <c r="Z12">
        <v>383.41050000000001</v>
      </c>
      <c r="AA12">
        <v>560.66634999999997</v>
      </c>
      <c r="AB12" t="s">
        <v>221</v>
      </c>
      <c r="AC12" t="s">
        <v>222</v>
      </c>
      <c r="AD12" t="s">
        <v>223</v>
      </c>
      <c r="AE12" t="s">
        <v>224</v>
      </c>
      <c r="AF12" t="s">
        <v>225</v>
      </c>
      <c r="AG12">
        <v>7</v>
      </c>
      <c r="AH12" t="s">
        <v>226</v>
      </c>
      <c r="AJ12">
        <v>1</v>
      </c>
    </row>
    <row r="13" spans="1:36">
      <c r="A13" t="s">
        <v>659</v>
      </c>
      <c r="B13" t="s">
        <v>660</v>
      </c>
      <c r="C13" t="s">
        <v>211</v>
      </c>
      <c r="D13">
        <v>3</v>
      </c>
      <c r="E13" t="s">
        <v>212</v>
      </c>
      <c r="F13" t="s">
        <v>213</v>
      </c>
      <c r="G13" t="s">
        <v>214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2114.7573218337998</v>
      </c>
      <c r="R13">
        <v>1508.0630882626999</v>
      </c>
      <c r="S13">
        <v>2.2573218337999998</v>
      </c>
      <c r="T13">
        <v>4.4369117373</v>
      </c>
      <c r="U13">
        <v>4.9781208930999998</v>
      </c>
      <c r="V13">
        <v>725.64890000000003</v>
      </c>
      <c r="W13">
        <v>384.16879999999998</v>
      </c>
      <c r="X13">
        <v>380.21249999999998</v>
      </c>
      <c r="Y13">
        <v>380.2817</v>
      </c>
      <c r="Z13">
        <v>380.84690000000001</v>
      </c>
      <c r="AA13">
        <v>553.51318749999996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>
        <v>7</v>
      </c>
      <c r="AH13" t="s">
        <v>226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234</v>
      </c>
      <c r="R1" t="s">
        <v>235</v>
      </c>
      <c r="S1" t="s">
        <v>236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248</v>
      </c>
      <c r="AF1" t="s">
        <v>249</v>
      </c>
      <c r="AG1" t="s">
        <v>250</v>
      </c>
      <c r="AH1" t="s">
        <v>251</v>
      </c>
      <c r="AI1" t="s">
        <v>252</v>
      </c>
      <c r="AJ1" t="s">
        <v>253</v>
      </c>
      <c r="AK1" t="s">
        <v>254</v>
      </c>
      <c r="AL1" t="s">
        <v>255</v>
      </c>
      <c r="AM1" t="s">
        <v>256</v>
      </c>
      <c r="AN1" t="s">
        <v>257</v>
      </c>
      <c r="AO1" t="s">
        <v>258</v>
      </c>
      <c r="AP1" t="s">
        <v>259</v>
      </c>
      <c r="AQ1" t="s">
        <v>260</v>
      </c>
      <c r="AR1" t="s">
        <v>261</v>
      </c>
      <c r="AS1" t="s">
        <v>262</v>
      </c>
      <c r="AT1" t="s">
        <v>263</v>
      </c>
      <c r="AU1" t="s">
        <v>264</v>
      </c>
      <c r="AV1" t="s">
        <v>206</v>
      </c>
      <c r="AW1" t="s">
        <v>207</v>
      </c>
      <c r="AX1" t="s">
        <v>208</v>
      </c>
    </row>
    <row r="2" spans="1:50">
      <c r="A2" t="s">
        <v>265</v>
      </c>
      <c r="B2" t="s">
        <v>266</v>
      </c>
      <c r="C2" t="s">
        <v>211</v>
      </c>
      <c r="D2">
        <v>3</v>
      </c>
      <c r="E2" t="s">
        <v>212</v>
      </c>
      <c r="F2" t="s">
        <v>213</v>
      </c>
      <c r="G2" t="s">
        <v>267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-4.2080899999999999E-5</v>
      </c>
      <c r="R2">
        <v>10.0177259445</v>
      </c>
      <c r="S2">
        <v>0.83453339339999999</v>
      </c>
      <c r="T2">
        <v>-5.1707096100000003</v>
      </c>
      <c r="U2">
        <v>1.4322214126999999</v>
      </c>
      <c r="V2">
        <v>0.93503594400000001</v>
      </c>
      <c r="W2">
        <v>-2.5665025711</v>
      </c>
      <c r="X2">
        <v>2.9042756556999998</v>
      </c>
      <c r="Y2">
        <v>3.4232213496999999</v>
      </c>
      <c r="Z2">
        <v>1.1047596931000001</v>
      </c>
      <c r="AA2">
        <v>0.55066084859999997</v>
      </c>
      <c r="AB2">
        <v>-5.1196843399999997E-2</v>
      </c>
      <c r="AC2">
        <v>-0.28160595890000001</v>
      </c>
      <c r="AD2">
        <v>0.85990035529999997</v>
      </c>
      <c r="AE2">
        <v>-1.3866761922999999</v>
      </c>
      <c r="AF2">
        <v>-0.83635497089999999</v>
      </c>
      <c r="AG2">
        <v>0.46438661219999999</v>
      </c>
      <c r="AH2">
        <v>-0.1798457205</v>
      </c>
      <c r="AI2">
        <v>-0.37680733199999999</v>
      </c>
      <c r="AJ2">
        <v>-0.19475629929999999</v>
      </c>
      <c r="AK2">
        <v>1.8621339999999999E-4</v>
      </c>
      <c r="AL2">
        <v>4.5484274599999999E-2</v>
      </c>
      <c r="AM2">
        <v>0.17608445880000001</v>
      </c>
      <c r="AN2">
        <v>4.8043653399999997E-2</v>
      </c>
      <c r="AO2">
        <v>0.17608445880000001</v>
      </c>
      <c r="AP2">
        <v>0.18124565479999999</v>
      </c>
      <c r="AQ2">
        <v>10.0524265272</v>
      </c>
      <c r="AR2" t="s">
        <v>268</v>
      </c>
      <c r="AS2" t="s">
        <v>269</v>
      </c>
      <c r="AT2">
        <v>3</v>
      </c>
      <c r="AU2">
        <v>2.9</v>
      </c>
      <c r="AX2">
        <v>1</v>
      </c>
    </row>
    <row r="3" spans="1:50">
      <c r="A3" t="s">
        <v>270</v>
      </c>
      <c r="B3" t="s">
        <v>271</v>
      </c>
      <c r="C3" t="s">
        <v>211</v>
      </c>
      <c r="D3">
        <v>3</v>
      </c>
      <c r="E3" t="s">
        <v>212</v>
      </c>
      <c r="F3" t="s">
        <v>213</v>
      </c>
      <c r="G3" t="s">
        <v>267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1.5676E-5</v>
      </c>
      <c r="R3">
        <v>0.22661828989999999</v>
      </c>
      <c r="S3">
        <v>4.3446235657000001</v>
      </c>
      <c r="T3">
        <v>1.5832123756000001</v>
      </c>
      <c r="U3">
        <v>3.6637191772</v>
      </c>
      <c r="V3">
        <v>-8.2266921997000004</v>
      </c>
      <c r="W3">
        <v>1.8948960304</v>
      </c>
      <c r="X3">
        <v>-1.1424269676000001</v>
      </c>
      <c r="Y3">
        <v>0.94965422150000001</v>
      </c>
      <c r="Z3">
        <v>0.94018089770000002</v>
      </c>
      <c r="AA3">
        <v>0.57220566269999995</v>
      </c>
      <c r="AB3">
        <v>-1.7460184097</v>
      </c>
      <c r="AC3">
        <v>2.1699907779999998</v>
      </c>
      <c r="AD3">
        <v>-0.35532116889999998</v>
      </c>
      <c r="AE3">
        <v>4.8977136599999999E-2</v>
      </c>
      <c r="AF3">
        <v>-0.73537206649999998</v>
      </c>
      <c r="AG3">
        <v>-0.53583490850000004</v>
      </c>
      <c r="AH3">
        <v>7.8348696199999998E-2</v>
      </c>
      <c r="AI3">
        <v>-0.47132837770000002</v>
      </c>
      <c r="AJ3">
        <v>-0.1259275675</v>
      </c>
      <c r="AK3">
        <v>2.147684E-4</v>
      </c>
      <c r="AL3">
        <v>4.6660348800000001E-2</v>
      </c>
      <c r="AM3">
        <v>0.1412853748</v>
      </c>
      <c r="AN3">
        <v>0.18115445969999999</v>
      </c>
      <c r="AO3">
        <v>0.18115445969999999</v>
      </c>
      <c r="AP3">
        <v>0.18115445969999999</v>
      </c>
      <c r="AQ3">
        <v>4.3505298270999999</v>
      </c>
      <c r="AR3" t="s">
        <v>268</v>
      </c>
      <c r="AS3" t="s">
        <v>269</v>
      </c>
      <c r="AT3">
        <v>3</v>
      </c>
      <c r="AU3">
        <v>2.9</v>
      </c>
      <c r="AX3">
        <v>1</v>
      </c>
    </row>
    <row r="4" spans="1:50">
      <c r="A4" t="s">
        <v>565</v>
      </c>
      <c r="B4" t="s">
        <v>566</v>
      </c>
      <c r="C4" t="s">
        <v>211</v>
      </c>
      <c r="D4">
        <v>3</v>
      </c>
      <c r="E4" t="s">
        <v>212</v>
      </c>
      <c r="F4" t="s">
        <v>213</v>
      </c>
      <c r="G4" t="s">
        <v>267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5.0068000000000001E-6</v>
      </c>
      <c r="R4">
        <v>13.336297035199999</v>
      </c>
      <c r="S4">
        <v>12.182598113999999</v>
      </c>
      <c r="T4">
        <v>3.6671016216000001</v>
      </c>
      <c r="U4">
        <v>10.4634361267</v>
      </c>
      <c r="V4">
        <v>-11.2043094635</v>
      </c>
      <c r="W4">
        <v>-1.831099987</v>
      </c>
      <c r="X4">
        <v>-0.5825572014</v>
      </c>
      <c r="Y4">
        <v>0.80836296080000003</v>
      </c>
      <c r="Z4">
        <v>0.1762444973</v>
      </c>
      <c r="AA4">
        <v>1.8260210751999999</v>
      </c>
      <c r="AB4">
        <v>-3.0488488673999998</v>
      </c>
      <c r="AC4">
        <v>3.3792710304</v>
      </c>
      <c r="AD4">
        <v>5.9439241900000002E-2</v>
      </c>
      <c r="AE4">
        <v>-0.45119130610000002</v>
      </c>
      <c r="AF4">
        <v>-0.90812826160000004</v>
      </c>
      <c r="AG4">
        <v>0.73749816420000003</v>
      </c>
      <c r="AH4">
        <v>-0.34228122230000002</v>
      </c>
      <c r="AI4">
        <v>-0.42124676700000002</v>
      </c>
      <c r="AJ4">
        <v>0.33587425949999999</v>
      </c>
      <c r="AK4">
        <v>1.403877E-4</v>
      </c>
      <c r="AL4">
        <v>3.7986002900000003E-2</v>
      </c>
      <c r="AM4">
        <v>0.30601376299999999</v>
      </c>
      <c r="AN4">
        <v>0.32296270129999999</v>
      </c>
      <c r="AO4">
        <v>0.39664936070000001</v>
      </c>
      <c r="AP4">
        <v>0.39664936070000001</v>
      </c>
      <c r="AQ4">
        <v>18.0630151254</v>
      </c>
      <c r="AR4" t="s">
        <v>268</v>
      </c>
      <c r="AS4" t="s">
        <v>269</v>
      </c>
      <c r="AT4">
        <v>4</v>
      </c>
      <c r="AU4">
        <v>2.9</v>
      </c>
      <c r="AX4">
        <v>1</v>
      </c>
    </row>
    <row r="5" spans="1:50">
      <c r="A5" t="s">
        <v>567</v>
      </c>
      <c r="B5" t="s">
        <v>568</v>
      </c>
      <c r="C5" t="s">
        <v>211</v>
      </c>
      <c r="D5">
        <v>3</v>
      </c>
      <c r="E5" t="s">
        <v>212</v>
      </c>
      <c r="F5" t="s">
        <v>213</v>
      </c>
      <c r="G5" t="s">
        <v>267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1.6450899999999999E-5</v>
      </c>
      <c r="R5">
        <v>2.7131814956999998</v>
      </c>
      <c r="S5">
        <v>-1.3696672915999999</v>
      </c>
      <c r="T5">
        <v>-2.2587039470999999</v>
      </c>
      <c r="U5">
        <v>5.9149904251000001</v>
      </c>
      <c r="V5">
        <v>-2.7814071178000002</v>
      </c>
      <c r="W5">
        <v>0.20430001619999999</v>
      </c>
      <c r="X5">
        <v>2.6260623931999998</v>
      </c>
      <c r="Y5">
        <v>2.1354737282</v>
      </c>
      <c r="Z5">
        <v>0.34104287620000001</v>
      </c>
      <c r="AA5">
        <v>1.91114545E-2</v>
      </c>
      <c r="AB5">
        <v>-1.7523143291000001</v>
      </c>
      <c r="AC5">
        <v>0.63055527209999995</v>
      </c>
      <c r="AD5">
        <v>-0.58995187280000005</v>
      </c>
      <c r="AE5">
        <v>-1.1890355348999999</v>
      </c>
      <c r="AF5">
        <v>-0.82278573509999997</v>
      </c>
      <c r="AG5">
        <v>0.24395984409999999</v>
      </c>
      <c r="AH5">
        <v>0.13391926879999999</v>
      </c>
      <c r="AI5">
        <v>-2.77514458E-2</v>
      </c>
      <c r="AJ5">
        <v>-0.18344485760000001</v>
      </c>
      <c r="AK5">
        <v>1.617713E-4</v>
      </c>
      <c r="AL5">
        <v>4.1025400199999999E-2</v>
      </c>
      <c r="AM5">
        <v>5.9757150699999997E-2</v>
      </c>
      <c r="AN5">
        <v>6.7119985800000004E-2</v>
      </c>
      <c r="AO5">
        <v>0.1519635916</v>
      </c>
      <c r="AP5">
        <v>0.16385169329999999</v>
      </c>
      <c r="AQ5">
        <v>3.0392996427000001</v>
      </c>
      <c r="AR5" t="s">
        <v>268</v>
      </c>
      <c r="AS5" t="s">
        <v>269</v>
      </c>
      <c r="AT5">
        <v>3</v>
      </c>
      <c r="AU5">
        <v>2.9</v>
      </c>
      <c r="AX5">
        <v>1</v>
      </c>
    </row>
    <row r="6" spans="1:50">
      <c r="A6" t="s">
        <v>596</v>
      </c>
      <c r="B6" t="s">
        <v>597</v>
      </c>
      <c r="C6" t="s">
        <v>211</v>
      </c>
      <c r="D6">
        <v>3</v>
      </c>
      <c r="E6" t="s">
        <v>212</v>
      </c>
      <c r="F6" t="s">
        <v>213</v>
      </c>
      <c r="G6" t="s">
        <v>267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1.8238999999999999E-5</v>
      </c>
      <c r="R6">
        <v>6.8326425551999996</v>
      </c>
      <c r="S6">
        <v>4.4494218826000003</v>
      </c>
      <c r="T6">
        <v>2.1603322028999998</v>
      </c>
      <c r="U6">
        <v>10.221171379099999</v>
      </c>
      <c r="V6">
        <v>-3.5902109146000001</v>
      </c>
      <c r="W6">
        <v>-0.54277777670000005</v>
      </c>
      <c r="X6">
        <v>-2.1596312499999999E-2</v>
      </c>
      <c r="Y6">
        <v>1.0216341018999999</v>
      </c>
      <c r="Z6">
        <v>0.87720394130000001</v>
      </c>
      <c r="AA6">
        <v>-0.16508495810000001</v>
      </c>
      <c r="AB6">
        <v>-3.2718119621000001</v>
      </c>
      <c r="AC6">
        <v>0.79391229149999998</v>
      </c>
      <c r="AD6">
        <v>-2.3070812199999999E-2</v>
      </c>
      <c r="AE6">
        <v>-0.45961159470000001</v>
      </c>
      <c r="AF6">
        <v>-0.44815206530000001</v>
      </c>
      <c r="AG6">
        <v>0.93043208119999998</v>
      </c>
      <c r="AH6">
        <v>-0.2507278919</v>
      </c>
      <c r="AI6">
        <v>-0.32338964939999998</v>
      </c>
      <c r="AJ6">
        <v>0.39699798819999998</v>
      </c>
      <c r="AK6">
        <v>1.796313E-4</v>
      </c>
      <c r="AL6">
        <v>4.5370120600000001E-2</v>
      </c>
      <c r="AM6">
        <v>0.11624983699999999</v>
      </c>
      <c r="AN6">
        <v>0.1064608917</v>
      </c>
      <c r="AO6">
        <v>0.28479582069999998</v>
      </c>
      <c r="AP6">
        <v>0.28479582069999998</v>
      </c>
      <c r="AQ6">
        <v>8.1536715274000002</v>
      </c>
      <c r="AR6" t="s">
        <v>268</v>
      </c>
      <c r="AS6" t="s">
        <v>269</v>
      </c>
      <c r="AT6">
        <v>3</v>
      </c>
      <c r="AU6">
        <v>2.9</v>
      </c>
      <c r="AX6">
        <v>1</v>
      </c>
    </row>
    <row r="7" spans="1:50">
      <c r="A7" t="s">
        <v>598</v>
      </c>
      <c r="B7" t="s">
        <v>599</v>
      </c>
      <c r="C7" t="s">
        <v>211</v>
      </c>
      <c r="D7">
        <v>3</v>
      </c>
      <c r="E7" t="s">
        <v>212</v>
      </c>
      <c r="F7" t="s">
        <v>213</v>
      </c>
      <c r="G7" t="s">
        <v>267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-2.5629999999999999E-6</v>
      </c>
      <c r="R7">
        <v>-6.5422148704999996</v>
      </c>
      <c r="S7">
        <v>5.0670433044000003</v>
      </c>
      <c r="T7">
        <v>2.8936300278</v>
      </c>
      <c r="U7">
        <v>4.4935379028</v>
      </c>
      <c r="V7">
        <v>-10.629091262799999</v>
      </c>
      <c r="W7">
        <v>2.3805918693999999</v>
      </c>
      <c r="X7">
        <v>2.6052038670000002</v>
      </c>
      <c r="Y7">
        <v>0.63413429259999998</v>
      </c>
      <c r="Z7">
        <v>8.0390296900000005E-2</v>
      </c>
      <c r="AA7">
        <v>1.1622270346000001</v>
      </c>
      <c r="AB7">
        <v>-2.2853245735000001</v>
      </c>
      <c r="AC7">
        <v>2.8600628376000001</v>
      </c>
      <c r="AD7">
        <v>-0.5434570313</v>
      </c>
      <c r="AE7">
        <v>-1.1234176159</v>
      </c>
      <c r="AF7">
        <v>-0.424429208</v>
      </c>
      <c r="AG7">
        <v>-0.92156398299999998</v>
      </c>
      <c r="AH7">
        <v>-0.30963337419999998</v>
      </c>
      <c r="AI7">
        <v>0.21408724779999999</v>
      </c>
      <c r="AJ7">
        <v>0.51227629180000001</v>
      </c>
      <c r="AK7">
        <v>1.796601E-4</v>
      </c>
      <c r="AL7">
        <v>4.39340696E-2</v>
      </c>
      <c r="AM7">
        <v>0.23149794339999999</v>
      </c>
      <c r="AN7">
        <v>0.2134065926</v>
      </c>
      <c r="AO7">
        <v>0.23149794339999999</v>
      </c>
      <c r="AP7">
        <v>0.23149794339999999</v>
      </c>
      <c r="AQ7">
        <v>8.2749926440999992</v>
      </c>
      <c r="AR7" t="s">
        <v>268</v>
      </c>
      <c r="AS7" t="s">
        <v>269</v>
      </c>
      <c r="AT7">
        <v>4</v>
      </c>
      <c r="AU7">
        <v>2.9</v>
      </c>
      <c r="AX7">
        <v>1</v>
      </c>
    </row>
    <row r="8" spans="1:50">
      <c r="A8" t="s">
        <v>622</v>
      </c>
      <c r="B8" t="s">
        <v>623</v>
      </c>
      <c r="C8" t="s">
        <v>211</v>
      </c>
      <c r="D8">
        <v>3</v>
      </c>
      <c r="E8" t="s">
        <v>212</v>
      </c>
      <c r="F8" t="s">
        <v>213</v>
      </c>
      <c r="G8" t="s">
        <v>267</v>
      </c>
      <c r="H8" t="s">
        <v>215</v>
      </c>
      <c r="J8" t="s">
        <v>591</v>
      </c>
      <c r="K8" t="s">
        <v>592</v>
      </c>
      <c r="L8" t="s">
        <v>593</v>
      </c>
      <c r="M8" t="s">
        <v>594</v>
      </c>
      <c r="N8" t="s">
        <v>595</v>
      </c>
      <c r="O8">
        <v>0</v>
      </c>
      <c r="P8">
        <v>0</v>
      </c>
      <c r="Q8">
        <v>-2.3067000000000001E-5</v>
      </c>
      <c r="R8">
        <v>5.6551513672000002</v>
      </c>
      <c r="S8">
        <v>2.0677411555999998</v>
      </c>
      <c r="T8">
        <v>-2.3936903477000002</v>
      </c>
      <c r="U8">
        <v>4.8851118087999996</v>
      </c>
      <c r="V8">
        <v>-6.1307344436999998</v>
      </c>
      <c r="W8">
        <v>-0.79967975619999998</v>
      </c>
      <c r="X8">
        <v>3.6085915565</v>
      </c>
      <c r="Y8">
        <v>2.5104165077</v>
      </c>
      <c r="Z8">
        <v>0.103815794</v>
      </c>
      <c r="AA8">
        <v>1.7326416969</v>
      </c>
      <c r="AB8">
        <v>-1.9269523621</v>
      </c>
      <c r="AC8">
        <v>1.6850157976</v>
      </c>
      <c r="AD8">
        <v>0.31148660179999998</v>
      </c>
      <c r="AE8">
        <v>-1.6201311350000001</v>
      </c>
      <c r="AF8">
        <v>-0.6885206103</v>
      </c>
      <c r="AG8">
        <v>0.28695517780000002</v>
      </c>
      <c r="AH8">
        <v>-0.47523045539999997</v>
      </c>
      <c r="AI8">
        <v>0.70805096629999997</v>
      </c>
      <c r="AJ8">
        <v>-0.58978247640000003</v>
      </c>
      <c r="AK8">
        <v>1.498874E-4</v>
      </c>
      <c r="AL8">
        <v>3.9053924400000002E-2</v>
      </c>
      <c r="AM8">
        <v>0.14548882839999999</v>
      </c>
      <c r="AN8">
        <v>0.1149533316</v>
      </c>
      <c r="AO8">
        <v>0.14548882839999999</v>
      </c>
      <c r="AP8">
        <v>0.1679912955</v>
      </c>
      <c r="AQ8">
        <v>6.0213196619999998</v>
      </c>
      <c r="AR8" t="s">
        <v>268</v>
      </c>
      <c r="AS8" t="s">
        <v>269</v>
      </c>
      <c r="AT8">
        <v>4</v>
      </c>
      <c r="AU8">
        <v>2.9</v>
      </c>
      <c r="AX8">
        <v>1</v>
      </c>
    </row>
    <row r="9" spans="1:50">
      <c r="A9" t="s">
        <v>624</v>
      </c>
      <c r="B9" t="s">
        <v>625</v>
      </c>
      <c r="C9" t="s">
        <v>211</v>
      </c>
      <c r="D9">
        <v>3</v>
      </c>
      <c r="E9" t="s">
        <v>212</v>
      </c>
      <c r="F9" t="s">
        <v>213</v>
      </c>
      <c r="G9" t="s">
        <v>267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1.19209E-5</v>
      </c>
      <c r="R9">
        <v>7.8587703705000003</v>
      </c>
      <c r="S9">
        <v>4.8485555648999998</v>
      </c>
      <c r="T9">
        <v>2.9378581047000001</v>
      </c>
      <c r="U9">
        <v>8.0829801558999996</v>
      </c>
      <c r="V9">
        <v>-5.5244903564000003</v>
      </c>
      <c r="W9">
        <v>0.87330824139999996</v>
      </c>
      <c r="X9">
        <v>-0.60635972019999995</v>
      </c>
      <c r="Y9">
        <v>1.0062088966</v>
      </c>
      <c r="Z9">
        <v>6.8878710300000007E-2</v>
      </c>
      <c r="AA9">
        <v>-0.2192271948</v>
      </c>
      <c r="AB9">
        <v>-2.8859028815999999</v>
      </c>
      <c r="AC9">
        <v>1.3433555365000001</v>
      </c>
      <c r="AD9">
        <v>-1.5985693932</v>
      </c>
      <c r="AE9">
        <v>-0.39381217959999998</v>
      </c>
      <c r="AF9">
        <v>-0.86546367410000002</v>
      </c>
      <c r="AG9">
        <v>-3.7661552399999999E-2</v>
      </c>
      <c r="AH9">
        <v>-0.34640812869999998</v>
      </c>
      <c r="AI9">
        <v>-0.2089869976</v>
      </c>
      <c r="AJ9">
        <v>0.64991080759999997</v>
      </c>
      <c r="AK9">
        <v>1.734463E-4</v>
      </c>
      <c r="AL9">
        <v>4.16605845E-2</v>
      </c>
      <c r="AM9">
        <v>0.1603605598</v>
      </c>
      <c r="AN9">
        <v>0.13881529870000001</v>
      </c>
      <c r="AO9">
        <v>0.2607191801</v>
      </c>
      <c r="AP9">
        <v>0.2607191801</v>
      </c>
      <c r="AQ9">
        <v>9.2341086631000007</v>
      </c>
      <c r="AR9" t="s">
        <v>268</v>
      </c>
      <c r="AS9" t="s">
        <v>269</v>
      </c>
      <c r="AT9">
        <v>4</v>
      </c>
      <c r="AU9">
        <v>2.9</v>
      </c>
      <c r="AX9">
        <v>1</v>
      </c>
    </row>
    <row r="10" spans="1:50">
      <c r="A10" t="s">
        <v>639</v>
      </c>
      <c r="B10" t="s">
        <v>640</v>
      </c>
      <c r="C10" t="s">
        <v>211</v>
      </c>
      <c r="D10">
        <v>3</v>
      </c>
      <c r="E10" t="s">
        <v>212</v>
      </c>
      <c r="F10" t="s">
        <v>213</v>
      </c>
      <c r="G10" t="s">
        <v>267</v>
      </c>
      <c r="H10" t="s">
        <v>215</v>
      </c>
      <c r="J10" t="s">
        <v>617</v>
      </c>
      <c r="K10" t="s">
        <v>618</v>
      </c>
      <c r="L10" t="s">
        <v>619</v>
      </c>
      <c r="M10" t="s">
        <v>620</v>
      </c>
      <c r="N10" t="s">
        <v>621</v>
      </c>
      <c r="O10">
        <v>0</v>
      </c>
      <c r="P10">
        <v>0</v>
      </c>
      <c r="Q10">
        <v>-3.8147000000000001E-6</v>
      </c>
      <c r="R10">
        <v>11.7234067917</v>
      </c>
      <c r="S10">
        <v>1.5055184364</v>
      </c>
      <c r="T10">
        <v>4.8636946677999999</v>
      </c>
      <c r="U10">
        <v>8.4023332596000007</v>
      </c>
      <c r="V10">
        <v>-5.1681222915999996</v>
      </c>
      <c r="W10">
        <v>-1.5040980577</v>
      </c>
      <c r="X10">
        <v>2.1670286655000002</v>
      </c>
      <c r="Y10">
        <v>5.4315329000000001E-3</v>
      </c>
      <c r="Z10">
        <v>0.73608666659999999</v>
      </c>
      <c r="AA10">
        <v>0.74752420190000002</v>
      </c>
      <c r="AB10">
        <v>-2.8833241463000001</v>
      </c>
      <c r="AC10">
        <v>1.1166990994999999</v>
      </c>
      <c r="AD10">
        <v>-0.3082101941</v>
      </c>
      <c r="AE10">
        <v>-1.1337937117000001</v>
      </c>
      <c r="AF10">
        <v>-0.33202534909999998</v>
      </c>
      <c r="AG10">
        <v>-0.22574707869999999</v>
      </c>
      <c r="AH10">
        <v>-0.247667253</v>
      </c>
      <c r="AI10">
        <v>-0.16183686259999999</v>
      </c>
      <c r="AJ10">
        <v>-0.14156025650000001</v>
      </c>
      <c r="AK10">
        <v>1.3992590000000001E-4</v>
      </c>
      <c r="AL10">
        <v>3.82897705E-2</v>
      </c>
      <c r="AM10">
        <v>0.1949405521</v>
      </c>
      <c r="AN10">
        <v>9.4545185599999998E-2</v>
      </c>
      <c r="AO10">
        <v>0.2701056302</v>
      </c>
      <c r="AP10">
        <v>0.2701056302</v>
      </c>
      <c r="AQ10">
        <v>11.8196807303</v>
      </c>
      <c r="AR10" t="s">
        <v>268</v>
      </c>
      <c r="AS10" t="s">
        <v>269</v>
      </c>
      <c r="AT10">
        <v>4</v>
      </c>
      <c r="AU10">
        <v>2.9</v>
      </c>
      <c r="AX10">
        <v>1</v>
      </c>
    </row>
    <row r="11" spans="1:50">
      <c r="A11" t="s">
        <v>642</v>
      </c>
      <c r="B11" t="s">
        <v>643</v>
      </c>
      <c r="C11" t="s">
        <v>211</v>
      </c>
      <c r="D11">
        <v>3</v>
      </c>
      <c r="E11" t="s">
        <v>212</v>
      </c>
      <c r="F11" t="s">
        <v>213</v>
      </c>
      <c r="G11" t="s">
        <v>267</v>
      </c>
      <c r="H11" t="s">
        <v>215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5.7219999999999996E-6</v>
      </c>
      <c r="R11">
        <v>1.9231592417000001</v>
      </c>
      <c r="S11">
        <v>1.5140753983999999</v>
      </c>
      <c r="T11">
        <v>-1.1406983137</v>
      </c>
      <c r="U11">
        <v>3.976139307</v>
      </c>
      <c r="V11">
        <v>-2.2702593803000002</v>
      </c>
      <c r="W11">
        <v>2.3264775275999998</v>
      </c>
      <c r="X11">
        <v>1.0529201030999999</v>
      </c>
      <c r="Y11">
        <v>1.3338963985000001</v>
      </c>
      <c r="Z11">
        <v>-0.33171087500000002</v>
      </c>
      <c r="AA11">
        <v>-0.39716571569999998</v>
      </c>
      <c r="AB11">
        <v>-1.4479570389</v>
      </c>
      <c r="AC11">
        <v>-0.28668728469999999</v>
      </c>
      <c r="AD11">
        <v>-1.6925755738999999</v>
      </c>
      <c r="AE11">
        <v>-0.29826739429999999</v>
      </c>
      <c r="AF11">
        <v>-0.32963323589999999</v>
      </c>
      <c r="AG11">
        <v>0.2169781029</v>
      </c>
      <c r="AH11">
        <v>0.17684289810000001</v>
      </c>
      <c r="AI11">
        <v>-0.54022419450000003</v>
      </c>
      <c r="AJ11">
        <v>-0.12628515060000001</v>
      </c>
      <c r="AK11">
        <v>2.142453E-4</v>
      </c>
      <c r="AL11">
        <v>4.7945223699999998E-2</v>
      </c>
      <c r="AM11">
        <v>4.3896101399999998E-2</v>
      </c>
      <c r="AN11">
        <v>3.6159608500000003E-2</v>
      </c>
      <c r="AO11">
        <v>8.5746966300000005E-2</v>
      </c>
      <c r="AP11">
        <v>9.3284919899999999E-2</v>
      </c>
      <c r="AQ11">
        <v>2.4476449459</v>
      </c>
      <c r="AR11" t="s">
        <v>268</v>
      </c>
      <c r="AS11" t="s">
        <v>269</v>
      </c>
      <c r="AT11">
        <v>3</v>
      </c>
      <c r="AU11">
        <v>2.9</v>
      </c>
      <c r="AX11">
        <v>1</v>
      </c>
    </row>
    <row r="12" spans="1:50">
      <c r="A12" t="s">
        <v>656</v>
      </c>
      <c r="B12" t="s">
        <v>657</v>
      </c>
      <c r="C12" t="s">
        <v>211</v>
      </c>
      <c r="D12">
        <v>3</v>
      </c>
      <c r="E12" t="s">
        <v>212</v>
      </c>
      <c r="F12" t="s">
        <v>213</v>
      </c>
      <c r="G12" t="s">
        <v>267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1.9311900000000001E-5</v>
      </c>
      <c r="R12">
        <v>3.6994135379999999</v>
      </c>
      <c r="S12">
        <v>4.3978366851999997</v>
      </c>
      <c r="T12">
        <v>2.0012347697999999</v>
      </c>
      <c r="U12">
        <v>2.8307671547000002</v>
      </c>
      <c r="V12">
        <v>-11.2155914307</v>
      </c>
      <c r="W12">
        <v>0.76464551690000004</v>
      </c>
      <c r="X12">
        <v>1.5945911399999999E-2</v>
      </c>
      <c r="Y12">
        <v>-0.15462815760000001</v>
      </c>
      <c r="Z12">
        <v>1.5615725517000001</v>
      </c>
      <c r="AA12">
        <v>0.45037531850000001</v>
      </c>
      <c r="AB12">
        <v>-1.3329564332999999</v>
      </c>
      <c r="AC12">
        <v>3.0675468444999998</v>
      </c>
      <c r="AD12">
        <v>-0.77683871979999997</v>
      </c>
      <c r="AE12">
        <v>-4.70012426E-2</v>
      </c>
      <c r="AF12">
        <v>0.38650366660000002</v>
      </c>
      <c r="AG12">
        <v>-0.76797920470000003</v>
      </c>
      <c r="AH12">
        <v>-0.32657933239999998</v>
      </c>
      <c r="AI12">
        <v>-0.80329269169999995</v>
      </c>
      <c r="AJ12">
        <v>-0.328803122</v>
      </c>
      <c r="AK12">
        <v>1.746989E-4</v>
      </c>
      <c r="AL12">
        <v>4.3120674800000001E-2</v>
      </c>
      <c r="AM12">
        <v>0.1814774871</v>
      </c>
      <c r="AN12">
        <v>0.22067728640000001</v>
      </c>
      <c r="AO12">
        <v>0.22067728640000001</v>
      </c>
      <c r="AP12">
        <v>0.22067728640000001</v>
      </c>
      <c r="AQ12">
        <v>5.7468798521000002</v>
      </c>
      <c r="AR12" t="s">
        <v>268</v>
      </c>
      <c r="AS12" t="s">
        <v>269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670</v>
      </c>
      <c r="C13" t="s">
        <v>211</v>
      </c>
      <c r="D13">
        <v>3</v>
      </c>
      <c r="E13" t="s">
        <v>212</v>
      </c>
      <c r="F13" t="s">
        <v>213</v>
      </c>
      <c r="G13" t="s">
        <v>267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4.6014799999999999E-5</v>
      </c>
      <c r="R13">
        <v>2.6637434958999999</v>
      </c>
      <c r="S13">
        <v>-1.4622337818</v>
      </c>
      <c r="T13">
        <v>1.9944086075</v>
      </c>
      <c r="U13">
        <v>7.4557271003999999</v>
      </c>
      <c r="V13">
        <v>-3.5715875626</v>
      </c>
      <c r="W13">
        <v>1.1466516255999999</v>
      </c>
      <c r="X13">
        <v>2.2754950523000002</v>
      </c>
      <c r="Y13">
        <v>0.50137209890000001</v>
      </c>
      <c r="Z13">
        <v>0.91739284990000003</v>
      </c>
      <c r="AA13">
        <v>0.69844621419999997</v>
      </c>
      <c r="AB13">
        <v>-1.8162137270000001</v>
      </c>
      <c r="AC13">
        <v>0.86007642750000002</v>
      </c>
      <c r="AD13">
        <v>-1.0853375195999999</v>
      </c>
      <c r="AE13">
        <v>-0.36917549370000002</v>
      </c>
      <c r="AF13">
        <v>0.18053245540000001</v>
      </c>
      <c r="AG13">
        <v>0.21117910740000001</v>
      </c>
      <c r="AH13">
        <v>-0.17116317149999999</v>
      </c>
      <c r="AI13">
        <v>-0.4821133018</v>
      </c>
      <c r="AJ13">
        <v>-0.29034477469999997</v>
      </c>
      <c r="AK13">
        <v>1.6745949999999999E-4</v>
      </c>
      <c r="AL13">
        <v>4.1349634500000003E-2</v>
      </c>
      <c r="AM13">
        <v>7.3991447700000004E-2</v>
      </c>
      <c r="AN13">
        <v>8.1382483199999994E-2</v>
      </c>
      <c r="AO13">
        <v>0.1938374192</v>
      </c>
      <c r="AP13">
        <v>0.1938374192</v>
      </c>
      <c r="AQ13">
        <v>3.0386933120999999</v>
      </c>
      <c r="AR13" t="s">
        <v>268</v>
      </c>
      <c r="AS13" t="s">
        <v>269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278</v>
      </c>
      <c r="X1" t="s">
        <v>279</v>
      </c>
      <c r="Y1" t="s">
        <v>280</v>
      </c>
      <c r="Z1" t="s">
        <v>281</v>
      </c>
      <c r="AA1" t="s">
        <v>282</v>
      </c>
      <c r="AB1" t="s">
        <v>283</v>
      </c>
      <c r="AC1" t="s">
        <v>284</v>
      </c>
      <c r="AD1" t="s">
        <v>206</v>
      </c>
      <c r="AE1" t="s">
        <v>207</v>
      </c>
      <c r="AF1" t="s">
        <v>208</v>
      </c>
    </row>
    <row r="2" spans="1:32">
      <c r="A2" t="s">
        <v>265</v>
      </c>
      <c r="B2" t="s">
        <v>285</v>
      </c>
      <c r="C2" t="s">
        <v>211</v>
      </c>
      <c r="D2">
        <v>3</v>
      </c>
      <c r="E2" t="s">
        <v>212</v>
      </c>
      <c r="F2" t="s">
        <v>213</v>
      </c>
      <c r="G2" t="s">
        <v>267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-3.5190615836000001</v>
      </c>
      <c r="R2">
        <v>-24</v>
      </c>
      <c r="S2">
        <v>87.245613054299994</v>
      </c>
      <c r="T2">
        <v>100.4402701986</v>
      </c>
      <c r="U2">
        <v>3.7675825725999998</v>
      </c>
      <c r="V2">
        <v>4.8809861E-3</v>
      </c>
      <c r="W2">
        <v>-7.4641400000000007E-5</v>
      </c>
      <c r="X2">
        <v>3.6988358549</v>
      </c>
      <c r="Y2">
        <v>86.522871277999997</v>
      </c>
      <c r="Z2">
        <v>71.161742440799998</v>
      </c>
      <c r="AA2">
        <v>334.42974177090002</v>
      </c>
      <c r="AB2">
        <v>356.82377851799998</v>
      </c>
      <c r="AC2">
        <v>1</v>
      </c>
      <c r="AF2">
        <v>1</v>
      </c>
    </row>
    <row r="3" spans="1:32">
      <c r="A3" t="s">
        <v>270</v>
      </c>
      <c r="B3" t="s">
        <v>286</v>
      </c>
      <c r="C3" t="s">
        <v>211</v>
      </c>
      <c r="D3">
        <v>3</v>
      </c>
      <c r="E3" t="s">
        <v>212</v>
      </c>
      <c r="F3" t="s">
        <v>213</v>
      </c>
      <c r="G3" t="s">
        <v>267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-3.5190615836000001</v>
      </c>
      <c r="R3">
        <v>-24</v>
      </c>
      <c r="S3">
        <v>88.883099473200005</v>
      </c>
      <c r="T3">
        <v>102.3342805835</v>
      </c>
      <c r="U3">
        <v>3.8428705361</v>
      </c>
      <c r="V3">
        <v>5.5421971999999996E-3</v>
      </c>
      <c r="W3">
        <v>-7.99354E-5</v>
      </c>
      <c r="X3">
        <v>3.8014885497000002</v>
      </c>
      <c r="Y3">
        <v>87.564589116299999</v>
      </c>
      <c r="Z3">
        <v>71.839567079299997</v>
      </c>
      <c r="AA3">
        <v>336.75675288420001</v>
      </c>
      <c r="AB3">
        <v>361.29623062830001</v>
      </c>
      <c r="AC3">
        <v>1</v>
      </c>
      <c r="AF3">
        <v>1</v>
      </c>
    </row>
    <row r="4" spans="1:32">
      <c r="A4" t="s">
        <v>565</v>
      </c>
      <c r="B4" t="s">
        <v>569</v>
      </c>
      <c r="C4" t="s">
        <v>211</v>
      </c>
      <c r="D4">
        <v>3</v>
      </c>
      <c r="E4" t="s">
        <v>212</v>
      </c>
      <c r="F4" t="s">
        <v>213</v>
      </c>
      <c r="G4" t="s">
        <v>267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</v>
      </c>
      <c r="R4">
        <v>0</v>
      </c>
      <c r="S4">
        <v>82.712609279099993</v>
      </c>
      <c r="T4">
        <v>82.712609279099993</v>
      </c>
      <c r="U4">
        <v>3.8029386881999998</v>
      </c>
      <c r="V4">
        <v>4.5875582999999999E-3</v>
      </c>
      <c r="W4">
        <v>-6.9397400000000001E-5</v>
      </c>
      <c r="X4">
        <v>3.7275712368999998</v>
      </c>
      <c r="Y4">
        <v>80.123858034199998</v>
      </c>
      <c r="Z4">
        <v>60.050171494799997</v>
      </c>
      <c r="AA4">
        <v>333.00112813940001</v>
      </c>
      <c r="AB4">
        <v>355.22958738189999</v>
      </c>
      <c r="AC4">
        <v>1</v>
      </c>
      <c r="AF4">
        <v>1</v>
      </c>
    </row>
    <row r="5" spans="1:32">
      <c r="A5" t="s">
        <v>567</v>
      </c>
      <c r="B5" t="s">
        <v>570</v>
      </c>
      <c r="C5" t="s">
        <v>211</v>
      </c>
      <c r="D5">
        <v>3</v>
      </c>
      <c r="E5" t="s">
        <v>212</v>
      </c>
      <c r="F5" t="s">
        <v>213</v>
      </c>
      <c r="G5" t="s">
        <v>267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0</v>
      </c>
      <c r="R5">
        <v>0</v>
      </c>
      <c r="S5">
        <v>89.1444971409</v>
      </c>
      <c r="T5">
        <v>89.1444971409</v>
      </c>
      <c r="U5">
        <v>3.8102852760000001</v>
      </c>
      <c r="V5">
        <v>5.9229323999999998E-3</v>
      </c>
      <c r="W5">
        <v>-7.9135700000000002E-5</v>
      </c>
      <c r="X5">
        <v>3.7767416005999999</v>
      </c>
      <c r="Y5">
        <v>88.798279206499998</v>
      </c>
      <c r="Z5">
        <v>68.869754760399999</v>
      </c>
      <c r="AA5">
        <v>337.3206749698</v>
      </c>
      <c r="AB5">
        <v>360.92467628499998</v>
      </c>
      <c r="AC5">
        <v>1</v>
      </c>
      <c r="AF5">
        <v>1</v>
      </c>
    </row>
    <row r="6" spans="1:32">
      <c r="A6" t="s">
        <v>596</v>
      </c>
      <c r="B6" t="s">
        <v>600</v>
      </c>
      <c r="C6" t="s">
        <v>211</v>
      </c>
      <c r="D6">
        <v>3</v>
      </c>
      <c r="E6" t="s">
        <v>212</v>
      </c>
      <c r="F6" t="s">
        <v>213</v>
      </c>
      <c r="G6" t="s">
        <v>267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-1.1730205279000001</v>
      </c>
      <c r="R6">
        <v>-8</v>
      </c>
      <c r="S6">
        <v>90.180425274599997</v>
      </c>
      <c r="T6">
        <v>94.602982387899999</v>
      </c>
      <c r="U6">
        <v>3.7757646943999998</v>
      </c>
      <c r="V6">
        <v>4.6353636999999998E-3</v>
      </c>
      <c r="W6">
        <v>-7.0770499999999996E-5</v>
      </c>
      <c r="X6">
        <v>3.6989379323999998</v>
      </c>
      <c r="Y6">
        <v>88.444096548900006</v>
      </c>
      <c r="Z6">
        <v>71.644447658399997</v>
      </c>
      <c r="AA6">
        <v>334.34001580490002</v>
      </c>
      <c r="AB6">
        <v>357.76612947569998</v>
      </c>
      <c r="AC6">
        <v>1</v>
      </c>
      <c r="AF6">
        <v>1</v>
      </c>
    </row>
    <row r="7" spans="1:32">
      <c r="A7" t="s">
        <v>598</v>
      </c>
      <c r="B7" t="s">
        <v>601</v>
      </c>
      <c r="C7" t="s">
        <v>211</v>
      </c>
      <c r="D7">
        <v>3</v>
      </c>
      <c r="E7" t="s">
        <v>212</v>
      </c>
      <c r="F7" t="s">
        <v>213</v>
      </c>
      <c r="G7" t="s">
        <v>267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-1.1730205279000001</v>
      </c>
      <c r="R7">
        <v>-8</v>
      </c>
      <c r="S7">
        <v>92.520477442399994</v>
      </c>
      <c r="T7">
        <v>96.962199642499996</v>
      </c>
      <c r="U7">
        <v>3.7927605289000001</v>
      </c>
      <c r="V7">
        <v>5.1891617000000001E-3</v>
      </c>
      <c r="W7">
        <v>-7.6571100000000003E-5</v>
      </c>
      <c r="X7">
        <v>3.7218735301999999</v>
      </c>
      <c r="Y7">
        <v>91.551152155300002</v>
      </c>
      <c r="Z7">
        <v>72.127213591599997</v>
      </c>
      <c r="AA7">
        <v>335.9849202533</v>
      </c>
      <c r="AB7">
        <v>357.81564981909997</v>
      </c>
      <c r="AC7">
        <v>1</v>
      </c>
      <c r="AF7">
        <v>1</v>
      </c>
    </row>
    <row r="8" spans="1:32">
      <c r="A8" t="s">
        <v>622</v>
      </c>
      <c r="B8" t="s">
        <v>626</v>
      </c>
      <c r="C8" t="s">
        <v>211</v>
      </c>
      <c r="D8">
        <v>3</v>
      </c>
      <c r="E8" t="s">
        <v>212</v>
      </c>
      <c r="F8" t="s">
        <v>213</v>
      </c>
      <c r="G8" t="s">
        <v>267</v>
      </c>
      <c r="H8" t="s">
        <v>215</v>
      </c>
      <c r="J8" t="s">
        <v>591</v>
      </c>
      <c r="K8" t="s">
        <v>592</v>
      </c>
      <c r="L8" t="s">
        <v>593</v>
      </c>
      <c r="M8" t="s">
        <v>594</v>
      </c>
      <c r="N8" t="s">
        <v>595</v>
      </c>
      <c r="O8">
        <v>0</v>
      </c>
      <c r="P8">
        <v>0</v>
      </c>
      <c r="Q8">
        <v>-2.3460410557000002</v>
      </c>
      <c r="R8">
        <v>-16</v>
      </c>
      <c r="S8">
        <v>88.734587394399995</v>
      </c>
      <c r="T8">
        <v>97.950001206099998</v>
      </c>
      <c r="U8">
        <v>3.9412550044999999</v>
      </c>
      <c r="V8">
        <v>5.4294076E-3</v>
      </c>
      <c r="W8">
        <v>-8.1261199999999994E-5</v>
      </c>
      <c r="X8">
        <v>3.8868815996000001</v>
      </c>
      <c r="Y8">
        <v>87.906905997999999</v>
      </c>
      <c r="Z8">
        <v>70.643687231000001</v>
      </c>
      <c r="AA8">
        <v>338.56399416620002</v>
      </c>
      <c r="AB8">
        <v>362.13605090300001</v>
      </c>
      <c r="AC8">
        <v>1</v>
      </c>
      <c r="AF8">
        <v>1</v>
      </c>
    </row>
    <row r="9" spans="1:32">
      <c r="A9" t="s">
        <v>624</v>
      </c>
      <c r="B9" t="s">
        <v>627</v>
      </c>
      <c r="C9" t="s">
        <v>211</v>
      </c>
      <c r="D9">
        <v>3</v>
      </c>
      <c r="E9" t="s">
        <v>212</v>
      </c>
      <c r="F9" t="s">
        <v>213</v>
      </c>
      <c r="G9" t="s">
        <v>267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-2.3460410557000002</v>
      </c>
      <c r="R9">
        <v>-16</v>
      </c>
      <c r="S9">
        <v>87.849147527400007</v>
      </c>
      <c r="T9">
        <v>96.979792025799995</v>
      </c>
      <c r="U9">
        <v>3.9035217288999999</v>
      </c>
      <c r="V9">
        <v>4.7563515000000004E-3</v>
      </c>
      <c r="W9">
        <v>-7.7384200000000004E-5</v>
      </c>
      <c r="X9">
        <v>3.8114274477999999</v>
      </c>
      <c r="Y9">
        <v>86.107339927300004</v>
      </c>
      <c r="Z9">
        <v>69.574416580499999</v>
      </c>
      <c r="AA9">
        <v>339.54611932969999</v>
      </c>
      <c r="AB9">
        <v>363.56998271639998</v>
      </c>
      <c r="AC9">
        <v>1</v>
      </c>
      <c r="AF9">
        <v>1</v>
      </c>
    </row>
    <row r="10" spans="1:32">
      <c r="A10" t="s">
        <v>639</v>
      </c>
      <c r="B10" t="s">
        <v>641</v>
      </c>
      <c r="C10" t="s">
        <v>211</v>
      </c>
      <c r="D10">
        <v>3</v>
      </c>
      <c r="E10" t="s">
        <v>212</v>
      </c>
      <c r="F10" t="s">
        <v>213</v>
      </c>
      <c r="G10" t="s">
        <v>267</v>
      </c>
      <c r="H10" t="s">
        <v>215</v>
      </c>
      <c r="J10" t="s">
        <v>617</v>
      </c>
      <c r="K10" t="s">
        <v>618</v>
      </c>
      <c r="L10" t="s">
        <v>619</v>
      </c>
      <c r="M10" t="s">
        <v>620</v>
      </c>
      <c r="N10" t="s">
        <v>621</v>
      </c>
      <c r="O10">
        <v>0</v>
      </c>
      <c r="P10">
        <v>0</v>
      </c>
      <c r="Q10">
        <v>-1.1730205279000001</v>
      </c>
      <c r="R10">
        <v>-8</v>
      </c>
      <c r="S10">
        <v>82.417422906400006</v>
      </c>
      <c r="T10">
        <v>86.994430755600007</v>
      </c>
      <c r="U10">
        <v>3.9065563175000002</v>
      </c>
      <c r="V10">
        <v>3.8891212999999998E-3</v>
      </c>
      <c r="W10">
        <v>-6.9119499999999994E-5</v>
      </c>
      <c r="X10">
        <v>3.8105842408999999</v>
      </c>
      <c r="Y10">
        <v>82.1966482184</v>
      </c>
      <c r="Z10">
        <v>65.865232836999994</v>
      </c>
      <c r="AA10">
        <v>327.81281017539999</v>
      </c>
      <c r="AB10">
        <v>351.24300947820001</v>
      </c>
      <c r="AC10">
        <v>1</v>
      </c>
      <c r="AF10">
        <v>1</v>
      </c>
    </row>
    <row r="11" spans="1:32">
      <c r="A11" t="s">
        <v>642</v>
      </c>
      <c r="B11" t="s">
        <v>644</v>
      </c>
      <c r="C11" t="s">
        <v>211</v>
      </c>
      <c r="D11">
        <v>3</v>
      </c>
      <c r="E11" t="s">
        <v>212</v>
      </c>
      <c r="F11" t="s">
        <v>213</v>
      </c>
      <c r="G11" t="s">
        <v>267</v>
      </c>
      <c r="H11" t="s">
        <v>215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0</v>
      </c>
      <c r="R11">
        <v>0</v>
      </c>
      <c r="S11">
        <v>93.516616536000001</v>
      </c>
      <c r="T11">
        <v>93.516616536000001</v>
      </c>
      <c r="U11">
        <v>3.8170925132</v>
      </c>
      <c r="V11">
        <v>5.6970251999999997E-3</v>
      </c>
      <c r="W11">
        <v>-7.5713100000000005E-5</v>
      </c>
      <c r="X11">
        <v>3.7872004486000002</v>
      </c>
      <c r="Y11">
        <v>86.423717449099996</v>
      </c>
      <c r="Z11">
        <v>69.115018014599997</v>
      </c>
      <c r="AA11">
        <v>338.75318555209998</v>
      </c>
      <c r="AB11">
        <v>362.10027124210001</v>
      </c>
      <c r="AC11">
        <v>1</v>
      </c>
      <c r="AF11">
        <v>1</v>
      </c>
    </row>
    <row r="12" spans="1:32">
      <c r="A12" t="s">
        <v>656</v>
      </c>
      <c r="B12" t="s">
        <v>658</v>
      </c>
      <c r="C12" t="s">
        <v>211</v>
      </c>
      <c r="D12">
        <v>3</v>
      </c>
      <c r="E12" t="s">
        <v>212</v>
      </c>
      <c r="F12" t="s">
        <v>213</v>
      </c>
      <c r="G12" t="s">
        <v>267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0</v>
      </c>
      <c r="R12">
        <v>0</v>
      </c>
      <c r="S12">
        <v>92.015533845500002</v>
      </c>
      <c r="T12">
        <v>92.015533845500002</v>
      </c>
      <c r="U12">
        <v>3.779585247</v>
      </c>
      <c r="V12">
        <v>5.4890199999999998E-3</v>
      </c>
      <c r="W12">
        <v>-7.55623E-5</v>
      </c>
      <c r="X12">
        <v>3.7232232724999998</v>
      </c>
      <c r="Y12">
        <v>90.891634130599996</v>
      </c>
      <c r="Z12">
        <v>76.359862726900005</v>
      </c>
      <c r="AA12">
        <v>339.8784228005</v>
      </c>
      <c r="AB12">
        <v>363.0918561268</v>
      </c>
      <c r="AC12">
        <v>1</v>
      </c>
      <c r="AF12">
        <v>1</v>
      </c>
    </row>
    <row r="13" spans="1:32">
      <c r="A13" t="s">
        <v>668</v>
      </c>
      <c r="B13" t="s">
        <v>669</v>
      </c>
      <c r="C13" t="s">
        <v>211</v>
      </c>
      <c r="D13">
        <v>3</v>
      </c>
      <c r="E13" t="s">
        <v>212</v>
      </c>
      <c r="F13" t="s">
        <v>213</v>
      </c>
      <c r="G13" t="s">
        <v>267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-2.3460410557000002</v>
      </c>
      <c r="R13">
        <v>-16</v>
      </c>
      <c r="S13">
        <v>88.623476580900004</v>
      </c>
      <c r="T13">
        <v>97.822854517600007</v>
      </c>
      <c r="U13">
        <v>3.9324022179</v>
      </c>
      <c r="V13">
        <v>4.581066E-3</v>
      </c>
      <c r="W13">
        <v>-7.6310000000000006E-5</v>
      </c>
      <c r="X13">
        <v>3.8473453502999999</v>
      </c>
      <c r="Y13">
        <v>87.575182126399994</v>
      </c>
      <c r="Z13">
        <v>70.042314609200005</v>
      </c>
      <c r="AA13">
        <v>334.77483988019998</v>
      </c>
      <c r="AB13">
        <v>358.95818054910001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287</v>
      </c>
      <c r="R1" t="s">
        <v>288</v>
      </c>
      <c r="S1" t="s">
        <v>289</v>
      </c>
      <c r="T1" t="s">
        <v>290</v>
      </c>
      <c r="U1" t="s">
        <v>291</v>
      </c>
      <c r="V1" t="s">
        <v>292</v>
      </c>
      <c r="W1" t="s">
        <v>293</v>
      </c>
      <c r="X1" t="s">
        <v>294</v>
      </c>
      <c r="Y1" t="s">
        <v>295</v>
      </c>
      <c r="Z1" t="s">
        <v>296</v>
      </c>
      <c r="AA1" t="s">
        <v>297</v>
      </c>
      <c r="AB1" t="s">
        <v>298</v>
      </c>
      <c r="AC1" t="s">
        <v>299</v>
      </c>
      <c r="AD1" t="s">
        <v>300</v>
      </c>
      <c r="AE1" t="s">
        <v>301</v>
      </c>
      <c r="AF1" t="s">
        <v>302</v>
      </c>
      <c r="AG1" t="s">
        <v>303</v>
      </c>
      <c r="AH1" t="s">
        <v>304</v>
      </c>
      <c r="AI1" t="s">
        <v>305</v>
      </c>
      <c r="AJ1" t="s">
        <v>306</v>
      </c>
      <c r="AK1" t="s">
        <v>307</v>
      </c>
      <c r="AL1" t="s">
        <v>308</v>
      </c>
      <c r="AM1" t="s">
        <v>309</v>
      </c>
      <c r="AN1" t="s">
        <v>310</v>
      </c>
      <c r="AO1" t="s">
        <v>311</v>
      </c>
      <c r="AP1" t="s">
        <v>312</v>
      </c>
      <c r="AQ1" t="s">
        <v>313</v>
      </c>
      <c r="AR1" t="s">
        <v>314</v>
      </c>
      <c r="AS1" t="s">
        <v>315</v>
      </c>
      <c r="AT1" t="s">
        <v>316</v>
      </c>
      <c r="AU1" t="s">
        <v>317</v>
      </c>
      <c r="AV1" t="s">
        <v>318</v>
      </c>
      <c r="AW1" t="s">
        <v>319</v>
      </c>
      <c r="AX1" t="s">
        <v>320</v>
      </c>
      <c r="AY1" t="s">
        <v>321</v>
      </c>
      <c r="AZ1" t="s">
        <v>322</v>
      </c>
      <c r="BA1" t="s">
        <v>323</v>
      </c>
      <c r="BB1" t="s">
        <v>324</v>
      </c>
      <c r="BC1" t="s">
        <v>325</v>
      </c>
      <c r="BD1" t="s">
        <v>326</v>
      </c>
      <c r="BE1" t="s">
        <v>327</v>
      </c>
      <c r="BF1" t="s">
        <v>328</v>
      </c>
      <c r="BG1" t="s">
        <v>329</v>
      </c>
      <c r="BH1" t="s">
        <v>330</v>
      </c>
      <c r="BI1" t="s">
        <v>331</v>
      </c>
      <c r="BJ1" t="s">
        <v>332</v>
      </c>
      <c r="BK1" t="s">
        <v>333</v>
      </c>
      <c r="BL1" t="s">
        <v>334</v>
      </c>
      <c r="BM1" t="s">
        <v>335</v>
      </c>
      <c r="BN1" t="s">
        <v>336</v>
      </c>
      <c r="BO1" t="s">
        <v>337</v>
      </c>
      <c r="BP1" t="s">
        <v>338</v>
      </c>
      <c r="BQ1" t="s">
        <v>339</v>
      </c>
      <c r="BR1" t="s">
        <v>340</v>
      </c>
      <c r="BS1" t="s">
        <v>341</v>
      </c>
      <c r="BT1" t="s">
        <v>342</v>
      </c>
      <c r="BU1" t="s">
        <v>343</v>
      </c>
      <c r="BV1" t="s">
        <v>344</v>
      </c>
      <c r="BW1" t="s">
        <v>345</v>
      </c>
      <c r="BX1" t="s">
        <v>346</v>
      </c>
      <c r="BY1" t="s">
        <v>347</v>
      </c>
      <c r="BZ1" t="s">
        <v>348</v>
      </c>
      <c r="CA1" t="s">
        <v>349</v>
      </c>
      <c r="CB1" t="s">
        <v>350</v>
      </c>
      <c r="CC1" t="s">
        <v>351</v>
      </c>
      <c r="CD1" t="s">
        <v>352</v>
      </c>
      <c r="CE1" t="s">
        <v>353</v>
      </c>
      <c r="CF1" t="s">
        <v>354</v>
      </c>
      <c r="CG1" t="s">
        <v>355</v>
      </c>
      <c r="CH1" t="s">
        <v>356</v>
      </c>
      <c r="CI1" t="s">
        <v>357</v>
      </c>
      <c r="CJ1" t="s">
        <v>358</v>
      </c>
      <c r="CK1" t="s">
        <v>359</v>
      </c>
      <c r="CL1" t="s">
        <v>360</v>
      </c>
      <c r="CM1" t="s">
        <v>361</v>
      </c>
      <c r="CN1" t="s">
        <v>362</v>
      </c>
      <c r="CO1" t="s">
        <v>363</v>
      </c>
      <c r="CP1" t="s">
        <v>364</v>
      </c>
      <c r="CQ1" t="s">
        <v>365</v>
      </c>
      <c r="CR1" t="s">
        <v>366</v>
      </c>
      <c r="CS1" t="s">
        <v>367</v>
      </c>
      <c r="CT1" t="s">
        <v>368</v>
      </c>
      <c r="CU1" t="s">
        <v>369</v>
      </c>
      <c r="CV1" t="s">
        <v>370</v>
      </c>
      <c r="CW1" t="s">
        <v>371</v>
      </c>
      <c r="CX1" t="s">
        <v>372</v>
      </c>
      <c r="CY1" t="s">
        <v>373</v>
      </c>
      <c r="CZ1" t="s">
        <v>374</v>
      </c>
      <c r="DA1" t="s">
        <v>375</v>
      </c>
      <c r="DB1" t="s">
        <v>376</v>
      </c>
      <c r="DC1" t="s">
        <v>377</v>
      </c>
      <c r="DD1" t="s">
        <v>378</v>
      </c>
      <c r="DE1" t="s">
        <v>379</v>
      </c>
      <c r="DF1" t="s">
        <v>380</v>
      </c>
      <c r="DG1" t="s">
        <v>381</v>
      </c>
      <c r="DH1" t="s">
        <v>382</v>
      </c>
      <c r="DI1" t="s">
        <v>383</v>
      </c>
      <c r="DJ1" t="s">
        <v>384</v>
      </c>
      <c r="DK1" t="s">
        <v>385</v>
      </c>
      <c r="DL1" t="s">
        <v>386</v>
      </c>
      <c r="DM1" t="s">
        <v>387</v>
      </c>
      <c r="DN1" t="s">
        <v>388</v>
      </c>
      <c r="DO1" t="s">
        <v>389</v>
      </c>
      <c r="DP1" t="s">
        <v>390</v>
      </c>
      <c r="DQ1" t="s">
        <v>391</v>
      </c>
      <c r="DR1" t="s">
        <v>392</v>
      </c>
      <c r="DS1" t="s">
        <v>393</v>
      </c>
      <c r="DT1" t="s">
        <v>394</v>
      </c>
      <c r="DU1" t="s">
        <v>395</v>
      </c>
      <c r="DV1" t="s">
        <v>396</v>
      </c>
      <c r="DW1" t="s">
        <v>397</v>
      </c>
      <c r="DX1" t="s">
        <v>398</v>
      </c>
      <c r="DY1" t="s">
        <v>399</v>
      </c>
      <c r="DZ1" t="s">
        <v>400</v>
      </c>
      <c r="EA1" t="s">
        <v>401</v>
      </c>
      <c r="EB1" t="s">
        <v>402</v>
      </c>
      <c r="EC1" t="s">
        <v>403</v>
      </c>
      <c r="ED1" t="s">
        <v>404</v>
      </c>
      <c r="EE1" t="s">
        <v>405</v>
      </c>
      <c r="EF1" t="s">
        <v>406</v>
      </c>
      <c r="EG1" t="s">
        <v>407</v>
      </c>
      <c r="EH1" t="s">
        <v>408</v>
      </c>
      <c r="EI1" t="s">
        <v>409</v>
      </c>
      <c r="EJ1" t="s">
        <v>410</v>
      </c>
      <c r="EK1" t="s">
        <v>411</v>
      </c>
      <c r="EL1" t="s">
        <v>412</v>
      </c>
      <c r="EM1" t="s">
        <v>413</v>
      </c>
      <c r="EN1" t="s">
        <v>414</v>
      </c>
      <c r="EO1" t="s">
        <v>415</v>
      </c>
      <c r="EP1" t="s">
        <v>416</v>
      </c>
      <c r="EQ1" t="s">
        <v>417</v>
      </c>
      <c r="ER1" t="s">
        <v>418</v>
      </c>
      <c r="ES1" t="s">
        <v>419</v>
      </c>
      <c r="ET1" t="s">
        <v>420</v>
      </c>
      <c r="EU1" t="s">
        <v>421</v>
      </c>
      <c r="EV1" t="s">
        <v>422</v>
      </c>
      <c r="EW1" t="s">
        <v>423</v>
      </c>
      <c r="EX1" t="s">
        <v>424</v>
      </c>
      <c r="EY1" t="s">
        <v>425</v>
      </c>
      <c r="EZ1" t="s">
        <v>426</v>
      </c>
      <c r="FA1" t="s">
        <v>427</v>
      </c>
      <c r="FB1" t="s">
        <v>428</v>
      </c>
      <c r="FC1" t="s">
        <v>429</v>
      </c>
      <c r="FD1" t="s">
        <v>430</v>
      </c>
      <c r="FE1" t="s">
        <v>431</v>
      </c>
      <c r="FF1" t="s">
        <v>432</v>
      </c>
      <c r="FG1" t="s">
        <v>433</v>
      </c>
      <c r="FH1" t="s">
        <v>434</v>
      </c>
      <c r="FI1" t="s">
        <v>435</v>
      </c>
      <c r="FJ1" t="s">
        <v>436</v>
      </c>
      <c r="FK1" t="s">
        <v>437</v>
      </c>
      <c r="FL1" t="s">
        <v>438</v>
      </c>
      <c r="FM1" t="s">
        <v>439</v>
      </c>
      <c r="FN1" t="s">
        <v>440</v>
      </c>
      <c r="FO1" t="s">
        <v>441</v>
      </c>
      <c r="FP1" t="s">
        <v>442</v>
      </c>
      <c r="FQ1" t="s">
        <v>443</v>
      </c>
      <c r="FR1" t="s">
        <v>444</v>
      </c>
      <c r="FS1" t="s">
        <v>445</v>
      </c>
      <c r="FT1" t="s">
        <v>446</v>
      </c>
      <c r="FU1" t="s">
        <v>447</v>
      </c>
      <c r="FV1" t="s">
        <v>448</v>
      </c>
      <c r="FW1" t="s">
        <v>449</v>
      </c>
      <c r="FX1" t="s">
        <v>450</v>
      </c>
      <c r="FY1" t="s">
        <v>451</v>
      </c>
      <c r="FZ1" t="s">
        <v>452</v>
      </c>
      <c r="GA1" t="s">
        <v>453</v>
      </c>
      <c r="GB1" t="s">
        <v>454</v>
      </c>
      <c r="GC1" t="s">
        <v>455</v>
      </c>
      <c r="GD1" t="s">
        <v>456</v>
      </c>
      <c r="GE1" t="s">
        <v>457</v>
      </c>
      <c r="GF1" t="s">
        <v>458</v>
      </c>
      <c r="GG1" t="s">
        <v>459</v>
      </c>
      <c r="GH1" t="s">
        <v>460</v>
      </c>
      <c r="GI1" t="s">
        <v>461</v>
      </c>
      <c r="GJ1" t="s">
        <v>462</v>
      </c>
      <c r="GK1" t="s">
        <v>463</v>
      </c>
      <c r="GL1" t="s">
        <v>464</v>
      </c>
      <c r="GM1" t="s">
        <v>465</v>
      </c>
      <c r="GN1" t="s">
        <v>466</v>
      </c>
      <c r="GO1" t="s">
        <v>467</v>
      </c>
      <c r="GP1" t="s">
        <v>468</v>
      </c>
      <c r="GQ1" t="s">
        <v>469</v>
      </c>
      <c r="GR1" t="s">
        <v>470</v>
      </c>
      <c r="GS1" t="s">
        <v>471</v>
      </c>
      <c r="GT1" t="s">
        <v>472</v>
      </c>
      <c r="GU1" t="s">
        <v>473</v>
      </c>
      <c r="GV1" t="s">
        <v>474</v>
      </c>
      <c r="GW1" t="s">
        <v>475</v>
      </c>
      <c r="GX1" t="s">
        <v>476</v>
      </c>
      <c r="GY1" t="s">
        <v>477</v>
      </c>
      <c r="GZ1" t="s">
        <v>478</v>
      </c>
      <c r="HA1" t="s">
        <v>479</v>
      </c>
      <c r="HB1" t="s">
        <v>480</v>
      </c>
      <c r="HC1" t="s">
        <v>481</v>
      </c>
      <c r="HD1" t="s">
        <v>482</v>
      </c>
      <c r="HE1" t="s">
        <v>483</v>
      </c>
      <c r="HF1" t="s">
        <v>484</v>
      </c>
      <c r="HG1" t="s">
        <v>485</v>
      </c>
      <c r="HH1" t="s">
        <v>486</v>
      </c>
      <c r="HI1" t="s">
        <v>487</v>
      </c>
      <c r="HJ1" t="s">
        <v>488</v>
      </c>
      <c r="HK1" t="s">
        <v>489</v>
      </c>
      <c r="HL1" t="s">
        <v>490</v>
      </c>
      <c r="HM1" t="s">
        <v>491</v>
      </c>
      <c r="HN1" t="s">
        <v>492</v>
      </c>
      <c r="HO1" t="s">
        <v>493</v>
      </c>
      <c r="HP1" t="s">
        <v>494</v>
      </c>
      <c r="HQ1" t="s">
        <v>495</v>
      </c>
      <c r="HR1" t="s">
        <v>496</v>
      </c>
      <c r="HS1" t="s">
        <v>497</v>
      </c>
      <c r="HT1" t="s">
        <v>498</v>
      </c>
      <c r="HU1" t="s">
        <v>499</v>
      </c>
      <c r="HV1" t="s">
        <v>500</v>
      </c>
      <c r="HW1" t="s">
        <v>501</v>
      </c>
      <c r="HX1" t="s">
        <v>502</v>
      </c>
      <c r="HY1" t="s">
        <v>503</v>
      </c>
      <c r="HZ1" t="s">
        <v>504</v>
      </c>
      <c r="IA1" t="s">
        <v>505</v>
      </c>
      <c r="IB1" t="s">
        <v>506</v>
      </c>
      <c r="IC1" t="s">
        <v>507</v>
      </c>
      <c r="ID1" t="s">
        <v>508</v>
      </c>
      <c r="IE1" t="s">
        <v>509</v>
      </c>
      <c r="IF1" t="s">
        <v>510</v>
      </c>
      <c r="IG1" t="s">
        <v>511</v>
      </c>
      <c r="IH1" t="s">
        <v>512</v>
      </c>
      <c r="II1" t="s">
        <v>513</v>
      </c>
      <c r="IJ1" t="s">
        <v>514</v>
      </c>
      <c r="IK1" t="s">
        <v>515</v>
      </c>
      <c r="IL1" t="s">
        <v>516</v>
      </c>
      <c r="IM1" t="s">
        <v>517</v>
      </c>
      <c r="IN1" t="s">
        <v>518</v>
      </c>
      <c r="IO1" t="s">
        <v>519</v>
      </c>
      <c r="IP1" t="s">
        <v>520</v>
      </c>
      <c r="IQ1" t="s">
        <v>521</v>
      </c>
      <c r="IR1" t="s">
        <v>522</v>
      </c>
      <c r="IS1" t="s">
        <v>523</v>
      </c>
      <c r="IT1" t="s">
        <v>524</v>
      </c>
      <c r="IU1" t="s">
        <v>525</v>
      </c>
      <c r="IV1" t="s">
        <v>526</v>
      </c>
      <c r="IW1" t="s">
        <v>527</v>
      </c>
      <c r="IX1" t="s">
        <v>528</v>
      </c>
      <c r="IY1" t="s">
        <v>529</v>
      </c>
      <c r="IZ1" t="s">
        <v>530</v>
      </c>
      <c r="JA1" t="s">
        <v>531</v>
      </c>
      <c r="JB1" t="s">
        <v>532</v>
      </c>
      <c r="JC1" t="s">
        <v>533</v>
      </c>
      <c r="JD1" t="s">
        <v>534</v>
      </c>
      <c r="JE1" t="s">
        <v>535</v>
      </c>
      <c r="JF1" t="s">
        <v>536</v>
      </c>
      <c r="JG1" t="s">
        <v>537</v>
      </c>
      <c r="JH1" t="s">
        <v>538</v>
      </c>
      <c r="JI1" t="s">
        <v>539</v>
      </c>
      <c r="JJ1" t="s">
        <v>540</v>
      </c>
      <c r="JK1" t="s">
        <v>279</v>
      </c>
      <c r="JL1" t="s">
        <v>541</v>
      </c>
      <c r="JM1" t="s">
        <v>542</v>
      </c>
      <c r="JN1" t="s">
        <v>543</v>
      </c>
      <c r="JO1" t="s">
        <v>206</v>
      </c>
      <c r="JP1" t="s">
        <v>207</v>
      </c>
      <c r="JQ1" t="s">
        <v>208</v>
      </c>
    </row>
    <row r="2" spans="1:277">
      <c r="A2" t="s">
        <v>544</v>
      </c>
      <c r="B2" t="s">
        <v>545</v>
      </c>
      <c r="C2" t="s">
        <v>211</v>
      </c>
      <c r="D2">
        <v>3</v>
      </c>
      <c r="E2" t="s">
        <v>212</v>
      </c>
      <c r="F2" t="s">
        <v>213</v>
      </c>
      <c r="G2" t="s">
        <v>546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0.20000000039999999</v>
      </c>
      <c r="R2">
        <v>0.50000000010000001</v>
      </c>
      <c r="S2">
        <v>0.40000000079999998</v>
      </c>
      <c r="T2">
        <v>0.40000000079999998</v>
      </c>
      <c r="U2">
        <v>0.40000000079999998</v>
      </c>
      <c r="V2">
        <v>0.40000000079999998</v>
      </c>
      <c r="W2">
        <v>0.40000000079999998</v>
      </c>
      <c r="X2">
        <v>0.40000000079999998</v>
      </c>
      <c r="Y2">
        <v>0.40000000079999998</v>
      </c>
      <c r="Z2">
        <v>0.50000000010000001</v>
      </c>
      <c r="AA2">
        <v>0.40000000079999998</v>
      </c>
      <c r="AB2">
        <v>0.3000000015</v>
      </c>
      <c r="AC2">
        <v>0.20000000039999999</v>
      </c>
      <c r="AD2">
        <v>0.1000000011</v>
      </c>
      <c r="AE2">
        <v>0</v>
      </c>
      <c r="AF2">
        <v>0</v>
      </c>
      <c r="AG2">
        <v>0.1000000011</v>
      </c>
      <c r="AH2">
        <v>0.1000000011</v>
      </c>
      <c r="AI2">
        <v>0.7000000005</v>
      </c>
      <c r="AJ2">
        <v>1.1000000013</v>
      </c>
      <c r="AK2">
        <v>2.9000000013</v>
      </c>
      <c r="AL2">
        <v>8.0000000016000001</v>
      </c>
      <c r="AM2">
        <v>15.1000000005</v>
      </c>
      <c r="AN2">
        <v>23.200000001500001</v>
      </c>
      <c r="AO2">
        <v>30.5000000008</v>
      </c>
      <c r="AP2">
        <v>38.100000001600002</v>
      </c>
      <c r="AQ2">
        <v>46.200000000700001</v>
      </c>
      <c r="AR2">
        <v>53.900000000799999</v>
      </c>
      <c r="AS2">
        <v>61.999999999899998</v>
      </c>
      <c r="AT2">
        <v>70.700000000200006</v>
      </c>
      <c r="AU2">
        <v>79.100000000799994</v>
      </c>
      <c r="AV2">
        <v>87.100000000600005</v>
      </c>
      <c r="AW2">
        <v>95.900000000299997</v>
      </c>
      <c r="AX2">
        <v>104.7000000017</v>
      </c>
      <c r="AY2">
        <v>113.3000000009</v>
      </c>
      <c r="AZ2">
        <v>122.3000000009</v>
      </c>
      <c r="BA2">
        <v>130.90000000009999</v>
      </c>
      <c r="BB2">
        <v>139.4</v>
      </c>
      <c r="BC2">
        <v>148.10000000030001</v>
      </c>
      <c r="BD2">
        <v>156.60000000030001</v>
      </c>
      <c r="BE2">
        <v>164.90000000160001</v>
      </c>
      <c r="BF2">
        <v>173.70000000120001</v>
      </c>
      <c r="BG2">
        <v>182.40000000149999</v>
      </c>
      <c r="BH2">
        <v>191.1</v>
      </c>
      <c r="BI2">
        <v>199.8000000003</v>
      </c>
      <c r="BJ2">
        <v>208.30000000019999</v>
      </c>
      <c r="BK2">
        <v>216.70000000089999</v>
      </c>
      <c r="BL2">
        <v>225.3000000001</v>
      </c>
      <c r="BM2">
        <v>233.8</v>
      </c>
      <c r="BN2">
        <v>242.400000001</v>
      </c>
      <c r="BO2">
        <v>250.80000000160001</v>
      </c>
      <c r="BP2">
        <v>259.1000000011</v>
      </c>
      <c r="BQ2">
        <v>267.20000000020002</v>
      </c>
      <c r="BR2">
        <v>275.50000000159997</v>
      </c>
      <c r="BS2">
        <v>283.80000000109999</v>
      </c>
      <c r="BT2">
        <v>291.90000000020001</v>
      </c>
      <c r="BU2">
        <v>299.89999999999998</v>
      </c>
      <c r="BV2">
        <v>308.2000000013</v>
      </c>
      <c r="BW2">
        <v>316.00000000070003</v>
      </c>
      <c r="BX2">
        <v>323.3</v>
      </c>
      <c r="BY2">
        <v>331.20000000049998</v>
      </c>
      <c r="BZ2">
        <v>338.99999999990001</v>
      </c>
      <c r="CA2">
        <v>346.50000000149998</v>
      </c>
      <c r="CB2">
        <v>354.40000000020001</v>
      </c>
      <c r="CC2">
        <v>361.80000000059999</v>
      </c>
      <c r="CD2">
        <v>368.80000000019999</v>
      </c>
      <c r="CE2">
        <v>375.40000000079999</v>
      </c>
      <c r="CF2">
        <v>382.40000000039998</v>
      </c>
      <c r="CG2">
        <v>389.4</v>
      </c>
      <c r="CH2">
        <v>396.09999999989998</v>
      </c>
      <c r="CI2">
        <v>403.29999999990002</v>
      </c>
      <c r="CJ2">
        <v>410.10000000100001</v>
      </c>
      <c r="CK2">
        <v>416.40000000010002</v>
      </c>
      <c r="CL2">
        <v>422.50000000059998</v>
      </c>
      <c r="CM2">
        <v>428.6000000011</v>
      </c>
      <c r="CN2">
        <v>434.50000000120002</v>
      </c>
      <c r="CO2">
        <v>440.20000000089999</v>
      </c>
      <c r="CP2">
        <v>445.50000000159997</v>
      </c>
      <c r="CQ2">
        <v>450.60000000010001</v>
      </c>
      <c r="CR2">
        <v>453.60000000069999</v>
      </c>
      <c r="CS2">
        <v>454.10000000079998</v>
      </c>
      <c r="CT2">
        <v>454.20000000009998</v>
      </c>
      <c r="CU2">
        <v>454.30000000119998</v>
      </c>
      <c r="CV2">
        <v>454.20000000009998</v>
      </c>
      <c r="CW2">
        <v>454.30000000119998</v>
      </c>
      <c r="CX2">
        <v>454.20000000009998</v>
      </c>
      <c r="CY2">
        <v>454.30000000119998</v>
      </c>
      <c r="CZ2">
        <v>454.30000000119998</v>
      </c>
      <c r="DA2">
        <v>454.40000000049997</v>
      </c>
      <c r="DB2">
        <v>454.40000000049997</v>
      </c>
      <c r="DC2">
        <v>454.40000000049997</v>
      </c>
      <c r="DD2">
        <v>454.40000000049997</v>
      </c>
      <c r="DE2">
        <v>454.40000000049997</v>
      </c>
      <c r="DF2">
        <v>454.50000000159997</v>
      </c>
      <c r="DG2">
        <v>0.60000000119999997</v>
      </c>
      <c r="DH2">
        <v>1.1000000013</v>
      </c>
      <c r="DI2">
        <v>1.1000000013</v>
      </c>
      <c r="DJ2">
        <v>1.1000000013</v>
      </c>
      <c r="DK2">
        <v>1.1000000013</v>
      </c>
      <c r="DL2">
        <v>1.1000000013</v>
      </c>
      <c r="DM2">
        <v>1.2000000006</v>
      </c>
      <c r="DN2">
        <v>1.2000000006</v>
      </c>
      <c r="DO2">
        <v>1.2000000006</v>
      </c>
      <c r="DP2">
        <v>1.1000000013</v>
      </c>
      <c r="DQ2">
        <v>1.0000000002</v>
      </c>
      <c r="DR2">
        <v>0.90000000089999999</v>
      </c>
      <c r="DS2">
        <v>0.7000000005</v>
      </c>
      <c r="DT2">
        <v>0.7000000005</v>
      </c>
      <c r="DU2">
        <v>0.80000000159999995</v>
      </c>
      <c r="DV2">
        <v>0.80000000159999995</v>
      </c>
      <c r="DW2">
        <v>1.0000000002</v>
      </c>
      <c r="DX2">
        <v>1.400000001</v>
      </c>
      <c r="DY2">
        <v>4.6000000001999997</v>
      </c>
      <c r="DZ2">
        <v>11.300000000100001</v>
      </c>
      <c r="EA2">
        <v>18.9000000009</v>
      </c>
      <c r="EB2">
        <v>26.400000000599999</v>
      </c>
      <c r="EC2">
        <v>33.500000001399997</v>
      </c>
      <c r="ED2">
        <v>41.100000000400001</v>
      </c>
      <c r="EE2">
        <v>48.800000000499999</v>
      </c>
      <c r="EF2">
        <v>56.200000000899998</v>
      </c>
      <c r="EG2">
        <v>64.000000000300005</v>
      </c>
      <c r="EH2">
        <v>72.300000001599997</v>
      </c>
      <c r="EI2">
        <v>80.5</v>
      </c>
      <c r="EJ2">
        <v>88.800000001399994</v>
      </c>
      <c r="EK2">
        <v>97.200000000200006</v>
      </c>
      <c r="EL2">
        <v>105.8000000012</v>
      </c>
      <c r="EM2">
        <v>114.60000000079999</v>
      </c>
      <c r="EN2">
        <v>123.60000000079999</v>
      </c>
      <c r="EO2">
        <v>132.40000000040001</v>
      </c>
      <c r="EP2">
        <v>140.9000000003</v>
      </c>
      <c r="EQ2">
        <v>149.60000000060001</v>
      </c>
      <c r="ER2">
        <v>158.10000000060001</v>
      </c>
      <c r="ES2">
        <v>166.60000000049999</v>
      </c>
      <c r="ET2">
        <v>175.60000000049999</v>
      </c>
      <c r="EU2">
        <v>184.50000000119999</v>
      </c>
      <c r="EV2">
        <v>193.3000000008</v>
      </c>
      <c r="EW2">
        <v>202.1000000004</v>
      </c>
      <c r="EX2">
        <v>210.50000000099999</v>
      </c>
      <c r="EY2">
        <v>219.00000000099999</v>
      </c>
      <c r="EZ2">
        <v>228.00000000099999</v>
      </c>
      <c r="FA2">
        <v>236.80000000059999</v>
      </c>
      <c r="FB2">
        <v>245.6000000002</v>
      </c>
      <c r="FC2">
        <v>254.30000000050001</v>
      </c>
      <c r="FD2">
        <v>262.70000000110002</v>
      </c>
      <c r="FE2">
        <v>271.09999999989998</v>
      </c>
      <c r="FF2">
        <v>279.70000000099998</v>
      </c>
      <c r="FG2">
        <v>288.10000000159999</v>
      </c>
      <c r="FH2">
        <v>296.7000000008</v>
      </c>
      <c r="FI2">
        <v>305.50000000040001</v>
      </c>
      <c r="FJ2">
        <v>313.40000000089998</v>
      </c>
      <c r="FK2">
        <v>320.99999999990001</v>
      </c>
      <c r="FL2">
        <v>329.20000000009998</v>
      </c>
      <c r="FM2">
        <v>337.30000000109999</v>
      </c>
      <c r="FN2">
        <v>345.50000000130001</v>
      </c>
      <c r="FO2">
        <v>353.70000000149997</v>
      </c>
      <c r="FP2">
        <v>361.20000000120001</v>
      </c>
      <c r="FQ2">
        <v>368.3000000001</v>
      </c>
      <c r="FR2">
        <v>375.3000000015</v>
      </c>
      <c r="FS2">
        <v>382.80000000119998</v>
      </c>
      <c r="FT2">
        <v>390.60000000060001</v>
      </c>
      <c r="FU2">
        <v>398.10000000029999</v>
      </c>
      <c r="FV2">
        <v>404.80000000029997</v>
      </c>
      <c r="FW2">
        <v>411.30000000159998</v>
      </c>
      <c r="FX2">
        <v>417.60000000069999</v>
      </c>
      <c r="FY2">
        <v>423.50000000080001</v>
      </c>
      <c r="FZ2">
        <v>429.00000000009999</v>
      </c>
      <c r="GA2">
        <v>434.50000000120002</v>
      </c>
      <c r="GB2">
        <v>439.8000000001</v>
      </c>
      <c r="GC2">
        <v>444.7</v>
      </c>
      <c r="GD2">
        <v>449.00000000049999</v>
      </c>
      <c r="GE2">
        <v>452.50000000120002</v>
      </c>
      <c r="GF2">
        <v>454.10000000079998</v>
      </c>
      <c r="GG2">
        <v>454.30000000119998</v>
      </c>
      <c r="GH2">
        <v>454.30000000119998</v>
      </c>
      <c r="GI2">
        <v>454.40000000049997</v>
      </c>
      <c r="GJ2">
        <v>454.40000000049997</v>
      </c>
      <c r="GK2">
        <v>454.30000000119998</v>
      </c>
      <c r="GL2">
        <v>454.30000000119998</v>
      </c>
      <c r="GM2">
        <v>454.50000000159997</v>
      </c>
      <c r="GN2">
        <v>454.50000000159997</v>
      </c>
      <c r="GO2">
        <v>454.40000000049997</v>
      </c>
      <c r="GP2">
        <v>454.40000000049997</v>
      </c>
      <c r="GQ2">
        <v>454.40000000049997</v>
      </c>
      <c r="GR2">
        <v>454.50000000159997</v>
      </c>
      <c r="GS2">
        <v>454.40000000049997</v>
      </c>
      <c r="GT2">
        <v>454.40000000049997</v>
      </c>
      <c r="GU2">
        <v>454.40000000049997</v>
      </c>
      <c r="GV2">
        <v>454.40000000049997</v>
      </c>
      <c r="GW2">
        <v>1</v>
      </c>
      <c r="GX2">
        <v>103.1999999996</v>
      </c>
      <c r="GY2">
        <v>95.900000000299997</v>
      </c>
      <c r="GZ2">
        <v>95.900000000299997</v>
      </c>
      <c r="HA2">
        <v>114.60000000079999</v>
      </c>
      <c r="HB2">
        <v>100.23089448819999</v>
      </c>
      <c r="HC2">
        <v>-18.700000000500001</v>
      </c>
      <c r="HD2">
        <v>454.40000000049997</v>
      </c>
      <c r="HE2">
        <v>321.44446033700001</v>
      </c>
      <c r="HF2">
        <v>84.147023874799999</v>
      </c>
      <c r="HG2">
        <v>454.50000000159997</v>
      </c>
      <c r="HH2">
        <v>454.50000000159997</v>
      </c>
      <c r="HI2">
        <v>454.50000000159997</v>
      </c>
      <c r="HJ2">
        <v>454.50000000159997</v>
      </c>
      <c r="HK2">
        <v>105.57184750730001</v>
      </c>
      <c r="HL2">
        <v>3.6988358549</v>
      </c>
      <c r="HM2">
        <v>3.4900442404000001</v>
      </c>
      <c r="HN2">
        <v>3.5713486735000002</v>
      </c>
      <c r="HO2">
        <v>3.4153169044</v>
      </c>
      <c r="HP2">
        <v>3.7675825725999998</v>
      </c>
      <c r="HQ2">
        <v>2.8581888434999998</v>
      </c>
      <c r="HR2">
        <v>16.083870613399998</v>
      </c>
      <c r="HS2">
        <v>-23.460410557199999</v>
      </c>
      <c r="HT2">
        <v>-160</v>
      </c>
      <c r="HU2">
        <v>421.67535482519997</v>
      </c>
      <c r="HV2">
        <v>89.149560117299998</v>
      </c>
      <c r="HW2">
        <v>608</v>
      </c>
      <c r="HX2">
        <v>16.083870613399998</v>
      </c>
      <c r="HY2">
        <v>-23.460410557199999</v>
      </c>
      <c r="HZ2">
        <v>-160</v>
      </c>
      <c r="IA2">
        <v>421.67535482519997</v>
      </c>
      <c r="IB2">
        <v>89.149560117299998</v>
      </c>
      <c r="IC2">
        <v>608</v>
      </c>
      <c r="ID2">
        <v>32.824645176399997</v>
      </c>
      <c r="IE2">
        <v>0.72274177630000003</v>
      </c>
      <c r="IF2">
        <v>-32.844574780099997</v>
      </c>
      <c r="IG2">
        <v>-224</v>
      </c>
      <c r="IH2">
        <v>444.06939157229999</v>
      </c>
      <c r="II2">
        <v>98.533724340199996</v>
      </c>
      <c r="IJ2">
        <v>672</v>
      </c>
      <c r="IK2">
        <v>405.59148421179998</v>
      </c>
      <c r="IL2">
        <v>112.6099706745</v>
      </c>
      <c r="IM2">
        <v>430.06121685530002</v>
      </c>
      <c r="IN2">
        <v>121.9941348974</v>
      </c>
      <c r="IO2">
        <v>7.6000000007999997</v>
      </c>
      <c r="IP2">
        <v>5.9000000001000004</v>
      </c>
      <c r="IQ2">
        <v>9</v>
      </c>
      <c r="IR2">
        <v>3.3710407259999999</v>
      </c>
      <c r="IS2">
        <v>3.3710407259999999</v>
      </c>
      <c r="IT2">
        <v>18.399999998999998</v>
      </c>
      <c r="IU2">
        <v>-25.806451612899998</v>
      </c>
      <c r="IV2">
        <v>22.699999999500001</v>
      </c>
      <c r="IW2">
        <v>79.765395894400001</v>
      </c>
      <c r="IX2">
        <v>16.0999999989</v>
      </c>
      <c r="IY2">
        <v>98.533724340199996</v>
      </c>
      <c r="IZ2">
        <v>-28.190261081500001</v>
      </c>
      <c r="JA2">
        <v>0.30109849779999998</v>
      </c>
      <c r="JB2">
        <v>-2.4223070000000001E-4</v>
      </c>
      <c r="JC2">
        <v>4.4050000000000001E-7</v>
      </c>
      <c r="JD2">
        <v>0.27035533319999999</v>
      </c>
      <c r="JE2">
        <v>0.4164707835</v>
      </c>
      <c r="JF2">
        <v>0.1195959924</v>
      </c>
      <c r="JG2">
        <v>100.4402701986</v>
      </c>
      <c r="JH2">
        <v>3.7675825725999998</v>
      </c>
      <c r="JI2">
        <v>4.8809861E-3</v>
      </c>
      <c r="JJ2">
        <v>-7.4641400000000007E-5</v>
      </c>
      <c r="JK2">
        <v>3.6988358549</v>
      </c>
      <c r="JL2">
        <v>0.69755923019999999</v>
      </c>
      <c r="JM2">
        <v>0.31145353609999998</v>
      </c>
      <c r="JN2" t="s">
        <v>547</v>
      </c>
      <c r="JQ2">
        <v>1</v>
      </c>
    </row>
    <row r="3" spans="1:277">
      <c r="A3" t="s">
        <v>548</v>
      </c>
      <c r="B3" t="s">
        <v>549</v>
      </c>
      <c r="C3" t="s">
        <v>211</v>
      </c>
      <c r="D3">
        <v>3</v>
      </c>
      <c r="E3" t="s">
        <v>212</v>
      </c>
      <c r="F3" t="s">
        <v>213</v>
      </c>
      <c r="G3" t="s">
        <v>546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0</v>
      </c>
      <c r="R3">
        <v>0.29999999970000002</v>
      </c>
      <c r="S3">
        <v>0.40000000079999998</v>
      </c>
      <c r="T3">
        <v>0.40000000079999998</v>
      </c>
      <c r="U3">
        <v>0.40000000079999998</v>
      </c>
      <c r="V3">
        <v>0.50000000010000001</v>
      </c>
      <c r="W3">
        <v>0.59999999940000004</v>
      </c>
      <c r="X3">
        <v>0.7000000005</v>
      </c>
      <c r="Y3">
        <v>0.79999999980000003</v>
      </c>
      <c r="Z3">
        <v>0.90000000089999999</v>
      </c>
      <c r="AA3">
        <v>0.90000000089999999</v>
      </c>
      <c r="AB3">
        <v>1.0000000002</v>
      </c>
      <c r="AC3">
        <v>1.0999999995</v>
      </c>
      <c r="AD3">
        <v>1.0999999995</v>
      </c>
      <c r="AE3">
        <v>1.0999999995</v>
      </c>
      <c r="AF3">
        <v>1.0999999995</v>
      </c>
      <c r="AG3">
        <v>1.0999999995</v>
      </c>
      <c r="AH3">
        <v>1.2000000006</v>
      </c>
      <c r="AI3">
        <v>1.2999999999</v>
      </c>
      <c r="AJ3">
        <v>1.400000001</v>
      </c>
      <c r="AK3">
        <v>3.3999999995999999</v>
      </c>
      <c r="AL3">
        <v>9</v>
      </c>
      <c r="AM3">
        <v>16.1000000007</v>
      </c>
      <c r="AN3">
        <v>23.600000000400001</v>
      </c>
      <c r="AO3">
        <v>31.100000000200001</v>
      </c>
      <c r="AP3">
        <v>38.800000000300003</v>
      </c>
      <c r="AQ3">
        <v>46.599999999700003</v>
      </c>
      <c r="AR3">
        <v>55.099999999600001</v>
      </c>
      <c r="AS3">
        <v>63.799999999900002</v>
      </c>
      <c r="AT3">
        <v>72.500000000200004</v>
      </c>
      <c r="AU3">
        <v>80.700000000399996</v>
      </c>
      <c r="AV3">
        <v>88.900000000600002</v>
      </c>
      <c r="AW3">
        <v>97.299999999400001</v>
      </c>
      <c r="AX3">
        <v>106.600000001</v>
      </c>
      <c r="AY3">
        <v>115.9000000007</v>
      </c>
      <c r="AZ3">
        <v>124.70000000029999</v>
      </c>
      <c r="BA3">
        <v>133.1000000009</v>
      </c>
      <c r="BB3">
        <v>141.7999999994</v>
      </c>
      <c r="BC3">
        <v>150.40000000040001</v>
      </c>
      <c r="BD3">
        <v>159.70000000019999</v>
      </c>
      <c r="BE3">
        <v>168.90000000059999</v>
      </c>
      <c r="BF3">
        <v>177.70000000019999</v>
      </c>
      <c r="BG3">
        <v>186.4000000005</v>
      </c>
      <c r="BH3">
        <v>194.99999999970001</v>
      </c>
      <c r="BI3">
        <v>203.7</v>
      </c>
      <c r="BJ3">
        <v>212.90000000040001</v>
      </c>
      <c r="BK3">
        <v>222.1000000009</v>
      </c>
      <c r="BL3">
        <v>230.7999999994</v>
      </c>
      <c r="BM3">
        <v>239.29999999930001</v>
      </c>
      <c r="BN3">
        <v>247.800000001</v>
      </c>
      <c r="BO3">
        <v>256.49999999950001</v>
      </c>
      <c r="BP3">
        <v>265.49999999950001</v>
      </c>
      <c r="BQ3">
        <v>274.49999999950001</v>
      </c>
      <c r="BR3">
        <v>282.69999999970003</v>
      </c>
      <c r="BS3">
        <v>291.10000000039997</v>
      </c>
      <c r="BT3">
        <v>299.30000000059999</v>
      </c>
      <c r="BU3">
        <v>307.50000000080001</v>
      </c>
      <c r="BV3">
        <v>316.00000000070003</v>
      </c>
      <c r="BW3">
        <v>324.50000000059998</v>
      </c>
      <c r="BX3">
        <v>332.3</v>
      </c>
      <c r="BY3">
        <v>340.20000000060003</v>
      </c>
      <c r="BZ3">
        <v>347.9000000007</v>
      </c>
      <c r="CA3">
        <v>355.49999999969998</v>
      </c>
      <c r="CB3">
        <v>362.99999999940002</v>
      </c>
      <c r="CC3">
        <v>371.00000000099999</v>
      </c>
      <c r="CD3">
        <v>378.39999999960003</v>
      </c>
      <c r="CE3">
        <v>385.50000000030002</v>
      </c>
      <c r="CF3">
        <v>392.9000000007</v>
      </c>
      <c r="CG3">
        <v>399.9000000003</v>
      </c>
      <c r="CH3">
        <v>406.80000000069998</v>
      </c>
      <c r="CI3">
        <v>413.70000000099998</v>
      </c>
      <c r="CJ3">
        <v>420.90000000100002</v>
      </c>
      <c r="CK3">
        <v>427.70000000020002</v>
      </c>
      <c r="CL3">
        <v>433.99999999929997</v>
      </c>
      <c r="CM3">
        <v>440.70000000099998</v>
      </c>
      <c r="CN3">
        <v>447.00000000009999</v>
      </c>
      <c r="CO3">
        <v>452.10000000039997</v>
      </c>
      <c r="CP3">
        <v>453.60000000069999</v>
      </c>
      <c r="CQ3">
        <v>453.7</v>
      </c>
      <c r="CR3">
        <v>453.7</v>
      </c>
      <c r="CS3">
        <v>453.7</v>
      </c>
      <c r="CT3">
        <v>453.7</v>
      </c>
      <c r="CU3">
        <v>453.7</v>
      </c>
      <c r="CV3">
        <v>453.7</v>
      </c>
      <c r="CW3">
        <v>453.7</v>
      </c>
      <c r="CX3">
        <v>453.7</v>
      </c>
      <c r="CY3">
        <v>453.79999999929998</v>
      </c>
      <c r="CZ3">
        <v>453.79999999929998</v>
      </c>
      <c r="DA3">
        <v>453.7</v>
      </c>
      <c r="DB3">
        <v>453.7</v>
      </c>
      <c r="DC3">
        <v>453.99999999969998</v>
      </c>
      <c r="DD3">
        <v>453.90000000039998</v>
      </c>
      <c r="DE3">
        <v>453.79999999929998</v>
      </c>
      <c r="DF3">
        <v>453.79999999929998</v>
      </c>
      <c r="DG3">
        <v>0.59999999940000004</v>
      </c>
      <c r="DH3">
        <v>1.5000000003</v>
      </c>
      <c r="DI3">
        <v>1.5000000003</v>
      </c>
      <c r="DJ3">
        <v>1.5000000003</v>
      </c>
      <c r="DK3">
        <v>1.5999999996000001</v>
      </c>
      <c r="DL3">
        <v>1.5999999996000001</v>
      </c>
      <c r="DM3">
        <v>1.5999999996000001</v>
      </c>
      <c r="DN3">
        <v>1.7000000007</v>
      </c>
      <c r="DO3">
        <v>1.8</v>
      </c>
      <c r="DP3">
        <v>1.8</v>
      </c>
      <c r="DQ3">
        <v>1.8999999993000001</v>
      </c>
      <c r="DR3">
        <v>1.8</v>
      </c>
      <c r="DS3">
        <v>1.8999999993000001</v>
      </c>
      <c r="DT3">
        <v>1.8999999993000001</v>
      </c>
      <c r="DU3">
        <v>1.8999999993000001</v>
      </c>
      <c r="DV3">
        <v>2.0000000004</v>
      </c>
      <c r="DW3">
        <v>2.0000000004</v>
      </c>
      <c r="DX3">
        <v>2.0999999997000001</v>
      </c>
      <c r="DY3">
        <v>4.3000000004999999</v>
      </c>
      <c r="DZ3">
        <v>11.0999999997</v>
      </c>
      <c r="EA3">
        <v>18.599999999400001</v>
      </c>
      <c r="EB3">
        <v>25.9999999998</v>
      </c>
      <c r="EC3">
        <v>33.400000000299997</v>
      </c>
      <c r="ED3">
        <v>40.800000000700003</v>
      </c>
      <c r="EE3">
        <v>48.600000000100003</v>
      </c>
      <c r="EF3">
        <v>56.800000000300003</v>
      </c>
      <c r="EG3">
        <v>65.300000000200001</v>
      </c>
      <c r="EH3">
        <v>73.700000000800003</v>
      </c>
      <c r="EI3">
        <v>81.900000000999995</v>
      </c>
      <c r="EJ3">
        <v>90.099999999399998</v>
      </c>
      <c r="EK3">
        <v>98.299999999700006</v>
      </c>
      <c r="EL3">
        <v>107.29999999970001</v>
      </c>
      <c r="EM3">
        <v>116.79999999979999</v>
      </c>
      <c r="EN3">
        <v>125.7000000005</v>
      </c>
      <c r="EO3">
        <v>134.40000000079999</v>
      </c>
      <c r="EP3">
        <v>143</v>
      </c>
      <c r="EQ3">
        <v>151.6000000011</v>
      </c>
      <c r="ER3">
        <v>160.6000000011</v>
      </c>
      <c r="ES3">
        <v>170.00000000009999</v>
      </c>
      <c r="ET3">
        <v>178.90000000079999</v>
      </c>
      <c r="EU3">
        <v>187.5999999993</v>
      </c>
      <c r="EV3">
        <v>196.2999999996</v>
      </c>
      <c r="EW3">
        <v>205.10000000100001</v>
      </c>
      <c r="EX3">
        <v>214.40000000079999</v>
      </c>
      <c r="EY3">
        <v>223.50000000009999</v>
      </c>
      <c r="EZ3">
        <v>232.50000000009999</v>
      </c>
      <c r="FA3">
        <v>241.40000000079999</v>
      </c>
      <c r="FB3">
        <v>250</v>
      </c>
      <c r="FC3">
        <v>258.70000000030001</v>
      </c>
      <c r="FD3">
        <v>267.7999999996</v>
      </c>
      <c r="FE3">
        <v>276.7999999996</v>
      </c>
      <c r="FF3">
        <v>285.4000000007</v>
      </c>
      <c r="FG3">
        <v>294.10000000100001</v>
      </c>
      <c r="FH3">
        <v>302.40000000049997</v>
      </c>
      <c r="FI3">
        <v>310.79999999929998</v>
      </c>
      <c r="FJ3">
        <v>319.7</v>
      </c>
      <c r="FK3">
        <v>328.4000000003</v>
      </c>
      <c r="FL3">
        <v>336.49999999940002</v>
      </c>
      <c r="FM3">
        <v>344.69999999959998</v>
      </c>
      <c r="FN3">
        <v>352.5000000009</v>
      </c>
      <c r="FO3">
        <v>360.39999999960003</v>
      </c>
      <c r="FP3">
        <v>368.50000000049999</v>
      </c>
      <c r="FQ3">
        <v>376.50000000030002</v>
      </c>
      <c r="FR3">
        <v>383.9000000007</v>
      </c>
      <c r="FS3">
        <v>391.70000000009998</v>
      </c>
      <c r="FT3">
        <v>398.99999999940002</v>
      </c>
      <c r="FU3">
        <v>406.1000000002</v>
      </c>
      <c r="FV3">
        <v>413.09999999979999</v>
      </c>
      <c r="FW3">
        <v>420.29999999979998</v>
      </c>
      <c r="FX3">
        <v>427.29999999939997</v>
      </c>
      <c r="FY3">
        <v>433.39999999989999</v>
      </c>
      <c r="FZ3">
        <v>439.8000000001</v>
      </c>
      <c r="GA3">
        <v>445.40000000049997</v>
      </c>
      <c r="GB3">
        <v>450.60000000010001</v>
      </c>
      <c r="GC3">
        <v>453.4000000003</v>
      </c>
      <c r="GD3">
        <v>453.49999999959999</v>
      </c>
      <c r="GE3">
        <v>453.60000000069999</v>
      </c>
      <c r="GF3">
        <v>453.60000000069999</v>
      </c>
      <c r="GG3">
        <v>453.60000000069999</v>
      </c>
      <c r="GH3">
        <v>453.60000000069999</v>
      </c>
      <c r="GI3">
        <v>453.7</v>
      </c>
      <c r="GJ3">
        <v>453.7</v>
      </c>
      <c r="GK3">
        <v>453.7</v>
      </c>
      <c r="GL3">
        <v>453.7</v>
      </c>
      <c r="GM3">
        <v>453.7</v>
      </c>
      <c r="GN3">
        <v>453.60000000069999</v>
      </c>
      <c r="GO3">
        <v>453.60000000069999</v>
      </c>
      <c r="GP3">
        <v>453.60000000069999</v>
      </c>
      <c r="GQ3">
        <v>453.49999999959999</v>
      </c>
      <c r="GR3">
        <v>453.7</v>
      </c>
      <c r="GS3">
        <v>453.60000000069999</v>
      </c>
      <c r="GT3">
        <v>453.60000000069999</v>
      </c>
      <c r="GU3">
        <v>453.79999999929998</v>
      </c>
      <c r="GV3">
        <v>453.60000000069999</v>
      </c>
      <c r="GW3">
        <v>1</v>
      </c>
      <c r="GX3">
        <v>104.800000001</v>
      </c>
      <c r="GY3">
        <v>97.299999999400001</v>
      </c>
      <c r="GZ3">
        <v>97.299999999400001</v>
      </c>
      <c r="HA3">
        <v>116.79999999979999</v>
      </c>
      <c r="HB3">
        <v>101.8999889814</v>
      </c>
      <c r="HC3">
        <v>-19.500000000299998</v>
      </c>
      <c r="HD3">
        <v>453.60004407299999</v>
      </c>
      <c r="HE3">
        <v>323.73986337589997</v>
      </c>
      <c r="HF3">
        <v>84.856456587599993</v>
      </c>
      <c r="HG3">
        <v>453.99999999969998</v>
      </c>
      <c r="HH3">
        <v>453.79999999929998</v>
      </c>
      <c r="HI3">
        <v>453.99999999969998</v>
      </c>
      <c r="HJ3">
        <v>453.79999999929998</v>
      </c>
      <c r="HK3">
        <v>98.533724340199996</v>
      </c>
      <c r="HL3">
        <v>3.8014885497000002</v>
      </c>
      <c r="HM3">
        <v>3.5999879186000001</v>
      </c>
      <c r="HN3">
        <v>3.6563469147999998</v>
      </c>
      <c r="HO3">
        <v>3.4508388805000001</v>
      </c>
      <c r="HP3">
        <v>3.8428705361</v>
      </c>
      <c r="HQ3">
        <v>2.9981300122999999</v>
      </c>
      <c r="HR3">
        <v>17.043532393900001</v>
      </c>
      <c r="HS3">
        <v>-23.460410557199999</v>
      </c>
      <c r="HT3">
        <v>-160</v>
      </c>
      <c r="HU3">
        <v>425.63985235730001</v>
      </c>
      <c r="HV3">
        <v>86.803519061599999</v>
      </c>
      <c r="HW3">
        <v>592</v>
      </c>
      <c r="HX3">
        <v>17.043532393900001</v>
      </c>
      <c r="HY3">
        <v>-23.460410557199999</v>
      </c>
      <c r="HZ3">
        <v>-160</v>
      </c>
      <c r="IA3">
        <v>425.63985235730001</v>
      </c>
      <c r="IB3">
        <v>86.803519061599999</v>
      </c>
      <c r="IC3">
        <v>592</v>
      </c>
      <c r="ID3">
        <v>28.160147641999998</v>
      </c>
      <c r="IE3">
        <v>1.3185103569000001</v>
      </c>
      <c r="IF3">
        <v>-32.844574780099997</v>
      </c>
      <c r="IG3">
        <v>-224</v>
      </c>
      <c r="IH3">
        <v>450.17933010140001</v>
      </c>
      <c r="II3">
        <v>96.187683284499997</v>
      </c>
      <c r="IJ3">
        <v>656</v>
      </c>
      <c r="IK3">
        <v>408.59631996349998</v>
      </c>
      <c r="IL3">
        <v>110.26392961880001</v>
      </c>
      <c r="IM3">
        <v>435.05490304160003</v>
      </c>
      <c r="IN3">
        <v>119.6480938416</v>
      </c>
      <c r="IO3">
        <v>7.4999999997</v>
      </c>
      <c r="IP3">
        <v>6.7000000017000003</v>
      </c>
      <c r="IQ3">
        <v>9.5000000001</v>
      </c>
      <c r="IR3">
        <v>2.7532819727</v>
      </c>
      <c r="IS3">
        <v>2.7532819727</v>
      </c>
      <c r="IT3">
        <v>16.9999999998</v>
      </c>
      <c r="IU3">
        <v>-25.806451612899998</v>
      </c>
      <c r="IV3">
        <v>21.0000000006</v>
      </c>
      <c r="IW3">
        <v>70.381231671600005</v>
      </c>
      <c r="IX3">
        <v>16.600000000800001</v>
      </c>
      <c r="IY3">
        <v>96.187683284499997</v>
      </c>
      <c r="IZ3">
        <v>-28.257326498499999</v>
      </c>
      <c r="JA3">
        <v>0.29676224890000003</v>
      </c>
      <c r="JB3">
        <v>-2.4031479999999999E-4</v>
      </c>
      <c r="JC3">
        <v>4.172E-7</v>
      </c>
      <c r="JD3">
        <v>0.2630548499</v>
      </c>
      <c r="JE3">
        <v>0.19372443289999999</v>
      </c>
      <c r="JF3">
        <v>8.5903315999999993E-2</v>
      </c>
      <c r="JG3">
        <v>102.3342805835</v>
      </c>
      <c r="JH3">
        <v>3.8428705361</v>
      </c>
      <c r="JI3">
        <v>5.5421971999999996E-3</v>
      </c>
      <c r="JJ3">
        <v>-7.99354E-5</v>
      </c>
      <c r="JK3">
        <v>3.8014885497000002</v>
      </c>
      <c r="JL3">
        <v>0.78203954720000002</v>
      </c>
      <c r="JM3">
        <v>0.26595548250000001</v>
      </c>
      <c r="JN3" t="s">
        <v>547</v>
      </c>
      <c r="JQ3">
        <v>1</v>
      </c>
    </row>
    <row r="4" spans="1:277">
      <c r="A4" t="s">
        <v>571</v>
      </c>
      <c r="B4" t="s">
        <v>572</v>
      </c>
      <c r="C4" t="s">
        <v>211</v>
      </c>
      <c r="D4">
        <v>3</v>
      </c>
      <c r="E4" t="s">
        <v>212</v>
      </c>
      <c r="F4" t="s">
        <v>213</v>
      </c>
      <c r="G4" t="s">
        <v>546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0.50000000010000001</v>
      </c>
      <c r="R4">
        <v>0.79999999980000003</v>
      </c>
      <c r="S4">
        <v>0.79999999980000003</v>
      </c>
      <c r="T4">
        <v>0.79999999980000003</v>
      </c>
      <c r="U4">
        <v>0.79999999980000003</v>
      </c>
      <c r="V4">
        <v>0.79999999980000003</v>
      </c>
      <c r="W4">
        <v>0.90000000089999999</v>
      </c>
      <c r="X4">
        <v>0.7000000005</v>
      </c>
      <c r="Y4">
        <v>0.60000000119999997</v>
      </c>
      <c r="Z4">
        <v>0.50000000010000001</v>
      </c>
      <c r="AA4">
        <v>0.40000000079999998</v>
      </c>
      <c r="AB4">
        <v>0.20000000039999999</v>
      </c>
      <c r="AC4">
        <v>0.1000000011</v>
      </c>
      <c r="AD4">
        <v>0</v>
      </c>
      <c r="AE4">
        <v>0</v>
      </c>
      <c r="AF4">
        <v>0</v>
      </c>
      <c r="AG4">
        <v>0.1000000011</v>
      </c>
      <c r="AH4">
        <v>0.1000000011</v>
      </c>
      <c r="AI4">
        <v>0.3000000015</v>
      </c>
      <c r="AJ4">
        <v>0.40000000079999998</v>
      </c>
      <c r="AK4">
        <v>0.90000000089999999</v>
      </c>
      <c r="AL4">
        <v>2.5000000005</v>
      </c>
      <c r="AM4">
        <v>4.6000000001999997</v>
      </c>
      <c r="AN4">
        <v>7.8000000011999999</v>
      </c>
      <c r="AO4">
        <v>14.200000001399999</v>
      </c>
      <c r="AP4">
        <v>21.500000000699998</v>
      </c>
      <c r="AQ4">
        <v>29.100000001600002</v>
      </c>
      <c r="AR4">
        <v>36.799999999900002</v>
      </c>
      <c r="AS4">
        <v>44.700000000400003</v>
      </c>
      <c r="AT4">
        <v>53.100000000999998</v>
      </c>
      <c r="AU4">
        <v>61.600000000900003</v>
      </c>
      <c r="AV4">
        <v>69.900000000399999</v>
      </c>
      <c r="AW4">
        <v>78.600000000700007</v>
      </c>
      <c r="AX4">
        <v>87.500000001499998</v>
      </c>
      <c r="AY4">
        <v>96.500000001499998</v>
      </c>
      <c r="AZ4">
        <v>105.5000000015</v>
      </c>
      <c r="BA4">
        <v>114.4000000004</v>
      </c>
      <c r="BB4">
        <v>122.9000000003</v>
      </c>
      <c r="BC4">
        <v>131.50000000130001</v>
      </c>
      <c r="BD4">
        <v>139.8000000008</v>
      </c>
      <c r="BE4">
        <v>148.4</v>
      </c>
      <c r="BF4">
        <v>157.40000000009999</v>
      </c>
      <c r="BG4">
        <v>166.40000000009999</v>
      </c>
      <c r="BH4">
        <v>175.00000000110001</v>
      </c>
      <c r="BI4">
        <v>183.50000000099999</v>
      </c>
      <c r="BJ4">
        <v>191.8999999998</v>
      </c>
      <c r="BK4">
        <v>200.40000000149999</v>
      </c>
      <c r="BL4">
        <v>209.40000000160001</v>
      </c>
      <c r="BM4">
        <v>218.20000000120001</v>
      </c>
      <c r="BN4">
        <v>226.6</v>
      </c>
      <c r="BO4">
        <v>235.09999999990001</v>
      </c>
      <c r="BP4">
        <v>243.2000000008</v>
      </c>
      <c r="BQ4">
        <v>251.50000000029999</v>
      </c>
      <c r="BR4">
        <v>260.20000000060003</v>
      </c>
      <c r="BS4">
        <v>268.79999999979998</v>
      </c>
      <c r="BT4">
        <v>277</v>
      </c>
      <c r="BU4">
        <v>285.10000000100001</v>
      </c>
      <c r="BV4">
        <v>292.90000000039998</v>
      </c>
      <c r="BW4">
        <v>300.90000000020001</v>
      </c>
      <c r="BX4">
        <v>309.10000000039997</v>
      </c>
      <c r="BY4">
        <v>317.30000000059999</v>
      </c>
      <c r="BZ4">
        <v>325.10000000000002</v>
      </c>
      <c r="CA4">
        <v>332.8000000001</v>
      </c>
      <c r="CB4">
        <v>340.20000000060003</v>
      </c>
      <c r="CC4">
        <v>347.40000000060002</v>
      </c>
      <c r="CD4">
        <v>354.9000000003</v>
      </c>
      <c r="CE4">
        <v>362.50000000109998</v>
      </c>
      <c r="CF4">
        <v>370.00000000080001</v>
      </c>
      <c r="CG4">
        <v>377.00000000040001</v>
      </c>
      <c r="CH4">
        <v>384.1000000011</v>
      </c>
      <c r="CI4">
        <v>390.800000001</v>
      </c>
      <c r="CJ4">
        <v>397.5000000009</v>
      </c>
      <c r="CK4">
        <v>404.3000000001</v>
      </c>
      <c r="CL4">
        <v>411.10000000119999</v>
      </c>
      <c r="CM4">
        <v>417.90000000039998</v>
      </c>
      <c r="CN4">
        <v>424.2000000013</v>
      </c>
      <c r="CO4">
        <v>429.50000000019998</v>
      </c>
      <c r="CP4">
        <v>434.80000000090001</v>
      </c>
      <c r="CQ4">
        <v>440.09999999979999</v>
      </c>
      <c r="CR4">
        <v>445.80000000130002</v>
      </c>
      <c r="CS4">
        <v>450.50000000080001</v>
      </c>
      <c r="CT4">
        <v>451.80000000069998</v>
      </c>
      <c r="CU4">
        <v>451.80000000069998</v>
      </c>
      <c r="CV4">
        <v>451.9</v>
      </c>
      <c r="CW4">
        <v>451.9</v>
      </c>
      <c r="CX4">
        <v>451.9</v>
      </c>
      <c r="CY4">
        <v>451.9</v>
      </c>
      <c r="CZ4">
        <v>451.9</v>
      </c>
      <c r="DA4">
        <v>451.9</v>
      </c>
      <c r="DB4">
        <v>451.9</v>
      </c>
      <c r="DC4">
        <v>451.9</v>
      </c>
      <c r="DD4">
        <v>451.9</v>
      </c>
      <c r="DE4">
        <v>452.00000000109998</v>
      </c>
      <c r="DF4">
        <v>452.00000000109998</v>
      </c>
      <c r="DG4">
        <v>0.7000000005</v>
      </c>
      <c r="DH4">
        <v>1.400000001</v>
      </c>
      <c r="DI4">
        <v>1.400000001</v>
      </c>
      <c r="DJ4">
        <v>1.400000001</v>
      </c>
      <c r="DK4">
        <v>1.2999999999</v>
      </c>
      <c r="DL4">
        <v>1.2999999999</v>
      </c>
      <c r="DM4">
        <v>1.1000000013</v>
      </c>
      <c r="DN4">
        <v>1.0000000002</v>
      </c>
      <c r="DO4">
        <v>0.90000000089999999</v>
      </c>
      <c r="DP4">
        <v>0.79999999980000003</v>
      </c>
      <c r="DQ4">
        <v>0.7000000005</v>
      </c>
      <c r="DR4">
        <v>0.60000000119999997</v>
      </c>
      <c r="DS4">
        <v>0.60000000119999997</v>
      </c>
      <c r="DT4">
        <v>0.7000000005</v>
      </c>
      <c r="DU4">
        <v>0.7000000005</v>
      </c>
      <c r="DV4">
        <v>0.79999999980000003</v>
      </c>
      <c r="DW4">
        <v>0.7000000005</v>
      </c>
      <c r="DX4">
        <v>0.79999999980000003</v>
      </c>
      <c r="DY4">
        <v>1.2000000006</v>
      </c>
      <c r="DZ4">
        <v>3.0999999999000001</v>
      </c>
      <c r="EA4">
        <v>5.3000000006999999</v>
      </c>
      <c r="EB4">
        <v>9.3000000015000008</v>
      </c>
      <c r="EC4">
        <v>16.600000000800001</v>
      </c>
      <c r="ED4">
        <v>24.1000000005</v>
      </c>
      <c r="EE4">
        <v>31.6000000003</v>
      </c>
      <c r="EF4">
        <v>38.900000001400002</v>
      </c>
      <c r="EG4">
        <v>46.700000000800003</v>
      </c>
      <c r="EH4">
        <v>55.100000001399998</v>
      </c>
      <c r="EI4">
        <v>63.4000000009</v>
      </c>
      <c r="EJ4">
        <v>71.5</v>
      </c>
      <c r="EK4">
        <v>79.800000001300006</v>
      </c>
      <c r="EL4">
        <v>88.4000000005</v>
      </c>
      <c r="EM4">
        <v>97.499999999899998</v>
      </c>
      <c r="EN4">
        <v>106.9000000007</v>
      </c>
      <c r="EO4">
        <v>115.70000000029999</v>
      </c>
      <c r="EP4">
        <v>124.20000000020001</v>
      </c>
      <c r="EQ4">
        <v>132.7000000001</v>
      </c>
      <c r="ER4">
        <v>141.10000000069999</v>
      </c>
      <c r="ES4">
        <v>149.9000000003</v>
      </c>
      <c r="ET4">
        <v>159.00000000150001</v>
      </c>
      <c r="EU4">
        <v>168.00000000150001</v>
      </c>
      <c r="EV4">
        <v>176.90000000040001</v>
      </c>
      <c r="EW4">
        <v>185.5000000014</v>
      </c>
      <c r="EX4">
        <v>193.90000000020001</v>
      </c>
      <c r="EY4">
        <v>202.90000000020001</v>
      </c>
      <c r="EZ4">
        <v>212.0000000014</v>
      </c>
      <c r="FA4">
        <v>220.9000000003</v>
      </c>
      <c r="FB4">
        <v>229.60000000060001</v>
      </c>
      <c r="FC4">
        <v>237.90000000009999</v>
      </c>
      <c r="FD4">
        <v>246.4</v>
      </c>
      <c r="FE4">
        <v>255.30000000070001</v>
      </c>
      <c r="FF4">
        <v>264.30000000069998</v>
      </c>
      <c r="FG4">
        <v>272.89999999989999</v>
      </c>
      <c r="FH4">
        <v>281.3999999998</v>
      </c>
      <c r="FI4">
        <v>289.60000000010001</v>
      </c>
      <c r="FJ4">
        <v>297.70000000099998</v>
      </c>
      <c r="FK4">
        <v>306.30000000019999</v>
      </c>
      <c r="FL4">
        <v>314.7000000008</v>
      </c>
      <c r="FM4">
        <v>322.90000000100002</v>
      </c>
      <c r="FN4">
        <v>330.90000000079999</v>
      </c>
      <c r="FO4">
        <v>338.60000000100001</v>
      </c>
      <c r="FP4">
        <v>346.10000000069999</v>
      </c>
      <c r="FQ4">
        <v>354.00000000120002</v>
      </c>
      <c r="FR4">
        <v>361.80000000059999</v>
      </c>
      <c r="FS4">
        <v>369.50000000070003</v>
      </c>
      <c r="FT4">
        <v>376.70000000070002</v>
      </c>
      <c r="FU4">
        <v>384</v>
      </c>
      <c r="FV4">
        <v>390.9000000003</v>
      </c>
      <c r="FW4">
        <v>397.6000000002</v>
      </c>
      <c r="FX4">
        <v>404.50000000059998</v>
      </c>
      <c r="FY4">
        <v>411.40000000089998</v>
      </c>
      <c r="FZ4">
        <v>417.7</v>
      </c>
      <c r="GA4">
        <v>423.30000000040002</v>
      </c>
      <c r="GB4">
        <v>428.6000000011</v>
      </c>
      <c r="GC4">
        <v>433.70000000139999</v>
      </c>
      <c r="GD4">
        <v>438.60000000129997</v>
      </c>
      <c r="GE4">
        <v>443.50000000120002</v>
      </c>
      <c r="GF4">
        <v>448.3</v>
      </c>
      <c r="GG4">
        <v>451.30000000059999</v>
      </c>
      <c r="GH4">
        <v>451.9</v>
      </c>
      <c r="GI4">
        <v>451.9</v>
      </c>
      <c r="GJ4">
        <v>451.9</v>
      </c>
      <c r="GK4">
        <v>451.9</v>
      </c>
      <c r="GL4">
        <v>451.9</v>
      </c>
      <c r="GM4">
        <v>452.00000000109998</v>
      </c>
      <c r="GN4">
        <v>452.00000000109998</v>
      </c>
      <c r="GO4">
        <v>451.9</v>
      </c>
      <c r="GP4">
        <v>451.80000000069998</v>
      </c>
      <c r="GQ4">
        <v>451.80000000069998</v>
      </c>
      <c r="GR4">
        <v>451.9</v>
      </c>
      <c r="GS4">
        <v>452.00000000109998</v>
      </c>
      <c r="GT4">
        <v>452.00000000109998</v>
      </c>
      <c r="GU4">
        <v>452.00000000109998</v>
      </c>
      <c r="GV4">
        <v>452.10000000039997</v>
      </c>
      <c r="GW4">
        <v>1</v>
      </c>
      <c r="GX4">
        <v>85.999999999300002</v>
      </c>
      <c r="GY4">
        <v>78.600000000700007</v>
      </c>
      <c r="GZ4">
        <v>78.600000000700007</v>
      </c>
      <c r="HA4">
        <v>97.499999999899998</v>
      </c>
      <c r="HB4">
        <v>82.281329499500004</v>
      </c>
      <c r="HC4">
        <v>-18.8999999991</v>
      </c>
      <c r="HD4">
        <v>452.10000000039997</v>
      </c>
      <c r="HE4">
        <v>333.43240791900001</v>
      </c>
      <c r="HF4">
        <v>59.618891715300002</v>
      </c>
      <c r="HG4">
        <v>452.10000000039997</v>
      </c>
      <c r="HH4">
        <v>452.10000000039997</v>
      </c>
      <c r="HI4">
        <v>452.00000000109998</v>
      </c>
      <c r="HJ4">
        <v>452.10000000039997</v>
      </c>
      <c r="HK4">
        <v>107.91788856300001</v>
      </c>
      <c r="HL4">
        <v>3.7275712368999998</v>
      </c>
      <c r="HM4">
        <v>3.5070692760000002</v>
      </c>
      <c r="HN4">
        <v>3.6028952453</v>
      </c>
      <c r="HO4">
        <v>3.5961146175000001</v>
      </c>
      <c r="HP4">
        <v>3.8029386881999998</v>
      </c>
      <c r="HQ4">
        <v>2.8995520664000001</v>
      </c>
      <c r="HR4">
        <v>22.6624377843</v>
      </c>
      <c r="HS4">
        <v>-16.422287390000001</v>
      </c>
      <c r="HT4">
        <v>-112</v>
      </c>
      <c r="HU4">
        <v>415.71373741849999</v>
      </c>
      <c r="HV4">
        <v>91.495601172999997</v>
      </c>
      <c r="HW4">
        <v>624</v>
      </c>
      <c r="HX4">
        <v>22.6624377843</v>
      </c>
      <c r="HY4">
        <v>-16.422287390000001</v>
      </c>
      <c r="HZ4">
        <v>-112</v>
      </c>
      <c r="IA4">
        <v>415.71373741849999</v>
      </c>
      <c r="IB4">
        <v>91.495601172999997</v>
      </c>
      <c r="IC4">
        <v>624</v>
      </c>
      <c r="ID4">
        <v>36.386262581899999</v>
      </c>
      <c r="IE4">
        <v>2.5887512449000001</v>
      </c>
      <c r="IF4">
        <v>-25.806451612899998</v>
      </c>
      <c r="IG4">
        <v>-176</v>
      </c>
      <c r="IH4">
        <v>437.94219666100003</v>
      </c>
      <c r="II4">
        <v>100.87976539589999</v>
      </c>
      <c r="IJ4">
        <v>688</v>
      </c>
      <c r="IK4">
        <v>393.05129963420001</v>
      </c>
      <c r="IL4">
        <v>107.91788856300001</v>
      </c>
      <c r="IM4">
        <v>418.97833204279999</v>
      </c>
      <c r="IN4">
        <v>117.3020527859</v>
      </c>
      <c r="IO4">
        <v>7.4999999997</v>
      </c>
      <c r="IP4">
        <v>5.7000000015000003</v>
      </c>
      <c r="IQ4">
        <v>9.4000000008000004</v>
      </c>
      <c r="IR4">
        <v>3.5793837271000002</v>
      </c>
      <c r="IS4">
        <v>3.5793837271000002</v>
      </c>
      <c r="IT4">
        <v>17.399999998799998</v>
      </c>
      <c r="IU4">
        <v>-18.7683284457</v>
      </c>
      <c r="IV4">
        <v>22.1000000001</v>
      </c>
      <c r="IW4">
        <v>75.073313783000003</v>
      </c>
      <c r="IX4">
        <v>14.000000001</v>
      </c>
      <c r="IY4">
        <v>103.22580645159999</v>
      </c>
      <c r="IZ4">
        <v>-22.727783493899999</v>
      </c>
      <c r="JA4">
        <v>0.28967111150000002</v>
      </c>
      <c r="JB4">
        <v>-2.0645280000000001E-4</v>
      </c>
      <c r="JC4">
        <v>4.0649999999999999E-7</v>
      </c>
      <c r="JD4">
        <v>0.26827119760000001</v>
      </c>
      <c r="JE4">
        <v>0.2774402883</v>
      </c>
      <c r="JF4">
        <v>0.1130389463</v>
      </c>
      <c r="JG4">
        <v>82.712609279099993</v>
      </c>
      <c r="JH4">
        <v>3.8029386881999998</v>
      </c>
      <c r="JI4">
        <v>4.5875582999999999E-3</v>
      </c>
      <c r="JJ4">
        <v>-6.9397400000000001E-5</v>
      </c>
      <c r="JK4">
        <v>3.7275712368999998</v>
      </c>
      <c r="JL4">
        <v>0.85819726080000003</v>
      </c>
      <c r="JM4">
        <v>0.29866051020000001</v>
      </c>
      <c r="JN4" t="s">
        <v>547</v>
      </c>
      <c r="JQ4">
        <v>1</v>
      </c>
    </row>
    <row r="5" spans="1:277">
      <c r="A5" t="s">
        <v>573</v>
      </c>
      <c r="B5" t="s">
        <v>574</v>
      </c>
      <c r="C5" t="s">
        <v>211</v>
      </c>
      <c r="D5">
        <v>3</v>
      </c>
      <c r="E5" t="s">
        <v>212</v>
      </c>
      <c r="F5" t="s">
        <v>213</v>
      </c>
      <c r="G5" t="s">
        <v>546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0.20000000039999999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9.9999999300000003E-2</v>
      </c>
      <c r="AA5">
        <v>9.9999999300000003E-2</v>
      </c>
      <c r="AB5">
        <v>9.9999999300000003E-2</v>
      </c>
      <c r="AC5">
        <v>9.9999999300000003E-2</v>
      </c>
      <c r="AD5">
        <v>9.9999999300000003E-2</v>
      </c>
      <c r="AE5">
        <v>9.9999999300000003E-2</v>
      </c>
      <c r="AF5">
        <v>9.9999999300000003E-2</v>
      </c>
      <c r="AG5">
        <v>0</v>
      </c>
      <c r="AH5">
        <v>0</v>
      </c>
      <c r="AI5">
        <v>0</v>
      </c>
      <c r="AJ5">
        <v>0</v>
      </c>
      <c r="AK5">
        <v>0.29999999970000002</v>
      </c>
      <c r="AL5">
        <v>1.3999999992000001</v>
      </c>
      <c r="AM5">
        <v>4.7999999987999997</v>
      </c>
      <c r="AN5">
        <v>11.3999999994</v>
      </c>
      <c r="AO5">
        <v>19.0999999995</v>
      </c>
      <c r="AP5">
        <v>27.0999999993</v>
      </c>
      <c r="AQ5">
        <v>35.599999999200001</v>
      </c>
      <c r="AR5">
        <v>43.4000000005</v>
      </c>
      <c r="AS5">
        <v>51.299999999199997</v>
      </c>
      <c r="AT5">
        <v>59.199999999699997</v>
      </c>
      <c r="AU5">
        <v>67.699999999599996</v>
      </c>
      <c r="AV5">
        <v>76.399999999900004</v>
      </c>
      <c r="AW5">
        <v>85.399999999900004</v>
      </c>
      <c r="AX5">
        <v>94.299999998800004</v>
      </c>
      <c r="AY5">
        <v>102.69999999949999</v>
      </c>
      <c r="AZ5">
        <v>111.1000000001</v>
      </c>
      <c r="BA5">
        <v>119.8999999997</v>
      </c>
      <c r="BB5">
        <v>128.80000000039999</v>
      </c>
      <c r="BC5">
        <v>137.99999999900001</v>
      </c>
      <c r="BD5">
        <v>146.89999999969999</v>
      </c>
      <c r="BE5">
        <v>155.1999999992</v>
      </c>
      <c r="BF5">
        <v>163.8000000003</v>
      </c>
      <c r="BG5">
        <v>172.8000000003</v>
      </c>
      <c r="BH5">
        <v>181.59999999990001</v>
      </c>
      <c r="BI5">
        <v>190.8000000003</v>
      </c>
      <c r="BJ5">
        <v>199.6999999992</v>
      </c>
      <c r="BK5">
        <v>207.8000000001</v>
      </c>
      <c r="BL5">
        <v>216.50000000049999</v>
      </c>
      <c r="BM5">
        <v>225.39999999939999</v>
      </c>
      <c r="BN5">
        <v>234.00000000040001</v>
      </c>
      <c r="BO5">
        <v>243.0999999997</v>
      </c>
      <c r="BP5">
        <v>251.8</v>
      </c>
      <c r="BQ5">
        <v>259.89999999909998</v>
      </c>
      <c r="BR5">
        <v>268.2000000004</v>
      </c>
      <c r="BS5">
        <v>276.8999999989</v>
      </c>
      <c r="BT5">
        <v>285.39999999880001</v>
      </c>
      <c r="BU5">
        <v>294.20000000030001</v>
      </c>
      <c r="BV5">
        <v>302.40000000049997</v>
      </c>
      <c r="BW5">
        <v>310.2999999992</v>
      </c>
      <c r="BX5">
        <v>317.89999999999998</v>
      </c>
      <c r="BY5">
        <v>325.9999999991</v>
      </c>
      <c r="BZ5">
        <v>334.30000000040002</v>
      </c>
      <c r="CA5">
        <v>342.59999999989998</v>
      </c>
      <c r="CB5">
        <v>350.50000000049999</v>
      </c>
      <c r="CC5">
        <v>357.70000000049998</v>
      </c>
      <c r="CD5">
        <v>364.99999999980002</v>
      </c>
      <c r="CE5">
        <v>371.99999999940002</v>
      </c>
      <c r="CF5">
        <v>379.89999999989999</v>
      </c>
      <c r="CG5">
        <v>387.49999999890002</v>
      </c>
      <c r="CH5">
        <v>394.59999999960002</v>
      </c>
      <c r="CI5">
        <v>401.7999999996</v>
      </c>
      <c r="CJ5">
        <v>408.4000000003</v>
      </c>
      <c r="CK5">
        <v>415.19999999949999</v>
      </c>
      <c r="CL5">
        <v>421.699999999</v>
      </c>
      <c r="CM5">
        <v>428.3999999989</v>
      </c>
      <c r="CN5">
        <v>435.49999999959999</v>
      </c>
      <c r="CO5">
        <v>441.69999999940001</v>
      </c>
      <c r="CP5">
        <v>447.50000000019998</v>
      </c>
      <c r="CQ5">
        <v>452.99999999950001</v>
      </c>
      <c r="CR5">
        <v>456.00000000009999</v>
      </c>
      <c r="CS5">
        <v>456.09999999939998</v>
      </c>
      <c r="CT5">
        <v>456.09999999939998</v>
      </c>
      <c r="CU5">
        <v>456.09999999939998</v>
      </c>
      <c r="CV5">
        <v>456.09999999939998</v>
      </c>
      <c r="CW5">
        <v>456.00000000009999</v>
      </c>
      <c r="CX5">
        <v>456.00000000009999</v>
      </c>
      <c r="CY5">
        <v>456.00000000009999</v>
      </c>
      <c r="CZ5">
        <v>456.00000000009999</v>
      </c>
      <c r="DA5">
        <v>456.00000000009999</v>
      </c>
      <c r="DB5">
        <v>456.00000000009999</v>
      </c>
      <c r="DC5">
        <v>455.89999999899999</v>
      </c>
      <c r="DD5">
        <v>455.89999999899999</v>
      </c>
      <c r="DE5">
        <v>455.89999999899999</v>
      </c>
      <c r="DF5">
        <v>455.89999999899999</v>
      </c>
      <c r="DG5">
        <v>0.59999999940000004</v>
      </c>
      <c r="DH5">
        <v>0.79999999980000003</v>
      </c>
      <c r="DI5">
        <v>0.79999999980000003</v>
      </c>
      <c r="DJ5">
        <v>0.79999999980000003</v>
      </c>
      <c r="DK5">
        <v>0.7000000005</v>
      </c>
      <c r="DL5">
        <v>0.79999999980000003</v>
      </c>
      <c r="DM5">
        <v>0.79999999980000003</v>
      </c>
      <c r="DN5">
        <v>0.79999999980000003</v>
      </c>
      <c r="DO5">
        <v>0.79999999980000003</v>
      </c>
      <c r="DP5">
        <v>0.89999999909999995</v>
      </c>
      <c r="DQ5">
        <v>0.79999999980000003</v>
      </c>
      <c r="DR5">
        <v>0.79999999980000003</v>
      </c>
      <c r="DS5">
        <v>0.79999999980000003</v>
      </c>
      <c r="DT5">
        <v>0.79999999980000003</v>
      </c>
      <c r="DU5">
        <v>0.79999999980000003</v>
      </c>
      <c r="DV5">
        <v>0.79999999980000003</v>
      </c>
      <c r="DW5">
        <v>0.79999999980000003</v>
      </c>
      <c r="DX5">
        <v>0.89999999909999995</v>
      </c>
      <c r="DY5">
        <v>1.1999999988000001</v>
      </c>
      <c r="DZ5">
        <v>2.0999999997000001</v>
      </c>
      <c r="EA5">
        <v>6.4999999995</v>
      </c>
      <c r="EB5">
        <v>14.1000000003</v>
      </c>
      <c r="EC5">
        <v>22.1000000001</v>
      </c>
      <c r="ED5">
        <v>29.9999999988</v>
      </c>
      <c r="EE5">
        <v>37.899999999400002</v>
      </c>
      <c r="EF5">
        <v>45.399999999099997</v>
      </c>
      <c r="EG5">
        <v>52.999999999899998</v>
      </c>
      <c r="EH5">
        <v>61.099999998999998</v>
      </c>
      <c r="EI5">
        <v>69.499999999600007</v>
      </c>
      <c r="EJ5">
        <v>78.400000000299997</v>
      </c>
      <c r="EK5">
        <v>87.199999999900001</v>
      </c>
      <c r="EL5">
        <v>95.600000000600005</v>
      </c>
      <c r="EM5">
        <v>103.79999999899999</v>
      </c>
      <c r="EN5">
        <v>112.4</v>
      </c>
      <c r="EO5">
        <v>121.4</v>
      </c>
      <c r="EP5">
        <v>130.6000000004</v>
      </c>
      <c r="EQ5">
        <v>139.6000000004</v>
      </c>
      <c r="ER5">
        <v>148.19999999960001</v>
      </c>
      <c r="ES5">
        <v>156.4999999991</v>
      </c>
      <c r="ET5">
        <v>165.39999999989999</v>
      </c>
      <c r="EU5">
        <v>174.9</v>
      </c>
      <c r="EV5">
        <v>184.29999999899999</v>
      </c>
      <c r="EW5">
        <v>193.29999999899999</v>
      </c>
      <c r="EX5">
        <v>201.69999999960001</v>
      </c>
      <c r="EY5">
        <v>209.8999999998</v>
      </c>
      <c r="EZ5">
        <v>219.10000000030001</v>
      </c>
      <c r="FA5">
        <v>228.6000000004</v>
      </c>
      <c r="FB5">
        <v>237.90000000009999</v>
      </c>
      <c r="FC5">
        <v>246.6999999997</v>
      </c>
      <c r="FD5">
        <v>254.89999999989999</v>
      </c>
      <c r="FE5">
        <v>263.19999999940001</v>
      </c>
      <c r="FF5">
        <v>272.19999999940001</v>
      </c>
      <c r="FG5">
        <v>281.3999999998</v>
      </c>
      <c r="FH5">
        <v>290.39999999989999</v>
      </c>
      <c r="FI5">
        <v>298.9999999991</v>
      </c>
      <c r="FJ5">
        <v>306.80000000029997</v>
      </c>
      <c r="FK5">
        <v>314.8000000001</v>
      </c>
      <c r="FL5">
        <v>323.39999999930001</v>
      </c>
      <c r="FM5">
        <v>332.19999999890001</v>
      </c>
      <c r="FN5">
        <v>340.59999999950003</v>
      </c>
      <c r="FO5">
        <v>348.70000000049998</v>
      </c>
      <c r="FP5">
        <v>356.39999999880001</v>
      </c>
      <c r="FQ5">
        <v>363.6999999999</v>
      </c>
      <c r="FR5">
        <v>371.29999999889998</v>
      </c>
      <c r="FS5">
        <v>379.4999999991</v>
      </c>
      <c r="FT5">
        <v>387.19999999919997</v>
      </c>
      <c r="FU5">
        <v>394.50000000030002</v>
      </c>
      <c r="FV5">
        <v>401.7999999996</v>
      </c>
      <c r="FW5">
        <v>408.5999999988</v>
      </c>
      <c r="FX5">
        <v>414.80000000050001</v>
      </c>
      <c r="FY5">
        <v>421.09999999960002</v>
      </c>
      <c r="FZ5">
        <v>428.09999999920001</v>
      </c>
      <c r="GA5">
        <v>434.60000000050002</v>
      </c>
      <c r="GB5">
        <v>440.39999999949998</v>
      </c>
      <c r="GC5">
        <v>445.79999999950002</v>
      </c>
      <c r="GD5">
        <v>450.49999999900001</v>
      </c>
      <c r="GE5">
        <v>454.29999999939997</v>
      </c>
      <c r="GF5">
        <v>455.7000000004</v>
      </c>
      <c r="GG5">
        <v>455.79999999969999</v>
      </c>
      <c r="GH5">
        <v>455.89999999899999</v>
      </c>
      <c r="GI5">
        <v>456.00000000009999</v>
      </c>
      <c r="GJ5">
        <v>456.09999999939998</v>
      </c>
      <c r="GK5">
        <v>456.00000000009999</v>
      </c>
      <c r="GL5">
        <v>455.89999999899999</v>
      </c>
      <c r="GM5">
        <v>455.89999999899999</v>
      </c>
      <c r="GN5">
        <v>455.89999999899999</v>
      </c>
      <c r="GO5">
        <v>455.89999999899999</v>
      </c>
      <c r="GP5">
        <v>455.89999999899999</v>
      </c>
      <c r="GQ5">
        <v>455.79999999969999</v>
      </c>
      <c r="GR5">
        <v>455.89999999899999</v>
      </c>
      <c r="GS5">
        <v>455.89999999899999</v>
      </c>
      <c r="GT5">
        <v>456.00000000009999</v>
      </c>
      <c r="GU5">
        <v>456.00000000009999</v>
      </c>
      <c r="GV5">
        <v>456.00000000009999</v>
      </c>
      <c r="GW5">
        <v>1</v>
      </c>
      <c r="GX5">
        <v>93.3999999997</v>
      </c>
      <c r="GY5">
        <v>85.399999999900004</v>
      </c>
      <c r="GZ5">
        <v>85.399999999900004</v>
      </c>
      <c r="HA5">
        <v>103.79999999899999</v>
      </c>
      <c r="HB5">
        <v>89.216356062000003</v>
      </c>
      <c r="HC5">
        <v>-18.399999998999998</v>
      </c>
      <c r="HD5">
        <v>455.99996711260002</v>
      </c>
      <c r="HE5">
        <v>337.24881604870001</v>
      </c>
      <c r="HF5">
        <v>68.9416136814</v>
      </c>
      <c r="HG5">
        <v>456.09999999939998</v>
      </c>
      <c r="HH5">
        <v>456.09999999939998</v>
      </c>
      <c r="HI5">
        <v>456.09999999939998</v>
      </c>
      <c r="HJ5">
        <v>456.09999999939998</v>
      </c>
      <c r="HK5">
        <v>105.57184750730001</v>
      </c>
      <c r="HL5">
        <v>3.7767416005999999</v>
      </c>
      <c r="HM5">
        <v>3.5688080204000001</v>
      </c>
      <c r="HN5">
        <v>3.6446698139000002</v>
      </c>
      <c r="HO5">
        <v>3.5043314953000002</v>
      </c>
      <c r="HP5">
        <v>3.8102852760000001</v>
      </c>
      <c r="HQ5">
        <v>2.9066890522</v>
      </c>
      <c r="HR5">
        <v>20.274742380599999</v>
      </c>
      <c r="HS5">
        <v>-18.7683284457</v>
      </c>
      <c r="HT5">
        <v>-128</v>
      </c>
      <c r="HU5">
        <v>426.4651721107</v>
      </c>
      <c r="HV5">
        <v>91.495601172999997</v>
      </c>
      <c r="HW5">
        <v>624</v>
      </c>
      <c r="HX5">
        <v>20.274742380599999</v>
      </c>
      <c r="HY5">
        <v>-18.7683284457</v>
      </c>
      <c r="HZ5">
        <v>-128</v>
      </c>
      <c r="IA5">
        <v>426.4651721107</v>
      </c>
      <c r="IB5">
        <v>91.495601172999997</v>
      </c>
      <c r="IC5">
        <v>624</v>
      </c>
      <c r="ID5">
        <v>29.6348278888</v>
      </c>
      <c r="IE5">
        <v>0.34621793439999998</v>
      </c>
      <c r="IF5">
        <v>-28.152492668600001</v>
      </c>
      <c r="IG5">
        <v>-192</v>
      </c>
      <c r="IH5">
        <v>450.06917342589998</v>
      </c>
      <c r="II5">
        <v>100.87976539589999</v>
      </c>
      <c r="IJ5">
        <v>688</v>
      </c>
      <c r="IK5">
        <v>406.19042973009999</v>
      </c>
      <c r="IL5">
        <v>110.26392961880001</v>
      </c>
      <c r="IM5">
        <v>434.06279324769997</v>
      </c>
      <c r="IN5">
        <v>119.6480938416</v>
      </c>
      <c r="IO5">
        <v>7.7000000001000002</v>
      </c>
      <c r="IP5">
        <v>6.5000000013000001</v>
      </c>
      <c r="IQ5">
        <v>9.5000000001</v>
      </c>
      <c r="IR5">
        <v>3.12888587</v>
      </c>
      <c r="IS5">
        <v>3.12888587</v>
      </c>
      <c r="IT5">
        <v>18.599999999400001</v>
      </c>
      <c r="IU5">
        <v>-21.114369501500001</v>
      </c>
      <c r="IV5">
        <v>22.700000001399999</v>
      </c>
      <c r="IW5">
        <v>65.689149560100006</v>
      </c>
      <c r="IX5">
        <v>14.9999999994</v>
      </c>
      <c r="IY5">
        <v>100.87976539589999</v>
      </c>
      <c r="IZ5">
        <v>-24.726133513600001</v>
      </c>
      <c r="JA5">
        <v>0.29589759030000001</v>
      </c>
      <c r="JB5">
        <v>-2.4035159999999999E-4</v>
      </c>
      <c r="JC5">
        <v>4.3089999999999997E-7</v>
      </c>
      <c r="JD5">
        <v>0.2647785064</v>
      </c>
      <c r="JE5">
        <v>0.32840817210000001</v>
      </c>
      <c r="JF5">
        <v>0.1224962364</v>
      </c>
      <c r="JG5">
        <v>89.1444971409</v>
      </c>
      <c r="JH5">
        <v>3.8102852760000001</v>
      </c>
      <c r="JI5">
        <v>5.9229323999999998E-3</v>
      </c>
      <c r="JJ5">
        <v>-7.9135700000000002E-5</v>
      </c>
      <c r="JK5">
        <v>3.7767416005999999</v>
      </c>
      <c r="JL5">
        <v>0.62254592080000004</v>
      </c>
      <c r="JM5">
        <v>0.25724094219999999</v>
      </c>
      <c r="JN5" t="s">
        <v>547</v>
      </c>
      <c r="JQ5">
        <v>1</v>
      </c>
    </row>
    <row r="6" spans="1:277">
      <c r="A6" t="s">
        <v>602</v>
      </c>
      <c r="B6" t="s">
        <v>603</v>
      </c>
      <c r="C6" t="s">
        <v>211</v>
      </c>
      <c r="D6">
        <v>3</v>
      </c>
      <c r="E6" t="s">
        <v>212</v>
      </c>
      <c r="F6" t="s">
        <v>213</v>
      </c>
      <c r="G6" t="s">
        <v>546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</v>
      </c>
      <c r="R6">
        <v>0.20000000039999999</v>
      </c>
      <c r="S6">
        <v>0.29999999970000002</v>
      </c>
      <c r="T6">
        <v>0.29999999970000002</v>
      </c>
      <c r="U6">
        <v>0.40000000079999998</v>
      </c>
      <c r="V6">
        <v>0.40000000079999998</v>
      </c>
      <c r="W6">
        <v>0.40000000079999998</v>
      </c>
      <c r="X6">
        <v>0.40000000079999998</v>
      </c>
      <c r="Y6">
        <v>0.40000000079999998</v>
      </c>
      <c r="Z6">
        <v>0.40000000079999998</v>
      </c>
      <c r="AA6">
        <v>0.40000000079999998</v>
      </c>
      <c r="AB6">
        <v>0.50000000010000001</v>
      </c>
      <c r="AC6">
        <v>0.50000000010000001</v>
      </c>
      <c r="AD6">
        <v>0.50000000010000001</v>
      </c>
      <c r="AE6">
        <v>0.50000000010000001</v>
      </c>
      <c r="AF6">
        <v>0.59999999940000004</v>
      </c>
      <c r="AG6">
        <v>0.59999999940000004</v>
      </c>
      <c r="AH6">
        <v>0.7000000005</v>
      </c>
      <c r="AI6">
        <v>0.90000000089999999</v>
      </c>
      <c r="AJ6">
        <v>1.7000000007</v>
      </c>
      <c r="AK6">
        <v>2.8999999994999999</v>
      </c>
      <c r="AL6">
        <v>4.8000000005999999</v>
      </c>
      <c r="AM6">
        <v>10.0000000002</v>
      </c>
      <c r="AN6">
        <v>17.599999999200001</v>
      </c>
      <c r="AO6">
        <v>25.1000000007</v>
      </c>
      <c r="AP6">
        <v>32.499999999300002</v>
      </c>
      <c r="AQ6">
        <v>39.899999999800002</v>
      </c>
      <c r="AR6">
        <v>48.3999999997</v>
      </c>
      <c r="AS6">
        <v>56.899999999599999</v>
      </c>
      <c r="AT6">
        <v>65.200000000900005</v>
      </c>
      <c r="AU6">
        <v>73.200000000700001</v>
      </c>
      <c r="AV6">
        <v>81.5999999995</v>
      </c>
      <c r="AW6">
        <v>89.900000000899993</v>
      </c>
      <c r="AX6">
        <v>99.0999999995</v>
      </c>
      <c r="AY6">
        <v>108.2999999999</v>
      </c>
      <c r="AZ6">
        <v>117.2000000006</v>
      </c>
      <c r="BA6">
        <v>125.5999999994</v>
      </c>
      <c r="BB6">
        <v>133.9000000007</v>
      </c>
      <c r="BC6">
        <v>142.1000000009</v>
      </c>
      <c r="BD6">
        <v>150.7000000001</v>
      </c>
      <c r="BE6">
        <v>160.09999999909999</v>
      </c>
      <c r="BF6">
        <v>168.6000000009</v>
      </c>
      <c r="BG6">
        <v>177.2000000001</v>
      </c>
      <c r="BH6">
        <v>185.99999999970001</v>
      </c>
      <c r="BI6">
        <v>193.99999999950001</v>
      </c>
      <c r="BJ6">
        <v>202.60000000049999</v>
      </c>
      <c r="BK6">
        <v>211.90000000020001</v>
      </c>
      <c r="BL6">
        <v>220.49999999939999</v>
      </c>
      <c r="BM6">
        <v>228.99999999939999</v>
      </c>
      <c r="BN6">
        <v>237.4</v>
      </c>
      <c r="BO6">
        <v>245.30000000050001</v>
      </c>
      <c r="BP6">
        <v>253.80000000039999</v>
      </c>
      <c r="BQ6">
        <v>262.69999999930002</v>
      </c>
      <c r="BR6">
        <v>271.00000000059998</v>
      </c>
      <c r="BS6">
        <v>279.20000000089999</v>
      </c>
      <c r="BT6">
        <v>287.5999999997</v>
      </c>
      <c r="BU6">
        <v>295.09999999939998</v>
      </c>
      <c r="BV6">
        <v>302.90000000060002</v>
      </c>
      <c r="BW6">
        <v>311.29999999939997</v>
      </c>
      <c r="BX6">
        <v>319.4000000003</v>
      </c>
      <c r="BY6">
        <v>326.89999999999998</v>
      </c>
      <c r="BZ6">
        <v>334.8999999998</v>
      </c>
      <c r="CA6">
        <v>342.20000000099998</v>
      </c>
      <c r="CB6">
        <v>349.50000000030002</v>
      </c>
      <c r="CC6">
        <v>357</v>
      </c>
      <c r="CD6">
        <v>364.40000000039998</v>
      </c>
      <c r="CE6">
        <v>371.90000000010002</v>
      </c>
      <c r="CF6">
        <v>379.30000000050001</v>
      </c>
      <c r="CG6">
        <v>386.59999999979999</v>
      </c>
      <c r="CH6">
        <v>393.2000000004</v>
      </c>
      <c r="CI6">
        <v>399.9000000003</v>
      </c>
      <c r="CJ6">
        <v>406.69999999949999</v>
      </c>
      <c r="CK6">
        <v>413.69999999919997</v>
      </c>
      <c r="CL6">
        <v>420.29999999979998</v>
      </c>
      <c r="CM6">
        <v>427.29999999939997</v>
      </c>
      <c r="CN6">
        <v>434.10000000039997</v>
      </c>
      <c r="CO6">
        <v>440.30000000019999</v>
      </c>
      <c r="CP6">
        <v>445.70000000020002</v>
      </c>
      <c r="CQ6">
        <v>450.80000000050001</v>
      </c>
      <c r="CR6">
        <v>454.29999999939997</v>
      </c>
      <c r="CS6">
        <v>455.20000000030001</v>
      </c>
      <c r="CT6">
        <v>455.09999999920001</v>
      </c>
      <c r="CU6">
        <v>455.20000000030001</v>
      </c>
      <c r="CV6">
        <v>455.2999999996</v>
      </c>
      <c r="CW6">
        <v>455.4000000007</v>
      </c>
      <c r="CX6">
        <v>455.4000000007</v>
      </c>
      <c r="CY6">
        <v>455.4000000007</v>
      </c>
      <c r="CZ6">
        <v>455.4000000007</v>
      </c>
      <c r="DA6">
        <v>455.5</v>
      </c>
      <c r="DB6">
        <v>455.5</v>
      </c>
      <c r="DC6">
        <v>455.5</v>
      </c>
      <c r="DD6">
        <v>455.5</v>
      </c>
      <c r="DE6">
        <v>455.5999999993</v>
      </c>
      <c r="DF6">
        <v>455.7000000004</v>
      </c>
      <c r="DG6">
        <v>0.50000000010000001</v>
      </c>
      <c r="DH6">
        <v>1.2000000006</v>
      </c>
      <c r="DI6">
        <v>1.2000000006</v>
      </c>
      <c r="DJ6">
        <v>1.2999999999</v>
      </c>
      <c r="DK6">
        <v>1.3999999992000001</v>
      </c>
      <c r="DL6">
        <v>1.3999999992000001</v>
      </c>
      <c r="DM6">
        <v>1.3999999992000001</v>
      </c>
      <c r="DN6">
        <v>1.5000000003</v>
      </c>
      <c r="DO6">
        <v>1.3999999992000001</v>
      </c>
      <c r="DP6">
        <v>1.5999999996000001</v>
      </c>
      <c r="DQ6">
        <v>1.5000000003</v>
      </c>
      <c r="DR6">
        <v>1.8</v>
      </c>
      <c r="DS6">
        <v>1.8</v>
      </c>
      <c r="DT6">
        <v>1.7000000007</v>
      </c>
      <c r="DU6">
        <v>1.5999999996000001</v>
      </c>
      <c r="DV6">
        <v>1.7000000007</v>
      </c>
      <c r="DW6">
        <v>2.0000000004</v>
      </c>
      <c r="DX6">
        <v>2.7000000008999998</v>
      </c>
      <c r="DY6">
        <v>3.6</v>
      </c>
      <c r="DZ6">
        <v>5.9999999994</v>
      </c>
      <c r="EA6">
        <v>11.8999999995</v>
      </c>
      <c r="EB6">
        <v>19.500000000299998</v>
      </c>
      <c r="EC6">
        <v>26.900000000799999</v>
      </c>
      <c r="ED6">
        <v>34.100000000800001</v>
      </c>
      <c r="EE6">
        <v>41.600000000500003</v>
      </c>
      <c r="EF6">
        <v>49.9</v>
      </c>
      <c r="EG6">
        <v>58.300000000600001</v>
      </c>
      <c r="EH6">
        <v>66.5000000008</v>
      </c>
      <c r="EI6">
        <v>74.699999999200003</v>
      </c>
      <c r="EJ6">
        <v>82.599999999700003</v>
      </c>
      <c r="EK6">
        <v>90.700000000700001</v>
      </c>
      <c r="EL6">
        <v>99.500000000300005</v>
      </c>
      <c r="EM6">
        <v>109.00000000039999</v>
      </c>
      <c r="EN6">
        <v>118.00000000039999</v>
      </c>
      <c r="EO6">
        <v>126.5999999996</v>
      </c>
      <c r="EP6">
        <v>134.79999999980001</v>
      </c>
      <c r="EQ6">
        <v>143</v>
      </c>
      <c r="ER6">
        <v>152</v>
      </c>
      <c r="ES6">
        <v>161.29999999980001</v>
      </c>
      <c r="ET6">
        <v>169.90000000079999</v>
      </c>
      <c r="EU6">
        <v>178.5</v>
      </c>
      <c r="EV6">
        <v>187.20000000030001</v>
      </c>
      <c r="EW6">
        <v>195.6000000009</v>
      </c>
      <c r="EX6">
        <v>204.79999999949999</v>
      </c>
      <c r="EY6">
        <v>214.09999999920001</v>
      </c>
      <c r="EZ6">
        <v>222.70000000030001</v>
      </c>
      <c r="FA6">
        <v>231.40000000059999</v>
      </c>
      <c r="FB6">
        <v>239.7999999994</v>
      </c>
      <c r="FC6">
        <v>247.99999999959999</v>
      </c>
      <c r="FD6">
        <v>257.2</v>
      </c>
      <c r="FE6">
        <v>265.99999999959999</v>
      </c>
      <c r="FF6">
        <v>274.30000000090001</v>
      </c>
      <c r="FG6">
        <v>282.90000000020001</v>
      </c>
      <c r="FH6">
        <v>291.19999999970003</v>
      </c>
      <c r="FI6">
        <v>299.1000000002</v>
      </c>
      <c r="FJ6">
        <v>307.80000000050001</v>
      </c>
      <c r="FK6">
        <v>316.10000000000002</v>
      </c>
      <c r="FL6">
        <v>324.09999999979999</v>
      </c>
      <c r="FM6">
        <v>332.39999999930001</v>
      </c>
      <c r="FN6">
        <v>340.29999999979998</v>
      </c>
      <c r="FO6">
        <v>347.59999999910002</v>
      </c>
      <c r="FP6">
        <v>355.40000000039998</v>
      </c>
      <c r="FQ6">
        <v>363.40000000020001</v>
      </c>
      <c r="FR6">
        <v>371.10000000029999</v>
      </c>
      <c r="FS6">
        <v>378.30000000029997</v>
      </c>
      <c r="FT6">
        <v>385.89999999930001</v>
      </c>
      <c r="FU6">
        <v>392.7999999996</v>
      </c>
      <c r="FV6">
        <v>399.49999999950001</v>
      </c>
      <c r="FW6">
        <v>406.3999999998</v>
      </c>
      <c r="FX6">
        <v>413.50000000059998</v>
      </c>
      <c r="FY6">
        <v>420.20000000049998</v>
      </c>
      <c r="FZ6">
        <v>426.1999999999</v>
      </c>
      <c r="GA6">
        <v>432.50000000080001</v>
      </c>
      <c r="GB6">
        <v>438.50000000019998</v>
      </c>
      <c r="GC6">
        <v>443.80000000090001</v>
      </c>
      <c r="GD6">
        <v>448.39999999930001</v>
      </c>
      <c r="GE6">
        <v>452.49999999940002</v>
      </c>
      <c r="GF6">
        <v>454.79999999950002</v>
      </c>
      <c r="GG6">
        <v>454.99999999990001</v>
      </c>
      <c r="GH6">
        <v>455.09999999920001</v>
      </c>
      <c r="GI6">
        <v>455.09999999920001</v>
      </c>
      <c r="GJ6">
        <v>455.20000000030001</v>
      </c>
      <c r="GK6">
        <v>455.2999999996</v>
      </c>
      <c r="GL6">
        <v>455.2999999996</v>
      </c>
      <c r="GM6">
        <v>455.2999999996</v>
      </c>
      <c r="GN6">
        <v>455.2999999996</v>
      </c>
      <c r="GO6">
        <v>455.2999999996</v>
      </c>
      <c r="GP6">
        <v>455.4000000007</v>
      </c>
      <c r="GQ6">
        <v>455.5</v>
      </c>
      <c r="GR6">
        <v>455.5</v>
      </c>
      <c r="GS6">
        <v>455.5</v>
      </c>
      <c r="GT6">
        <v>455.5999999993</v>
      </c>
      <c r="GU6">
        <v>455.5999999993</v>
      </c>
      <c r="GV6">
        <v>455.7000000004</v>
      </c>
      <c r="GW6">
        <v>1</v>
      </c>
      <c r="GX6">
        <v>97.200000000200006</v>
      </c>
      <c r="GY6">
        <v>89.900000000899993</v>
      </c>
      <c r="GZ6">
        <v>89.900000000899993</v>
      </c>
      <c r="HA6">
        <v>109.00000000039999</v>
      </c>
      <c r="HB6">
        <v>94.0683015149</v>
      </c>
      <c r="HC6">
        <v>-19.0999999995</v>
      </c>
      <c r="HD6">
        <v>455.7000000004</v>
      </c>
      <c r="HE6">
        <v>330.45213956459997</v>
      </c>
      <c r="HF6">
        <v>75.532323898800001</v>
      </c>
      <c r="HG6">
        <v>455.7000000004</v>
      </c>
      <c r="HH6">
        <v>455.7000000004</v>
      </c>
      <c r="HI6">
        <v>455.7000000004</v>
      </c>
      <c r="HJ6">
        <v>455.7000000004</v>
      </c>
      <c r="HK6">
        <v>107.91788856300001</v>
      </c>
      <c r="HL6">
        <v>3.6989379323999998</v>
      </c>
      <c r="HM6">
        <v>3.5002210365000002</v>
      </c>
      <c r="HN6">
        <v>3.5790856483</v>
      </c>
      <c r="HO6">
        <v>3.4853671626999998</v>
      </c>
      <c r="HP6">
        <v>3.7757646943999998</v>
      </c>
      <c r="HQ6">
        <v>2.8466418496000001</v>
      </c>
      <c r="HR6">
        <v>18.5359776162</v>
      </c>
      <c r="HS6">
        <v>-21.114369501500001</v>
      </c>
      <c r="HT6">
        <v>-144</v>
      </c>
      <c r="HU6">
        <v>424.52044107950002</v>
      </c>
      <c r="HV6">
        <v>91.495601172999997</v>
      </c>
      <c r="HW6">
        <v>624</v>
      </c>
      <c r="HX6">
        <v>18.5359776162</v>
      </c>
      <c r="HY6">
        <v>-21.114369501500001</v>
      </c>
      <c r="HZ6">
        <v>-144</v>
      </c>
      <c r="IA6">
        <v>424.52044107950002</v>
      </c>
      <c r="IB6">
        <v>91.495601172999997</v>
      </c>
      <c r="IC6">
        <v>624</v>
      </c>
      <c r="ID6">
        <v>31.179558921000002</v>
      </c>
      <c r="IE6">
        <v>1.7363287257</v>
      </c>
      <c r="IF6">
        <v>-30.4985337243</v>
      </c>
      <c r="IG6">
        <v>-208</v>
      </c>
      <c r="IH6">
        <v>447.94655475029998</v>
      </c>
      <c r="II6">
        <v>100.87976539589999</v>
      </c>
      <c r="IJ6">
        <v>688</v>
      </c>
      <c r="IK6">
        <v>405.98446346330002</v>
      </c>
      <c r="IL6">
        <v>112.6099706745</v>
      </c>
      <c r="IM6">
        <v>432.25768049110002</v>
      </c>
      <c r="IN6">
        <v>121.9941348974</v>
      </c>
      <c r="IO6">
        <v>7.6000000007999997</v>
      </c>
      <c r="IP6">
        <v>6.3000000008999999</v>
      </c>
      <c r="IQ6">
        <v>9.5000000001</v>
      </c>
      <c r="IR6">
        <v>3.7805238027999999</v>
      </c>
      <c r="IS6">
        <v>3.7805238027999999</v>
      </c>
      <c r="IT6">
        <v>16.9000000005</v>
      </c>
      <c r="IU6">
        <v>-23.460410557199999</v>
      </c>
      <c r="IV6">
        <v>21.6</v>
      </c>
      <c r="IW6">
        <v>72.727272727300004</v>
      </c>
      <c r="IX6">
        <v>14.299999998900001</v>
      </c>
      <c r="IY6">
        <v>100.87976539589999</v>
      </c>
      <c r="IZ6">
        <v>-26.356459944000001</v>
      </c>
      <c r="JA6">
        <v>0.2968900351</v>
      </c>
      <c r="JB6">
        <v>-2.2674239999999999E-4</v>
      </c>
      <c r="JC6">
        <v>4.2339999999999999E-7</v>
      </c>
      <c r="JD6">
        <v>0.27034787240000002</v>
      </c>
      <c r="JE6">
        <v>0.2875320032</v>
      </c>
      <c r="JF6">
        <v>0.1056384514</v>
      </c>
      <c r="JG6">
        <v>94.602982387899999</v>
      </c>
      <c r="JH6">
        <v>3.7757646943999998</v>
      </c>
      <c r="JI6">
        <v>4.6353636999999998E-3</v>
      </c>
      <c r="JJ6">
        <v>-7.0770499999999996E-5</v>
      </c>
      <c r="JK6">
        <v>3.6989379323999998</v>
      </c>
      <c r="JL6">
        <v>0.92319184779999997</v>
      </c>
      <c r="JM6">
        <v>0.31231587900000002</v>
      </c>
      <c r="JN6" t="s">
        <v>547</v>
      </c>
      <c r="JQ6">
        <v>1</v>
      </c>
    </row>
    <row r="7" spans="1:277">
      <c r="A7" t="s">
        <v>604</v>
      </c>
      <c r="B7" t="s">
        <v>605</v>
      </c>
      <c r="C7" t="s">
        <v>211</v>
      </c>
      <c r="D7">
        <v>3</v>
      </c>
      <c r="E7" t="s">
        <v>212</v>
      </c>
      <c r="F7" t="s">
        <v>213</v>
      </c>
      <c r="G7" t="s">
        <v>546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9.9999999300000003E-2</v>
      </c>
      <c r="R7">
        <v>0</v>
      </c>
      <c r="S7">
        <v>0</v>
      </c>
      <c r="T7">
        <v>9.9999999300000003E-2</v>
      </c>
      <c r="U7">
        <v>0.19999999860000001</v>
      </c>
      <c r="V7">
        <v>0.19999999860000001</v>
      </c>
      <c r="W7">
        <v>0.29999999970000002</v>
      </c>
      <c r="X7">
        <v>0.29999999970000002</v>
      </c>
      <c r="Y7">
        <v>0.29999999970000002</v>
      </c>
      <c r="Z7">
        <v>0.29999999970000002</v>
      </c>
      <c r="AA7">
        <v>0.29999999970000002</v>
      </c>
      <c r="AB7">
        <v>0.29999999970000002</v>
      </c>
      <c r="AC7">
        <v>0.39999999899999999</v>
      </c>
      <c r="AD7">
        <v>0.39999999899999999</v>
      </c>
      <c r="AE7">
        <v>0.39999999899999999</v>
      </c>
      <c r="AF7">
        <v>0.50000000010000001</v>
      </c>
      <c r="AG7">
        <v>0.50000000010000001</v>
      </c>
      <c r="AH7">
        <v>0.50000000010000001</v>
      </c>
      <c r="AI7">
        <v>0.59999999940000004</v>
      </c>
      <c r="AJ7">
        <v>0.89999999909999995</v>
      </c>
      <c r="AK7">
        <v>2.5999999998000001</v>
      </c>
      <c r="AL7">
        <v>6.1999999998000002</v>
      </c>
      <c r="AM7">
        <v>11.8999999995</v>
      </c>
      <c r="AN7">
        <v>19.299999999899999</v>
      </c>
      <c r="AO7">
        <v>27.0999999993</v>
      </c>
      <c r="AP7">
        <v>34.399999998600002</v>
      </c>
      <c r="AQ7">
        <v>42.299999999199997</v>
      </c>
      <c r="AR7">
        <v>50.799999999100002</v>
      </c>
      <c r="AS7">
        <v>58.9</v>
      </c>
      <c r="AT7">
        <v>67.199999999499994</v>
      </c>
      <c r="AU7">
        <v>75.799999998700002</v>
      </c>
      <c r="AV7">
        <v>83.899999999599999</v>
      </c>
      <c r="AW7">
        <v>92.199999999100001</v>
      </c>
      <c r="AX7">
        <v>101.3999999996</v>
      </c>
      <c r="AY7">
        <v>110.09999999990001</v>
      </c>
      <c r="AZ7">
        <v>118.8999999995</v>
      </c>
      <c r="BA7">
        <v>127.6999999991</v>
      </c>
      <c r="BB7">
        <v>135.89999999930001</v>
      </c>
      <c r="BC7">
        <v>144.39999999919999</v>
      </c>
      <c r="BD7">
        <v>153.69999999890001</v>
      </c>
      <c r="BE7">
        <v>162.30000000000001</v>
      </c>
      <c r="BF7">
        <v>171.09999999959999</v>
      </c>
      <c r="BG7">
        <v>179.7999999999</v>
      </c>
      <c r="BH7">
        <v>188.00000000009999</v>
      </c>
      <c r="BI7">
        <v>196.69999999859999</v>
      </c>
      <c r="BJ7">
        <v>205.79999999969999</v>
      </c>
      <c r="BK7">
        <v>214.5999999993</v>
      </c>
      <c r="BL7">
        <v>223.29999999969999</v>
      </c>
      <c r="BM7">
        <v>231.59999999920001</v>
      </c>
      <c r="BN7">
        <v>239.7999999994</v>
      </c>
      <c r="BO7">
        <v>248.39999999860001</v>
      </c>
      <c r="BP7">
        <v>257.2</v>
      </c>
      <c r="BQ7">
        <v>265.7999999992</v>
      </c>
      <c r="BR7">
        <v>274.19999999980001</v>
      </c>
      <c r="BS7">
        <v>282.19999999959998</v>
      </c>
      <c r="BT7">
        <v>290.1000000002</v>
      </c>
      <c r="BU7">
        <v>298.10000000000002</v>
      </c>
      <c r="BV7">
        <v>306.49999999879998</v>
      </c>
      <c r="BW7">
        <v>314.699999999</v>
      </c>
      <c r="BX7">
        <v>322.89999999920002</v>
      </c>
      <c r="BY7">
        <v>330.5</v>
      </c>
      <c r="BZ7">
        <v>337.79999999929998</v>
      </c>
      <c r="CA7">
        <v>345.29999999900002</v>
      </c>
      <c r="CB7">
        <v>352.89999999989999</v>
      </c>
      <c r="CC7">
        <v>360.6</v>
      </c>
      <c r="CD7">
        <v>367.9999999986</v>
      </c>
      <c r="CE7">
        <v>375.50000000009999</v>
      </c>
      <c r="CF7">
        <v>382.29999999929998</v>
      </c>
      <c r="CG7">
        <v>389.10000000029999</v>
      </c>
      <c r="CH7">
        <v>395.89999999949998</v>
      </c>
      <c r="CI7">
        <v>402.79999999979998</v>
      </c>
      <c r="CJ7">
        <v>409.79999999939997</v>
      </c>
      <c r="CK7">
        <v>416.79999999910001</v>
      </c>
      <c r="CL7">
        <v>423.60000000010001</v>
      </c>
      <c r="CM7">
        <v>429.50000000019998</v>
      </c>
      <c r="CN7">
        <v>434.59999999870001</v>
      </c>
      <c r="CO7">
        <v>440.59999999989998</v>
      </c>
      <c r="CP7">
        <v>446.2999999996</v>
      </c>
      <c r="CQ7">
        <v>451.99999999929997</v>
      </c>
      <c r="CR7">
        <v>455.2999999996</v>
      </c>
      <c r="CS7">
        <v>455.5</v>
      </c>
      <c r="CT7">
        <v>455.5999999993</v>
      </c>
      <c r="CU7">
        <v>455.5999999993</v>
      </c>
      <c r="CV7">
        <v>455.5999999993</v>
      </c>
      <c r="CW7">
        <v>455.5999999993</v>
      </c>
      <c r="CX7">
        <v>455.5999999993</v>
      </c>
      <c r="CY7">
        <v>455.69999999859999</v>
      </c>
      <c r="CZ7">
        <v>455.69999999859999</v>
      </c>
      <c r="DA7">
        <v>455.69999999859999</v>
      </c>
      <c r="DB7">
        <v>455.69999999859999</v>
      </c>
      <c r="DC7">
        <v>455.69999999859999</v>
      </c>
      <c r="DD7">
        <v>455.5999999993</v>
      </c>
      <c r="DE7">
        <v>455.69999999859999</v>
      </c>
      <c r="DF7">
        <v>455.69999999859999</v>
      </c>
      <c r="DG7">
        <v>0.59999999940000004</v>
      </c>
      <c r="DH7">
        <v>0.79999999980000003</v>
      </c>
      <c r="DI7">
        <v>0.79999999980000003</v>
      </c>
      <c r="DJ7">
        <v>0.89999999909999995</v>
      </c>
      <c r="DK7">
        <v>0.89999999909999995</v>
      </c>
      <c r="DL7">
        <v>0.89999999909999995</v>
      </c>
      <c r="DM7">
        <v>0.89999999909999995</v>
      </c>
      <c r="DN7">
        <v>0.89999999909999995</v>
      </c>
      <c r="DO7">
        <v>0.89999999909999995</v>
      </c>
      <c r="DP7">
        <v>1.0000000002</v>
      </c>
      <c r="DQ7">
        <v>1.0000000002</v>
      </c>
      <c r="DR7">
        <v>1.0999999995</v>
      </c>
      <c r="DS7">
        <v>1.0999999995</v>
      </c>
      <c r="DT7">
        <v>1.1999999988000001</v>
      </c>
      <c r="DU7">
        <v>1.0999999995</v>
      </c>
      <c r="DV7">
        <v>1.1999999988000001</v>
      </c>
      <c r="DW7">
        <v>1.2999999999</v>
      </c>
      <c r="DX7">
        <v>1.5000000003</v>
      </c>
      <c r="DY7">
        <v>3.3000000002999998</v>
      </c>
      <c r="DZ7">
        <v>7.9999999998</v>
      </c>
      <c r="EA7">
        <v>14.9000000001</v>
      </c>
      <c r="EB7">
        <v>22.399999999799999</v>
      </c>
      <c r="EC7">
        <v>29.8999999995</v>
      </c>
      <c r="ED7">
        <v>37.000000000299998</v>
      </c>
      <c r="EE7">
        <v>44.899999999000002</v>
      </c>
      <c r="EF7">
        <v>53.099999999200001</v>
      </c>
      <c r="EG7">
        <v>61.099999998999998</v>
      </c>
      <c r="EH7">
        <v>69.400000000299997</v>
      </c>
      <c r="EI7">
        <v>77.5999999987</v>
      </c>
      <c r="EJ7">
        <v>85.4999999992</v>
      </c>
      <c r="EK7">
        <v>93.799999998700002</v>
      </c>
      <c r="EL7">
        <v>102.8999999999</v>
      </c>
      <c r="EM7">
        <v>111.6000000002</v>
      </c>
      <c r="EN7">
        <v>120.3999999998</v>
      </c>
      <c r="EO7">
        <v>129.19999999940001</v>
      </c>
      <c r="EP7">
        <v>137.3000000003</v>
      </c>
      <c r="EQ7">
        <v>146.09999999990001</v>
      </c>
      <c r="ER7">
        <v>155.3999999996</v>
      </c>
      <c r="ES7">
        <v>164.19999999929999</v>
      </c>
      <c r="ET7">
        <v>173.1</v>
      </c>
      <c r="EU7">
        <v>181.8000000003</v>
      </c>
      <c r="EV7">
        <v>190.19999999909999</v>
      </c>
      <c r="EW7">
        <v>199.19999999909999</v>
      </c>
      <c r="EX7">
        <v>208.39999999950001</v>
      </c>
      <c r="EY7">
        <v>217.19999999909999</v>
      </c>
      <c r="EZ7">
        <v>226.3000000003</v>
      </c>
      <c r="FA7">
        <v>234.89999999950001</v>
      </c>
      <c r="FB7">
        <v>243.0999999997</v>
      </c>
      <c r="FC7">
        <v>251.89999999930001</v>
      </c>
      <c r="FD7">
        <v>261.0999999997</v>
      </c>
      <c r="FE7">
        <v>269.89999999930001</v>
      </c>
      <c r="FF7">
        <v>278.59999999960002</v>
      </c>
      <c r="FG7">
        <v>286.69999999869998</v>
      </c>
      <c r="FH7">
        <v>294.79999999969999</v>
      </c>
      <c r="FI7">
        <v>303.2999999996</v>
      </c>
      <c r="FJ7">
        <v>311.99999999990001</v>
      </c>
      <c r="FK7">
        <v>320.49999999980002</v>
      </c>
      <c r="FL7">
        <v>328.7</v>
      </c>
      <c r="FM7">
        <v>336.49999999940002</v>
      </c>
      <c r="FN7">
        <v>344.10000000029999</v>
      </c>
      <c r="FO7">
        <v>351.99999999900001</v>
      </c>
      <c r="FP7">
        <v>360.19999999919997</v>
      </c>
      <c r="FQ7">
        <v>367.9999999986</v>
      </c>
      <c r="FR7">
        <v>375.59999999939998</v>
      </c>
      <c r="FS7">
        <v>382.70000000009998</v>
      </c>
      <c r="FT7">
        <v>389.69999999970003</v>
      </c>
      <c r="FU7">
        <v>396.69999999930002</v>
      </c>
      <c r="FV7">
        <v>403.8</v>
      </c>
      <c r="FW7">
        <v>410.8999999989</v>
      </c>
      <c r="FX7">
        <v>417.7</v>
      </c>
      <c r="FY7">
        <v>424.39999999989999</v>
      </c>
      <c r="FZ7">
        <v>430.09999999960002</v>
      </c>
      <c r="GA7">
        <v>434.99999999950001</v>
      </c>
      <c r="GB7">
        <v>440.39999999949998</v>
      </c>
      <c r="GC7">
        <v>445.79999999950002</v>
      </c>
      <c r="GD7">
        <v>450.7999999987</v>
      </c>
      <c r="GE7">
        <v>454.39999999870003</v>
      </c>
      <c r="GF7">
        <v>455.5999999993</v>
      </c>
      <c r="GG7">
        <v>455.69999999859999</v>
      </c>
      <c r="GH7">
        <v>455.5999999993</v>
      </c>
      <c r="GI7">
        <v>455.69999999859999</v>
      </c>
      <c r="GJ7">
        <v>455.69999999859999</v>
      </c>
      <c r="GK7">
        <v>455.5999999993</v>
      </c>
      <c r="GL7">
        <v>455.5999999993</v>
      </c>
      <c r="GM7">
        <v>455.69999999859999</v>
      </c>
      <c r="GN7">
        <v>455.69999999859999</v>
      </c>
      <c r="GO7">
        <v>455.69999999859999</v>
      </c>
      <c r="GP7">
        <v>455.69999999859999</v>
      </c>
      <c r="GQ7">
        <v>455.69999999859999</v>
      </c>
      <c r="GR7">
        <v>455.69999999859999</v>
      </c>
      <c r="GS7">
        <v>455.69999999859999</v>
      </c>
      <c r="GT7">
        <v>455.79999999969999</v>
      </c>
      <c r="GU7">
        <v>455.79999999969999</v>
      </c>
      <c r="GV7">
        <v>455.79999999969999</v>
      </c>
      <c r="GW7">
        <v>1</v>
      </c>
      <c r="GX7">
        <v>100.0999999997</v>
      </c>
      <c r="GY7">
        <v>92.199999999100001</v>
      </c>
      <c r="GZ7">
        <v>92.199999999100001</v>
      </c>
      <c r="HA7">
        <v>111.6000000002</v>
      </c>
      <c r="HB7">
        <v>96.537597366300005</v>
      </c>
      <c r="HC7">
        <v>-19.400000000999999</v>
      </c>
      <c r="HD7">
        <v>455.79999999969999</v>
      </c>
      <c r="HE7">
        <v>331.96780032930002</v>
      </c>
      <c r="HF7">
        <v>76.144333515599996</v>
      </c>
      <c r="HG7">
        <v>455.79999999969999</v>
      </c>
      <c r="HH7">
        <v>455.79999999969999</v>
      </c>
      <c r="HI7">
        <v>455.69999999859999</v>
      </c>
      <c r="HJ7">
        <v>455.79999999969999</v>
      </c>
      <c r="HK7">
        <v>105.57184750730001</v>
      </c>
      <c r="HL7">
        <v>3.7218735301999999</v>
      </c>
      <c r="HM7">
        <v>3.5113767555000002</v>
      </c>
      <c r="HN7">
        <v>3.6060663009999998</v>
      </c>
      <c r="HO7">
        <v>3.4712187402999999</v>
      </c>
      <c r="HP7">
        <v>3.7927605289000001</v>
      </c>
      <c r="HQ7">
        <v>2.8192986349</v>
      </c>
      <c r="HR7">
        <v>20.3932638508</v>
      </c>
      <c r="HS7">
        <v>-21.114369501500001</v>
      </c>
      <c r="HT7">
        <v>-144</v>
      </c>
      <c r="HU7">
        <v>428.50539769570003</v>
      </c>
      <c r="HV7">
        <v>91.495601172999997</v>
      </c>
      <c r="HW7">
        <v>624</v>
      </c>
      <c r="HX7">
        <v>20.3932638508</v>
      </c>
      <c r="HY7">
        <v>-21.114369501500001</v>
      </c>
      <c r="HZ7">
        <v>-144</v>
      </c>
      <c r="IA7">
        <v>428.50539769570003</v>
      </c>
      <c r="IB7">
        <v>91.495601172999997</v>
      </c>
      <c r="IC7">
        <v>624</v>
      </c>
      <c r="ID7">
        <v>27.294602304000001</v>
      </c>
      <c r="IE7">
        <v>0.96932528709999999</v>
      </c>
      <c r="IF7">
        <v>-30.4985337243</v>
      </c>
      <c r="IG7">
        <v>-208</v>
      </c>
      <c r="IH7">
        <v>450.33612726140001</v>
      </c>
      <c r="II7">
        <v>100.87976539589999</v>
      </c>
      <c r="IJ7">
        <v>688</v>
      </c>
      <c r="IK7">
        <v>408.11213384489997</v>
      </c>
      <c r="IL7">
        <v>112.6099706745</v>
      </c>
      <c r="IM7">
        <v>432.81621502989998</v>
      </c>
      <c r="IN7">
        <v>121.9941348974</v>
      </c>
      <c r="IO7">
        <v>7.4999999997</v>
      </c>
      <c r="IP7">
        <v>6.0000000012000001</v>
      </c>
      <c r="IQ7">
        <v>9.2999999997000007</v>
      </c>
      <c r="IR7">
        <v>3.3016559726999999</v>
      </c>
      <c r="IS7">
        <v>3.3016559726999999</v>
      </c>
      <c r="IT7">
        <v>18</v>
      </c>
      <c r="IU7">
        <v>-23.460410557199999</v>
      </c>
      <c r="IV7">
        <v>22.699999999500001</v>
      </c>
      <c r="IW7">
        <v>70.381231671600005</v>
      </c>
      <c r="IX7">
        <v>16.2</v>
      </c>
      <c r="IY7">
        <v>100.87976539589999</v>
      </c>
      <c r="IZ7">
        <v>-27.070288745599999</v>
      </c>
      <c r="JA7">
        <v>0.2995954938</v>
      </c>
      <c r="JB7">
        <v>-2.4717679999999999E-4</v>
      </c>
      <c r="JC7">
        <v>4.4760000000000001E-7</v>
      </c>
      <c r="JD7">
        <v>0.26868188609999999</v>
      </c>
      <c r="JE7">
        <v>0.35582017049999998</v>
      </c>
      <c r="JF7">
        <v>9.7354327199999993E-2</v>
      </c>
      <c r="JG7">
        <v>96.962199642499996</v>
      </c>
      <c r="JH7">
        <v>3.7927605289000001</v>
      </c>
      <c r="JI7">
        <v>5.1891617000000001E-3</v>
      </c>
      <c r="JJ7">
        <v>-7.6571100000000003E-5</v>
      </c>
      <c r="JK7">
        <v>3.7218735301999999</v>
      </c>
      <c r="JL7">
        <v>0.47862259039999999</v>
      </c>
      <c r="JM7">
        <v>0.21122884710000001</v>
      </c>
      <c r="JN7" t="s">
        <v>547</v>
      </c>
      <c r="JQ7">
        <v>1</v>
      </c>
    </row>
    <row r="8" spans="1:277">
      <c r="A8" t="s">
        <v>606</v>
      </c>
      <c r="B8" t="s">
        <v>607</v>
      </c>
      <c r="C8" t="s">
        <v>211</v>
      </c>
      <c r="D8">
        <v>3</v>
      </c>
      <c r="E8" t="s">
        <v>212</v>
      </c>
      <c r="F8" t="s">
        <v>213</v>
      </c>
      <c r="G8" t="s">
        <v>546</v>
      </c>
      <c r="H8" t="s">
        <v>215</v>
      </c>
      <c r="J8" t="s">
        <v>591</v>
      </c>
      <c r="K8" t="s">
        <v>592</v>
      </c>
      <c r="L8" t="s">
        <v>593</v>
      </c>
      <c r="M8" t="s">
        <v>594</v>
      </c>
      <c r="N8" t="s">
        <v>595</v>
      </c>
      <c r="O8">
        <v>0</v>
      </c>
      <c r="P8">
        <v>0</v>
      </c>
      <c r="Q8">
        <v>0</v>
      </c>
      <c r="R8">
        <v>0.29999999970000002</v>
      </c>
      <c r="S8">
        <v>0.29999999970000002</v>
      </c>
      <c r="T8">
        <v>0.29999999970000002</v>
      </c>
      <c r="U8">
        <v>0.29999999970000002</v>
      </c>
      <c r="V8">
        <v>0.39999999899999999</v>
      </c>
      <c r="W8">
        <v>0.39999999899999999</v>
      </c>
      <c r="X8">
        <v>0.50000000010000001</v>
      </c>
      <c r="Y8">
        <v>0.50000000010000001</v>
      </c>
      <c r="Z8">
        <v>0.50000000010000001</v>
      </c>
      <c r="AA8">
        <v>0.59999999940000004</v>
      </c>
      <c r="AB8">
        <v>0.59999999940000004</v>
      </c>
      <c r="AC8">
        <v>0.59999999940000004</v>
      </c>
      <c r="AD8">
        <v>0.59999999940000004</v>
      </c>
      <c r="AE8">
        <v>0.59999999940000004</v>
      </c>
      <c r="AF8">
        <v>0.59999999940000004</v>
      </c>
      <c r="AG8">
        <v>0.59999999940000004</v>
      </c>
      <c r="AH8">
        <v>0.7000000005</v>
      </c>
      <c r="AI8">
        <v>0.7000000005</v>
      </c>
      <c r="AJ8">
        <v>0.79999999980000003</v>
      </c>
      <c r="AK8">
        <v>1.0000000002</v>
      </c>
      <c r="AL8">
        <v>3.6</v>
      </c>
      <c r="AM8">
        <v>9.7999999998000007</v>
      </c>
      <c r="AN8">
        <v>16.9999999998</v>
      </c>
      <c r="AO8">
        <v>24.9000000003</v>
      </c>
      <c r="AP8">
        <v>33.6000000007</v>
      </c>
      <c r="AQ8">
        <v>42.100000000599998</v>
      </c>
      <c r="AR8">
        <v>50.4000000001</v>
      </c>
      <c r="AS8">
        <v>58.4999999992</v>
      </c>
      <c r="AT8">
        <v>66.800000000500006</v>
      </c>
      <c r="AU8">
        <v>75.199999999300005</v>
      </c>
      <c r="AV8">
        <v>84.600000000099996</v>
      </c>
      <c r="AW8">
        <v>93.999999999099998</v>
      </c>
      <c r="AX8">
        <v>102.9999999992</v>
      </c>
      <c r="AY8">
        <v>111.9999999992</v>
      </c>
      <c r="AZ8">
        <v>120.6000000002</v>
      </c>
      <c r="BA8">
        <v>129.3999999998</v>
      </c>
      <c r="BB8">
        <v>139.10000000030001</v>
      </c>
      <c r="BC8">
        <v>148.4</v>
      </c>
      <c r="BD8">
        <v>157.1000000004</v>
      </c>
      <c r="BE8">
        <v>165.9</v>
      </c>
      <c r="BF8">
        <v>174.60000000030001</v>
      </c>
      <c r="BG8">
        <v>183.9</v>
      </c>
      <c r="BH8">
        <v>193.79999999910001</v>
      </c>
      <c r="BI8">
        <v>202.69999999980001</v>
      </c>
      <c r="BJ8">
        <v>211.29999999899999</v>
      </c>
      <c r="BK8">
        <v>219.90000000009999</v>
      </c>
      <c r="BL8">
        <v>228.90000000009999</v>
      </c>
      <c r="BM8">
        <v>238.40000000020001</v>
      </c>
      <c r="BN8">
        <v>247.7999999992</v>
      </c>
      <c r="BO8">
        <v>256.49999999950001</v>
      </c>
      <c r="BP8">
        <v>265.10000000050002</v>
      </c>
      <c r="BQ8">
        <v>273.49999999929997</v>
      </c>
      <c r="BR8">
        <v>282.19999999959998</v>
      </c>
      <c r="BS8">
        <v>291.60000000050002</v>
      </c>
      <c r="BT8">
        <v>300.49999999940002</v>
      </c>
      <c r="BU8">
        <v>308.89999999999998</v>
      </c>
      <c r="BV8">
        <v>317.1000000002</v>
      </c>
      <c r="BW8">
        <v>325.10000000000002</v>
      </c>
      <c r="BX8">
        <v>333.39999999949998</v>
      </c>
      <c r="BY8">
        <v>342.19999999909999</v>
      </c>
      <c r="BZ8">
        <v>350.59999999979999</v>
      </c>
      <c r="CA8">
        <v>358.59999999960002</v>
      </c>
      <c r="CB8">
        <v>366.29999999969999</v>
      </c>
      <c r="CC8">
        <v>373.59999999899998</v>
      </c>
      <c r="CD8">
        <v>381.10000000050002</v>
      </c>
      <c r="CE8">
        <v>389.19999999959998</v>
      </c>
      <c r="CF8">
        <v>397.30000000050001</v>
      </c>
      <c r="CG8">
        <v>404.69999999909999</v>
      </c>
      <c r="CH8">
        <v>411.79999999990002</v>
      </c>
      <c r="CI8">
        <v>418.90000000060002</v>
      </c>
      <c r="CJ8">
        <v>425.60000000050002</v>
      </c>
      <c r="CK8">
        <v>432.60000000010001</v>
      </c>
      <c r="CL8">
        <v>439.50000000040001</v>
      </c>
      <c r="CM8">
        <v>445.40000000049997</v>
      </c>
      <c r="CN8">
        <v>450.39999999970001</v>
      </c>
      <c r="CO8">
        <v>455.09999999920001</v>
      </c>
      <c r="CP8">
        <v>457.3</v>
      </c>
      <c r="CQ8">
        <v>457.89999999939999</v>
      </c>
      <c r="CR8">
        <v>458.09999999979999</v>
      </c>
      <c r="CS8">
        <v>458.19999999909999</v>
      </c>
      <c r="CT8">
        <v>458.19999999909999</v>
      </c>
      <c r="CU8">
        <v>458.19999999909999</v>
      </c>
      <c r="CV8">
        <v>458.09999999979999</v>
      </c>
      <c r="CW8">
        <v>458.19999999909999</v>
      </c>
      <c r="CX8">
        <v>458.09999999979999</v>
      </c>
      <c r="CY8">
        <v>458.09999999979999</v>
      </c>
      <c r="CZ8">
        <v>458.09999999979999</v>
      </c>
      <c r="DA8">
        <v>458.09999999979999</v>
      </c>
      <c r="DB8">
        <v>458.09999999979999</v>
      </c>
      <c r="DC8">
        <v>458.09999999979999</v>
      </c>
      <c r="DD8">
        <v>458.00000000049999</v>
      </c>
      <c r="DE8">
        <v>458.09999999979999</v>
      </c>
      <c r="DF8">
        <v>458.09999999979999</v>
      </c>
      <c r="DG8">
        <v>0.59999999940000004</v>
      </c>
      <c r="DH8">
        <v>1.0000000002</v>
      </c>
      <c r="DI8">
        <v>1.0000000002</v>
      </c>
      <c r="DJ8">
        <v>1.0000000002</v>
      </c>
      <c r="DK8">
        <v>1.0000000002</v>
      </c>
      <c r="DL8">
        <v>1.0999999995</v>
      </c>
      <c r="DM8">
        <v>1.0999999995</v>
      </c>
      <c r="DN8">
        <v>1.2000000006</v>
      </c>
      <c r="DO8">
        <v>1.2000000006</v>
      </c>
      <c r="DP8">
        <v>1.2000000006</v>
      </c>
      <c r="DQ8">
        <v>1.2999999999</v>
      </c>
      <c r="DR8">
        <v>1.2999999999</v>
      </c>
      <c r="DS8">
        <v>1.2999999999</v>
      </c>
      <c r="DT8">
        <v>1.2999999999</v>
      </c>
      <c r="DU8">
        <v>1.2999999999</v>
      </c>
      <c r="DV8">
        <v>1.3999999992000001</v>
      </c>
      <c r="DW8">
        <v>1.2999999999</v>
      </c>
      <c r="DX8">
        <v>1.3999999992000001</v>
      </c>
      <c r="DY8">
        <v>1.8</v>
      </c>
      <c r="DZ8">
        <v>5.1000000002999997</v>
      </c>
      <c r="EA8">
        <v>11.8999999995</v>
      </c>
      <c r="EB8">
        <v>19.500000000299998</v>
      </c>
      <c r="EC8">
        <v>27.500000000099998</v>
      </c>
      <c r="ED8">
        <v>35.8999999989</v>
      </c>
      <c r="EE8">
        <v>43.900000000600002</v>
      </c>
      <c r="EF8">
        <v>51.900000000399999</v>
      </c>
      <c r="EG8">
        <v>59.900000000200002</v>
      </c>
      <c r="EH8">
        <v>67.999999999300002</v>
      </c>
      <c r="EI8">
        <v>76.4999999992</v>
      </c>
      <c r="EJ8">
        <v>85.699999999599996</v>
      </c>
      <c r="EK8">
        <v>94.799999998900006</v>
      </c>
      <c r="EL8">
        <v>103.4999999993</v>
      </c>
      <c r="EM8">
        <v>112.29999999890001</v>
      </c>
      <c r="EN8">
        <v>120.9999999992</v>
      </c>
      <c r="EO8">
        <v>130.4999999993</v>
      </c>
      <c r="EP8">
        <v>140.10000000049999</v>
      </c>
      <c r="EQ8">
        <v>149.10000000049999</v>
      </c>
      <c r="ER8">
        <v>157.90000000020001</v>
      </c>
      <c r="ES8">
        <v>166.49999999939999</v>
      </c>
      <c r="ET8">
        <v>175.49999999939999</v>
      </c>
      <c r="EU8">
        <v>185.1999999999</v>
      </c>
      <c r="EV8">
        <v>194.90000000040001</v>
      </c>
      <c r="EW8">
        <v>203.90000000040001</v>
      </c>
      <c r="EX8">
        <v>212.79999999930001</v>
      </c>
      <c r="EY8">
        <v>221.49999999970001</v>
      </c>
      <c r="EZ8">
        <v>230.599999999</v>
      </c>
      <c r="FA8">
        <v>240.40000000059999</v>
      </c>
      <c r="FB8">
        <v>249.70000000030001</v>
      </c>
      <c r="FC8">
        <v>258.40000000060002</v>
      </c>
      <c r="FD8">
        <v>266.99999999980002</v>
      </c>
      <c r="FE8">
        <v>275.70000000009998</v>
      </c>
      <c r="FF8">
        <v>284.99999999990001</v>
      </c>
      <c r="FG8">
        <v>294.5</v>
      </c>
      <c r="FH8">
        <v>303.20000000030001</v>
      </c>
      <c r="FI8">
        <v>311.59999999910002</v>
      </c>
      <c r="FJ8">
        <v>319.79999999929998</v>
      </c>
      <c r="FK8">
        <v>328.10000000060001</v>
      </c>
      <c r="FL8">
        <v>336.99999999950001</v>
      </c>
      <c r="FM8">
        <v>345.9000000003</v>
      </c>
      <c r="FN8">
        <v>354.10000000050002</v>
      </c>
      <c r="FO8">
        <v>361.89999999989999</v>
      </c>
      <c r="FP8">
        <v>369.69999999930002</v>
      </c>
      <c r="FQ8">
        <v>377.3000000001</v>
      </c>
      <c r="FR8">
        <v>385.29999999990002</v>
      </c>
      <c r="FS8">
        <v>393.50000000009999</v>
      </c>
      <c r="FT8">
        <v>401.20000000020002</v>
      </c>
      <c r="FU8">
        <v>408.49999999950001</v>
      </c>
      <c r="FV8">
        <v>415.49999999919999</v>
      </c>
      <c r="FW8">
        <v>422.19999999909999</v>
      </c>
      <c r="FX8">
        <v>428.7000000004</v>
      </c>
      <c r="FY8">
        <v>435.59999999889999</v>
      </c>
      <c r="FZ8">
        <v>441.80000000050001</v>
      </c>
      <c r="GA8">
        <v>446.7000000004</v>
      </c>
      <c r="GB8">
        <v>451.19999999949999</v>
      </c>
      <c r="GC8">
        <v>455.3999999989</v>
      </c>
      <c r="GD8">
        <v>457.50000000040001</v>
      </c>
      <c r="GE8">
        <v>458.00000000049999</v>
      </c>
      <c r="GF8">
        <v>458.19999999909999</v>
      </c>
      <c r="GG8">
        <v>458.30000000019999</v>
      </c>
      <c r="GH8">
        <v>458.19999999909999</v>
      </c>
      <c r="GI8">
        <v>458.19999999909999</v>
      </c>
      <c r="GJ8">
        <v>458.09999999979999</v>
      </c>
      <c r="GK8">
        <v>458.09999999979999</v>
      </c>
      <c r="GL8">
        <v>458.19999999909999</v>
      </c>
      <c r="GM8">
        <v>458.30000000019999</v>
      </c>
      <c r="GN8">
        <v>458.19999999909999</v>
      </c>
      <c r="GO8">
        <v>458.30000000019999</v>
      </c>
      <c r="GP8">
        <v>458.30000000019999</v>
      </c>
      <c r="GQ8">
        <v>458.19999999909999</v>
      </c>
      <c r="GR8">
        <v>458.19999999909999</v>
      </c>
      <c r="GS8">
        <v>458.19999999909999</v>
      </c>
      <c r="GT8">
        <v>458.19999999909999</v>
      </c>
      <c r="GU8">
        <v>458.09999999979999</v>
      </c>
      <c r="GV8">
        <v>458.09999999979999</v>
      </c>
      <c r="GW8">
        <v>1</v>
      </c>
      <c r="GX8">
        <v>101.70000000109999</v>
      </c>
      <c r="GY8">
        <v>93.999999999099998</v>
      </c>
      <c r="GZ8">
        <v>93.999999999099998</v>
      </c>
      <c r="HA8">
        <v>112.29999999890001</v>
      </c>
      <c r="HB8">
        <v>98.119247134899993</v>
      </c>
      <c r="HC8">
        <v>-18.299999999699999</v>
      </c>
      <c r="HD8">
        <v>458.09999999979999</v>
      </c>
      <c r="HE8">
        <v>329.17933442579999</v>
      </c>
      <c r="HF8">
        <v>80.0283469715</v>
      </c>
      <c r="HG8">
        <v>458.30000000019999</v>
      </c>
      <c r="HH8">
        <v>458.30000000019999</v>
      </c>
      <c r="HI8">
        <v>458.19999999909999</v>
      </c>
      <c r="HJ8">
        <v>458.30000000019999</v>
      </c>
      <c r="HK8">
        <v>100.87976539589999</v>
      </c>
      <c r="HL8">
        <v>3.8868815996000001</v>
      </c>
      <c r="HM8">
        <v>3.7092318495000001</v>
      </c>
      <c r="HN8">
        <v>3.7474001030999999</v>
      </c>
      <c r="HO8">
        <v>3.6032952085000001</v>
      </c>
      <c r="HP8">
        <v>3.9412550044999999</v>
      </c>
      <c r="HQ8">
        <v>3.0469655455</v>
      </c>
      <c r="HR8">
        <v>18.090900163400001</v>
      </c>
      <c r="HS8">
        <v>-21.114369501500001</v>
      </c>
      <c r="HT8">
        <v>-144</v>
      </c>
      <c r="HU8">
        <v>427.29858156059998</v>
      </c>
      <c r="HV8">
        <v>86.803519061599999</v>
      </c>
      <c r="HW8">
        <v>592</v>
      </c>
      <c r="HX8">
        <v>18.090900163400001</v>
      </c>
      <c r="HY8">
        <v>-21.114369501500001</v>
      </c>
      <c r="HZ8">
        <v>-144</v>
      </c>
      <c r="IA8">
        <v>427.29858156059998</v>
      </c>
      <c r="IB8">
        <v>86.803519061599999</v>
      </c>
      <c r="IC8">
        <v>592</v>
      </c>
      <c r="ID8">
        <v>31.001418439599998</v>
      </c>
      <c r="IE8">
        <v>0.82768139640000005</v>
      </c>
      <c r="IF8">
        <v>-30.4985337243</v>
      </c>
      <c r="IG8">
        <v>-208</v>
      </c>
      <c r="IH8">
        <v>450.87063829739998</v>
      </c>
      <c r="II8">
        <v>96.187683284499997</v>
      </c>
      <c r="IJ8">
        <v>656</v>
      </c>
      <c r="IK8">
        <v>409.20768139720002</v>
      </c>
      <c r="IL8">
        <v>107.91788856300001</v>
      </c>
      <c r="IM8">
        <v>436.93135842930002</v>
      </c>
      <c r="IN8">
        <v>117.3020527859</v>
      </c>
      <c r="IO8">
        <v>7.6000000007999997</v>
      </c>
      <c r="IP8">
        <v>6.9000000003000004</v>
      </c>
      <c r="IQ8">
        <v>9.8999999991000003</v>
      </c>
      <c r="IR8">
        <v>3.2373290129000001</v>
      </c>
      <c r="IS8">
        <v>3.2373290129000001</v>
      </c>
      <c r="IT8">
        <v>17.700000000300001</v>
      </c>
      <c r="IU8">
        <v>-23.460410557199999</v>
      </c>
      <c r="IV8">
        <v>21.0000000006</v>
      </c>
      <c r="IW8">
        <v>46.920821114399999</v>
      </c>
      <c r="IX8">
        <v>14.1000000003</v>
      </c>
      <c r="IY8">
        <v>93.841642228699996</v>
      </c>
      <c r="IZ8">
        <v>-26.220070957400001</v>
      </c>
      <c r="JA8">
        <v>0.28587313110000001</v>
      </c>
      <c r="JB8">
        <v>-2.1925119999999999E-4</v>
      </c>
      <c r="JC8">
        <v>3.9140000000000002E-7</v>
      </c>
      <c r="JD8">
        <v>0.25727565260000002</v>
      </c>
      <c r="JE8">
        <v>0.36506743009999998</v>
      </c>
      <c r="JF8">
        <v>0.1015778048</v>
      </c>
      <c r="JG8">
        <v>97.950001206099998</v>
      </c>
      <c r="JH8">
        <v>3.9412550044999999</v>
      </c>
      <c r="JI8">
        <v>5.4294076E-3</v>
      </c>
      <c r="JJ8">
        <v>-8.1261199999999994E-5</v>
      </c>
      <c r="JK8">
        <v>3.8868815996000001</v>
      </c>
      <c r="JL8">
        <v>0.74966506600000005</v>
      </c>
      <c r="JM8">
        <v>0.25822371970000002</v>
      </c>
      <c r="JN8" t="s">
        <v>547</v>
      </c>
      <c r="JQ8">
        <v>1</v>
      </c>
    </row>
    <row r="9" spans="1:277">
      <c r="A9" t="s">
        <v>628</v>
      </c>
      <c r="B9" t="s">
        <v>629</v>
      </c>
      <c r="C9" t="s">
        <v>211</v>
      </c>
      <c r="D9">
        <v>3</v>
      </c>
      <c r="E9" t="s">
        <v>212</v>
      </c>
      <c r="F9" t="s">
        <v>213</v>
      </c>
      <c r="G9" t="s">
        <v>546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0</v>
      </c>
      <c r="R9">
        <v>0.29999999970000002</v>
      </c>
      <c r="S9">
        <v>0.40000000079999998</v>
      </c>
      <c r="T9">
        <v>0.29999999970000002</v>
      </c>
      <c r="U9">
        <v>0.40000000079999998</v>
      </c>
      <c r="V9">
        <v>0.40000000079999998</v>
      </c>
      <c r="W9">
        <v>0.50000000010000001</v>
      </c>
      <c r="X9">
        <v>0.50000000010000001</v>
      </c>
      <c r="Y9">
        <v>0.59999999940000004</v>
      </c>
      <c r="Z9">
        <v>0.59999999940000004</v>
      </c>
      <c r="AA9">
        <v>0.7000000005</v>
      </c>
      <c r="AB9">
        <v>0.7000000005</v>
      </c>
      <c r="AC9">
        <v>0.90000000089999999</v>
      </c>
      <c r="AD9">
        <v>1.0000000002</v>
      </c>
      <c r="AE9">
        <v>1.2000000006</v>
      </c>
      <c r="AF9">
        <v>1.5000000003</v>
      </c>
      <c r="AG9">
        <v>1.5000000003</v>
      </c>
      <c r="AH9">
        <v>1.5999999996000001</v>
      </c>
      <c r="AI9">
        <v>1.5999999996000001</v>
      </c>
      <c r="AJ9">
        <v>1.7000000007</v>
      </c>
      <c r="AK9">
        <v>2.3999999993999999</v>
      </c>
      <c r="AL9">
        <v>4.6999999995000001</v>
      </c>
      <c r="AM9">
        <v>9.9000000009000004</v>
      </c>
      <c r="AN9">
        <v>17.200000000199999</v>
      </c>
      <c r="AO9">
        <v>24.499999999500002</v>
      </c>
      <c r="AP9">
        <v>32.499999999300002</v>
      </c>
      <c r="AQ9">
        <v>41.100000000400001</v>
      </c>
      <c r="AR9">
        <v>49.800000000700003</v>
      </c>
      <c r="AS9">
        <v>57.899999999800002</v>
      </c>
      <c r="AT9">
        <v>66.000000000699998</v>
      </c>
      <c r="AU9">
        <v>74.300000000200001</v>
      </c>
      <c r="AV9">
        <v>82.599999999700003</v>
      </c>
      <c r="AW9">
        <v>92.099999999800005</v>
      </c>
      <c r="AX9">
        <v>102.19999999940001</v>
      </c>
      <c r="AY9">
        <v>111.0000000008</v>
      </c>
      <c r="AZ9">
        <v>119.3000000003</v>
      </c>
      <c r="BA9">
        <v>127.8000000002</v>
      </c>
      <c r="BB9">
        <v>136.80000000019999</v>
      </c>
      <c r="BC9">
        <v>146.20000000100001</v>
      </c>
      <c r="BD9">
        <v>155.6</v>
      </c>
      <c r="BE9">
        <v>164.20000000109999</v>
      </c>
      <c r="BF9">
        <v>172.59999999990001</v>
      </c>
      <c r="BG9">
        <v>181.39999999950001</v>
      </c>
      <c r="BH9">
        <v>190.39999999950001</v>
      </c>
      <c r="BI9">
        <v>199.59999999990001</v>
      </c>
      <c r="BJ9">
        <v>208.8999999996</v>
      </c>
      <c r="BK9">
        <v>217.3000000003</v>
      </c>
      <c r="BL9">
        <v>225.70000000089999</v>
      </c>
      <c r="BM9">
        <v>234.2000000008</v>
      </c>
      <c r="BN9">
        <v>242.89999999930001</v>
      </c>
      <c r="BO9">
        <v>252.0999999997</v>
      </c>
      <c r="BP9">
        <v>261.2000000008</v>
      </c>
      <c r="BQ9">
        <v>269.29999999990002</v>
      </c>
      <c r="BR9">
        <v>277.40000000089998</v>
      </c>
      <c r="BS9">
        <v>285.6000000011</v>
      </c>
      <c r="BT9">
        <v>294.20000000030001</v>
      </c>
      <c r="BU9">
        <v>302.70000000020002</v>
      </c>
      <c r="BV9">
        <v>311.40000000049997</v>
      </c>
      <c r="BW9">
        <v>319.4000000003</v>
      </c>
      <c r="BX9">
        <v>326.80000000069998</v>
      </c>
      <c r="BY9">
        <v>334.50000000080001</v>
      </c>
      <c r="BZ9">
        <v>342.39999999949998</v>
      </c>
      <c r="CA9">
        <v>350.2000000008</v>
      </c>
      <c r="CB9">
        <v>358.09999999950003</v>
      </c>
      <c r="CC9">
        <v>366.2000000004</v>
      </c>
      <c r="CD9">
        <v>373.2</v>
      </c>
      <c r="CE9">
        <v>380.10000000029999</v>
      </c>
      <c r="CF9">
        <v>387.00000000059998</v>
      </c>
      <c r="CG9">
        <v>394.20000000060003</v>
      </c>
      <c r="CH9">
        <v>401.49999999990001</v>
      </c>
      <c r="CI9">
        <v>408.90000000039998</v>
      </c>
      <c r="CJ9">
        <v>415.69999999959998</v>
      </c>
      <c r="CK9">
        <v>422.09999999979999</v>
      </c>
      <c r="CL9">
        <v>427.99999999990001</v>
      </c>
      <c r="CM9">
        <v>434.10000000039997</v>
      </c>
      <c r="CN9">
        <v>440.89999999960003</v>
      </c>
      <c r="CO9">
        <v>447.59999999950003</v>
      </c>
      <c r="CP9">
        <v>453.10000000060001</v>
      </c>
      <c r="CQ9">
        <v>454.90000000060002</v>
      </c>
      <c r="CR9">
        <v>454.99999999990001</v>
      </c>
      <c r="CS9">
        <v>454.99999999990001</v>
      </c>
      <c r="CT9">
        <v>454.99999999990001</v>
      </c>
      <c r="CU9">
        <v>455.10000000100001</v>
      </c>
      <c r="CV9">
        <v>455.10000000100001</v>
      </c>
      <c r="CW9">
        <v>455.20000000030001</v>
      </c>
      <c r="CX9">
        <v>455.20000000030001</v>
      </c>
      <c r="CY9">
        <v>455.2999999996</v>
      </c>
      <c r="CZ9">
        <v>455.2999999996</v>
      </c>
      <c r="DA9">
        <v>455.2999999996</v>
      </c>
      <c r="DB9">
        <v>455.2999999996</v>
      </c>
      <c r="DC9">
        <v>455.2999999996</v>
      </c>
      <c r="DD9">
        <v>455.2999999996</v>
      </c>
      <c r="DE9">
        <v>455.2999999996</v>
      </c>
      <c r="DF9">
        <v>455.2999999996</v>
      </c>
      <c r="DG9">
        <v>0.59999999940000004</v>
      </c>
      <c r="DH9">
        <v>1.2999999999</v>
      </c>
      <c r="DI9">
        <v>1.400000001</v>
      </c>
      <c r="DJ9">
        <v>1.400000001</v>
      </c>
      <c r="DK9">
        <v>1.400000001</v>
      </c>
      <c r="DL9">
        <v>1.400000001</v>
      </c>
      <c r="DM9">
        <v>1.5000000003</v>
      </c>
      <c r="DN9">
        <v>1.5999999996000001</v>
      </c>
      <c r="DO9">
        <v>1.5000000003</v>
      </c>
      <c r="DP9">
        <v>1.5999999996000001</v>
      </c>
      <c r="DQ9">
        <v>1.7000000007</v>
      </c>
      <c r="DR9">
        <v>2.0999999997000001</v>
      </c>
      <c r="DS9">
        <v>2.0999999997000001</v>
      </c>
      <c r="DT9">
        <v>2.2000000007999998</v>
      </c>
      <c r="DU9">
        <v>2.3000000000999998</v>
      </c>
      <c r="DV9">
        <v>2.3000000000999998</v>
      </c>
      <c r="DW9">
        <v>2.3999999993999999</v>
      </c>
      <c r="DX9">
        <v>2.5999999998000001</v>
      </c>
      <c r="DY9">
        <v>3.3000000002999998</v>
      </c>
      <c r="DZ9">
        <v>6.4000000002000004</v>
      </c>
      <c r="EA9">
        <v>12.699999999299999</v>
      </c>
      <c r="EB9">
        <v>19.700000000700001</v>
      </c>
      <c r="EC9">
        <v>27.4000000009</v>
      </c>
      <c r="ED9">
        <v>35.700000000400003</v>
      </c>
      <c r="EE9">
        <v>44.100000000999998</v>
      </c>
      <c r="EF9">
        <v>52.200000000099998</v>
      </c>
      <c r="EG9">
        <v>59.900000000200002</v>
      </c>
      <c r="EH9">
        <v>67.6000000003</v>
      </c>
      <c r="EI9">
        <v>75.800000000500006</v>
      </c>
      <c r="EJ9">
        <v>84.899999999800002</v>
      </c>
      <c r="EK9">
        <v>94.000000001000004</v>
      </c>
      <c r="EL9">
        <v>103.1000000003</v>
      </c>
      <c r="EM9">
        <v>112.3000000007</v>
      </c>
      <c r="EN9">
        <v>120.8999999999</v>
      </c>
      <c r="EO9">
        <v>129.69999999949999</v>
      </c>
      <c r="EP9">
        <v>139.19999999960001</v>
      </c>
      <c r="EQ9">
        <v>148.6000000004</v>
      </c>
      <c r="ER9">
        <v>157.4999999993</v>
      </c>
      <c r="ES9">
        <v>166.00000000110001</v>
      </c>
      <c r="ET9">
        <v>174.30000000059999</v>
      </c>
      <c r="EU9">
        <v>183.60000000030001</v>
      </c>
      <c r="EV9">
        <v>193.1000000004</v>
      </c>
      <c r="EW9">
        <v>202.69999999980001</v>
      </c>
      <c r="EX9">
        <v>211.49999999939999</v>
      </c>
      <c r="EY9">
        <v>219.69999999960001</v>
      </c>
      <c r="EZ9">
        <v>228.4</v>
      </c>
      <c r="FA9">
        <v>237.99999999939999</v>
      </c>
      <c r="FB9">
        <v>247.40000000020001</v>
      </c>
      <c r="FC9">
        <v>256.19999999980001</v>
      </c>
      <c r="FD9">
        <v>264.90000000010002</v>
      </c>
      <c r="FE9">
        <v>273.00000000099999</v>
      </c>
      <c r="FF9">
        <v>281.50000000099999</v>
      </c>
      <c r="FG9">
        <v>290.69999999959998</v>
      </c>
      <c r="FH9">
        <v>299.89999999999998</v>
      </c>
      <c r="FI9">
        <v>308.50000000099999</v>
      </c>
      <c r="FJ9">
        <v>316.69999999940001</v>
      </c>
      <c r="FK9">
        <v>324.39999999949998</v>
      </c>
      <c r="FL9">
        <v>332.5999999997</v>
      </c>
      <c r="FM9">
        <v>341.3</v>
      </c>
      <c r="FN9">
        <v>350.00000000040001</v>
      </c>
      <c r="FO9">
        <v>357.79999999979998</v>
      </c>
      <c r="FP9">
        <v>365.60000000100001</v>
      </c>
      <c r="FQ9">
        <v>372.6999999999</v>
      </c>
      <c r="FR9">
        <v>379.80000000059999</v>
      </c>
      <c r="FS9">
        <v>387.39999999960003</v>
      </c>
      <c r="FT9">
        <v>395.3000000001</v>
      </c>
      <c r="FU9">
        <v>403.00000000019998</v>
      </c>
      <c r="FV9">
        <v>409.99999999990001</v>
      </c>
      <c r="FW9">
        <v>416.80000000090001</v>
      </c>
      <c r="FX9">
        <v>423.20000000110002</v>
      </c>
      <c r="FY9">
        <v>429.00000000009999</v>
      </c>
      <c r="FZ9">
        <v>434.80000000090001</v>
      </c>
      <c r="GA9">
        <v>440.70000000099998</v>
      </c>
      <c r="GB9">
        <v>446.5</v>
      </c>
      <c r="GC9">
        <v>451.9</v>
      </c>
      <c r="GD9">
        <v>454.79999999950002</v>
      </c>
      <c r="GE9">
        <v>454.99999999990001</v>
      </c>
      <c r="GF9">
        <v>454.99999999990001</v>
      </c>
      <c r="GG9">
        <v>455.10000000100001</v>
      </c>
      <c r="GH9">
        <v>455.10000000100001</v>
      </c>
      <c r="GI9">
        <v>455.10000000100001</v>
      </c>
      <c r="GJ9">
        <v>455.10000000100001</v>
      </c>
      <c r="GK9">
        <v>455.10000000100001</v>
      </c>
      <c r="GL9">
        <v>455.10000000100001</v>
      </c>
      <c r="GM9">
        <v>455.10000000100001</v>
      </c>
      <c r="GN9">
        <v>455.10000000100001</v>
      </c>
      <c r="GO9">
        <v>455.10000000100001</v>
      </c>
      <c r="GP9">
        <v>455.10000000100001</v>
      </c>
      <c r="GQ9">
        <v>455.20000000030001</v>
      </c>
      <c r="GR9">
        <v>455.20000000030001</v>
      </c>
      <c r="GS9">
        <v>455.20000000030001</v>
      </c>
      <c r="GT9">
        <v>455.20000000030001</v>
      </c>
      <c r="GU9">
        <v>455.2999999996</v>
      </c>
      <c r="GV9">
        <v>455.2999999996</v>
      </c>
      <c r="GW9">
        <v>1</v>
      </c>
      <c r="GX9">
        <v>100.8999999995</v>
      </c>
      <c r="GY9">
        <v>92.099999999800005</v>
      </c>
      <c r="GZ9">
        <v>92.099999999800005</v>
      </c>
      <c r="HA9">
        <v>112.3000000007</v>
      </c>
      <c r="HB9">
        <v>96.634241159699997</v>
      </c>
      <c r="HC9">
        <v>-20.200000000799999</v>
      </c>
      <c r="HD9">
        <v>455.2999999996</v>
      </c>
      <c r="HE9">
        <v>330.76102569739999</v>
      </c>
      <c r="HF9">
        <v>78.359510212800004</v>
      </c>
      <c r="HG9">
        <v>455.2999999996</v>
      </c>
      <c r="HH9">
        <v>455.2999999996</v>
      </c>
      <c r="HI9">
        <v>455.2999999996</v>
      </c>
      <c r="HJ9">
        <v>455.2999999996</v>
      </c>
      <c r="HK9">
        <v>100.87976539589999</v>
      </c>
      <c r="HL9">
        <v>3.8114274477999999</v>
      </c>
      <c r="HM9">
        <v>3.5886074489999999</v>
      </c>
      <c r="HN9">
        <v>3.6657459064000002</v>
      </c>
      <c r="HO9">
        <v>3.5991695277</v>
      </c>
      <c r="HP9">
        <v>3.9035217288999999</v>
      </c>
      <c r="HQ9">
        <v>2.9065089193999998</v>
      </c>
      <c r="HR9">
        <v>18.2747309469</v>
      </c>
      <c r="HS9">
        <v>-21.114369501500001</v>
      </c>
      <c r="HT9">
        <v>-144</v>
      </c>
      <c r="HU9">
        <v>427.3952668572</v>
      </c>
      <c r="HV9">
        <v>89.149560117299998</v>
      </c>
      <c r="HW9">
        <v>608</v>
      </c>
      <c r="HX9">
        <v>18.2747309469</v>
      </c>
      <c r="HY9">
        <v>-21.114369501500001</v>
      </c>
      <c r="HZ9">
        <v>-144</v>
      </c>
      <c r="IA9">
        <v>427.3952668572</v>
      </c>
      <c r="IB9">
        <v>89.149560117299998</v>
      </c>
      <c r="IC9">
        <v>608</v>
      </c>
      <c r="ID9">
        <v>27.9047331425</v>
      </c>
      <c r="IE9">
        <v>1.7418076001</v>
      </c>
      <c r="IF9">
        <v>-30.4985337243</v>
      </c>
      <c r="IG9">
        <v>-208</v>
      </c>
      <c r="IH9">
        <v>451.41913024389999</v>
      </c>
      <c r="II9">
        <v>98.533724340199996</v>
      </c>
      <c r="IJ9">
        <v>672</v>
      </c>
      <c r="IK9">
        <v>409.12053591030002</v>
      </c>
      <c r="IL9">
        <v>110.26392961880001</v>
      </c>
      <c r="IM9">
        <v>434.62169997950002</v>
      </c>
      <c r="IN9">
        <v>119.6480938416</v>
      </c>
      <c r="IO9">
        <v>7.2999999992999998</v>
      </c>
      <c r="IP9">
        <v>6.7999999991999998</v>
      </c>
      <c r="IQ9">
        <v>10.0999999995</v>
      </c>
      <c r="IR9">
        <v>3.7270772713000002</v>
      </c>
      <c r="IS9">
        <v>3.7270772713000002</v>
      </c>
      <c r="IT9">
        <v>18.500000000099998</v>
      </c>
      <c r="IU9">
        <v>-21.114369501500001</v>
      </c>
      <c r="IV9">
        <v>23.299999998899999</v>
      </c>
      <c r="IW9">
        <v>65.689149560100006</v>
      </c>
      <c r="IX9">
        <v>17.799999999600001</v>
      </c>
      <c r="IY9">
        <v>98.533724340199996</v>
      </c>
      <c r="IZ9">
        <v>-26.145508147699999</v>
      </c>
      <c r="JA9">
        <v>0.28778936389999998</v>
      </c>
      <c r="JB9">
        <v>-2.208635E-4</v>
      </c>
      <c r="JC9">
        <v>4.1259999999999998E-7</v>
      </c>
      <c r="JD9">
        <v>0.26236889289999998</v>
      </c>
      <c r="JE9">
        <v>0.4310935588</v>
      </c>
      <c r="JF9">
        <v>0.12649355209999999</v>
      </c>
      <c r="JG9">
        <v>96.979792025799995</v>
      </c>
      <c r="JH9">
        <v>3.9035217288999999</v>
      </c>
      <c r="JI9">
        <v>4.7563515000000004E-3</v>
      </c>
      <c r="JJ9">
        <v>-7.7384200000000004E-5</v>
      </c>
      <c r="JK9">
        <v>3.8114274477999999</v>
      </c>
      <c r="JL9">
        <v>1.0685523156000001</v>
      </c>
      <c r="JM9">
        <v>0.3684835112</v>
      </c>
      <c r="JN9" t="s">
        <v>547</v>
      </c>
      <c r="JQ9">
        <v>1</v>
      </c>
    </row>
    <row r="10" spans="1:277">
      <c r="A10" t="s">
        <v>630</v>
      </c>
      <c r="B10" t="s">
        <v>631</v>
      </c>
      <c r="C10" t="s">
        <v>211</v>
      </c>
      <c r="D10">
        <v>3</v>
      </c>
      <c r="E10" t="s">
        <v>212</v>
      </c>
      <c r="F10" t="s">
        <v>213</v>
      </c>
      <c r="G10" t="s">
        <v>546</v>
      </c>
      <c r="H10" t="s">
        <v>215</v>
      </c>
      <c r="J10" t="s">
        <v>617</v>
      </c>
      <c r="K10" t="s">
        <v>618</v>
      </c>
      <c r="L10" t="s">
        <v>619</v>
      </c>
      <c r="M10" t="s">
        <v>620</v>
      </c>
      <c r="N10" t="s">
        <v>621</v>
      </c>
      <c r="O10">
        <v>0</v>
      </c>
      <c r="P10">
        <v>0</v>
      </c>
      <c r="Q10">
        <v>0.40000000079999998</v>
      </c>
      <c r="R10">
        <v>0.20000000039999999</v>
      </c>
      <c r="S10">
        <v>0</v>
      </c>
      <c r="T10">
        <v>0.3000000015</v>
      </c>
      <c r="U10">
        <v>0.40000000079999998</v>
      </c>
      <c r="V10">
        <v>0.3000000015</v>
      </c>
      <c r="W10">
        <v>0.20000000039999999</v>
      </c>
      <c r="X10">
        <v>0.40000000079999998</v>
      </c>
      <c r="Y10">
        <v>0.40000000079999998</v>
      </c>
      <c r="Z10">
        <v>0.40000000079999998</v>
      </c>
      <c r="AA10">
        <v>0.50000000010000001</v>
      </c>
      <c r="AB10">
        <v>0.40000000079999998</v>
      </c>
      <c r="AC10">
        <v>0.40000000079999998</v>
      </c>
      <c r="AD10">
        <v>0.50000000010000001</v>
      </c>
      <c r="AE10">
        <v>0.50000000010000001</v>
      </c>
      <c r="AF10">
        <v>0.40000000079999998</v>
      </c>
      <c r="AG10">
        <v>0.40000000079999998</v>
      </c>
      <c r="AH10">
        <v>0.3000000015</v>
      </c>
      <c r="AI10">
        <v>0.3000000015</v>
      </c>
      <c r="AJ10">
        <v>0.20000000039999999</v>
      </c>
      <c r="AK10">
        <v>0.20000000039999999</v>
      </c>
      <c r="AL10">
        <v>1.2000000006</v>
      </c>
      <c r="AM10">
        <v>3.2000000009999998</v>
      </c>
      <c r="AN10">
        <v>8.1000000008999997</v>
      </c>
      <c r="AO10">
        <v>15.6000000006</v>
      </c>
      <c r="AP10">
        <v>22.800000000600001</v>
      </c>
      <c r="AQ10">
        <v>30.900000001599999</v>
      </c>
      <c r="AR10">
        <v>39.5000000008</v>
      </c>
      <c r="AS10">
        <v>48.800000000499999</v>
      </c>
      <c r="AT10">
        <v>56.700000000999999</v>
      </c>
      <c r="AU10">
        <v>64.700000000800003</v>
      </c>
      <c r="AV10">
        <v>73.100000001400005</v>
      </c>
      <c r="AW10">
        <v>81.900000000999995</v>
      </c>
      <c r="AX10">
        <v>92.300000000300003</v>
      </c>
      <c r="AY10">
        <v>102.2000000012</v>
      </c>
      <c r="AZ10">
        <v>110.20000000100001</v>
      </c>
      <c r="BA10">
        <v>118.9000000013</v>
      </c>
      <c r="BB10">
        <v>127.4000000012</v>
      </c>
      <c r="BC10">
        <v>136.00000000040001</v>
      </c>
      <c r="BD10">
        <v>145.80000000019999</v>
      </c>
      <c r="BE10">
        <v>155.0000000007</v>
      </c>
      <c r="BF10">
        <v>163.10000000159999</v>
      </c>
      <c r="BG10">
        <v>171.8000000001</v>
      </c>
      <c r="BH10">
        <v>180.20000000069999</v>
      </c>
      <c r="BI10">
        <v>189.20000000069999</v>
      </c>
      <c r="BJ10">
        <v>199.00000000049999</v>
      </c>
      <c r="BK10">
        <v>207.8000000001</v>
      </c>
      <c r="BL10">
        <v>216.00000000029999</v>
      </c>
      <c r="BM10">
        <v>224.50000000029999</v>
      </c>
      <c r="BN10">
        <v>232.80000000160001</v>
      </c>
      <c r="BO10">
        <v>241.60000000119999</v>
      </c>
      <c r="BP10">
        <v>251.2000000006</v>
      </c>
      <c r="BQ10">
        <v>259.60000000119999</v>
      </c>
      <c r="BR10">
        <v>267.49999999990001</v>
      </c>
      <c r="BS10">
        <v>275.80000000130002</v>
      </c>
      <c r="BT10">
        <v>283.60000000069999</v>
      </c>
      <c r="BU10">
        <v>292.10000000060001</v>
      </c>
      <c r="BV10">
        <v>301.10000000060001</v>
      </c>
      <c r="BW10">
        <v>309.40000000010002</v>
      </c>
      <c r="BX10">
        <v>316.70000000120001</v>
      </c>
      <c r="BY10">
        <v>324.70000000099998</v>
      </c>
      <c r="BZ10">
        <v>332.00000000030002</v>
      </c>
      <c r="CA10">
        <v>339.5</v>
      </c>
      <c r="CB10">
        <v>348</v>
      </c>
      <c r="CC10">
        <v>356.20000000020002</v>
      </c>
      <c r="CD10">
        <v>363.00000000120002</v>
      </c>
      <c r="CE10">
        <v>369.90000000150002</v>
      </c>
      <c r="CF10">
        <v>377.2000000008</v>
      </c>
      <c r="CG10">
        <v>383.9000000007</v>
      </c>
      <c r="CH10">
        <v>390.6999999999</v>
      </c>
      <c r="CI10">
        <v>397.89999999989999</v>
      </c>
      <c r="CJ10">
        <v>405.6</v>
      </c>
      <c r="CK10">
        <v>412.20000000070002</v>
      </c>
      <c r="CL10">
        <v>418.30000000119998</v>
      </c>
      <c r="CM10">
        <v>424.9</v>
      </c>
      <c r="CN10">
        <v>430.8000000001</v>
      </c>
      <c r="CO10">
        <v>435.7</v>
      </c>
      <c r="CP10">
        <v>440.30000000019999</v>
      </c>
      <c r="CQ10">
        <v>442.50000000099999</v>
      </c>
      <c r="CR10">
        <v>443.30000000080003</v>
      </c>
      <c r="CS10">
        <v>443.80000000090001</v>
      </c>
      <c r="CT10">
        <v>443.90000000020001</v>
      </c>
      <c r="CU10">
        <v>443.90000000020001</v>
      </c>
      <c r="CV10">
        <v>443.90000000020001</v>
      </c>
      <c r="CW10">
        <v>443.90000000020001</v>
      </c>
      <c r="CX10">
        <v>444.00000000130001</v>
      </c>
      <c r="CY10">
        <v>444.00000000130001</v>
      </c>
      <c r="CZ10">
        <v>444.00000000130001</v>
      </c>
      <c r="DA10">
        <v>444.00000000130001</v>
      </c>
      <c r="DB10">
        <v>444.00000000130001</v>
      </c>
      <c r="DC10">
        <v>444.00000000130001</v>
      </c>
      <c r="DD10">
        <v>444.00000000130001</v>
      </c>
      <c r="DE10">
        <v>444.00000000130001</v>
      </c>
      <c r="DF10">
        <v>444.00000000130001</v>
      </c>
      <c r="DG10">
        <v>0.90000000089999999</v>
      </c>
      <c r="DH10">
        <v>0.7000000005</v>
      </c>
      <c r="DI10">
        <v>0.79999999980000003</v>
      </c>
      <c r="DJ10">
        <v>0.60000000119999997</v>
      </c>
      <c r="DK10">
        <v>0.60000000119999997</v>
      </c>
      <c r="DL10">
        <v>0.50000000010000001</v>
      </c>
      <c r="DM10">
        <v>0.60000000119999997</v>
      </c>
      <c r="DN10">
        <v>0.40000000079999998</v>
      </c>
      <c r="DO10">
        <v>0.40000000079999998</v>
      </c>
      <c r="DP10">
        <v>0.3000000015</v>
      </c>
      <c r="DQ10">
        <v>0.20000000039999999</v>
      </c>
      <c r="DR10">
        <v>0.20000000039999999</v>
      </c>
      <c r="DS10">
        <v>0.50000000010000001</v>
      </c>
      <c r="DT10">
        <v>0.79999999980000003</v>
      </c>
      <c r="DU10">
        <v>0.79999999980000003</v>
      </c>
      <c r="DV10">
        <v>1.1000000013</v>
      </c>
      <c r="DW10">
        <v>1.0000000002</v>
      </c>
      <c r="DX10">
        <v>1.2000000006</v>
      </c>
      <c r="DY10">
        <v>1.2000000006</v>
      </c>
      <c r="DZ10">
        <v>2.2000000007999998</v>
      </c>
      <c r="EA10">
        <v>4.3000000004999999</v>
      </c>
      <c r="EB10">
        <v>10.299999999900001</v>
      </c>
      <c r="EC10">
        <v>17.400000000599999</v>
      </c>
      <c r="ED10">
        <v>24.9000000003</v>
      </c>
      <c r="EE10">
        <v>33.000000001300002</v>
      </c>
      <c r="EF10">
        <v>41.800000000899999</v>
      </c>
      <c r="EG10">
        <v>50.700000001600003</v>
      </c>
      <c r="EH10">
        <v>58.100000000199998</v>
      </c>
      <c r="EI10">
        <v>65.900000001400002</v>
      </c>
      <c r="EJ10">
        <v>74.099999999800005</v>
      </c>
      <c r="EK10">
        <v>82.800000000099999</v>
      </c>
      <c r="EL10">
        <v>92.800000000400004</v>
      </c>
      <c r="EM10">
        <v>102.80000000059999</v>
      </c>
      <c r="EN10">
        <v>111.2000000012</v>
      </c>
      <c r="EO10">
        <v>119.70000000109999</v>
      </c>
      <c r="EP10">
        <v>128.09999999990001</v>
      </c>
      <c r="EQ10">
        <v>137.20000000100001</v>
      </c>
      <c r="ER10">
        <v>147.10000000010001</v>
      </c>
      <c r="ES10">
        <v>156.2000000013</v>
      </c>
      <c r="ET10">
        <v>164.40000000149999</v>
      </c>
      <c r="EU10">
        <v>173.1</v>
      </c>
      <c r="EV10">
        <v>181.8000000003</v>
      </c>
      <c r="EW10">
        <v>191.50000000079999</v>
      </c>
      <c r="EX10">
        <v>201.30000000059999</v>
      </c>
      <c r="EY10">
        <v>209.80000000050001</v>
      </c>
      <c r="EZ10">
        <v>217.80000000039999</v>
      </c>
      <c r="FA10">
        <v>226.5000000007</v>
      </c>
      <c r="FB10">
        <v>235.5000000007</v>
      </c>
      <c r="FC10">
        <v>245.00000000079999</v>
      </c>
      <c r="FD10">
        <v>254.6000000002</v>
      </c>
      <c r="FE10">
        <v>262.80000000040002</v>
      </c>
      <c r="FF10">
        <v>270.90000000129999</v>
      </c>
      <c r="FG10">
        <v>279.10000000159999</v>
      </c>
      <c r="FH10">
        <v>287.9000000012</v>
      </c>
      <c r="FI10">
        <v>297.10000000159999</v>
      </c>
      <c r="FJ10">
        <v>306.20000000089999</v>
      </c>
      <c r="FK10">
        <v>313.90000000100002</v>
      </c>
      <c r="FL10">
        <v>321.8000000015</v>
      </c>
      <c r="FM10">
        <v>329.40000000049997</v>
      </c>
      <c r="FN10">
        <v>337.50000000149998</v>
      </c>
      <c r="FO10">
        <v>346.2</v>
      </c>
      <c r="FP10">
        <v>354.9000000003</v>
      </c>
      <c r="FQ10">
        <v>362.20000000139999</v>
      </c>
      <c r="FR10">
        <v>369.30000000029997</v>
      </c>
      <c r="FS10">
        <v>376.40000000100002</v>
      </c>
      <c r="FT10">
        <v>383.40000000060002</v>
      </c>
      <c r="FU10">
        <v>390.6999999999</v>
      </c>
      <c r="FV10">
        <v>398.4</v>
      </c>
      <c r="FW10">
        <v>406.0000000009</v>
      </c>
      <c r="FX10">
        <v>412.3</v>
      </c>
      <c r="FY10">
        <v>418.40000000049997</v>
      </c>
      <c r="FZ10">
        <v>424.39999999989999</v>
      </c>
      <c r="GA10">
        <v>429.70000000060003</v>
      </c>
      <c r="GB10">
        <v>434.30000000080003</v>
      </c>
      <c r="GC10">
        <v>438.70000000060003</v>
      </c>
      <c r="GD10">
        <v>441.8999999998</v>
      </c>
      <c r="GE10">
        <v>443.20000000149997</v>
      </c>
      <c r="GF10">
        <v>443.80000000090001</v>
      </c>
      <c r="GG10">
        <v>444.00000000130001</v>
      </c>
      <c r="GH10">
        <v>444.00000000130001</v>
      </c>
      <c r="GI10">
        <v>444.00000000130001</v>
      </c>
      <c r="GJ10">
        <v>444.00000000130001</v>
      </c>
      <c r="GK10">
        <v>444.00000000130001</v>
      </c>
      <c r="GL10">
        <v>444.10000000060001</v>
      </c>
      <c r="GM10">
        <v>444.10000000060001</v>
      </c>
      <c r="GN10">
        <v>444.10000000060001</v>
      </c>
      <c r="GO10">
        <v>444.10000000060001</v>
      </c>
      <c r="GP10">
        <v>444.10000000060001</v>
      </c>
      <c r="GQ10">
        <v>444.10000000060001</v>
      </c>
      <c r="GR10">
        <v>444.10000000060001</v>
      </c>
      <c r="GS10">
        <v>444.10000000060001</v>
      </c>
      <c r="GT10">
        <v>444.00000000130001</v>
      </c>
      <c r="GU10">
        <v>444.00000000130001</v>
      </c>
      <c r="GV10">
        <v>443.90000000020001</v>
      </c>
      <c r="GW10">
        <v>1</v>
      </c>
      <c r="GX10">
        <v>88.900000000600002</v>
      </c>
      <c r="GY10">
        <v>81.900000000999995</v>
      </c>
      <c r="GZ10">
        <v>81.900000000999995</v>
      </c>
      <c r="HA10">
        <v>102.80000000059999</v>
      </c>
      <c r="HB10">
        <v>86.246616372999995</v>
      </c>
      <c r="HC10">
        <v>-20.8999999995</v>
      </c>
      <c r="HD10">
        <v>443.90002252020003</v>
      </c>
      <c r="HE10">
        <v>323.98361670880001</v>
      </c>
      <c r="HF10">
        <v>69.694426303599997</v>
      </c>
      <c r="HG10">
        <v>444.10000000060001</v>
      </c>
      <c r="HH10">
        <v>444.10000000060001</v>
      </c>
      <c r="HI10">
        <v>444.00000000130001</v>
      </c>
      <c r="HJ10">
        <v>444.10000000060001</v>
      </c>
      <c r="HK10">
        <v>103.22580645159999</v>
      </c>
      <c r="HL10">
        <v>3.8105842408999999</v>
      </c>
      <c r="HM10">
        <v>3.5907213009999999</v>
      </c>
      <c r="HN10">
        <v>3.6786932528</v>
      </c>
      <c r="HO10">
        <v>3.6875296274</v>
      </c>
      <c r="HP10">
        <v>3.9065563175000002</v>
      </c>
      <c r="HQ10">
        <v>3.0193194050000001</v>
      </c>
      <c r="HR10">
        <v>16.552190069400002</v>
      </c>
      <c r="HS10">
        <v>-18.7683284457</v>
      </c>
      <c r="HT10">
        <v>-128</v>
      </c>
      <c r="HU10">
        <v>410.23023308180001</v>
      </c>
      <c r="HV10">
        <v>86.803519061599999</v>
      </c>
      <c r="HW10">
        <v>592</v>
      </c>
      <c r="HX10">
        <v>16.552190069400002</v>
      </c>
      <c r="HY10">
        <v>-18.7683284457</v>
      </c>
      <c r="HZ10">
        <v>-128</v>
      </c>
      <c r="IA10">
        <v>410.23023308180001</v>
      </c>
      <c r="IB10">
        <v>86.803519061599999</v>
      </c>
      <c r="IC10">
        <v>592</v>
      </c>
      <c r="ID10">
        <v>33.869766918800003</v>
      </c>
      <c r="IE10">
        <v>0.22077468789999999</v>
      </c>
      <c r="IF10">
        <v>-28.152492668600001</v>
      </c>
      <c r="IG10">
        <v>-192</v>
      </c>
      <c r="IH10">
        <v>433.66043238460003</v>
      </c>
      <c r="II10">
        <v>96.187683284499997</v>
      </c>
      <c r="IJ10">
        <v>656</v>
      </c>
      <c r="IK10">
        <v>393.6780430124</v>
      </c>
      <c r="IL10">
        <v>105.57184750730001</v>
      </c>
      <c r="IM10">
        <v>419.64071613440001</v>
      </c>
      <c r="IN10">
        <v>114.9560117302</v>
      </c>
      <c r="IO10">
        <v>7.4999999997</v>
      </c>
      <c r="IP10">
        <v>6.5999999988000004</v>
      </c>
      <c r="IQ10">
        <v>10.3999999992</v>
      </c>
      <c r="IR10">
        <v>3.8189460724000002</v>
      </c>
      <c r="IS10">
        <v>3.8189460724000002</v>
      </c>
      <c r="IT10">
        <v>17.400000000599999</v>
      </c>
      <c r="IU10">
        <v>-18.7683284457</v>
      </c>
      <c r="IV10">
        <v>22.8999999999</v>
      </c>
      <c r="IW10">
        <v>68.035190615800005</v>
      </c>
      <c r="IX10">
        <v>15.9999999996</v>
      </c>
      <c r="IY10">
        <v>96.187683284499997</v>
      </c>
      <c r="IZ10">
        <v>-23.126918368199998</v>
      </c>
      <c r="JA10">
        <v>0.27923528959999999</v>
      </c>
      <c r="JB10">
        <v>-1.795271E-4</v>
      </c>
      <c r="JC10">
        <v>3.6829999999999998E-7</v>
      </c>
      <c r="JD10">
        <v>0.26242694999999999</v>
      </c>
      <c r="JE10">
        <v>0.34657053560000001</v>
      </c>
      <c r="JF10">
        <v>0.12673769570000001</v>
      </c>
      <c r="JG10">
        <v>86.994430755600007</v>
      </c>
      <c r="JH10">
        <v>3.9065563175000002</v>
      </c>
      <c r="JI10">
        <v>3.8891212999999998E-3</v>
      </c>
      <c r="JJ10">
        <v>-6.9119499999999994E-5</v>
      </c>
      <c r="JK10">
        <v>3.8105842408999999</v>
      </c>
      <c r="JL10">
        <v>1.1697416235</v>
      </c>
      <c r="JM10">
        <v>0.44006225739999999</v>
      </c>
      <c r="JN10" t="s">
        <v>547</v>
      </c>
      <c r="JQ10">
        <v>1</v>
      </c>
    </row>
    <row r="11" spans="1:277">
      <c r="A11" t="s">
        <v>645</v>
      </c>
      <c r="B11" t="s">
        <v>646</v>
      </c>
      <c r="C11" t="s">
        <v>211</v>
      </c>
      <c r="D11">
        <v>3</v>
      </c>
      <c r="E11" t="s">
        <v>212</v>
      </c>
      <c r="F11" t="s">
        <v>213</v>
      </c>
      <c r="G11" t="s">
        <v>546</v>
      </c>
      <c r="H11" t="s">
        <v>215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0</v>
      </c>
      <c r="R11">
        <v>2.4000000012</v>
      </c>
      <c r="S11">
        <v>2.4000000012</v>
      </c>
      <c r="T11">
        <v>2.5999999998000001</v>
      </c>
      <c r="U11">
        <v>2.7000000008999998</v>
      </c>
      <c r="V11">
        <v>2.8999999994999999</v>
      </c>
      <c r="W11">
        <v>3.0000000006</v>
      </c>
      <c r="X11">
        <v>3.0999999999000001</v>
      </c>
      <c r="Y11">
        <v>3.2000000009999998</v>
      </c>
      <c r="Z11">
        <v>3.3999999995999999</v>
      </c>
      <c r="AA11">
        <v>3.5000000007000001</v>
      </c>
      <c r="AB11">
        <v>3.7000000010999998</v>
      </c>
      <c r="AC11">
        <v>3.8000000003999999</v>
      </c>
      <c r="AD11">
        <v>4.0000000008000001</v>
      </c>
      <c r="AE11">
        <v>4.1000000000999997</v>
      </c>
      <c r="AF11">
        <v>4.3000000004999999</v>
      </c>
      <c r="AG11">
        <v>4.6999999995000001</v>
      </c>
      <c r="AH11">
        <v>5.1999999996000001</v>
      </c>
      <c r="AI11">
        <v>5.6000000003999997</v>
      </c>
      <c r="AJ11">
        <v>5.6999999997000002</v>
      </c>
      <c r="AK11">
        <v>6.9000000003000004</v>
      </c>
      <c r="AL11">
        <v>9.1000000010999997</v>
      </c>
      <c r="AM11">
        <v>11.800000000200001</v>
      </c>
      <c r="AN11">
        <v>16.300000001099999</v>
      </c>
      <c r="AO11">
        <v>23.1000000003</v>
      </c>
      <c r="AP11">
        <v>31.399999999799999</v>
      </c>
      <c r="AQ11">
        <v>39.5000000008</v>
      </c>
      <c r="AR11">
        <v>47.500000000599996</v>
      </c>
      <c r="AS11">
        <v>55.700000000800003</v>
      </c>
      <c r="AT11">
        <v>63.700000000599999</v>
      </c>
      <c r="AU11">
        <v>71.700000000399996</v>
      </c>
      <c r="AV11">
        <v>80.6000000011</v>
      </c>
      <c r="AW11">
        <v>89.5</v>
      </c>
      <c r="AX11">
        <v>98.500000000100002</v>
      </c>
      <c r="AY11">
        <v>107.40000000080001</v>
      </c>
      <c r="AZ11">
        <v>115.9000000007</v>
      </c>
      <c r="BA11">
        <v>124.4000000006</v>
      </c>
      <c r="BB11">
        <v>133.49999999990001</v>
      </c>
      <c r="BC11">
        <v>142.60000000100001</v>
      </c>
      <c r="BD11">
        <v>151.29999999949999</v>
      </c>
      <c r="BE11">
        <v>160.10000000100001</v>
      </c>
      <c r="BF11">
        <v>168.70000000019999</v>
      </c>
      <c r="BG11">
        <v>177.3000000012</v>
      </c>
      <c r="BH11">
        <v>186.4999999998</v>
      </c>
      <c r="BI11">
        <v>195.4000000005</v>
      </c>
      <c r="BJ11">
        <v>204.10000000080001</v>
      </c>
      <c r="BK11">
        <v>212.90000000040001</v>
      </c>
      <c r="BL11">
        <v>221.49999999970001</v>
      </c>
      <c r="BM11">
        <v>230.10000000069999</v>
      </c>
      <c r="BN11">
        <v>239.10000000069999</v>
      </c>
      <c r="BO11">
        <v>247.99999999959999</v>
      </c>
      <c r="BP11">
        <v>256.800000001</v>
      </c>
      <c r="BQ11">
        <v>265.40000000020001</v>
      </c>
      <c r="BR11">
        <v>273.69999999970003</v>
      </c>
      <c r="BS11">
        <v>282.19999999959998</v>
      </c>
      <c r="BT11">
        <v>290.89999999999998</v>
      </c>
      <c r="BU11">
        <v>299.50000000099999</v>
      </c>
      <c r="BV11">
        <v>308.0000000009</v>
      </c>
      <c r="BW11">
        <v>316.30000000040002</v>
      </c>
      <c r="BX11">
        <v>324.30000000019999</v>
      </c>
      <c r="BY11">
        <v>332.40000000110001</v>
      </c>
      <c r="BZ11">
        <v>340.59999999950003</v>
      </c>
      <c r="CA11">
        <v>348.70000000049998</v>
      </c>
      <c r="CB11">
        <v>356.70000000030001</v>
      </c>
      <c r="CC11">
        <v>364.40000000039998</v>
      </c>
      <c r="CD11">
        <v>371.90000000010002</v>
      </c>
      <c r="CE11">
        <v>379.20000000120001</v>
      </c>
      <c r="CF11">
        <v>386.70000000089999</v>
      </c>
      <c r="CG11">
        <v>394.20000000060003</v>
      </c>
      <c r="CH11">
        <v>401.49999999990001</v>
      </c>
      <c r="CI11">
        <v>408.80000000109999</v>
      </c>
      <c r="CJ11">
        <v>416.10000000039997</v>
      </c>
      <c r="CK11">
        <v>422.80000000029997</v>
      </c>
      <c r="CL11">
        <v>429.50000000019998</v>
      </c>
      <c r="CM11">
        <v>436.20000000009998</v>
      </c>
      <c r="CN11">
        <v>443.19999999970003</v>
      </c>
      <c r="CO11">
        <v>449.50000000059998</v>
      </c>
      <c r="CP11">
        <v>454.99999999990001</v>
      </c>
      <c r="CQ11">
        <v>458.59999999989998</v>
      </c>
      <c r="CR11">
        <v>459.60000000010001</v>
      </c>
      <c r="CS11">
        <v>459.60000000010001</v>
      </c>
      <c r="CT11">
        <v>459.60000000010001</v>
      </c>
      <c r="CU11">
        <v>459.60000000010001</v>
      </c>
      <c r="CV11">
        <v>459.60000000010001</v>
      </c>
      <c r="CW11">
        <v>459.60000000010001</v>
      </c>
      <c r="CX11">
        <v>459.70000000120001</v>
      </c>
      <c r="CY11">
        <v>459.70000000120001</v>
      </c>
      <c r="CZ11">
        <v>459.50000000080001</v>
      </c>
      <c r="DA11">
        <v>459.60000000010001</v>
      </c>
      <c r="DB11">
        <v>459.60000000010001</v>
      </c>
      <c r="DC11">
        <v>459.70000000120001</v>
      </c>
      <c r="DD11">
        <v>459.80000000050001</v>
      </c>
      <c r="DE11">
        <v>459.80000000050001</v>
      </c>
      <c r="DF11">
        <v>459.80000000050001</v>
      </c>
      <c r="DG11">
        <v>0.50000000010000001</v>
      </c>
      <c r="DH11">
        <v>3.6</v>
      </c>
      <c r="DI11">
        <v>3.8000000003999999</v>
      </c>
      <c r="DJ11">
        <v>3.8999999996999999</v>
      </c>
      <c r="DK11">
        <v>4.1000000000999997</v>
      </c>
      <c r="DL11">
        <v>4.3999999998000003</v>
      </c>
      <c r="DM11">
        <v>4.6999999995000001</v>
      </c>
      <c r="DN11">
        <v>4.8999999999000003</v>
      </c>
      <c r="DO11">
        <v>5.0000000010000001</v>
      </c>
      <c r="DP11">
        <v>5.3000000006999999</v>
      </c>
      <c r="DQ11">
        <v>5.6000000003999997</v>
      </c>
      <c r="DR11">
        <v>5.9000000001000004</v>
      </c>
      <c r="DS11">
        <v>6.1000000004999997</v>
      </c>
      <c r="DT11">
        <v>6.1999999998000002</v>
      </c>
      <c r="DU11">
        <v>6.4000000002000004</v>
      </c>
      <c r="DV11">
        <v>6.4999999995</v>
      </c>
      <c r="DW11">
        <v>6.6999999999000002</v>
      </c>
      <c r="DX11">
        <v>7.4999999997</v>
      </c>
      <c r="DY11">
        <v>9.7000000004999993</v>
      </c>
      <c r="DZ11">
        <v>12.200000000999999</v>
      </c>
      <c r="EA11">
        <v>15.0000000012</v>
      </c>
      <c r="EB11">
        <v>19.200000000599999</v>
      </c>
      <c r="EC11">
        <v>25.499999999700002</v>
      </c>
      <c r="ED11">
        <v>33.999999999700002</v>
      </c>
      <c r="EE11">
        <v>41.600000000500003</v>
      </c>
      <c r="EF11">
        <v>49.300000000600001</v>
      </c>
      <c r="EG11">
        <v>57.200000001100001</v>
      </c>
      <c r="EH11">
        <v>65.099999999800005</v>
      </c>
      <c r="EI11">
        <v>73.099999999600001</v>
      </c>
      <c r="EJ11">
        <v>81.5999999995</v>
      </c>
      <c r="EK11">
        <v>90.500000000200004</v>
      </c>
      <c r="EL11">
        <v>99.000000000200004</v>
      </c>
      <c r="EM11">
        <v>108.0000000002</v>
      </c>
      <c r="EN11">
        <v>116.7000000005</v>
      </c>
      <c r="EO11">
        <v>125.2000000004</v>
      </c>
      <c r="EP11">
        <v>134.1000000011</v>
      </c>
      <c r="EQ11">
        <v>143.1000000011</v>
      </c>
      <c r="ER11">
        <v>152</v>
      </c>
      <c r="ES11">
        <v>160.90000000079999</v>
      </c>
      <c r="ET11">
        <v>169.5</v>
      </c>
      <c r="EU11">
        <v>178.2999999996</v>
      </c>
      <c r="EV11">
        <v>187.4000000007</v>
      </c>
      <c r="EW11">
        <v>196.5</v>
      </c>
      <c r="EX11">
        <v>205.6000000011</v>
      </c>
      <c r="EY11">
        <v>214.40000000079999</v>
      </c>
      <c r="EZ11">
        <v>223.1000000011</v>
      </c>
      <c r="FA11">
        <v>232</v>
      </c>
      <c r="FB11">
        <v>241.2000000004</v>
      </c>
      <c r="FC11">
        <v>250</v>
      </c>
      <c r="FD11">
        <v>259</v>
      </c>
      <c r="FE11">
        <v>267.70000000030001</v>
      </c>
      <c r="FF11">
        <v>276.29999999950002</v>
      </c>
      <c r="FG11">
        <v>285.20000000030001</v>
      </c>
      <c r="FH11">
        <v>294.20000000030001</v>
      </c>
      <c r="FI11">
        <v>302.60000000090002</v>
      </c>
      <c r="FJ11">
        <v>311.20000000009998</v>
      </c>
      <c r="FK11">
        <v>319.60000000069999</v>
      </c>
      <c r="FL11">
        <v>327.80000000090001</v>
      </c>
      <c r="FM11">
        <v>336.19999999970003</v>
      </c>
      <c r="FN11">
        <v>344.60000000039997</v>
      </c>
      <c r="FO11">
        <v>352.6000000002</v>
      </c>
      <c r="FP11">
        <v>360.80000000040002</v>
      </c>
      <c r="FQ11">
        <v>368.59999999979999</v>
      </c>
      <c r="FR11">
        <v>376.09999999950003</v>
      </c>
      <c r="FS11">
        <v>383.60000000100001</v>
      </c>
      <c r="FT11">
        <v>391.30000000109999</v>
      </c>
      <c r="FU11">
        <v>398.80000000080003</v>
      </c>
      <c r="FV11">
        <v>406.2000000013</v>
      </c>
      <c r="FW11">
        <v>413.40000000129999</v>
      </c>
      <c r="FX11">
        <v>420.29999999979998</v>
      </c>
      <c r="FY11">
        <v>426.99999999969998</v>
      </c>
      <c r="FZ11">
        <v>433.60000000029999</v>
      </c>
      <c r="GA11">
        <v>439.9000000012</v>
      </c>
      <c r="GB11">
        <v>445.90000000060002</v>
      </c>
      <c r="GC11">
        <v>451.30000000059999</v>
      </c>
      <c r="GD11">
        <v>455.90000000079999</v>
      </c>
      <c r="GE11">
        <v>458.59999999989998</v>
      </c>
      <c r="GF11">
        <v>459.39999999970001</v>
      </c>
      <c r="GG11">
        <v>459.39999999970001</v>
      </c>
      <c r="GH11">
        <v>459.39999999970001</v>
      </c>
      <c r="GI11">
        <v>459.50000000080001</v>
      </c>
      <c r="GJ11">
        <v>459.50000000080001</v>
      </c>
      <c r="GK11">
        <v>459.60000000010001</v>
      </c>
      <c r="GL11">
        <v>459.60000000010001</v>
      </c>
      <c r="GM11">
        <v>459.70000000120001</v>
      </c>
      <c r="GN11">
        <v>459.70000000120001</v>
      </c>
      <c r="GO11">
        <v>459.70000000120001</v>
      </c>
      <c r="GP11">
        <v>459.70000000120001</v>
      </c>
      <c r="GQ11">
        <v>459.70000000120001</v>
      </c>
      <c r="GR11">
        <v>459.70000000120001</v>
      </c>
      <c r="GS11">
        <v>459.70000000120001</v>
      </c>
      <c r="GT11">
        <v>459.80000000050001</v>
      </c>
      <c r="GU11">
        <v>459.80000000050001</v>
      </c>
      <c r="GV11">
        <v>459.80000000050001</v>
      </c>
      <c r="GW11">
        <v>1</v>
      </c>
      <c r="GX11">
        <v>97.499999999899998</v>
      </c>
      <c r="GY11">
        <v>89.5</v>
      </c>
      <c r="GZ11">
        <v>89.5</v>
      </c>
      <c r="HA11">
        <v>108.0000000002</v>
      </c>
      <c r="HB11">
        <v>93.473194867399997</v>
      </c>
      <c r="HC11">
        <v>-18.500000000099998</v>
      </c>
      <c r="HD11">
        <v>459.80000000050001</v>
      </c>
      <c r="HE11">
        <v>338.79660722080001</v>
      </c>
      <c r="HF11">
        <v>69.071596345900005</v>
      </c>
      <c r="HG11">
        <v>459.80000000050001</v>
      </c>
      <c r="HH11">
        <v>459.80000000050001</v>
      </c>
      <c r="HI11">
        <v>459.80000000050001</v>
      </c>
      <c r="HJ11">
        <v>459.80000000050001</v>
      </c>
      <c r="HK11">
        <v>105.57184750730001</v>
      </c>
      <c r="HL11">
        <v>3.7872004486000002</v>
      </c>
      <c r="HM11">
        <v>3.6110180671999998</v>
      </c>
      <c r="HN11">
        <v>3.6580759268</v>
      </c>
      <c r="HO11">
        <v>3.5232354171</v>
      </c>
      <c r="HP11">
        <v>3.8170925132</v>
      </c>
      <c r="HQ11">
        <v>2.9581147056999999</v>
      </c>
      <c r="HR11">
        <v>24.401598521499999</v>
      </c>
      <c r="HS11">
        <v>-18.7683284457</v>
      </c>
      <c r="HT11">
        <v>-128</v>
      </c>
      <c r="HU11">
        <v>432.26980208819998</v>
      </c>
      <c r="HV11">
        <v>91.495601172999997</v>
      </c>
      <c r="HW11">
        <v>624</v>
      </c>
      <c r="HX11">
        <v>24.401598521499999</v>
      </c>
      <c r="HY11">
        <v>-18.7683284457</v>
      </c>
      <c r="HZ11">
        <v>-128</v>
      </c>
      <c r="IA11">
        <v>432.26980208819998</v>
      </c>
      <c r="IB11">
        <v>91.495601172999997</v>
      </c>
      <c r="IC11">
        <v>624</v>
      </c>
      <c r="ID11">
        <v>27.530197912399998</v>
      </c>
      <c r="IE11">
        <v>7.0928990869000001</v>
      </c>
      <c r="IF11">
        <v>-28.152492668600001</v>
      </c>
      <c r="IG11">
        <v>-192</v>
      </c>
      <c r="IH11">
        <v>455.61688777810002</v>
      </c>
      <c r="II11">
        <v>100.87976539589999</v>
      </c>
      <c r="IJ11">
        <v>688</v>
      </c>
      <c r="IK11">
        <v>407.8682035667</v>
      </c>
      <c r="IL11">
        <v>110.26392961880001</v>
      </c>
      <c r="IM11">
        <v>432.7560569817</v>
      </c>
      <c r="IN11">
        <v>119.6480938416</v>
      </c>
      <c r="IO11">
        <v>8.4999999999</v>
      </c>
      <c r="IP11">
        <v>6.9999999996</v>
      </c>
      <c r="IQ11">
        <v>9.2000000003999993</v>
      </c>
      <c r="IR11">
        <v>3.0456097876000001</v>
      </c>
      <c r="IS11">
        <v>3.0456097876000001</v>
      </c>
      <c r="IT11">
        <v>17.699999998500001</v>
      </c>
      <c r="IU11">
        <v>-21.114369501500001</v>
      </c>
      <c r="IV11">
        <v>20.500000000499998</v>
      </c>
      <c r="IW11">
        <v>49.266862170099998</v>
      </c>
      <c r="IX11">
        <v>15.1000000005</v>
      </c>
      <c r="IY11">
        <v>98.533724340199996</v>
      </c>
      <c r="IZ11">
        <v>-25.9028976311</v>
      </c>
      <c r="JA11">
        <v>0.29565323710000002</v>
      </c>
      <c r="JB11">
        <v>-2.327234E-4</v>
      </c>
      <c r="JC11">
        <v>4.0620000000000002E-7</v>
      </c>
      <c r="JD11">
        <v>0.26404728599999999</v>
      </c>
      <c r="JE11">
        <v>0.27184033289999998</v>
      </c>
      <c r="JF11">
        <v>9.6353357099999995E-2</v>
      </c>
      <c r="JG11">
        <v>93.516616536000001</v>
      </c>
      <c r="JH11">
        <v>3.8170925132</v>
      </c>
      <c r="JI11">
        <v>5.6970251999999997E-3</v>
      </c>
      <c r="JJ11">
        <v>-7.5713100000000005E-5</v>
      </c>
      <c r="JK11">
        <v>3.7872004486000002</v>
      </c>
      <c r="JL11">
        <v>0.72378629539999995</v>
      </c>
      <c r="JM11">
        <v>0.2155152212</v>
      </c>
      <c r="JN11" t="s">
        <v>547</v>
      </c>
      <c r="JQ11">
        <v>1</v>
      </c>
    </row>
    <row r="12" spans="1:277">
      <c r="A12" t="s">
        <v>654</v>
      </c>
      <c r="B12" t="s">
        <v>655</v>
      </c>
      <c r="C12" t="s">
        <v>211</v>
      </c>
      <c r="D12">
        <v>3</v>
      </c>
      <c r="E12" t="s">
        <v>212</v>
      </c>
      <c r="F12" t="s">
        <v>213</v>
      </c>
      <c r="G12" t="s">
        <v>546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0</v>
      </c>
      <c r="R12">
        <v>9.9999999300000003E-2</v>
      </c>
      <c r="S12">
        <v>9.9999999300000003E-2</v>
      </c>
      <c r="T12">
        <v>9.9999999300000003E-2</v>
      </c>
      <c r="U12">
        <v>9.9999999300000003E-2</v>
      </c>
      <c r="V12">
        <v>9.9999999300000003E-2</v>
      </c>
      <c r="W12">
        <v>0.20000000039999999</v>
      </c>
      <c r="X12">
        <v>0.20000000039999999</v>
      </c>
      <c r="Y12">
        <v>9.9999999300000003E-2</v>
      </c>
      <c r="Z12">
        <v>0.20000000039999999</v>
      </c>
      <c r="AA12">
        <v>9.9999999300000003E-2</v>
      </c>
      <c r="AB12">
        <v>0.20000000039999999</v>
      </c>
      <c r="AC12">
        <v>0.20000000039999999</v>
      </c>
      <c r="AD12">
        <v>0.20000000039999999</v>
      </c>
      <c r="AE12">
        <v>0.20000000039999999</v>
      </c>
      <c r="AF12">
        <v>0.29999999970000002</v>
      </c>
      <c r="AG12">
        <v>0.29999999970000002</v>
      </c>
      <c r="AH12">
        <v>0.29999999970000002</v>
      </c>
      <c r="AI12">
        <v>0.40000000079999998</v>
      </c>
      <c r="AJ12">
        <v>1.0999999995</v>
      </c>
      <c r="AK12">
        <v>2.3000000000999998</v>
      </c>
      <c r="AL12">
        <v>3.6999999993000001</v>
      </c>
      <c r="AM12">
        <v>7.7000000001000002</v>
      </c>
      <c r="AN12">
        <v>14.699999999699999</v>
      </c>
      <c r="AO12">
        <v>22.300000000499999</v>
      </c>
      <c r="AP12">
        <v>30.399999999599999</v>
      </c>
      <c r="AQ12">
        <v>38.399999999499997</v>
      </c>
      <c r="AR12">
        <v>46.3</v>
      </c>
      <c r="AS12">
        <v>54.299999999800001</v>
      </c>
      <c r="AT12">
        <v>62.100000000999998</v>
      </c>
      <c r="AU12">
        <v>70.299999999400001</v>
      </c>
      <c r="AV12">
        <v>79.100000000799994</v>
      </c>
      <c r="AW12">
        <v>87.999999999699995</v>
      </c>
      <c r="AX12">
        <v>96.999999999799996</v>
      </c>
      <c r="AY12">
        <v>105.7000000001</v>
      </c>
      <c r="AZ12">
        <v>113.99999999960001</v>
      </c>
      <c r="BA12">
        <v>122.60000000060001</v>
      </c>
      <c r="BB12">
        <v>131.49999999950001</v>
      </c>
      <c r="BC12">
        <v>140.30000000090001</v>
      </c>
      <c r="BD12">
        <v>148.99999999939999</v>
      </c>
      <c r="BE12">
        <v>157.4999999993</v>
      </c>
      <c r="BF12">
        <v>165.9</v>
      </c>
      <c r="BG12">
        <v>174.60000000030001</v>
      </c>
      <c r="BH12">
        <v>183.69999999960001</v>
      </c>
      <c r="BI12">
        <v>192.39999999989999</v>
      </c>
      <c r="BJ12">
        <v>201.0000000009</v>
      </c>
      <c r="BK12">
        <v>209.69999999940001</v>
      </c>
      <c r="BL12">
        <v>217.8999999996</v>
      </c>
      <c r="BM12">
        <v>226.5000000007</v>
      </c>
      <c r="BN12">
        <v>235.5000000007</v>
      </c>
      <c r="BO12">
        <v>244.00000000060001</v>
      </c>
      <c r="BP12">
        <v>252.59999999979999</v>
      </c>
      <c r="BQ12">
        <v>260.89999999930001</v>
      </c>
      <c r="BR12">
        <v>268.90000000089998</v>
      </c>
      <c r="BS12">
        <v>277.2000000004</v>
      </c>
      <c r="BT12">
        <v>285.90000000079999</v>
      </c>
      <c r="BU12">
        <v>294.10000000100001</v>
      </c>
      <c r="BV12">
        <v>302.29999999939997</v>
      </c>
      <c r="BW12">
        <v>310.300000001</v>
      </c>
      <c r="BX12">
        <v>318.10000000039997</v>
      </c>
      <c r="BY12">
        <v>325.8999999998</v>
      </c>
      <c r="BZ12">
        <v>333.80000000029997</v>
      </c>
      <c r="CA12">
        <v>342.00000000059998</v>
      </c>
      <c r="CB12">
        <v>349.40000000100002</v>
      </c>
      <c r="CC12">
        <v>357.1000000011</v>
      </c>
      <c r="CD12">
        <v>364.30000000109999</v>
      </c>
      <c r="CE12">
        <v>371.4</v>
      </c>
      <c r="CF12">
        <v>378.69999999930002</v>
      </c>
      <c r="CG12">
        <v>385.89999999930001</v>
      </c>
      <c r="CH12">
        <v>393.2000000004</v>
      </c>
      <c r="CI12">
        <v>399.99999999959999</v>
      </c>
      <c r="CJ12">
        <v>407.10000000039997</v>
      </c>
      <c r="CK12">
        <v>413.89999999960003</v>
      </c>
      <c r="CL12">
        <v>420.09999999939998</v>
      </c>
      <c r="CM12">
        <v>426.4000000003</v>
      </c>
      <c r="CN12">
        <v>433.1000000002</v>
      </c>
      <c r="CO12">
        <v>440.30000000019999</v>
      </c>
      <c r="CP12">
        <v>447.50000000019998</v>
      </c>
      <c r="CQ12">
        <v>453.7</v>
      </c>
      <c r="CR12">
        <v>456.40000000089998</v>
      </c>
      <c r="CS12">
        <v>456.50000000019998</v>
      </c>
      <c r="CT12">
        <v>456.59999999950003</v>
      </c>
      <c r="CU12">
        <v>456.59999999950003</v>
      </c>
      <c r="CV12">
        <v>456.59999999950003</v>
      </c>
      <c r="CW12">
        <v>456.70000000060003</v>
      </c>
      <c r="CX12">
        <v>456.70000000060003</v>
      </c>
      <c r="CY12">
        <v>456.70000000060003</v>
      </c>
      <c r="CZ12">
        <v>456.70000000060003</v>
      </c>
      <c r="DA12">
        <v>456.70000000060003</v>
      </c>
      <c r="DB12">
        <v>456.70000000060003</v>
      </c>
      <c r="DC12">
        <v>456.79999999990002</v>
      </c>
      <c r="DD12">
        <v>456.70000000060003</v>
      </c>
      <c r="DE12">
        <v>456.70000000060003</v>
      </c>
      <c r="DF12">
        <v>456.70000000060003</v>
      </c>
      <c r="DG12">
        <v>0.79999999980000003</v>
      </c>
      <c r="DH12">
        <v>1.0999999995</v>
      </c>
      <c r="DI12">
        <v>1.0999999995</v>
      </c>
      <c r="DJ12">
        <v>1.0999999995</v>
      </c>
      <c r="DK12">
        <v>1.0000000002</v>
      </c>
      <c r="DL12">
        <v>1.0000000002</v>
      </c>
      <c r="DM12">
        <v>1.0999999995</v>
      </c>
      <c r="DN12">
        <v>1.0999999995</v>
      </c>
      <c r="DO12">
        <v>1.2000000006</v>
      </c>
      <c r="DP12">
        <v>1.0999999995</v>
      </c>
      <c r="DQ12">
        <v>1.0999999995</v>
      </c>
      <c r="DR12">
        <v>1.0000000002</v>
      </c>
      <c r="DS12">
        <v>1.0000000002</v>
      </c>
      <c r="DT12">
        <v>1.2999999999</v>
      </c>
      <c r="DU12">
        <v>1.2999999999</v>
      </c>
      <c r="DV12">
        <v>1.2999999999</v>
      </c>
      <c r="DW12">
        <v>1.2000000006</v>
      </c>
      <c r="DX12">
        <v>1.7000000007</v>
      </c>
      <c r="DY12">
        <v>2.8000000001999998</v>
      </c>
      <c r="DZ12">
        <v>4.8000000005999999</v>
      </c>
      <c r="EA12">
        <v>10.0000000002</v>
      </c>
      <c r="EB12">
        <v>17.299999999499999</v>
      </c>
      <c r="EC12">
        <v>24.9000000003</v>
      </c>
      <c r="ED12">
        <v>32.999999999400004</v>
      </c>
      <c r="EE12">
        <v>40.699999999600003</v>
      </c>
      <c r="EF12">
        <v>48.5000000008</v>
      </c>
      <c r="EG12">
        <v>56.200000000899998</v>
      </c>
      <c r="EH12">
        <v>64.099999999600001</v>
      </c>
      <c r="EI12">
        <v>72.200000000499998</v>
      </c>
      <c r="EJ12">
        <v>80.700000000399996</v>
      </c>
      <c r="EK12">
        <v>89.299999999600004</v>
      </c>
      <c r="EL12">
        <v>98</v>
      </c>
      <c r="EM12">
        <v>106.9000000007</v>
      </c>
      <c r="EN12">
        <v>115.4000000006</v>
      </c>
      <c r="EO12">
        <v>124.1000000009</v>
      </c>
      <c r="EP12">
        <v>132.9999999998</v>
      </c>
      <c r="EQ12">
        <v>141.7999999994</v>
      </c>
      <c r="ER12">
        <v>150.49999999970001</v>
      </c>
      <c r="ES12">
        <v>159.29999999930001</v>
      </c>
      <c r="ET12">
        <v>167.49999999959999</v>
      </c>
      <c r="EU12">
        <v>176.49999999959999</v>
      </c>
      <c r="EV12">
        <v>185.79999999930001</v>
      </c>
      <c r="EW12">
        <v>194.79999999930001</v>
      </c>
      <c r="EX12">
        <v>203.49999999959999</v>
      </c>
      <c r="EY12">
        <v>211.99999999950001</v>
      </c>
      <c r="EZ12">
        <v>220.6999999999</v>
      </c>
      <c r="FA12">
        <v>229.800000001</v>
      </c>
      <c r="FB12">
        <v>238.99999999959999</v>
      </c>
      <c r="FC12">
        <v>247.60000000060001</v>
      </c>
      <c r="FD12">
        <v>256.30000000090001</v>
      </c>
      <c r="FE12">
        <v>264.80000000080003</v>
      </c>
      <c r="FF12">
        <v>273.19999999959998</v>
      </c>
      <c r="FG12">
        <v>282.00000000109998</v>
      </c>
      <c r="FH12">
        <v>290.89999999999998</v>
      </c>
      <c r="FI12">
        <v>299.30000000059999</v>
      </c>
      <c r="FJ12">
        <v>307.69999999940001</v>
      </c>
      <c r="FK12">
        <v>315.70000000099998</v>
      </c>
      <c r="FL12">
        <v>323.8000000001</v>
      </c>
      <c r="FM12">
        <v>332.09999999960002</v>
      </c>
      <c r="FN12">
        <v>340.50000000019998</v>
      </c>
      <c r="FO12">
        <v>348.40000000079999</v>
      </c>
      <c r="FP12">
        <v>356.40000000060002</v>
      </c>
      <c r="FQ12">
        <v>364.2</v>
      </c>
      <c r="FR12">
        <v>371.49999999929997</v>
      </c>
      <c r="FS12">
        <v>378.89999999970001</v>
      </c>
      <c r="FT12">
        <v>386.70000000089999</v>
      </c>
      <c r="FU12">
        <v>394.20000000060003</v>
      </c>
      <c r="FV12">
        <v>401.10000000100001</v>
      </c>
      <c r="FW12">
        <v>408.1999999999</v>
      </c>
      <c r="FX12">
        <v>414.8999999998</v>
      </c>
      <c r="FY12">
        <v>421.09999999960002</v>
      </c>
      <c r="FZ12">
        <v>427.40000000049997</v>
      </c>
      <c r="GA12">
        <v>433.30000000059999</v>
      </c>
      <c r="GB12">
        <v>439.50000000040001</v>
      </c>
      <c r="GC12">
        <v>446.10000000100001</v>
      </c>
      <c r="GD12">
        <v>451.80000000069998</v>
      </c>
      <c r="GE12">
        <v>455.4000000007</v>
      </c>
      <c r="GF12">
        <v>456.50000000019998</v>
      </c>
      <c r="GG12">
        <v>456.50000000019998</v>
      </c>
      <c r="GH12">
        <v>456.50000000019998</v>
      </c>
      <c r="GI12">
        <v>456.59999999950003</v>
      </c>
      <c r="GJ12">
        <v>456.59999999950003</v>
      </c>
      <c r="GK12">
        <v>456.59999999950003</v>
      </c>
      <c r="GL12">
        <v>456.59999999950003</v>
      </c>
      <c r="GM12">
        <v>456.59999999950003</v>
      </c>
      <c r="GN12">
        <v>456.59999999950003</v>
      </c>
      <c r="GO12">
        <v>456.59999999950003</v>
      </c>
      <c r="GP12">
        <v>456.59999999950003</v>
      </c>
      <c r="GQ12">
        <v>456.59999999950003</v>
      </c>
      <c r="GR12">
        <v>456.59999999950003</v>
      </c>
      <c r="GS12">
        <v>456.59999999950003</v>
      </c>
      <c r="GT12">
        <v>456.70000000060003</v>
      </c>
      <c r="GU12">
        <v>456.70000000060003</v>
      </c>
      <c r="GV12">
        <v>456.70000000060003</v>
      </c>
      <c r="GW12">
        <v>1</v>
      </c>
      <c r="GX12">
        <v>95.600000000600005</v>
      </c>
      <c r="GY12">
        <v>87.999999999699995</v>
      </c>
      <c r="GZ12">
        <v>87.999999999699995</v>
      </c>
      <c r="HA12">
        <v>106.9000000007</v>
      </c>
      <c r="HB12">
        <v>92.032855265999999</v>
      </c>
      <c r="HC12">
        <v>-18.9000000009</v>
      </c>
      <c r="HD12">
        <v>456.70000000060003</v>
      </c>
      <c r="HE12">
        <v>339.86110137999998</v>
      </c>
      <c r="HF12">
        <v>76.377184147400001</v>
      </c>
      <c r="HG12">
        <v>456.79999999990002</v>
      </c>
      <c r="HH12">
        <v>456.70000000060003</v>
      </c>
      <c r="HI12">
        <v>456.79999999990002</v>
      </c>
      <c r="HJ12">
        <v>456.70000000060003</v>
      </c>
      <c r="HK12">
        <v>105.57184750730001</v>
      </c>
      <c r="HL12">
        <v>3.7232232724999998</v>
      </c>
      <c r="HM12">
        <v>3.5228733145</v>
      </c>
      <c r="HN12">
        <v>3.5990235519999998</v>
      </c>
      <c r="HO12">
        <v>3.4467301311999998</v>
      </c>
      <c r="HP12">
        <v>3.779585247</v>
      </c>
      <c r="HQ12">
        <v>2.8135213977000002</v>
      </c>
      <c r="HR12">
        <v>15.655671118600001</v>
      </c>
      <c r="HS12">
        <v>-21.114369501500001</v>
      </c>
      <c r="HT12">
        <v>-144</v>
      </c>
      <c r="HU12">
        <v>431.89395664599999</v>
      </c>
      <c r="HV12">
        <v>93.841642228699996</v>
      </c>
      <c r="HW12">
        <v>640</v>
      </c>
      <c r="HX12">
        <v>15.655671118600001</v>
      </c>
      <c r="HY12">
        <v>-21.114369501500001</v>
      </c>
      <c r="HZ12">
        <v>-144</v>
      </c>
      <c r="IA12">
        <v>431.89395664599999</v>
      </c>
      <c r="IB12">
        <v>93.841642228699996</v>
      </c>
      <c r="IC12">
        <v>640</v>
      </c>
      <c r="ID12">
        <v>24.8060433546</v>
      </c>
      <c r="IE12">
        <v>1.1238997149000001</v>
      </c>
      <c r="IF12">
        <v>-30.4985337243</v>
      </c>
      <c r="IG12">
        <v>-208</v>
      </c>
      <c r="IH12">
        <v>455.10738997229998</v>
      </c>
      <c r="II12">
        <v>103.22580645159999</v>
      </c>
      <c r="IJ12">
        <v>704</v>
      </c>
      <c r="IK12">
        <v>416.23828552740002</v>
      </c>
      <c r="IL12">
        <v>114.9560117302</v>
      </c>
      <c r="IM12">
        <v>441.20520035200002</v>
      </c>
      <c r="IN12">
        <v>124.3401759531</v>
      </c>
      <c r="IO12">
        <v>7.6000000007999997</v>
      </c>
      <c r="IP12">
        <v>7.2</v>
      </c>
      <c r="IQ12">
        <v>9.2999999997000007</v>
      </c>
      <c r="IR12">
        <v>3.6739472710999999</v>
      </c>
      <c r="IS12">
        <v>3.6739472710999999</v>
      </c>
      <c r="IT12">
        <v>18.299999999699999</v>
      </c>
      <c r="IU12">
        <v>-21.114369501500001</v>
      </c>
      <c r="IV12">
        <v>22.800000000600001</v>
      </c>
      <c r="IW12">
        <v>79.765395894400001</v>
      </c>
      <c r="IX12">
        <v>18.700000000500001</v>
      </c>
      <c r="IY12">
        <v>100.87976539589999</v>
      </c>
      <c r="IZ12">
        <v>-25.729942209200001</v>
      </c>
      <c r="JA12">
        <v>0.29896397120000001</v>
      </c>
      <c r="JB12">
        <v>-2.4337299999999999E-4</v>
      </c>
      <c r="JC12">
        <v>4.3860000000000002E-7</v>
      </c>
      <c r="JD12">
        <v>0.26858448359999998</v>
      </c>
      <c r="JE12">
        <v>0.51444734950000004</v>
      </c>
      <c r="JF12">
        <v>0.14027079410000001</v>
      </c>
      <c r="JG12">
        <v>92.015533845500002</v>
      </c>
      <c r="JH12">
        <v>3.779585247</v>
      </c>
      <c r="JI12">
        <v>5.4890199999999998E-3</v>
      </c>
      <c r="JJ12">
        <v>-7.55623E-5</v>
      </c>
      <c r="JK12">
        <v>3.7232232724999998</v>
      </c>
      <c r="JL12">
        <v>0.79015564039999997</v>
      </c>
      <c r="JM12">
        <v>0.28835761519999997</v>
      </c>
      <c r="JN12" t="s">
        <v>547</v>
      </c>
      <c r="JQ12">
        <v>1</v>
      </c>
    </row>
    <row r="13" spans="1:277">
      <c r="A13" t="s">
        <v>666</v>
      </c>
      <c r="B13" t="s">
        <v>667</v>
      </c>
      <c r="C13" t="s">
        <v>211</v>
      </c>
      <c r="D13">
        <v>3</v>
      </c>
      <c r="E13" t="s">
        <v>212</v>
      </c>
      <c r="F13" t="s">
        <v>213</v>
      </c>
      <c r="G13" t="s">
        <v>546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</v>
      </c>
      <c r="R13">
        <v>0.20000000039999999</v>
      </c>
      <c r="S13">
        <v>0.29999999970000002</v>
      </c>
      <c r="T13">
        <v>0.29999999970000002</v>
      </c>
      <c r="U13">
        <v>0.29999999970000002</v>
      </c>
      <c r="V13">
        <v>0.39999999899999999</v>
      </c>
      <c r="W13">
        <v>0.39999999899999999</v>
      </c>
      <c r="X13">
        <v>0.39999999899999999</v>
      </c>
      <c r="Y13">
        <v>0.29999999970000002</v>
      </c>
      <c r="Z13">
        <v>0.29999999970000002</v>
      </c>
      <c r="AA13">
        <v>0.39999999899999999</v>
      </c>
      <c r="AB13">
        <v>0.39999999899999999</v>
      </c>
      <c r="AC13">
        <v>0.50000000010000001</v>
      </c>
      <c r="AD13">
        <v>0.50000000010000001</v>
      </c>
      <c r="AE13">
        <v>0.59999999940000004</v>
      </c>
      <c r="AF13">
        <v>0.50000000010000001</v>
      </c>
      <c r="AG13">
        <v>0.59999999940000004</v>
      </c>
      <c r="AH13">
        <v>0.59999999940000004</v>
      </c>
      <c r="AI13">
        <v>0.7000000005</v>
      </c>
      <c r="AJ13">
        <v>1.0000000002</v>
      </c>
      <c r="AK13">
        <v>2.0999999997000001</v>
      </c>
      <c r="AL13">
        <v>4.6999999995000001</v>
      </c>
      <c r="AM13">
        <v>10.5000000003</v>
      </c>
      <c r="AN13">
        <v>17.499999999900002</v>
      </c>
      <c r="AO13">
        <v>24.9999999996</v>
      </c>
      <c r="AP13">
        <v>33.299999999100002</v>
      </c>
      <c r="AQ13">
        <v>41.299999999000001</v>
      </c>
      <c r="AR13">
        <v>49.699999999600003</v>
      </c>
      <c r="AS13">
        <v>58.100000000199998</v>
      </c>
      <c r="AT13">
        <v>66.499999998999996</v>
      </c>
      <c r="AU13">
        <v>74.699999999200003</v>
      </c>
      <c r="AV13">
        <v>83.500000000599996</v>
      </c>
      <c r="AW13">
        <v>92.699999999200003</v>
      </c>
      <c r="AX13">
        <v>102.6000000002</v>
      </c>
      <c r="AY13">
        <v>111.9999999992</v>
      </c>
      <c r="AZ13">
        <v>120.6000000002</v>
      </c>
      <c r="BA13">
        <v>129.30000000050001</v>
      </c>
      <c r="BB13">
        <v>138.30000000050001</v>
      </c>
      <c r="BC13">
        <v>147.4999999991</v>
      </c>
      <c r="BD13">
        <v>156.60000000030001</v>
      </c>
      <c r="BE13">
        <v>165.49999999920001</v>
      </c>
      <c r="BF13">
        <v>174.19999999949999</v>
      </c>
      <c r="BG13">
        <v>182.9999999991</v>
      </c>
      <c r="BH13">
        <v>192.1000000002</v>
      </c>
      <c r="BI13">
        <v>201.30000000059999</v>
      </c>
      <c r="BJ13">
        <v>209.9999999991</v>
      </c>
      <c r="BK13">
        <v>218.80000000059999</v>
      </c>
      <c r="BL13">
        <v>227.4999999991</v>
      </c>
      <c r="BM13">
        <v>236.19999999940001</v>
      </c>
      <c r="BN13">
        <v>245.10000000010001</v>
      </c>
      <c r="BO13">
        <v>253.89999999969999</v>
      </c>
      <c r="BP13">
        <v>262.49999999890002</v>
      </c>
      <c r="BQ13">
        <v>271.00000000059998</v>
      </c>
      <c r="BR13">
        <v>279.3000000001</v>
      </c>
      <c r="BS13">
        <v>287.69999999890001</v>
      </c>
      <c r="BT13">
        <v>296.39999999930001</v>
      </c>
      <c r="BU13">
        <v>304.89999999920002</v>
      </c>
      <c r="BV13">
        <v>313.09999999939998</v>
      </c>
      <c r="BW13">
        <v>321.09999999920001</v>
      </c>
      <c r="BX13">
        <v>329.09999999899998</v>
      </c>
      <c r="BY13">
        <v>336.90000000020001</v>
      </c>
      <c r="BZ13">
        <v>344.99999999929997</v>
      </c>
      <c r="CA13">
        <v>352.89999999989999</v>
      </c>
      <c r="CB13">
        <v>360.99999999900001</v>
      </c>
      <c r="CC13">
        <v>368.3000000001</v>
      </c>
      <c r="CD13">
        <v>375.70000000049998</v>
      </c>
      <c r="CE13">
        <v>382.79999999939997</v>
      </c>
      <c r="CF13">
        <v>389.99999999940002</v>
      </c>
      <c r="CG13">
        <v>397.30000000050001</v>
      </c>
      <c r="CH13">
        <v>404.50000000059998</v>
      </c>
      <c r="CI13">
        <v>411.89999999920002</v>
      </c>
      <c r="CJ13">
        <v>418.90000000060002</v>
      </c>
      <c r="CK13">
        <v>425.49999999940002</v>
      </c>
      <c r="CL13">
        <v>431.80000000029997</v>
      </c>
      <c r="CM13">
        <v>438.00000000009999</v>
      </c>
      <c r="CN13">
        <v>444.2999999992</v>
      </c>
      <c r="CO13">
        <v>449.89999999960003</v>
      </c>
      <c r="CP13">
        <v>453.7</v>
      </c>
      <c r="CQ13">
        <v>454.49999999980002</v>
      </c>
      <c r="CR13">
        <v>454.40000000049997</v>
      </c>
      <c r="CS13">
        <v>454.40000000049997</v>
      </c>
      <c r="CT13">
        <v>454.40000000049997</v>
      </c>
      <c r="CU13">
        <v>454.40000000049997</v>
      </c>
      <c r="CV13">
        <v>454.40000000049997</v>
      </c>
      <c r="CW13">
        <v>454.29999999939997</v>
      </c>
      <c r="CX13">
        <v>454.29999999939997</v>
      </c>
      <c r="CY13">
        <v>454.29999999939997</v>
      </c>
      <c r="CZ13">
        <v>454.29999999939997</v>
      </c>
      <c r="DA13">
        <v>454.29999999939997</v>
      </c>
      <c r="DB13">
        <v>454.29999999939997</v>
      </c>
      <c r="DC13">
        <v>454.29999999939997</v>
      </c>
      <c r="DD13">
        <v>454.20000000009998</v>
      </c>
      <c r="DE13">
        <v>454.29999999939997</v>
      </c>
      <c r="DF13">
        <v>454.20000000009998</v>
      </c>
      <c r="DG13">
        <v>0.7000000005</v>
      </c>
      <c r="DH13">
        <v>1.0999999995</v>
      </c>
      <c r="DI13">
        <v>1.0999999995</v>
      </c>
      <c r="DJ13">
        <v>1.0999999995</v>
      </c>
      <c r="DK13">
        <v>1.0999999995</v>
      </c>
      <c r="DL13">
        <v>1.0999999995</v>
      </c>
      <c r="DM13">
        <v>1.2000000006</v>
      </c>
      <c r="DN13">
        <v>1.2000000006</v>
      </c>
      <c r="DO13">
        <v>1.2999999999</v>
      </c>
      <c r="DP13">
        <v>1.2000000006</v>
      </c>
      <c r="DQ13">
        <v>1.2000000006</v>
      </c>
      <c r="DR13">
        <v>1.2999999999</v>
      </c>
      <c r="DS13">
        <v>1.2999999999</v>
      </c>
      <c r="DT13">
        <v>1.2999999999</v>
      </c>
      <c r="DU13">
        <v>1.2999999999</v>
      </c>
      <c r="DV13">
        <v>1.2999999999</v>
      </c>
      <c r="DW13">
        <v>1.2999999999</v>
      </c>
      <c r="DX13">
        <v>1.5999999996000001</v>
      </c>
      <c r="DY13">
        <v>2.8000000001999998</v>
      </c>
      <c r="DZ13">
        <v>6.6999999999000002</v>
      </c>
      <c r="EA13">
        <v>13.3999999998</v>
      </c>
      <c r="EB13">
        <v>20.500000000499998</v>
      </c>
      <c r="EC13">
        <v>28.0000000002</v>
      </c>
      <c r="ED13">
        <v>35.8999999989</v>
      </c>
      <c r="EE13">
        <v>43.999999999899998</v>
      </c>
      <c r="EF13">
        <v>52.200000000099998</v>
      </c>
      <c r="EG13">
        <v>60.400000000299997</v>
      </c>
      <c r="EH13">
        <v>68.499999999400004</v>
      </c>
      <c r="EI13">
        <v>76.6000000003</v>
      </c>
      <c r="EJ13">
        <v>85.300000000599994</v>
      </c>
      <c r="EK13">
        <v>94.1000000003</v>
      </c>
      <c r="EL13">
        <v>103.4999999993</v>
      </c>
      <c r="EM13">
        <v>113.1999999998</v>
      </c>
      <c r="EN13">
        <v>122.1999999998</v>
      </c>
      <c r="EO13">
        <v>130.6999999997</v>
      </c>
      <c r="EP13">
        <v>139.90000000009999</v>
      </c>
      <c r="EQ13">
        <v>149.10000000049999</v>
      </c>
      <c r="ER13">
        <v>158.1999999999</v>
      </c>
      <c r="ES13">
        <v>167.10000000060001</v>
      </c>
      <c r="ET13">
        <v>175.99999999950001</v>
      </c>
      <c r="EU13">
        <v>184.99999999950001</v>
      </c>
      <c r="EV13">
        <v>194.2999999992</v>
      </c>
      <c r="EW13">
        <v>203.59999999889999</v>
      </c>
      <c r="EX13">
        <v>212.59999999889999</v>
      </c>
      <c r="EY13">
        <v>221.40000000040001</v>
      </c>
      <c r="EZ13">
        <v>230.40000000040001</v>
      </c>
      <c r="FA13">
        <v>239.40000000040001</v>
      </c>
      <c r="FB13">
        <v>248.49999999970001</v>
      </c>
      <c r="FC13">
        <v>257.49999999969998</v>
      </c>
      <c r="FD13">
        <v>266.29999999929998</v>
      </c>
      <c r="FE13">
        <v>274.99999999959999</v>
      </c>
      <c r="FF13">
        <v>283.7</v>
      </c>
      <c r="FG13">
        <v>292.49999999959999</v>
      </c>
      <c r="FH13">
        <v>301.4000000003</v>
      </c>
      <c r="FI13">
        <v>310.2999999992</v>
      </c>
      <c r="FJ13">
        <v>318.60000000050002</v>
      </c>
      <c r="FK13">
        <v>326.60000000029999</v>
      </c>
      <c r="FL13">
        <v>334.80000000050001</v>
      </c>
      <c r="FM13">
        <v>343.1</v>
      </c>
      <c r="FN13">
        <v>351.39999999960003</v>
      </c>
      <c r="FO13">
        <v>359.59999999979999</v>
      </c>
      <c r="FP13">
        <v>367.59999999960002</v>
      </c>
      <c r="FQ13">
        <v>375.0999999993</v>
      </c>
      <c r="FR13">
        <v>382.59999999899998</v>
      </c>
      <c r="FS13">
        <v>389.90000000010002</v>
      </c>
      <c r="FT13">
        <v>397.4999999991</v>
      </c>
      <c r="FU13">
        <v>405.09999999989998</v>
      </c>
      <c r="FV13">
        <v>412.50000000040001</v>
      </c>
      <c r="FW13">
        <v>419.09999999920001</v>
      </c>
      <c r="FX13">
        <v>425.19999999970003</v>
      </c>
      <c r="FY13">
        <v>431.59999999989998</v>
      </c>
      <c r="FZ13">
        <v>437.5</v>
      </c>
      <c r="GA13">
        <v>443.10000000039997</v>
      </c>
      <c r="GB13">
        <v>448.09999999960002</v>
      </c>
      <c r="GC13">
        <v>452.29999999900002</v>
      </c>
      <c r="GD13">
        <v>454.29999999939997</v>
      </c>
      <c r="GE13">
        <v>454.29999999939997</v>
      </c>
      <c r="GF13">
        <v>454.40000000049997</v>
      </c>
      <c r="GG13">
        <v>454.29999999939997</v>
      </c>
      <c r="GH13">
        <v>454.29999999939997</v>
      </c>
      <c r="GI13">
        <v>454.29999999939997</v>
      </c>
      <c r="GJ13">
        <v>454.29999999939997</v>
      </c>
      <c r="GK13">
        <v>454.29999999939997</v>
      </c>
      <c r="GL13">
        <v>454.29999999939997</v>
      </c>
      <c r="GM13">
        <v>454.29999999939997</v>
      </c>
      <c r="GN13">
        <v>454.20000000009998</v>
      </c>
      <c r="GO13">
        <v>454.20000000009998</v>
      </c>
      <c r="GP13">
        <v>454.20000000009998</v>
      </c>
      <c r="GQ13">
        <v>454.20000000009998</v>
      </c>
      <c r="GR13">
        <v>454.09999999899998</v>
      </c>
      <c r="GS13">
        <v>454.20000000009998</v>
      </c>
      <c r="GT13">
        <v>454.20000000009998</v>
      </c>
      <c r="GU13">
        <v>454.20000000009998</v>
      </c>
      <c r="GV13">
        <v>454.20000000009998</v>
      </c>
      <c r="GW13">
        <v>1</v>
      </c>
      <c r="GX13">
        <v>101.09999999990001</v>
      </c>
      <c r="GY13">
        <v>92.699999999200003</v>
      </c>
      <c r="GZ13">
        <v>92.699999999200003</v>
      </c>
      <c r="HA13">
        <v>113.1999999998</v>
      </c>
      <c r="HB13">
        <v>97.344531249300005</v>
      </c>
      <c r="HC13">
        <v>-20.500000000499998</v>
      </c>
      <c r="HD13">
        <v>454.20000000009998</v>
      </c>
      <c r="HE13">
        <v>326.05378521170002</v>
      </c>
      <c r="HF13">
        <v>78.763369277699994</v>
      </c>
      <c r="HG13">
        <v>454.49999999980002</v>
      </c>
      <c r="HH13">
        <v>454.39946082799997</v>
      </c>
      <c r="HI13">
        <v>454.49999999980002</v>
      </c>
      <c r="HJ13">
        <v>454.40000000049997</v>
      </c>
      <c r="HK13">
        <v>100.87976539589999</v>
      </c>
      <c r="HL13">
        <v>3.8473453502999999</v>
      </c>
      <c r="HM13">
        <v>3.6273570535999999</v>
      </c>
      <c r="HN13">
        <v>3.6984929592000002</v>
      </c>
      <c r="HO13">
        <v>3.6368887318000001</v>
      </c>
      <c r="HP13">
        <v>3.9324022179</v>
      </c>
      <c r="HQ13">
        <v>3.0027532287000001</v>
      </c>
      <c r="HR13">
        <v>18.581161971699999</v>
      </c>
      <c r="HS13">
        <v>-21.114369501500001</v>
      </c>
      <c r="HT13">
        <v>-144</v>
      </c>
      <c r="HU13">
        <v>423.39831646099998</v>
      </c>
      <c r="HV13">
        <v>86.803519061599999</v>
      </c>
      <c r="HW13">
        <v>592</v>
      </c>
      <c r="HX13">
        <v>18.581161971699999</v>
      </c>
      <c r="HY13">
        <v>-21.114369501500001</v>
      </c>
      <c r="HZ13">
        <v>-144</v>
      </c>
      <c r="IA13">
        <v>423.39831646099998</v>
      </c>
      <c r="IB13">
        <v>86.803519061599999</v>
      </c>
      <c r="IC13">
        <v>592</v>
      </c>
      <c r="ID13">
        <v>31.001144366999998</v>
      </c>
      <c r="IE13">
        <v>1.0482944543999999</v>
      </c>
      <c r="IF13">
        <v>-30.4985337243</v>
      </c>
      <c r="IG13">
        <v>-208</v>
      </c>
      <c r="IH13">
        <v>447.58165712990001</v>
      </c>
      <c r="II13">
        <v>96.187683284499997</v>
      </c>
      <c r="IJ13">
        <v>656</v>
      </c>
      <c r="IK13">
        <v>404.81715448940002</v>
      </c>
      <c r="IL13">
        <v>107.91788856300001</v>
      </c>
      <c r="IM13">
        <v>431.28943662019998</v>
      </c>
      <c r="IN13">
        <v>117.3020527859</v>
      </c>
      <c r="IO13">
        <v>7.4999999997</v>
      </c>
      <c r="IP13">
        <v>6.2999999990999997</v>
      </c>
      <c r="IQ13">
        <v>9.9000000009000004</v>
      </c>
      <c r="IR13">
        <v>3.5238008302999999</v>
      </c>
      <c r="IS13">
        <v>3.5238008302999999</v>
      </c>
      <c r="IT13">
        <v>18.399999998999998</v>
      </c>
      <c r="IU13">
        <v>-21.114369501500001</v>
      </c>
      <c r="IV13">
        <v>22.699999999500001</v>
      </c>
      <c r="IW13">
        <v>65.689149560100006</v>
      </c>
      <c r="IX13">
        <v>16.299999999299999</v>
      </c>
      <c r="IY13">
        <v>96.187683284499997</v>
      </c>
      <c r="IZ13">
        <v>-26.107794389599999</v>
      </c>
      <c r="JA13">
        <v>0.28396776169999999</v>
      </c>
      <c r="JB13">
        <v>-2.069815E-4</v>
      </c>
      <c r="JC13">
        <v>3.8809999999999999E-7</v>
      </c>
      <c r="JD13">
        <v>0.25991947929999998</v>
      </c>
      <c r="JE13">
        <v>0.32610552590000003</v>
      </c>
      <c r="JF13">
        <v>0.1150121202</v>
      </c>
      <c r="JG13">
        <v>97.822854517600007</v>
      </c>
      <c r="JH13">
        <v>3.9324022179</v>
      </c>
      <c r="JI13">
        <v>4.581066E-3</v>
      </c>
      <c r="JJ13">
        <v>-7.6310000000000006E-5</v>
      </c>
      <c r="JK13">
        <v>3.8473453502999999</v>
      </c>
      <c r="JL13">
        <v>1.1770931842000001</v>
      </c>
      <c r="JM13">
        <v>0.3916306309</v>
      </c>
      <c r="JN13" t="s">
        <v>547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71.161742440799998</v>
      </c>
      <c r="D16" s="9">
        <f>AVERAGE(C18:C20)</f>
        <v>66.854791304533322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71.839567079299997</v>
      </c>
      <c r="D17" s="9">
        <f>AVERAGE(C21:C23)</f>
        <v>70.781772467700009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60.050171494799997</v>
      </c>
      <c r="D18" s="11">
        <f>AVERAGE(C24:C26)</f>
        <v>70.44670452616667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68.869754760399999</v>
      </c>
      <c r="D19" s="6">
        <f>AVERAGE('Summary(3pcs)'!E34:E35)</f>
        <v>156.0901417374379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71.644447658399997</v>
      </c>
      <c r="D20" s="9">
        <f>AVERAGE('Summary(3pcs)'!E36:E38)</f>
        <v>155.38416738130459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72.127213591599997</v>
      </c>
      <c r="D21" s="9">
        <f>AVERAGE('Summary(3pcs)'!E39:E41)</f>
        <v>158.52857232637126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70.643687231000001</v>
      </c>
      <c r="D22" s="11">
        <f>AVERAGE('Summary(3pcs)'!E42:E44)</f>
        <v>155.9783672526379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69.574416580499999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65.865232836999994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69.115018014599997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76.359862726900005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-8.8543386296000008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-2.7962439691999998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2.5467828450000001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3.9201816376999998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3.9868204040999999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-1.7321063138999999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5.2431820449000002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-3.5310181556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-1.2959045290250002</v>
      </c>
      <c r="C39" s="5">
        <f>'Summary(3pcs)'!M34</f>
        <v>-8.8543386296000008</v>
      </c>
      <c r="D39" s="11">
        <f t="shared" si="0"/>
        <v>-2.3218715888000001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-2.7962439691999998</v>
      </c>
      <c r="D40" s="6">
        <f t="shared" si="0"/>
        <v>2.2573218337999998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2.5467828450000001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3.9201816376999998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0.99171949487500011</v>
      </c>
      <c r="C43" s="8">
        <f>'Summary(3pcs)'!M39</f>
        <v>3.9868204040999999</v>
      </c>
      <c r="D43" s="6">
        <f t="shared" ref="D43:D54" si="2">C55</f>
        <v>0.96117820519999997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-1.7321063138999999</v>
      </c>
      <c r="D44" s="9">
        <f t="shared" si="2"/>
        <v>9.8336135035000005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5.2431820449000002</v>
      </c>
      <c r="D45" s="11">
        <f t="shared" si="2"/>
        <v>1.7937602310999998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-3.5310181556</v>
      </c>
      <c r="D46" s="6">
        <f t="shared" si="2"/>
        <v>-6.0016441103999991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-2.3218715888000001</v>
      </c>
      <c r="D47" s="9">
        <f t="shared" si="2"/>
        <v>-0.14088498669999971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2.2573218337999998</v>
      </c>
      <c r="D48" s="11">
        <f t="shared" si="2"/>
        <v>1.2801060325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15.1345839384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7.1017579982000001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8.3233708453999995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8.4369117373000009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1.6467269573500003</v>
      </c>
      <c r="C55" s="5">
        <f>'Summary(3pcs)'!N34</f>
        <v>0.96117820519999997</v>
      </c>
      <c r="D55" s="6">
        <f>AVERAGE(D31:D33)</f>
        <v>-3.0345999179333334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9.8336135035000005</v>
      </c>
      <c r="D56" s="9">
        <f>AVERAGE(D34:D36)</f>
        <v>2.0582985759666665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1.7937602310999998</v>
      </c>
      <c r="D57" s="9">
        <f>AVERAGE(D37:D39)</f>
        <v>-0.20323589983333332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-6.0016441103999991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5.8438907456000004</v>
      </c>
      <c r="C59" s="8">
        <f>'Summary(3pcs)'!N39</f>
        <v>-0.14088498669999971</v>
      </c>
      <c r="D59" s="9">
        <f>AVERAGE(D43:D45)</f>
        <v>4.1961839799333331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1.2801060325</v>
      </c>
      <c r="D60" s="9">
        <f>AVERAGE(D46:D48)</f>
        <v>-1.6208076881999995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15.1345839384</v>
      </c>
      <c r="D61" s="9">
        <f>AVERAGE(D49:D51)</f>
        <v>10.186570927333333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7.1017579982000001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8.3233708453999995</v>
      </c>
      <c r="D63" s="6">
        <f>AVERAGE(C71:C73)</f>
        <v>2.8602137565333337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8.4369117373000009</v>
      </c>
      <c r="D64" s="9">
        <f>AVERAGE(C74:C76)</f>
        <v>-3.9987969398666672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3.4124428431333338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-2.2378945747999999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2.7872516910333331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-0.28440070153333313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-0.19272828103333342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-1.5167738994000002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5.0177259445000004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-4.7733817100999998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8.3362970351999994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-2.2868185043000002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1.8326425551999996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-11.542214870500001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0.65515136720000022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2.8587703705000003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6.7234067917000004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-3.0768407582999999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-1.3005864620000001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-2.3362565041000001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-2.1654666065999999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1.3446235657000001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9.1825981139999993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-4.3696672915999999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1.4494218826000003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2.0670433044000003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-0.93225884440000018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1.8485555648999998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-1.4944815636</v>
      </c>
    </row>
    <row r="96" spans="1:7">
      <c r="A96" s="1" t="s">
        <v>87</v>
      </c>
      <c r="C96" s="5">
        <f>'Summary(3pcs)'!W43</f>
        <v>-1.4859246016000001</v>
      </c>
    </row>
    <row r="97" spans="1:3">
      <c r="A97" s="1" t="s">
        <v>87</v>
      </c>
      <c r="C97" s="8">
        <f>'Summary(3pcs)'!W44</f>
        <v>1.3978366851999997</v>
      </c>
    </row>
    <row r="98" spans="1:3" ht="17.25" thickBot="1">
      <c r="A98" s="1" t="s">
        <v>87</v>
      </c>
      <c r="C98" s="10">
        <f>'Summary(3pcs)'!W45</f>
        <v>-4.4622337818000002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