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<sst xmlns="http://schemas.openxmlformats.org/spreadsheetml/2006/main" count="1419" uniqueCount="671">
  <si>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</si>
  <si>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</si>
  <si>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</si>
  <si>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</si>
  <si>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</si>
  <si>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</si>
  <si>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</si>
  <si>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</si>
  <si>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</si>
  <si>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</si>
  <si>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</si>
  <si>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</si>
  <si>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</si>
  <si>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</si>
  <si>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</si>
  <si>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</si>
  <si>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</si>
  <si>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</si>
  <si>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</si>
  <si>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</si>
  <si>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</si>
  <si>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</si>
  <si>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</si>
  <si>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</si>
  <si>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</si>
  <si>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</si>
  <si>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</si>
  <si>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</si>
  <si>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</si>
  <si>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</si>
  <si>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</si>
  <si>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</si>
  <si>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</si>
  <si>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</si>
  <si>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</si>
  <si>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</si>
  <si>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</si>
  <si>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</si>
  <si>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</si>
  <si>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</si>
  <si>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</si>
  <si>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</si>
  <si>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</si>
  <si>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</si>
  <si>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</si>
  <si>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</si>
  <si>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</si>
  <si>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</si>
  <si>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</si>
  <si>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</si>
  <si>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</si>
  <si>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</si>
  <si>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</si>
  <si>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</si>
  <si>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</si>
  <si>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</si>
  <si>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</si>
  <si>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</si>
  <si>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</si>
  <si>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</si>
  <si>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</si>
  <si>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</si>
  <si>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</si>
  <si>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</si>
  <si>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</si>
  <si>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</si>
  <si>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</si>
  <si>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</si>
  <si>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</si>
  <si>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</si>
  <si>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</si>
  <si>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</si>
  <si>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</si>
  <si>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</si>
  <si>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</si>
  <si>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</si>
  <si>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</si>
  <si>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</si>
  <si>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</si>
  <si>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</si>
  <si>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</si>
  <si>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</si>
  <si>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</si>
  <si>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</si>
  <si>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</si>
  <si>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</si>
  <si>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</si>
  <si>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</si>
  <si>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</si>
  <si>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</si>
  <si>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</si>
  <si>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</si>
  <si>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</si>
  <si>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</si>
  <si>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</si>
  <si>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</si>
  <si>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</si>
  <si>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</si>
  <si>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</si>
  <si>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</si>
  <si>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</si>
  <si>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</si>
  <si>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</si>
  <si>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</si>
  <si>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</si>
  <si>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</si>
  <si>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</si>
  <si>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</si>
  <si>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</si>
  <si>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</si>
  <si>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</si>
  <si>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</si>
  <si>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</si>
  <si>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</si>
  <si>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</si>
  <si>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</si>
  <si>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</si>
  <si>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</si>
  <si>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</si>
  <si>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</si>
  <si>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</si>
  <si>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</si>
  <si>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</si>
  <si>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</si>
  <si>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</si>
  <si>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</si>
  <si>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</si>
  <si>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</si>
  <si>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</si>
  <si>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</si>
  <si>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</si>
  <si>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</si>
  <si>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</si>
  <si>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</si>
  <si>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</si>
  <si>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</si>
  <si>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</si>
  <si>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</si>
  <si>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</si>
  <si>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</si>
  <si>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</si>
  <si>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</si>
  <si>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</si>
  <si>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</si>
  <si>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</si>
  <si>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</si>
  <si>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</si>
  <si>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</si>
  <si>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</si>
  <si>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</si>
  <si>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</si>
  <si>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</si>
  <si>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</si>
  <si>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</si>
  <si>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</si>
  <si>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</si>
  <si>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</si>
  <si>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</si>
  <si>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</si>
  <si>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</si>
  <si>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</si>
  <si>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</si>
  <si>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</si>
  <si>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</si>
  <si>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</si>
  <si>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</si>
  <si>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</si>
  <si>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</si>
  <si>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</si>
  <si>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</si>
  <si>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</si>
  <si>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</si>
  <si>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VSY832ZN9P13_2022092319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</si>
  <si>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</si>
  <si>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</si>
  <si>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</si>
  <si>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</si>
  <si>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</si>
  <si>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</si>
  <si>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</si>
  <si>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</si>
  <si>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</si>
  <si>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</si>
  <si>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</si>
  <si>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</si>
  <si>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</si>
  <si>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</si>
  <si>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</si>
  <si>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</si>
  <si>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</si>
  <si>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</si>
  <si>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</si>
  <si>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</si>
  <si>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</si>
  <si>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</si>
  <si>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</si>
  <si>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</si>
  <si>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</si>
  <si>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</si>
  <si>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</si>
  <si>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</si>
  <si>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</si>
  <si>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</si>
  <si>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</si>
  <si>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</si>
  <si>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</si>
  <si>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</si>
  <si>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</si>
  <si>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</si>
  <si>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T220923194049711VCMLEBC060</t>
  </si>
  <si>
    <t>'2022-09-23 19:40:58:569</t>
  </si>
  <si>
    <t>VCMLEBC060A</t>
  </si>
  <si>
    <t>DB_C1001</t>
  </si>
  <si>
    <t>210615ADOE</t>
  </si>
  <si>
    <t>R13A_OC_MFG_C10_21091603_b1779c9</t>
  </si>
  <si>
    <t xml:space="preserve"> VSY832ZN9P13</t>
  </si>
  <si>
    <t>22cb63240939</t>
  </si>
  <si>
    <t>0x5240fc6262803e03</t>
  </si>
  <si>
    <t>AS4C35419297A5B29432044022</t>
  </si>
  <si>
    <t>AJ9C34744127F3B3A628</t>
  </si>
  <si>
    <t>DNA22225073520L09A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</si>
  <si>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</si>
  <si>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</si>
  <si>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</si>
  <si>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</si>
  <si>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</si>
  <si>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</si>
  <si>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T220923194156090VCMLEBC060</t>
  </si>
  <si>
    <t>'2022-09-23 19:42:04:871</t>
  </si>
  <si>
    <t>22cb63230659</t>
  </si>
  <si>
    <t>0x5240fe6281f83301</t>
  </si>
  <si>
    <t>AS2C3530C4C5A7B2A842011014</t>
  </si>
  <si>
    <t>AJ7C3473017MB3B3A627</t>
  </si>
  <si>
    <t>DNA22233045510M13A</t>
  </si>
  <si>
    <t>T220923194302998VCMLEBC060</t>
  </si>
  <si>
    <t>'2022-09-23 19:43:12:227</t>
  </si>
  <si>
    <t>22cb63240219</t>
  </si>
  <si>
    <t>0x5240fe627dee6507</t>
  </si>
  <si>
    <t>AS2C3530A4B7A7B2A837104015</t>
  </si>
  <si>
    <t>AJ7C3472F185B1B3A650</t>
  </si>
  <si>
    <t>DNA22233040730H05A</t>
  </si>
  <si>
    <t>T220923194408227VCMLEBC060</t>
  </si>
  <si>
    <t>'2022-09-23 19:44:17:413</t>
  </si>
  <si>
    <t>22cb63240342</t>
  </si>
  <si>
    <t>0x5240f561e95ca807</t>
  </si>
  <si>
    <t>AS4C3541A29JA5B2A245038020</t>
  </si>
  <si>
    <t>AJ9C3474511PF1B3A622</t>
  </si>
  <si>
    <t>DNA22225073520K14A</t>
  </si>
  <si>
    <t>T220923194514816VCMLEBC060</t>
  </si>
  <si>
    <t>'2022-09-23 19:45:23:679</t>
  </si>
  <si>
    <t>22cb63240665</t>
  </si>
  <si>
    <t>0x5240f5626aed4e05</t>
  </si>
  <si>
    <t>AS4C3541B29DA5B29534013003</t>
  </si>
  <si>
    <t>AJ9C3474511MF3B3A633</t>
  </si>
  <si>
    <t>DNA22225073520L13A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</si>
  <si>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</si>
  <si>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</si>
  <si>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</si>
  <si>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</si>
  <si>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</si>
  <si>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</si>
  <si>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</si>
  <si>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</si>
  <si>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</si>
  <si>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</si>
  <si>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</si>
  <si>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</si>
  <si>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</si>
  <si>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</si>
  <si>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</si>
  <si>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</si>
  <si>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</si>
  <si>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</si>
  <si>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</si>
  <si>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</si>
  <si>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</si>
  <si>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</si>
  <si>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</si>
  <si>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</si>
  <si>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</si>
  <si>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</si>
  <si>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</si>
  <si>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</si>
  <si>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</si>
  <si>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</si>
  <si>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</si>
  <si>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T220923194116026VCMLEBC060</t>
  </si>
  <si>
    <t>'2022-09-23 19:41:47:233</t>
  </si>
  <si>
    <t>R13A_IPQC_MFG_SFR_InfDn_C10_21090805_b1779c9</t>
  </si>
  <si>
    <t>D6x_Wide</t>
  </si>
  <si>
    <t>Normal</t>
  </si>
  <si>
    <t>T220923194222264VCMLEBC060</t>
  </si>
  <si>
    <t>'2022-09-23 19:42:52:523</t>
  </si>
  <si>
    <t>T220923194329723VCMLEBC060</t>
  </si>
  <si>
    <t>'2022-09-23 19:43:59:862</t>
  </si>
  <si>
    <t>T220923194434856VCMLEBC060</t>
  </si>
  <si>
    <t>'2022-09-23 19:45:05:191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</si>
  <si>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</si>
  <si>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</si>
  <si>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</si>
  <si>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</si>
  <si>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</si>
  <si>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</si>
  <si>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</si>
  <si>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</si>
  <si>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</si>
  <si>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</si>
  <si>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</si>
  <si>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</si>
  <si>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</si>
  <si>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19:41:37:201</t>
  </si>
  <si>
    <t>'2022-09-23 19:42:42:488</t>
  </si>
  <si>
    <t>'2022-09-23 19:43:49:836</t>
  </si>
  <si>
    <t>'2022-09-23 19:44:55:160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</si>
  <si>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</si>
  <si>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</si>
  <si>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</si>
  <si>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</si>
  <si>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</si>
  <si>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</si>
  <si>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</si>
  <si>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</si>
  <si>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</si>
  <si>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</si>
  <si>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</si>
  <si>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</si>
  <si>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</si>
  <si>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</si>
  <si>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</si>
  <si>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</si>
  <si>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</si>
  <si>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</si>
  <si>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</si>
  <si>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</si>
  <si>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</si>
  <si>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</si>
  <si>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</si>
  <si>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</si>
  <si>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</si>
  <si>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</si>
  <si>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</si>
  <si>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</si>
  <si>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</si>
  <si>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</si>
  <si>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</si>
  <si>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</si>
  <si>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</si>
  <si>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</si>
  <si>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</si>
  <si>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</si>
  <si>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</si>
  <si>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</si>
  <si>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</si>
  <si>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</si>
  <si>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</si>
  <si>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</si>
  <si>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</si>
  <si>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</si>
  <si>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</si>
  <si>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</si>
  <si>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</si>
  <si>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</si>
  <si>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</si>
  <si>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</si>
  <si>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</si>
  <si>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</si>
  <si>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</si>
  <si>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</si>
  <si>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</si>
  <si>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</si>
  <si>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</si>
  <si>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</si>
  <si>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</si>
  <si>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</si>
  <si>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</si>
  <si>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</si>
  <si>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</si>
  <si>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</si>
  <si>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</si>
  <si>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</si>
  <si>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</si>
  <si>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</si>
  <si>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</si>
  <si>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</si>
  <si>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</si>
  <si>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</si>
  <si>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</si>
  <si>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</si>
  <si>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</si>
  <si>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</si>
  <si>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</si>
  <si>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</si>
  <si>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</si>
  <si>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</si>
  <si>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</si>
  <si>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</si>
  <si>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</si>
  <si>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</si>
  <si>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</si>
  <si>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</si>
  <si>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</si>
  <si>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</si>
  <si>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</si>
  <si>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</si>
  <si>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</si>
  <si>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</si>
  <si>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</si>
  <si>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</si>
  <si>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</si>
  <si>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</si>
  <si>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</si>
  <si>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</si>
  <si>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</si>
  <si>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</si>
  <si>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</si>
  <si>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</si>
  <si>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</si>
  <si>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</si>
  <si>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</si>
  <si>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</si>
  <si>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</si>
  <si>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</si>
  <si>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</si>
  <si>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</si>
  <si>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</si>
  <si>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</si>
  <si>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</si>
  <si>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</si>
  <si>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</si>
  <si>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</si>
  <si>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</si>
  <si>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</si>
  <si>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</si>
  <si>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</si>
  <si>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</si>
  <si>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</si>
  <si>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</si>
  <si>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</si>
  <si>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</si>
  <si>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</si>
  <si>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</si>
  <si>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</si>
  <si>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</si>
  <si>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</si>
  <si>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</si>
  <si>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</si>
  <si>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</si>
  <si>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</si>
  <si>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</si>
  <si>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</si>
  <si>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</si>
  <si>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</si>
  <si>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</si>
  <si>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</si>
  <si>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</si>
  <si>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</si>
  <si>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</si>
  <si>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</si>
  <si>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</si>
  <si>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</si>
  <si>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</si>
  <si>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</si>
  <si>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</si>
  <si>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</si>
  <si>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</si>
  <si>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</si>
  <si>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</si>
  <si>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</si>
  <si>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</si>
  <si>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</si>
  <si>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</si>
  <si>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</si>
  <si>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</si>
  <si>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</si>
  <si>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</si>
  <si>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</si>
  <si>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</si>
  <si>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</si>
  <si>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</si>
  <si>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</si>
  <si>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</si>
  <si>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</si>
  <si>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</si>
  <si>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</si>
  <si>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</si>
  <si>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</si>
  <si>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</si>
  <si>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</si>
  <si>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</si>
  <si>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</si>
  <si>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</si>
  <si>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</si>
  <si>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</si>
  <si>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</si>
  <si>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</si>
  <si>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</si>
  <si>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</si>
  <si>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</si>
  <si>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</si>
  <si>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</si>
  <si>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</si>
  <si>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</si>
  <si>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</si>
  <si>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</si>
  <si>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</si>
  <si>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</si>
  <si>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</si>
  <si>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</si>
  <si>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</si>
  <si>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</si>
  <si>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</si>
  <si>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</si>
  <si>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</si>
  <si>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</si>
  <si>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</si>
  <si>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</si>
  <si>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</si>
  <si>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</si>
  <si>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</si>
  <si>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</si>
  <si>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</si>
  <si>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</si>
  <si>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</si>
  <si>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</si>
  <si>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</si>
  <si>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</si>
  <si>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</si>
  <si>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</si>
  <si>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</si>
  <si>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</si>
  <si>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</si>
  <si>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</si>
  <si>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</si>
  <si>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</si>
  <si>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</si>
  <si>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</si>
  <si>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</si>
  <si>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</si>
  <si>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</si>
  <si>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</si>
  <si>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</si>
  <si>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</si>
  <si>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</si>
  <si>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</si>
  <si>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</si>
  <si>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</si>
  <si>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</si>
  <si>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</si>
  <si>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</si>
  <si>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</si>
  <si>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</si>
  <si>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</si>
  <si>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</si>
  <si>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</si>
  <si>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</si>
  <si>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</si>
  <si>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</si>
  <si>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</si>
  <si>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</si>
  <si>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</si>
  <si>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</si>
  <si>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</si>
  <si>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</si>
  <si>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</si>
  <si>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</si>
  <si>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</si>
  <si>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</si>
  <si>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</si>
  <si>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</si>
  <si>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</si>
  <si>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</si>
  <si>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T220923194101219VCMLEBC060</t>
  </si>
  <si>
    <t>'2022-09-23 19:41:13:756</t>
  </si>
  <si>
    <t>R13A_IPQC_MFG_Laser_C10_21090805_b1779c9</t>
  </si>
  <si>
    <t>v9p4</t>
  </si>
  <si>
    <t>T220923194207501VCMLEBC060</t>
  </si>
  <si>
    <t>'2022-09-23 19:42:20:034</t>
  </si>
  <si>
    <t>T220923194314960VCMLEBC060</t>
  </si>
  <si>
    <t>'2022-09-23 19:43:27:498</t>
  </si>
  <si>
    <t>T220923194420096VCMLEBC060</t>
  </si>
  <si>
    <t>'2022-09-23 19:44:32:635</t>
  </si>
  <si>
    <t>T220923194526374VCMLEBC060</t>
  </si>
  <si>
    <t>'2022-09-23 19:45:38:908</t>
  </si>
  <si>
    <t>T220923194541136VCMLEBC060</t>
  </si>
  <si>
    <t>'2022-09-23 19:46:00:958</t>
  </si>
  <si>
    <t>'2022-09-23 19:46:10:985</t>
  </si>
  <si>
    <t>T220923194636505VCMLEBC060</t>
  </si>
  <si>
    <t>'2022-09-23 19:46:45:303</t>
  </si>
  <si>
    <t>22cb63230390</t>
  </si>
  <si>
    <t>0x5240fc6262812c01</t>
  </si>
  <si>
    <t>AS2C3530A4B6A7B2B442117113</t>
  </si>
  <si>
    <t>AJ7C3472E18AB4B3A635</t>
  </si>
  <si>
    <t>DNA22233045370G02A</t>
  </si>
  <si>
    <t>T220923194647977VCMLEBC060</t>
  </si>
  <si>
    <t>'2022-09-23 19:47:00:512</t>
  </si>
  <si>
    <t>T220923194702739VCMLEBC060</t>
  </si>
  <si>
    <t>'2022-09-23 19:47:31:827</t>
  </si>
  <si>
    <t>'2022-09-23 19:47:21:790</t>
  </si>
  <si>
    <t>T220923194748073VCMLEBC060</t>
  </si>
  <si>
    <t>'2022-09-23 19:47:56:978</t>
  </si>
  <si>
    <t>22cb63240220</t>
  </si>
  <si>
    <t>0x5240fc6262812e05</t>
  </si>
  <si>
    <t>AS4C35419295A5B2B539033132</t>
  </si>
  <si>
    <t>AJ9C34744128F2B3A627</t>
  </si>
  <si>
    <t>DNA22225073520L12A</t>
  </si>
  <si>
    <t>T220923194759849VCMLEBC060</t>
  </si>
  <si>
    <t>'2022-09-23 19:48:12:382</t>
  </si>
  <si>
    <t>T220923190850475VCMLEBC060</t>
  </si>
  <si>
    <t>'2022-09-23 19:08:59:406</t>
  </si>
  <si>
    <t>22cb63230450</t>
  </si>
  <si>
    <t>0x5240fc6262804005</t>
  </si>
  <si>
    <t>AS4C35419294A5B2A239034029</t>
  </si>
  <si>
    <t>AJ9C3474312CF1B3A637</t>
  </si>
  <si>
    <t>DNA22225073520L11A</t>
  </si>
  <si>
    <t>T220923194814617VCMLEBC060</t>
  </si>
  <si>
    <t>'2022-09-23 19:08:42:145</t>
  </si>
  <si>
    <t>T220923190916819VCMLEBC060</t>
  </si>
  <si>
    <t>'2022-09-23 19:09:46:538</t>
  </si>
  <si>
    <t>'2022-09-23 19:08:32:120</t>
  </si>
  <si>
    <t>'2022-09-23 19:09:36:507</t>
  </si>
  <si>
    <t>T220923190902054VCMLEBC060</t>
  </si>
  <si>
    <t>'2022-09-23 19:09:14:585</t>
  </si>
  <si>
    <t>T220923190957210VCMLEBC060</t>
  </si>
  <si>
    <t>'2022-09-23 19:10:06:082</t>
  </si>
  <si>
    <t>22cb63230117</t>
  </si>
  <si>
    <t>0x5240fe6281f83007</t>
  </si>
  <si>
    <t>AS4C3541A29MA5B2A834039009</t>
  </si>
  <si>
    <t>AJ9C3474511GF4B3A649</t>
  </si>
  <si>
    <t>DNA22225072070I07A</t>
  </si>
  <si>
    <t>T220923191008813VCMLEBC060</t>
  </si>
  <si>
    <t>'2022-09-23 19:10:21:353</t>
  </si>
  <si>
    <t>T220923191102995VCMLEBC060</t>
  </si>
  <si>
    <t>'2022-09-23 19:11:11:967</t>
  </si>
  <si>
    <t>22cb63230213</t>
  </si>
  <si>
    <t>0x5240f5626aed7401</t>
  </si>
  <si>
    <t>AS4C3541A28LA5B2A738044122</t>
  </si>
  <si>
    <t>AJ9C34744123F3B3A641</t>
  </si>
  <si>
    <t>DNA22225072070I06A</t>
  </si>
  <si>
    <t>T220923191209608VCMLEBC060</t>
  </si>
  <si>
    <t>'2022-09-23 19:12:18:561</t>
  </si>
  <si>
    <t>22cb63230537</t>
  </si>
  <si>
    <t>0x5240fe6285389a01</t>
  </si>
  <si>
    <t>AS4C35419299A5B2A035032006</t>
  </si>
  <si>
    <t>AJ9C34743129F4B3A636</t>
  </si>
  <si>
    <t>DNA22225072070H13A</t>
  </si>
  <si>
    <t>T220923191023613VCMLEBC060</t>
  </si>
  <si>
    <t>'2022-09-23 19:10:53:491</t>
  </si>
  <si>
    <t>T220923191129412VCMLEBC060</t>
  </si>
  <si>
    <t>'2022-09-23 19:11:59:493</t>
  </si>
  <si>
    <t>'2022-09-23 19:10:43:461</t>
  </si>
  <si>
    <t>'2022-09-23 19:11:49:462</t>
  </si>
  <si>
    <t>T220923191114636VCMLEBC060</t>
  </si>
  <si>
    <t>'2022-09-23 19:11:27:167</t>
  </si>
  <si>
    <t>T220923191221248VCMLEBC060</t>
  </si>
  <si>
    <t>'2022-09-23 19:12:33:785</t>
  </si>
  <si>
    <t>T220923191236016VCMLEBC060</t>
  </si>
  <si>
    <t>'2022-09-23 19:13:06:199</t>
  </si>
  <si>
    <t>'2022-09-23 19:12:56:173</t>
  </si>
  <si>
    <t>T220923191317416VCMLEBC060</t>
  </si>
  <si>
    <t>'2022-09-23 19:13:26:361</t>
  </si>
  <si>
    <t>22cb63230718</t>
  </si>
  <si>
    <t>0x5240fe627df04d05</t>
  </si>
  <si>
    <t>AS4C3541B29HA5B2A236007015</t>
  </si>
  <si>
    <t>AJ9C3474511HF3B3A636</t>
  </si>
  <si>
    <t>DNA22225072070J03A</t>
  </si>
  <si>
    <t>T220923191344105VCMLEBC060</t>
  </si>
  <si>
    <t>'2022-09-23 19:14:13:928</t>
  </si>
  <si>
    <t>'2022-09-23 19:14:03:903</t>
  </si>
  <si>
    <t>T220923191329344VCMLEBC060</t>
  </si>
  <si>
    <t>'2022-09-23 19:13:41:878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</si>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</sst>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-1.4885226467999999</c:v>
                </c:pt>
                <c:pt idx="1">
                  <c:v>1.0559573769999999</c:v>
                </c:pt>
                <c:pt idx="2">
                  <c:v>-12.1208106156</c:v>
                </c:pt>
                <c:pt idx="3">
                  <c:v>0.10044046399999999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3.5479066623</c:v>
                </c:pt>
                <c:pt idx="1">
                  <c:v>-0.3393620334999996</c:v>
                </c:pt>
                <c:pt idx="2">
                  <c:v>6.4112070302999999</c:v>
                </c:pt>
                <c:pt idx="3">
                  <c:v>-7.0225978489000003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-4.1844586284666665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3.2065838863666669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6832"/>
        <c:axId val="49498368"/>
      </c:scatterChart>
      <c:valAx>
        <c:axId val="494968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98368"/>
        <c:crosses val="autoZero"/>
        <c:crossBetween val="midCat"/>
        <c:majorUnit val="10"/>
      </c:valAx>
      <c:valAx>
        <c:axId val="494983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49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-3.8369593409</c:v>
                </c:pt>
                <c:pt idx="1">
                  <c:v>-1.2092630831</c:v>
                </c:pt>
                <c:pt idx="2">
                  <c:v>-7.6063589835999998</c:v>
                </c:pt>
                <c:pt idx="3">
                  <c:v>-5.2928113824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3.7461820043</c:v>
                </c:pt>
                <c:pt idx="1">
                  <c:v>-0.3077320791</c:v>
                </c:pt>
                <c:pt idx="2">
                  <c:v>5.1578936150999999</c:v>
                </c:pt>
                <c:pt idx="3">
                  <c:v>4.678022382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-1.6485939866666666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-1.1947159745666667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43424"/>
        <c:axId val="59645952"/>
      </c:scatterChart>
      <c:valAx>
        <c:axId val="495434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645952"/>
        <c:crosses val="autoZero"/>
        <c:crossBetween val="midCat"/>
        <c:majorUnit val="10"/>
      </c:valAx>
      <c:valAx>
        <c:axId val="596459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54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-7.4423014921000004</c:v>
                </c:pt>
                <c:pt idx="1">
                  <c:v>-2.6502274584999999</c:v>
                </c:pt>
                <c:pt idx="2">
                  <c:v>-4.5141870579000001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5.4474287335999998</c:v>
                </c:pt>
                <c:pt idx="1">
                  <c:v>-4.8830699257999992</c:v>
                </c:pt>
                <c:pt idx="2">
                  <c:v>-0.58207050449999986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-6.7804906193666667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5.0944482435666663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74624"/>
        <c:axId val="59676160"/>
      </c:scatterChart>
      <c:valAx>
        <c:axId val="596746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676160"/>
        <c:crosses val="autoZero"/>
        <c:crossBetween val="midCat"/>
        <c:majorUnit val="10"/>
      </c:valAx>
      <c:valAx>
        <c:axId val="596761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67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-2.0607152184999999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-0.39732589080000036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-3.0750432449666665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-1.9541554403666666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2960"/>
        <c:axId val="60394496"/>
      </c:scatterChart>
      <c:valAx>
        <c:axId val="603929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94496"/>
        <c:crosses val="autoZero"/>
        <c:crossBetween val="midCat"/>
        <c:majorUnit val="10"/>
      </c:valAx>
      <c:valAx>
        <c:axId val="603944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92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91.770416342299995</c:v>
                </c:pt>
                <c:pt idx="1">
                  <c:v>94.506833157399996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93.371745236399988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37248"/>
        <c:axId val="60438784"/>
      </c:scatterChart>
      <c:valAx>
        <c:axId val="6043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438784"/>
        <c:crosses val="autoZero"/>
        <c:crossBetween val="midCat"/>
      </c:valAx>
      <c:valAx>
        <c:axId val="604387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43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93.837986209500002</c:v>
                </c:pt>
                <c:pt idx="1">
                  <c:v>90.549738634899995</c:v>
                </c:pt>
                <c:pt idx="2">
                  <c:v>88.939888976600002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92.756536567133324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80128"/>
        <c:axId val="60481920"/>
      </c:scatterChart>
      <c:valAx>
        <c:axId val="6048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481920"/>
        <c:crosses val="autoZero"/>
        <c:crossBetween val="midCat"/>
      </c:valAx>
      <c:valAx>
        <c:axId val="6048192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48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98.779982089900003</c:v>
                </c:pt>
                <c:pt idx="1">
                  <c:v>92.4013266738</c:v>
                </c:pt>
                <c:pt idx="2">
                  <c:v>91.895584776099994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92.107130758566655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39264"/>
        <c:axId val="60540800"/>
      </c:scatterChart>
      <c:valAx>
        <c:axId val="605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40800"/>
        <c:crosses val="autoZero"/>
        <c:crossBetween val="midCat"/>
      </c:valAx>
      <c:valAx>
        <c:axId val="605408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3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92.024480825799998</c:v>
                </c:pt>
                <c:pt idx="1">
                  <c:v>96.588262132899999</c:v>
                </c:pt>
                <c:pt idx="2">
                  <c:v>91.773504747600001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92.489872004533325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41728"/>
        <c:axId val="122443264"/>
      </c:scatterChart>
      <c:valAx>
        <c:axId val="12244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443264"/>
        <c:crosses val="autoZero"/>
        <c:crossBetween val="midCat"/>
      </c:valAx>
      <c:valAx>
        <c:axId val="1224432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44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-7.3036272530000002</c:v>
                </c:pt>
                <c:pt idx="1">
                  <c:v>0.46138954200000004</c:v>
                </c:pt>
                <c:pt idx="2">
                  <c:v>0.79616212799999975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-6.35219121</c:v>
                </c:pt>
                <c:pt idx="1">
                  <c:v>-1.778320074</c:v>
                </c:pt>
                <c:pt idx="2">
                  <c:v>-3.5723775629999999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-2.0153585276666668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-3.9009629490000002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24192"/>
        <c:axId val="122825728"/>
      </c:scatterChart>
      <c:valAx>
        <c:axId val="1228241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2825728"/>
        <c:crosses val="autoZero"/>
        <c:crossBetween val="midCat"/>
        <c:majorUnit val="10"/>
      </c:valAx>
      <c:valAx>
        <c:axId val="1228257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282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2.7425384519999998</c:v>
                </c:pt>
                <c:pt idx="1">
                  <c:v>1.4699354170000003</c:v>
                </c:pt>
                <c:pt idx="2">
                  <c:v>-0.10225343699999989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-9.2228345870000012</c:v>
                </c:pt>
                <c:pt idx="1">
                  <c:v>1.7747602459999996</c:v>
                </c:pt>
                <c:pt idx="2">
                  <c:v>-4.3135857580000003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1.3700734773333334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-3.9205533663333338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54016"/>
        <c:axId val="122876288"/>
      </c:scatterChart>
      <c:valAx>
        <c:axId val="1228540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2876288"/>
        <c:crosses val="autoZero"/>
        <c:crossBetween val="midCat"/>
        <c:majorUnit val="10"/>
      </c:valAx>
      <c:valAx>
        <c:axId val="1228762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2854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3.598322392</c:v>
                </c:pt>
                <c:pt idx="1">
                  <c:v>-2.2426519389999999</c:v>
                </c:pt>
                <c:pt idx="2">
                  <c:v>-3.7211527819999999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-4.1902191640000002</c:v>
                </c:pt>
                <c:pt idx="1">
                  <c:v>2.9206337930000004</c:v>
                </c:pt>
                <c:pt idx="2">
                  <c:v>-5.3783967500000003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-0.78849410966666655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-2.2159940403333334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65824"/>
        <c:axId val="123967360"/>
      </c:scatterChart>
      <c:valAx>
        <c:axId val="1239658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967360"/>
        <c:crosses val="autoZero"/>
        <c:crossBetween val="midCat"/>
        <c:majorUnit val="10"/>
      </c:valAx>
      <c:valAx>
        <c:axId val="1239673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96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-2.346179008</c:v>
                </c:pt>
                <c:pt idx="1">
                  <c:v>5.0957527159999998</c:v>
                </c:pt>
                <c:pt idx="2">
                  <c:v>-6.1400179860000001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-7.441900253</c:v>
                </c:pt>
                <c:pt idx="1">
                  <c:v>-6.1418299679999997</c:v>
                </c:pt>
                <c:pt idx="2">
                  <c:v>0.12719440500000001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-1.1301480926666667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-4.485511938666666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13120"/>
        <c:axId val="124214656"/>
      </c:scatterChart>
      <c:valAx>
        <c:axId val="1242131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214656"/>
        <c:crosses val="autoZero"/>
        <c:crossBetween val="midCat"/>
        <c:majorUnit val="10"/>
      </c:valAx>
      <c:valAx>
        <c:axId val="124214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21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VSY832ZN9P13_2022092319_D50_ON_OC.csv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VSY832ZN9P13_2022092319_FPDC_INFD_normal.csv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VSY832ZN9P13_2022092319_INFDMargin_IPQC.csv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VSY832ZN9P13_2022092319_VCM_MEASURE.csv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172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U49" sqref="U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670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22cb63240939</v>
      </c>
      <c r="C34" s="44">
        <f>IPQC!S2+VLOOKUP($R$31,$AD$38:$AK$42,6,FALSE)+VLOOKUP('File location'!$B$1,'Tester offset'!$A$2:$D$4,2,FALSE)</f>
        <v>91.770416342299995</v>
      </c>
      <c r="D34" s="44">
        <f>IPQC!Z2+VLOOKUP($R$31,$AD$38:$AK$42,6,FALSE)</f>
        <v>79.787073598399999</v>
      </c>
      <c r="E34" s="44">
        <f>VCM!HU2-'Summary(3pcs)'!C34-'Summary(3pcs)'!$D$32</f>
        <v>141.9227513597379</v>
      </c>
      <c r="F34" s="90">
        <f>AVERAGEIF($A$34:$A$45,1,$C$34:$C$45)</f>
        <v>93.371745236399988</v>
      </c>
      <c r="G34" s="91">
        <f>AVERAGEIF($A$34:$A$45,1,$D$34:$D$45)</f>
        <v>84.142075936933324</v>
      </c>
      <c r="H34" s="91">
        <f>AVERAGEIF($A$34:$A$45,1,$E$34:$E$45)</f>
        <v>149.45929861887123</v>
      </c>
      <c r="I34" s="91">
        <f>85-F34</f>
        <v>-8.3717452363999882</v>
      </c>
      <c r="J34"/>
      <c r="K34" s="79">
        <f>T34</f>
        <v>1</v>
      </c>
      <c r="L34" s="80" t="str">
        <f>OC!J2</f>
        <v>22cb63240939</v>
      </c>
      <c r="M34" s="44">
        <f>OC!S2+VLOOKUP($R$31,$AD$38:$AK$42,4,FALSE)</f>
        <v>-1.4885226467999999</v>
      </c>
      <c r="N34" s="44">
        <f>OC!T2+VLOOKUP($R$31,$AD$38:$AK$42,5,FALSE)</f>
        <v>3.5479066623</v>
      </c>
      <c r="O34" s="92">
        <f>AVERAGEIF($K$34:$K$45,1,$M$34:$M$45)</f>
        <v>-4.1844586284666665</v>
      </c>
      <c r="P34" s="92">
        <f>AVERAGEIF($K$34:$K$45,1,$N$34:$N$45)</f>
        <v>3.2065838863666669</v>
      </c>
      <c r="Q34" s="90">
        <f>P34*0.001</f>
        <v>3.206583886366667E-3</v>
      </c>
      <c r="R34" s="90">
        <f>O34*0.001</f>
        <v>-4.184458628466667E-3</v>
      </c>
      <c r="T34" s="79">
        <v>1</v>
      </c>
      <c r="U34" s="80" t="str">
        <f>FPDC!J2</f>
        <v>22cb63240939</v>
      </c>
      <c r="V34" s="75">
        <f>FPDC!R2+VLOOKUP($R$31,$AD$38:$AK$42,2,FALSE)+VLOOKUP($R$31,$AD$38:$AK$42,7,FALSE)+VLOOKUP('File location'!$B$1,'Tester offset'!$A$2:$D$4,3,FALSE)</f>
        <v>-2.346179008</v>
      </c>
      <c r="W34" s="76">
        <f>FPDC!S2+VLOOKUP($R$31,$AD$38:$AK$42,3,FALSE)+VLOOKUP($R$31,$AD$38:$AK$42,8,FALSE)+VLOOKUP('File location'!$B$1,'Tester offset'!$A$2:$D$4,4,FALSE)</f>
        <v>-7.441900253</v>
      </c>
      <c r="X34" s="92">
        <f>AVERAGEIF($T$34:$T$45,1,$V$34:$V$45)</f>
        <v>-1.1301480926666667</v>
      </c>
      <c r="Y34" s="92">
        <f>AVERAGEIF($T$34:$T$45,1,$W$34:$W$45)</f>
        <v>-4.485511938666666</v>
      </c>
      <c r="Z34" s="90">
        <f>(X34*-0.01)/4</f>
        <v>2.825370231666667E-3</v>
      </c>
      <c r="AA34" s="90">
        <f>(Y34*-0.01)/4</f>
        <v>1.1213779846666666E-2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22cb63230659</v>
      </c>
      <c r="C35" s="44">
        <f>IPQC!S3+VLOOKUP($R$31,$AD$38:$AK$42,6,FALSE)+VLOOKUP('File location'!$B$1,'Tester offset'!$A$2:$D$4,2,FALSE)</f>
        <v>94.506833157399996</v>
      </c>
      <c r="D35" s="44">
        <f>IPQC!Z3+VLOOKUP($R$31,$AD$38:$AK$42,6,FALSE)</f>
        <v>84.227584559099995</v>
      </c>
      <c r="E35" s="44">
        <f>VCM!HU3-'Summary(3pcs)'!C35-'Summary(3pcs)'!$D$32</f>
        <v>154.39158822153786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22cb63230659</v>
      </c>
      <c r="M35" s="44">
        <f>OC!S3+VLOOKUP($R$31,$AD$38:$AK$42,4,FALSE)</f>
        <v>1.0559573769999999</v>
      </c>
      <c r="N35" s="44">
        <f>OC!T3+VLOOKUP($R$31,$AD$38:$AK$42,5,FALSE)</f>
        <v>-0.3393620334999996</v>
      </c>
      <c r="O35" s="92"/>
      <c r="P35" s="92"/>
      <c r="Q35" s="90"/>
      <c r="R35" s="90"/>
      <c r="T35" s="79">
        <v>1</v>
      </c>
      <c r="U35" s="80" t="str">
        <f>FPDC!J3</f>
        <v>22cb63230659</v>
      </c>
      <c r="V35" s="75">
        <f>FPDC!R3+VLOOKUP($R$31,$AD$38:$AK$42,2,FALSE)+VLOOKUP($R$31,$AD$38:$AK$42,7,FALSE)+VLOOKUP('File location'!$B$1,'Tester offset'!$A$2:$D$4,3,FALSE)</f>
        <v>5.0957527159999998</v>
      </c>
      <c r="W35" s="76">
        <f>FPDC!S3+VLOOKUP($R$31,$AD$38:$AK$42,3,FALSE)+VLOOKUP($R$31,$AD$38:$AK$42,8,FALSE)+VLOOKUP('File location'!$B$1,'Tester offset'!$A$2:$D$4,4,FALSE)</f>
        <v>-6.1418299679999997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22cb63240219</v>
      </c>
      <c r="C36" s="44">
        <f>IPQC!S4+VLOOKUP($R$31,$AD$38:$AK$42,6,FALSE)+VLOOKUP('File location'!$B$1,'Tester offset'!$A$2:$D$4,2,FALSE)</f>
        <v>93.837986209500002</v>
      </c>
      <c r="D36" s="44">
        <f>IPQC!Z4+VLOOKUP($R$31,$AD$38:$AK$42,6,FALSE)</f>
        <v>88.411569653300006</v>
      </c>
      <c r="E36" s="44">
        <f>VCM!HU4-'Summary(3pcs)'!C36-'Summary(3pcs)'!$D$32</f>
        <v>152.06355627533793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22cb63240219</v>
      </c>
      <c r="M36" s="44">
        <f>OC!S4+VLOOKUP($R$31,$AD$38:$AK$42,4,FALSE)</f>
        <v>-12.1208106156</v>
      </c>
      <c r="N36" s="44">
        <f>OC!T4+VLOOKUP($R$31,$AD$38:$AK$42,5,FALSE)</f>
        <v>6.4112070302999999</v>
      </c>
      <c r="O36" s="92"/>
      <c r="P36" s="92"/>
      <c r="Q36" s="90"/>
      <c r="R36" s="90"/>
      <c r="T36" s="79">
        <v>1</v>
      </c>
      <c r="U36" s="80" t="str">
        <f>FPDC!J4</f>
        <v>22cb63240219</v>
      </c>
      <c r="V36" s="75">
        <f>FPDC!R4+VLOOKUP($R$31,$AD$38:$AK$42,2,FALSE)+VLOOKUP($R$31,$AD$38:$AK$42,7,FALSE)+VLOOKUP('File location'!$B$1,'Tester offset'!$A$2:$D$4,3,FALSE)</f>
        <v>-6.1400179860000001</v>
      </c>
      <c r="W36" s="76">
        <f>FPDC!S4+VLOOKUP($R$31,$AD$38:$AK$42,3,FALSE)+VLOOKUP($R$31,$AD$38:$AK$42,8,FALSE)+VLOOKUP('File location'!$B$1,'Tester offset'!$A$2:$D$4,4,FALSE)</f>
        <v>0.12719440500000001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22cb63240342</v>
      </c>
      <c r="C37" s="44">
        <f>IPQC!S5+VLOOKUP($R$31,$AD$38:$AK$42,6,FALSE)+VLOOKUP('File location'!$B$1,'Tester offset'!$A$2:$D$4,2,FALSE)</f>
        <v>90.549738634899995</v>
      </c>
      <c r="D37" s="44">
        <f>IPQC!Z5+VLOOKUP($R$31,$AD$38:$AK$42,6,FALSE)</f>
        <v>81.904363799899997</v>
      </c>
      <c r="E37" s="44">
        <f>VCM!HU5-'Summary(3pcs)'!C37-'Summary(3pcs)'!$D$32</f>
        <v>154.30340303503789</v>
      </c>
      <c r="F37" s="90">
        <f>AVERAGEIF($A$34:$A$45,2,$C$34:$C$45)</f>
        <v>92.756536567133324</v>
      </c>
      <c r="G37" s="91">
        <f>AVERAGEIF($A$34:$A$45,2,$D$34:$D$45)</f>
        <v>84.471996900633329</v>
      </c>
      <c r="H37" s="91">
        <f>AVERAGEIF($A$34:$A$45,2,$E$34:$E$45)</f>
        <v>151.11169301897124</v>
      </c>
      <c r="I37" s="91">
        <f>85-F37</f>
        <v>-7.756536567133324</v>
      </c>
      <c r="J37"/>
      <c r="K37" s="79">
        <f t="shared" si="1"/>
        <v>2</v>
      </c>
      <c r="L37" s="80" t="str">
        <f>OC!J5</f>
        <v>22cb63240342</v>
      </c>
      <c r="M37" s="44">
        <f>OC!S5+VLOOKUP($R$31,$AD$38:$AK$42,4,FALSE)</f>
        <v>0.10044046399999999</v>
      </c>
      <c r="N37" s="44">
        <f>OC!T5+VLOOKUP($R$31,$AD$38:$AK$42,5,FALSE)</f>
        <v>-7.0225978489000003</v>
      </c>
      <c r="O37" s="92">
        <f>AVERAGEIF($K$34:$K$45,2,$M$34:$M$45)</f>
        <v>-1.6485939866666666</v>
      </c>
      <c r="P37" s="92">
        <f>AVERAGEIF($K$34:$K$45,2,$N$34:$N$45)</f>
        <v>-1.1947159745666667</v>
      </c>
      <c r="Q37" s="90">
        <f>P37*0.001</f>
        <v>-1.1947159745666668E-3</v>
      </c>
      <c r="R37" s="90">
        <f>O37*0.001</f>
        <v>-1.6485939866666666E-3</v>
      </c>
      <c r="T37" s="79">
        <v>2</v>
      </c>
      <c r="U37" s="80" t="str">
        <f>FPDC!J5</f>
        <v>22cb63240342</v>
      </c>
      <c r="V37" s="75">
        <f>FPDC!R5+VLOOKUP($R$31,$AD$38:$AK$42,2,FALSE)+VLOOKUP($R$31,$AD$38:$AK$42,7,FALSE)+VLOOKUP('File location'!$B$1,'Tester offset'!$A$2:$D$4,3,FALSE)</f>
        <v>-7.3036272530000002</v>
      </c>
      <c r="W37" s="76">
        <f>FPDC!S5+VLOOKUP($R$31,$AD$38:$AK$42,3,FALSE)+VLOOKUP($R$31,$AD$38:$AK$42,8,FALSE)+VLOOKUP('File location'!$B$1,'Tester offset'!$A$2:$D$4,4,FALSE)</f>
        <v>-6.35219121</v>
      </c>
      <c r="X37" s="92">
        <f>AVERAGEIF($T$34:$T$45,2,$V$34:$V$45)</f>
        <v>-2.0153585276666668</v>
      </c>
      <c r="Y37" s="92">
        <f>AVERAGEIF($T$34:$T$45,2,$W$34:$W$45)</f>
        <v>-3.9009629490000002</v>
      </c>
      <c r="Z37" s="90">
        <f>(X37*-0.01)/4</f>
        <v>5.0383963191666667E-3</v>
      </c>
      <c r="AA37" s="90">
        <f>(Y37*-0.01)/4</f>
        <v>9.7524073725000007E-3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22cb63240665</v>
      </c>
      <c r="C38" s="44">
        <f>IPQC!S6+VLOOKUP($R$31,$AD$38:$AK$42,6,FALSE)+VLOOKUP('File location'!$B$1,'Tester offset'!$A$2:$D$4,2,FALSE)</f>
        <v>88.939888976600002</v>
      </c>
      <c r="D38" s="44">
        <f>IPQC!Z6+VLOOKUP($R$31,$AD$38:$AK$42,6,FALSE)</f>
        <v>81.624917319299996</v>
      </c>
      <c r="E38" s="44">
        <f>VCM!HU6-'Summary(3pcs)'!C38-'Summary(3pcs)'!$D$32</f>
        <v>155.59927507923788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22cb63240665</v>
      </c>
      <c r="M38" s="44">
        <f>OC!S6+VLOOKUP($R$31,$AD$38:$AK$42,4,FALSE)</f>
        <v>-3.8369593409</v>
      </c>
      <c r="N38" s="44">
        <f>OC!T6+VLOOKUP($R$31,$AD$38:$AK$42,5,FALSE)</f>
        <v>3.7461820043</v>
      </c>
      <c r="O38" s="92"/>
      <c r="P38" s="92"/>
      <c r="Q38" s="90"/>
      <c r="R38" s="90"/>
      <c r="T38" s="79">
        <v>2</v>
      </c>
      <c r="U38" s="80" t="str">
        <f>FPDC!J6</f>
        <v>22cb63240665</v>
      </c>
      <c r="V38" s="75">
        <f>FPDC!R6+VLOOKUP($R$31,$AD$38:$AK$42,2,FALSE)+VLOOKUP($R$31,$AD$38:$AK$42,7,FALSE)+VLOOKUP('File location'!$B$1,'Tester offset'!$A$2:$D$4,3,FALSE)</f>
        <v>0.46138954200000004</v>
      </c>
      <c r="W38" s="76">
        <f>FPDC!S6+VLOOKUP($R$31,$AD$38:$AK$42,3,FALSE)+VLOOKUP($R$31,$AD$38:$AK$42,8,FALSE)+VLOOKUP('File location'!$B$1,'Tester offset'!$A$2:$D$4,4,FALSE)</f>
        <v>-1.778320074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22cb63230390</v>
      </c>
      <c r="C39" s="44">
        <f>IPQC!S7+VLOOKUP($R$31,$AD$38:$AK$42,6,FALSE)+VLOOKUP('File location'!$B$1,'Tester offset'!$A$2:$D$4,2,FALSE)</f>
        <v>98.779982089900003</v>
      </c>
      <c r="D39" s="44">
        <f>IPQC!Z7+VLOOKUP($R$31,$AD$38:$AK$42,6,FALSE)</f>
        <v>89.886709582700007</v>
      </c>
      <c r="E39" s="44">
        <f>VCM!HU7-'Summary(3pcs)'!C39-'Summary(3pcs)'!$D$32</f>
        <v>143.43240094263791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22cb63230390</v>
      </c>
      <c r="M39" s="44">
        <f>OC!S7+VLOOKUP($R$31,$AD$38:$AK$42,4,FALSE)</f>
        <v>-1.2092630831</v>
      </c>
      <c r="N39" s="44">
        <f>OC!T7+VLOOKUP($R$31,$AD$38:$AK$42,5,FALSE)</f>
        <v>-0.3077320791</v>
      </c>
      <c r="O39" s="92"/>
      <c r="P39" s="92"/>
      <c r="Q39" s="90"/>
      <c r="R39" s="90"/>
      <c r="T39" s="79">
        <v>2</v>
      </c>
      <c r="U39" s="80" t="str">
        <f>FPDC!J7</f>
        <v>22cb63230390</v>
      </c>
      <c r="V39" s="75">
        <f>FPDC!R7+VLOOKUP($R$31,$AD$38:$AK$42,2,FALSE)+VLOOKUP($R$31,$AD$38:$AK$42,7,FALSE)+VLOOKUP('File location'!$B$1,'Tester offset'!$A$2:$D$4,3,FALSE)</f>
        <v>0.79616212799999975</v>
      </c>
      <c r="W39" s="76">
        <f>FPDC!S7+VLOOKUP($R$31,$AD$38:$AK$42,3,FALSE)+VLOOKUP($R$31,$AD$38:$AK$42,8,FALSE)+VLOOKUP('File location'!$B$1,'Tester offset'!$A$2:$D$4,4,FALSE)</f>
        <v>-3.5723775629999999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22cb63240220</v>
      </c>
      <c r="C40" s="44">
        <f>IPQC!S8+VLOOKUP($R$31,$AD$38:$AK$42,6,FALSE)+VLOOKUP('File location'!$B$1,'Tester offset'!$A$2:$D$4,2,FALSE)</f>
        <v>92.4013266738</v>
      </c>
      <c r="D40" s="44">
        <f>IPQC!Z8+VLOOKUP($R$31,$AD$38:$AK$42,6,FALSE)</f>
        <v>80.6146869536</v>
      </c>
      <c r="E40" s="44">
        <f>VCM!HU8-'Summary(3pcs)'!C40-'Summary(3pcs)'!$D$32</f>
        <v>157.17341348613792</v>
      </c>
      <c r="F40" s="90">
        <f>AVERAGEIF($A$34:$A$45,3,$C$34:$C$45)</f>
        <v>92.107130758566655</v>
      </c>
      <c r="G40" s="91">
        <f>AVERAGEIF($A$34:$A$45,3,$D$34:$D$45)</f>
        <v>81.15032931333333</v>
      </c>
      <c r="H40" s="91">
        <f>AVERAGEIF($A$34:$A$45,3,$E$34:$E$45)</f>
        <v>153.03869724410458</v>
      </c>
      <c r="I40" s="91">
        <f>85-F40</f>
        <v>-7.1071307585666545</v>
      </c>
      <c r="J40"/>
      <c r="K40" s="79">
        <f t="shared" si="1"/>
        <v>3</v>
      </c>
      <c r="L40" s="80" t="str">
        <f>OC!J8</f>
        <v>22cb63240220</v>
      </c>
      <c r="M40" s="44">
        <f>OC!S8+VLOOKUP($R$31,$AD$38:$AK$42,4,FALSE)</f>
        <v>-7.6063589835999998</v>
      </c>
      <c r="N40" s="44">
        <f>OC!T8+VLOOKUP($R$31,$AD$38:$AK$42,5,FALSE)</f>
        <v>5.1578936150999999</v>
      </c>
      <c r="O40" s="92">
        <f>AVERAGEIF($K$34:$K$45,3,$M$34:$M$45)</f>
        <v>-6.7804906193666667</v>
      </c>
      <c r="P40" s="92">
        <f>AVERAGEIF($K$34:$K$45,3,$N$34:$N$45)</f>
        <v>5.0944482435666663</v>
      </c>
      <c r="Q40" s="90">
        <f>P40*0.001</f>
        <v>5.0944482435666665E-3</v>
      </c>
      <c r="R40" s="90">
        <f>O40*0.001</f>
        <v>-6.7804906193666666E-3</v>
      </c>
      <c r="T40" s="79">
        <v>3</v>
      </c>
      <c r="U40" s="80" t="str">
        <f>FPDC!J8</f>
        <v>22cb63240220</v>
      </c>
      <c r="V40" s="75">
        <f>FPDC!R8+VLOOKUP($R$31,$AD$38:$AK$42,2,FALSE)+VLOOKUP($R$31,$AD$38:$AK$42,7,FALSE)+VLOOKUP('File location'!$B$1,'Tester offset'!$A$2:$D$4,3,FALSE)</f>
        <v>2.7425384519999998</v>
      </c>
      <c r="W40" s="76">
        <f>FPDC!S8+VLOOKUP($R$31,$AD$38:$AK$42,3,FALSE)+VLOOKUP($R$31,$AD$38:$AK$42,8,FALSE)+VLOOKUP('File location'!$B$1,'Tester offset'!$A$2:$D$4,4,FALSE)</f>
        <v>-9.2228345870000012</v>
      </c>
      <c r="X40" s="92">
        <f>AVERAGEIF($T$34:$T$45,3,$V$34:$V$45)</f>
        <v>1.3700734773333334</v>
      </c>
      <c r="Y40" s="92">
        <f>AVERAGEIF($T$34:$T$45,3,$W$34:$W$45)</f>
        <v>-3.9205533663333338</v>
      </c>
      <c r="Z40" s="90">
        <f>(X40*-0.01)/4</f>
        <v>-3.4251836933333335E-3</v>
      </c>
      <c r="AA40" s="90">
        <f>(Y40*-0.01)/4</f>
        <v>9.8013834158333351E-3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22cb63230450</v>
      </c>
      <c r="C41" s="44">
        <f>IPQC!S9+VLOOKUP($R$31,$AD$38:$AK$42,6,FALSE)+VLOOKUP('File location'!$B$1,'Tester offset'!$A$2:$D$4,2,FALSE)</f>
        <v>91.895584776099994</v>
      </c>
      <c r="D41" s="44">
        <f>IPQC!Z9+VLOOKUP($R$31,$AD$38:$AK$42,6,FALSE)</f>
        <v>83.178217860800004</v>
      </c>
      <c r="E41" s="44">
        <f>VCM!HU9-'Summary(3pcs)'!C41-'Summary(3pcs)'!$D$32</f>
        <v>151.20272846303789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22cb63230450</v>
      </c>
      <c r="M41" s="44">
        <f>OC!S9+VLOOKUP($R$31,$AD$38:$AK$42,4,FALSE)</f>
        <v>-5.2928113824</v>
      </c>
      <c r="N41" s="44">
        <f>OC!T9+VLOOKUP($R$31,$AD$38:$AK$42,5,FALSE)</f>
        <v>4.678022382</v>
      </c>
      <c r="O41" s="92"/>
      <c r="P41" s="92"/>
      <c r="Q41" s="90"/>
      <c r="R41" s="90"/>
      <c r="T41" s="79">
        <v>3</v>
      </c>
      <c r="U41" s="80" t="str">
        <f>FPDC!J9</f>
        <v>22cb63230450</v>
      </c>
      <c r="V41" s="75">
        <f>FPDC!R9+VLOOKUP($R$31,$AD$38:$AK$42,2,FALSE)+VLOOKUP($R$31,$AD$38:$AK$42,7,FALSE)+VLOOKUP('File location'!$B$1,'Tester offset'!$A$2:$D$4,3,FALSE)</f>
        <v>1.4699354170000003</v>
      </c>
      <c r="W41" s="76">
        <f>FPDC!S9+VLOOKUP($R$31,$AD$38:$AK$42,3,FALSE)+VLOOKUP($R$31,$AD$38:$AK$42,8,FALSE)+VLOOKUP('File location'!$B$1,'Tester offset'!$A$2:$D$4,4,FALSE)</f>
        <v>1.7747602459999996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22cb63230117</v>
      </c>
      <c r="C42" s="44">
        <f>IPQC!S10+VLOOKUP($R$31,$AD$38:$AK$42,6,FALSE)+VLOOKUP('File location'!$B$1,'Tester offset'!$A$2:$D$4,2,FALSE)</f>
        <v>92.024480825799998</v>
      </c>
      <c r="D42" s="44">
        <f>IPQC!Z10+VLOOKUP($R$31,$AD$38:$AK$42,6,FALSE)</f>
        <v>79.658083125600001</v>
      </c>
      <c r="E42" s="44">
        <f>VCM!HU10-'Summary(3pcs)'!C42-'Summary(3pcs)'!$D$32</f>
        <v>150.73994978313794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22cb63230117</v>
      </c>
      <c r="M42" s="44">
        <f>OC!S10+VLOOKUP($R$31,$AD$38:$AK$42,4,FALSE)</f>
        <v>-7.4423014921000004</v>
      </c>
      <c r="N42" s="44">
        <f>OC!T10+VLOOKUP($R$31,$AD$38:$AK$42,5,FALSE)</f>
        <v>5.4474287335999998</v>
      </c>
      <c r="O42" s="92"/>
      <c r="P42" s="92"/>
      <c r="Q42" s="90"/>
      <c r="R42" s="90"/>
      <c r="T42" s="79">
        <v>3</v>
      </c>
      <c r="U42" s="80" t="str">
        <f>FPDC!J10</f>
        <v>22cb63230117</v>
      </c>
      <c r="V42" s="75">
        <f>FPDC!R10+VLOOKUP($R$31,$AD$38:$AK$42,2,FALSE)+VLOOKUP($R$31,$AD$38:$AK$42,7,FALSE)+VLOOKUP('File location'!$B$1,'Tester offset'!$A$2:$D$4,3,FALSE)</f>
        <v>-0.10225343699999989</v>
      </c>
      <c r="W42" s="76">
        <f>FPDC!S10+VLOOKUP($R$31,$AD$38:$AK$42,3,FALSE)+VLOOKUP($R$31,$AD$38:$AK$42,8,FALSE)+VLOOKUP('File location'!$B$1,'Tester offset'!$A$2:$D$4,4,FALSE)</f>
        <v>-4.3135857580000003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22cb63230213</v>
      </c>
      <c r="C43" s="44">
        <f>IPQC!S11+VLOOKUP($R$31,$AD$38:$AK$42,6,FALSE)+VLOOKUP('File location'!$B$1,'Tester offset'!$A$2:$D$4,2,FALSE)</f>
        <v>96.588262132899999</v>
      </c>
      <c r="D43" s="44">
        <f>IPQC!Z11+VLOOKUP($R$31,$AD$38:$AK$42,6,FALSE)</f>
        <v>84.512940407299993</v>
      </c>
      <c r="E43" s="44">
        <f>VCM!HU11-'Summary(3pcs)'!C43-'Summary(3pcs)'!$D$32</f>
        <v>161.07297747093787</v>
      </c>
      <c r="F43" s="90">
        <f>AVERAGEIF($A$34:$A$45,4,$C$34:$C$45)</f>
        <v>92.489872004533325</v>
      </c>
      <c r="G43" s="91">
        <f>AVERAGEIF($A$34:$A$45,4,$D$34:$D$45)</f>
        <v>79.933966395899986</v>
      </c>
      <c r="H43" s="91">
        <f>AVERAGEIF($A$34:$A$45,4,$E$34:$E$45)</f>
        <v>157.7873092599379</v>
      </c>
      <c r="I43" s="91">
        <f>85-F43</f>
        <v>-7.4898720045333249</v>
      </c>
      <c r="J43"/>
      <c r="K43" s="79">
        <f t="shared" si="1"/>
        <v>4</v>
      </c>
      <c r="L43" s="80" t="str">
        <f>OC!J11</f>
        <v>22cb63230213</v>
      </c>
      <c r="M43" s="44">
        <f>OC!S11+VLOOKUP($R$31,$AD$38:$AK$42,4,FALSE)</f>
        <v>-2.6502274584999999</v>
      </c>
      <c r="N43" s="44">
        <f>OC!T11+VLOOKUP($R$31,$AD$38:$AK$42,5,FALSE)</f>
        <v>-4.8830699257999992</v>
      </c>
      <c r="O43" s="92">
        <f>AVERAGEIF($K$34:$K$45,4,$M$34:$M$45)</f>
        <v>-3.0750432449666665</v>
      </c>
      <c r="P43" s="92">
        <f>AVERAGEIF($K$34:$K$45,4,$N$34:$N$45)</f>
        <v>-1.9541554403666666</v>
      </c>
      <c r="Q43" s="90">
        <f>P43*0.001</f>
        <v>-1.9541554403666667E-3</v>
      </c>
      <c r="R43" s="90">
        <f>O43*0.001</f>
        <v>-3.0750432449666667E-3</v>
      </c>
      <c r="T43" s="79">
        <v>4</v>
      </c>
      <c r="U43" s="80" t="str">
        <f>FPDC!J11</f>
        <v>22cb63230213</v>
      </c>
      <c r="V43" s="75">
        <f>FPDC!R11+VLOOKUP($R$31,$AD$38:$AK$42,2,FALSE)+VLOOKUP($R$31,$AD$38:$AK$42,7,FALSE)+VLOOKUP('File location'!$B$1,'Tester offset'!$A$2:$D$4,3,FALSE)</f>
        <v>3.598322392</v>
      </c>
      <c r="W43" s="76">
        <f>FPDC!S11+VLOOKUP($R$31,$AD$38:$AK$42,3,FALSE)+VLOOKUP($R$31,$AD$38:$AK$42,8,FALSE)+VLOOKUP('File location'!$B$1,'Tester offset'!$A$2:$D$4,4,FALSE)</f>
        <v>-4.1902191640000002</v>
      </c>
      <c r="X43" s="92">
        <f>AVERAGEIF($T$34:$T$45,4,$V$34:$V$45)</f>
        <v>-0.78849410966666655</v>
      </c>
      <c r="Y43" s="92">
        <f>AVERAGEIF($T$34:$T$45,4,$W$34:$W$45)</f>
        <v>-2.2159940403333334</v>
      </c>
      <c r="Z43" s="90">
        <f>(X43*-0.01)/4</f>
        <v>1.9712352741666664E-3</v>
      </c>
      <c r="AA43" s="90">
        <f>(Y43*-0.01)/4</f>
        <v>5.5399851008333337E-3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22cb63230537</v>
      </c>
      <c r="C44" s="44">
        <f>IPQC!S12+VLOOKUP($R$31,$AD$38:$AK$42,6,FALSE)+VLOOKUP('File location'!$B$1,'Tester offset'!$A$2:$D$4,2,FALSE)</f>
        <v>91.773504747600001</v>
      </c>
      <c r="D44" s="44">
        <f>IPQC!Z12+VLOOKUP($R$31,$AD$38:$AK$42,6,FALSE)</f>
        <v>78.774260331899995</v>
      </c>
      <c r="E44" s="44">
        <f>VCM!HU12-'Summary(3pcs)'!C44-'Summary(3pcs)'!$D$32</f>
        <v>159.32775891283791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22cb63230537</v>
      </c>
      <c r="M44" s="44">
        <f>OC!S12+VLOOKUP($R$31,$AD$38:$AK$42,4,FALSE)</f>
        <v>-4.5141870579000001</v>
      </c>
      <c r="N44" s="44">
        <f>OC!T12+VLOOKUP($R$31,$AD$38:$AK$42,5,FALSE)</f>
        <v>-0.58207050449999986</v>
      </c>
      <c r="O44" s="92"/>
      <c r="P44" s="92"/>
      <c r="Q44" s="90"/>
      <c r="R44" s="90"/>
      <c r="T44" s="79">
        <v>4</v>
      </c>
      <c r="U44" s="80" t="str">
        <f>FPDC!J12</f>
        <v>22cb63230537</v>
      </c>
      <c r="V44" s="75">
        <f>FPDC!R12+VLOOKUP($R$31,$AD$38:$AK$42,2,FALSE)+VLOOKUP($R$31,$AD$38:$AK$42,7,FALSE)+VLOOKUP('File location'!$B$1,'Tester offset'!$A$2:$D$4,3,FALSE)</f>
        <v>-2.2426519389999999</v>
      </c>
      <c r="W44" s="76">
        <f>FPDC!S12+VLOOKUP($R$31,$AD$38:$AK$42,3,FALSE)+VLOOKUP($R$31,$AD$38:$AK$42,8,FALSE)+VLOOKUP('File location'!$B$1,'Tester offset'!$A$2:$D$4,4,FALSE)</f>
        <v>2.9206337930000004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22cb63230718</v>
      </c>
      <c r="C45" s="44">
        <f>IPQC!S13+VLOOKUP($R$31,$AD$38:$AK$42,6,FALSE)+VLOOKUP('File location'!$B$1,'Tester offset'!$A$2:$D$4,2,FALSE)</f>
        <v>89.107849133100004</v>
      </c>
      <c r="D45" s="44">
        <f>IPQC!Z13+VLOOKUP($R$31,$AD$38:$AK$42,6,FALSE)</f>
        <v>76.514698448499999</v>
      </c>
      <c r="E45" s="44">
        <f>VCM!HU13-'Summary(3pcs)'!C45-'Summary(3pcs)'!$D$32</f>
        <v>152.96119139603792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22cb63230718</v>
      </c>
      <c r="M45" s="44">
        <f>OC!S13+VLOOKUP($R$31,$AD$38:$AK$42,4,FALSE)</f>
        <v>-2.0607152184999999</v>
      </c>
      <c r="N45" s="44">
        <f>OC!T13+VLOOKUP($R$31,$AD$38:$AK$42,5,FALSE)</f>
        <v>-0.39732589080000036</v>
      </c>
      <c r="O45" s="92"/>
      <c r="P45" s="92"/>
      <c r="Q45" s="90"/>
      <c r="R45" s="90"/>
      <c r="T45" s="79">
        <v>4</v>
      </c>
      <c r="U45" s="80" t="str">
        <f>FPDC!J13</f>
        <v>22cb63230718</v>
      </c>
      <c r="V45" s="75">
        <f>FPDC!R13+VLOOKUP($R$31,$AD$38:$AK$42,2,FALSE)+VLOOKUP($R$31,$AD$38:$AK$42,7,FALSE)+VLOOKUP('File location'!$B$1,'Tester offset'!$A$2:$D$4,3,FALSE)</f>
        <v>-3.7211527819999999</v>
      </c>
      <c r="W45" s="76">
        <f>FPDC!S13+VLOOKUP($R$31,$AD$38:$AK$42,3,FALSE)+VLOOKUP($R$31,$AD$38:$AK$42,8,FALSE)+VLOOKUP('File location'!$B$1,'Tester offset'!$A$2:$D$4,4,FALSE)</f>
        <v>-5.3783967500000003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91.770416342299995</v>
      </c>
      <c r="L54" s="49">
        <f t="shared" ref="L54:L65" si="4">D34</f>
        <v>79.787073598399999</v>
      </c>
      <c r="M54" s="49">
        <f t="shared" ref="M54:M65" si="5">E34</f>
        <v>141.9227513597379</v>
      </c>
      <c r="N54" s="49">
        <f t="shared" ref="N54:O65" si="6">M34</f>
        <v>-1.4885226467999999</v>
      </c>
      <c r="O54" s="49">
        <f t="shared" si="6"/>
        <v>3.5479066623</v>
      </c>
      <c r="P54" s="49">
        <f t="shared" ref="P54:P65" si="7">V34</f>
        <v>-2.346179008</v>
      </c>
      <c r="Q54" s="50">
        <f t="shared" ref="Q54:Q65" si="8">W34</f>
        <v>-7.441900253</v>
      </c>
    </row>
    <row r="55" spans="6:27" ht="19.5">
      <c r="I55" s="47">
        <f t="shared" si="2"/>
        <v>1</v>
      </c>
      <c r="J55" s="46"/>
      <c r="K55" s="51">
        <f t="shared" si="3"/>
        <v>94.506833157399996</v>
      </c>
      <c r="L55" s="52">
        <f t="shared" si="4"/>
        <v>84.227584559099995</v>
      </c>
      <c r="M55" s="52">
        <f t="shared" si="5"/>
        <v>154.39158822153786</v>
      </c>
      <c r="N55" s="52">
        <f t="shared" si="6"/>
        <v>1.0559573769999999</v>
      </c>
      <c r="O55" s="52">
        <f t="shared" si="6"/>
        <v>-0.3393620334999996</v>
      </c>
      <c r="P55" s="52">
        <f t="shared" si="7"/>
        <v>5.0957527159999998</v>
      </c>
      <c r="Q55" s="53">
        <f t="shared" si="8"/>
        <v>-6.1418299679999997</v>
      </c>
    </row>
    <row r="56" spans="6:27" ht="19.5">
      <c r="I56" s="47">
        <f t="shared" si="2"/>
        <v>1</v>
      </c>
      <c r="J56" s="46"/>
      <c r="K56" s="54">
        <f t="shared" si="3"/>
        <v>93.837986209500002</v>
      </c>
      <c r="L56" s="55">
        <f t="shared" si="4"/>
        <v>88.411569653300006</v>
      </c>
      <c r="M56" s="55">
        <f t="shared" si="5"/>
        <v>152.06355627533793</v>
      </c>
      <c r="N56" s="55">
        <f t="shared" si="6"/>
        <v>-12.1208106156</v>
      </c>
      <c r="O56" s="55">
        <f t="shared" si="6"/>
        <v>6.4112070302999999</v>
      </c>
      <c r="P56" s="55">
        <f t="shared" si="7"/>
        <v>-6.1400179860000001</v>
      </c>
      <c r="Q56" s="56">
        <f t="shared" si="8"/>
        <v>0.12719440500000001</v>
      </c>
    </row>
    <row r="57" spans="6:27" ht="19.5">
      <c r="I57" s="47">
        <f t="shared" si="2"/>
        <v>2</v>
      </c>
      <c r="J57" s="46"/>
      <c r="K57" s="57">
        <f t="shared" si="3"/>
        <v>90.549738634899995</v>
      </c>
      <c r="L57" s="58">
        <f t="shared" si="4"/>
        <v>81.904363799899997</v>
      </c>
      <c r="M57" s="58">
        <f t="shared" si="5"/>
        <v>154.30340303503789</v>
      </c>
      <c r="N57" s="58">
        <f t="shared" si="6"/>
        <v>0.10044046399999999</v>
      </c>
      <c r="O57" s="58">
        <f t="shared" si="6"/>
        <v>-7.0225978489000003</v>
      </c>
      <c r="P57" s="58">
        <f t="shared" si="7"/>
        <v>-7.3036272530000002</v>
      </c>
      <c r="Q57" s="59">
        <f t="shared" si="8"/>
        <v>-6.35219121</v>
      </c>
    </row>
    <row r="58" spans="6:27" ht="19.5">
      <c r="I58" s="47">
        <f t="shared" si="2"/>
        <v>2</v>
      </c>
      <c r="J58" s="46"/>
      <c r="K58" s="57">
        <f t="shared" si="3"/>
        <v>88.939888976600002</v>
      </c>
      <c r="L58" s="58">
        <f t="shared" si="4"/>
        <v>81.624917319299996</v>
      </c>
      <c r="M58" s="58">
        <f t="shared" si="5"/>
        <v>155.59927507923788</v>
      </c>
      <c r="N58" s="58">
        <f t="shared" si="6"/>
        <v>-3.8369593409</v>
      </c>
      <c r="O58" s="58">
        <f t="shared" si="6"/>
        <v>3.7461820043</v>
      </c>
      <c r="P58" s="58">
        <f t="shared" si="7"/>
        <v>0.46138954200000004</v>
      </c>
      <c r="Q58" s="59">
        <f t="shared" si="8"/>
        <v>-1.778320074</v>
      </c>
    </row>
    <row r="59" spans="6:27" ht="19.5">
      <c r="I59" s="47">
        <f t="shared" si="2"/>
        <v>2</v>
      </c>
      <c r="J59" s="46"/>
      <c r="K59" s="57">
        <f t="shared" si="3"/>
        <v>98.779982089900003</v>
      </c>
      <c r="L59" s="58">
        <f t="shared" si="4"/>
        <v>89.886709582700007</v>
      </c>
      <c r="M59" s="58">
        <f t="shared" si="5"/>
        <v>143.43240094263791</v>
      </c>
      <c r="N59" s="58">
        <f t="shared" si="6"/>
        <v>-1.2092630831</v>
      </c>
      <c r="O59" s="58">
        <f t="shared" si="6"/>
        <v>-0.3077320791</v>
      </c>
      <c r="P59" s="58">
        <f t="shared" si="7"/>
        <v>0.79616212799999975</v>
      </c>
      <c r="Q59" s="59">
        <f t="shared" si="8"/>
        <v>-3.5723775629999999</v>
      </c>
    </row>
    <row r="60" spans="6:27" ht="19.5">
      <c r="I60" s="47">
        <f t="shared" si="2"/>
        <v>3</v>
      </c>
      <c r="J60" s="46"/>
      <c r="K60" s="60">
        <f t="shared" si="3"/>
        <v>92.4013266738</v>
      </c>
      <c r="L60" s="61">
        <f t="shared" si="4"/>
        <v>80.6146869536</v>
      </c>
      <c r="M60" s="61">
        <f t="shared" si="5"/>
        <v>157.17341348613792</v>
      </c>
      <c r="N60" s="61">
        <f t="shared" si="6"/>
        <v>-7.6063589835999998</v>
      </c>
      <c r="O60" s="61">
        <f t="shared" si="6"/>
        <v>5.1578936150999999</v>
      </c>
      <c r="P60" s="61">
        <f t="shared" si="7"/>
        <v>2.7425384519999998</v>
      </c>
      <c r="Q60" s="62">
        <f t="shared" si="8"/>
        <v>-9.2228345870000012</v>
      </c>
    </row>
    <row r="61" spans="6:27" ht="19.5">
      <c r="I61" s="47">
        <f t="shared" si="2"/>
        <v>3</v>
      </c>
      <c r="J61" s="46"/>
      <c r="K61" s="63">
        <f t="shared" si="3"/>
        <v>91.895584776099994</v>
      </c>
      <c r="L61" s="64">
        <f t="shared" si="4"/>
        <v>83.178217860800004</v>
      </c>
      <c r="M61" s="64">
        <f t="shared" si="5"/>
        <v>151.20272846303789</v>
      </c>
      <c r="N61" s="64">
        <f t="shared" si="6"/>
        <v>-5.2928113824</v>
      </c>
      <c r="O61" s="64">
        <f t="shared" si="6"/>
        <v>4.678022382</v>
      </c>
      <c r="P61" s="64">
        <f t="shared" si="7"/>
        <v>1.4699354170000003</v>
      </c>
      <c r="Q61" s="65">
        <f t="shared" si="8"/>
        <v>1.7747602459999996</v>
      </c>
    </row>
    <row r="62" spans="6:27" ht="19.5">
      <c r="I62" s="47">
        <f t="shared" si="2"/>
        <v>3</v>
      </c>
      <c r="J62" s="46"/>
      <c r="K62" s="66">
        <f t="shared" si="3"/>
        <v>92.024480825799998</v>
      </c>
      <c r="L62" s="67">
        <f t="shared" si="4"/>
        <v>79.658083125600001</v>
      </c>
      <c r="M62" s="67">
        <f t="shared" si="5"/>
        <v>150.73994978313794</v>
      </c>
      <c r="N62" s="67">
        <f t="shared" si="6"/>
        <v>-7.4423014921000004</v>
      </c>
      <c r="O62" s="67">
        <f t="shared" si="6"/>
        <v>5.4474287335999998</v>
      </c>
      <c r="P62" s="67">
        <f t="shared" si="7"/>
        <v>-0.10225343699999989</v>
      </c>
      <c r="Q62" s="68">
        <f t="shared" si="8"/>
        <v>-4.3135857580000003</v>
      </c>
    </row>
    <row r="63" spans="6:27" ht="19.5">
      <c r="I63" s="47">
        <f t="shared" si="2"/>
        <v>4</v>
      </c>
      <c r="J63" s="46"/>
      <c r="K63" s="57">
        <f t="shared" si="3"/>
        <v>96.588262132899999</v>
      </c>
      <c r="L63" s="58">
        <f t="shared" si="4"/>
        <v>84.512940407299993</v>
      </c>
      <c r="M63" s="58">
        <f t="shared" si="5"/>
        <v>161.07297747093787</v>
      </c>
      <c r="N63" s="58">
        <f t="shared" si="6"/>
        <v>-2.6502274584999999</v>
      </c>
      <c r="O63" s="58">
        <f t="shared" si="6"/>
        <v>-4.8830699257999992</v>
      </c>
      <c r="P63" s="58">
        <f t="shared" si="7"/>
        <v>3.598322392</v>
      </c>
      <c r="Q63" s="59">
        <f t="shared" si="8"/>
        <v>-4.1902191640000002</v>
      </c>
    </row>
    <row r="64" spans="6:27" ht="19.5">
      <c r="I64" s="47">
        <f t="shared" si="2"/>
        <v>4</v>
      </c>
      <c r="J64" s="46"/>
      <c r="K64" s="57">
        <f t="shared" si="3"/>
        <v>91.773504747600001</v>
      </c>
      <c r="L64" s="58">
        <f t="shared" si="4"/>
        <v>78.774260331899995</v>
      </c>
      <c r="M64" s="58">
        <f t="shared" si="5"/>
        <v>159.32775891283791</v>
      </c>
      <c r="N64" s="58">
        <f t="shared" si="6"/>
        <v>-4.5141870579000001</v>
      </c>
      <c r="O64" s="58">
        <f t="shared" si="6"/>
        <v>-0.58207050449999986</v>
      </c>
      <c r="P64" s="58">
        <f t="shared" si="7"/>
        <v>-2.2426519389999999</v>
      </c>
      <c r="Q64" s="59">
        <f t="shared" si="8"/>
        <v>2.9206337930000004</v>
      </c>
    </row>
    <row r="65" spans="9:17" ht="20.25" thickBot="1">
      <c r="I65" s="47">
        <f t="shared" si="2"/>
        <v>4</v>
      </c>
      <c r="J65" s="46"/>
      <c r="K65" s="69">
        <f t="shared" si="3"/>
        <v>89.107849133100004</v>
      </c>
      <c r="L65" s="70">
        <f t="shared" si="4"/>
        <v>76.514698448499999</v>
      </c>
      <c r="M65" s="70">
        <f t="shared" si="5"/>
        <v>152.96119139603792</v>
      </c>
      <c r="N65" s="70">
        <f t="shared" si="6"/>
        <v>-2.0607152184999999</v>
      </c>
      <c r="O65" s="70">
        <f t="shared" si="6"/>
        <v>-0.39732589080000036</v>
      </c>
      <c r="P65" s="70">
        <f t="shared" si="7"/>
        <v>-3.7211527819999999</v>
      </c>
      <c r="Q65" s="71">
        <f t="shared" si="8"/>
        <v>-5.3783967500000003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</row>
    <row r="2" spans="1:36">
      <c r="A2" t="s">
        <v>209</v>
      </c>
      <c r="B2" t="s">
        <v>210</v>
      </c>
      <c r="C2" t="s">
        <v>211</v>
      </c>
      <c r="D2">
        <v>3</v>
      </c>
      <c r="E2" t="s">
        <v>212</v>
      </c>
      <c r="F2" t="s">
        <v>213</v>
      </c>
      <c r="G2" t="s">
        <v>214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2111.0114773532</v>
      </c>
      <c r="R2">
        <v>1512.9520933377</v>
      </c>
      <c r="S2">
        <v>-1.4885226467999999</v>
      </c>
      <c r="T2">
        <v>-0.45209333769999999</v>
      </c>
      <c r="U2">
        <v>1.5556632206000001</v>
      </c>
      <c r="V2">
        <v>718.64940000000001</v>
      </c>
      <c r="W2">
        <v>375.37520000000001</v>
      </c>
      <c r="X2">
        <v>378.53879999999998</v>
      </c>
      <c r="Y2">
        <v>375.82549999999998</v>
      </c>
      <c r="Z2">
        <v>374.0224</v>
      </c>
      <c r="AA2">
        <v>547.29493749999995</v>
      </c>
      <c r="AB2" t="s">
        <v>221</v>
      </c>
      <c r="AC2" t="s">
        <v>222</v>
      </c>
      <c r="AD2" t="s">
        <v>223</v>
      </c>
      <c r="AE2" t="s">
        <v>224</v>
      </c>
      <c r="AF2" t="s">
        <v>225</v>
      </c>
      <c r="AG2">
        <v>7</v>
      </c>
      <c r="AH2" t="s">
        <v>226</v>
      </c>
      <c r="AJ2">
        <v>1</v>
      </c>
    </row>
    <row r="3" spans="1:36">
      <c r="A3" t="s">
        <v>227</v>
      </c>
      <c r="B3" t="s">
        <v>228</v>
      </c>
      <c r="C3" t="s">
        <v>211</v>
      </c>
      <c r="D3">
        <v>3</v>
      </c>
      <c r="E3" t="s">
        <v>212</v>
      </c>
      <c r="F3" t="s">
        <v>213</v>
      </c>
      <c r="G3" t="s">
        <v>214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2113.5559573770001</v>
      </c>
      <c r="R3">
        <v>1516.8393620335</v>
      </c>
      <c r="S3">
        <v>1.0559573769999999</v>
      </c>
      <c r="T3">
        <v>-4.3393620334999996</v>
      </c>
      <c r="U3">
        <v>4.4659947201000003</v>
      </c>
      <c r="V3">
        <v>732.65819999999997</v>
      </c>
      <c r="W3">
        <v>382.8759</v>
      </c>
      <c r="X3">
        <v>387.3689</v>
      </c>
      <c r="Y3">
        <v>383.18680000000001</v>
      </c>
      <c r="Z3">
        <v>384.28899999999999</v>
      </c>
      <c r="AA3">
        <v>558.544175</v>
      </c>
      <c r="AB3" t="s">
        <v>221</v>
      </c>
      <c r="AC3" t="s">
        <v>222</v>
      </c>
      <c r="AD3" t="s">
        <v>223</v>
      </c>
      <c r="AE3" t="s">
        <v>224</v>
      </c>
      <c r="AF3" t="s">
        <v>225</v>
      </c>
      <c r="AG3">
        <v>7</v>
      </c>
      <c r="AH3" t="s">
        <v>226</v>
      </c>
      <c r="AJ3">
        <v>1</v>
      </c>
    </row>
    <row r="4" spans="1:36">
      <c r="A4" t="s">
        <v>234</v>
      </c>
      <c r="B4" t="s">
        <v>235</v>
      </c>
      <c r="C4" t="s">
        <v>211</v>
      </c>
      <c r="D4">
        <v>3</v>
      </c>
      <c r="E4" t="s">
        <v>212</v>
      </c>
      <c r="F4" t="s">
        <v>213</v>
      </c>
      <c r="G4" t="s">
        <v>214</v>
      </c>
      <c r="H4" t="s">
        <v>215</v>
      </c>
      <c r="J4" t="s">
        <v>236</v>
      </c>
      <c r="K4" t="s">
        <v>237</v>
      </c>
      <c r="L4" t="s">
        <v>238</v>
      </c>
      <c r="M4" t="s">
        <v>239</v>
      </c>
      <c r="N4" t="s">
        <v>240</v>
      </c>
      <c r="O4">
        <v>0</v>
      </c>
      <c r="P4">
        <v>0</v>
      </c>
      <c r="Q4">
        <v>2100.3791893844</v>
      </c>
      <c r="R4">
        <v>1510.0887929697001</v>
      </c>
      <c r="S4">
        <v>-12.1208106156</v>
      </c>
      <c r="T4">
        <v>2.4112070302999999</v>
      </c>
      <c r="U4">
        <v>12.358315796399999</v>
      </c>
      <c r="V4">
        <v>734.05039999999997</v>
      </c>
      <c r="W4">
        <v>389.74579999999997</v>
      </c>
      <c r="X4">
        <v>386.60989999999998</v>
      </c>
      <c r="Y4">
        <v>389.40140000000002</v>
      </c>
      <c r="Z4">
        <v>385.69970000000001</v>
      </c>
      <c r="AA4">
        <v>560.95730000000003</v>
      </c>
      <c r="AB4" t="s">
        <v>221</v>
      </c>
      <c r="AC4" t="s">
        <v>222</v>
      </c>
      <c r="AD4" t="s">
        <v>223</v>
      </c>
      <c r="AE4" t="s">
        <v>224</v>
      </c>
      <c r="AF4" t="s">
        <v>225</v>
      </c>
      <c r="AG4">
        <v>7</v>
      </c>
      <c r="AH4" t="s">
        <v>226</v>
      </c>
      <c r="AJ4">
        <v>1</v>
      </c>
    </row>
    <row r="5" spans="1:36">
      <c r="A5" t="s">
        <v>241</v>
      </c>
      <c r="B5" t="s">
        <v>242</v>
      </c>
      <c r="C5" t="s">
        <v>211</v>
      </c>
      <c r="D5">
        <v>3</v>
      </c>
      <c r="E5" t="s">
        <v>212</v>
      </c>
      <c r="F5" t="s">
        <v>213</v>
      </c>
      <c r="G5" t="s">
        <v>214</v>
      </c>
      <c r="H5" t="s">
        <v>215</v>
      </c>
      <c r="J5" t="s">
        <v>243</v>
      </c>
      <c r="K5" t="s">
        <v>244</v>
      </c>
      <c r="L5" t="s">
        <v>245</v>
      </c>
      <c r="M5" t="s">
        <v>246</v>
      </c>
      <c r="N5" t="s">
        <v>247</v>
      </c>
      <c r="O5">
        <v>0</v>
      </c>
      <c r="P5">
        <v>0</v>
      </c>
      <c r="Q5">
        <v>2112.6004404639998</v>
      </c>
      <c r="R5">
        <v>1523.5225978489</v>
      </c>
      <c r="S5">
        <v>0.10044046399999999</v>
      </c>
      <c r="T5">
        <v>-11.0225978489</v>
      </c>
      <c r="U5">
        <v>11.0230554578</v>
      </c>
      <c r="V5">
        <v>734.57190000000003</v>
      </c>
      <c r="W5">
        <v>383.05739999999997</v>
      </c>
      <c r="X5">
        <v>387.11130000000003</v>
      </c>
      <c r="Y5">
        <v>383.3039</v>
      </c>
      <c r="Z5">
        <v>383.82920000000001</v>
      </c>
      <c r="AA5">
        <v>559.44867499999998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>
        <v>7</v>
      </c>
      <c r="AH5" t="s">
        <v>226</v>
      </c>
      <c r="AJ5">
        <v>1</v>
      </c>
    </row>
    <row r="6" spans="1:36">
      <c r="A6" t="s">
        <v>248</v>
      </c>
      <c r="B6" t="s">
        <v>249</v>
      </c>
      <c r="C6" t="s">
        <v>211</v>
      </c>
      <c r="D6">
        <v>3</v>
      </c>
      <c r="E6" t="s">
        <v>212</v>
      </c>
      <c r="F6" t="s">
        <v>213</v>
      </c>
      <c r="G6" t="s">
        <v>214</v>
      </c>
      <c r="H6" t="s">
        <v>215</v>
      </c>
      <c r="J6" t="s">
        <v>250</v>
      </c>
      <c r="K6" t="s">
        <v>251</v>
      </c>
      <c r="L6" t="s">
        <v>252</v>
      </c>
      <c r="M6" t="s">
        <v>253</v>
      </c>
      <c r="N6" t="s">
        <v>254</v>
      </c>
      <c r="O6">
        <v>0</v>
      </c>
      <c r="P6">
        <v>0</v>
      </c>
      <c r="Q6">
        <v>2108.6630406590998</v>
      </c>
      <c r="R6">
        <v>1512.7538179957</v>
      </c>
      <c r="S6">
        <v>-3.8369593409</v>
      </c>
      <c r="T6">
        <v>-0.25381799570000002</v>
      </c>
      <c r="U6">
        <v>3.8453453107</v>
      </c>
      <c r="V6">
        <v>741.58130000000006</v>
      </c>
      <c r="W6">
        <v>390.13229999999999</v>
      </c>
      <c r="X6">
        <v>392.4674</v>
      </c>
      <c r="Y6">
        <v>388.03660000000002</v>
      </c>
      <c r="Z6">
        <v>388.25049999999999</v>
      </c>
      <c r="AA6">
        <v>565.65150000000006</v>
      </c>
      <c r="AB6" t="s">
        <v>221</v>
      </c>
      <c r="AC6" t="s">
        <v>222</v>
      </c>
      <c r="AD6" t="s">
        <v>223</v>
      </c>
      <c r="AE6" t="s">
        <v>224</v>
      </c>
      <c r="AF6" t="s">
        <v>225</v>
      </c>
      <c r="AG6">
        <v>7</v>
      </c>
      <c r="AH6" t="s">
        <v>226</v>
      </c>
      <c r="AJ6">
        <v>1</v>
      </c>
    </row>
    <row r="7" spans="1:36">
      <c r="A7" t="s">
        <v>586</v>
      </c>
      <c r="B7" t="s">
        <v>587</v>
      </c>
      <c r="C7" t="s">
        <v>211</v>
      </c>
      <c r="D7">
        <v>3</v>
      </c>
      <c r="E7" t="s">
        <v>212</v>
      </c>
      <c r="F7" t="s">
        <v>213</v>
      </c>
      <c r="G7" t="s">
        <v>214</v>
      </c>
      <c r="H7" t="s">
        <v>215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2111.2907369169002</v>
      </c>
      <c r="R7">
        <v>1516.8077320791001</v>
      </c>
      <c r="S7">
        <v>-1.2092630831</v>
      </c>
      <c r="T7">
        <v>-4.3077320791</v>
      </c>
      <c r="U7">
        <v>4.4742455084000001</v>
      </c>
      <c r="V7">
        <v>730.48030000000006</v>
      </c>
      <c r="W7">
        <v>387.27609999999999</v>
      </c>
      <c r="X7">
        <v>389.83510000000001</v>
      </c>
      <c r="Y7">
        <v>385.76389999999998</v>
      </c>
      <c r="Z7">
        <v>384.60890000000001</v>
      </c>
      <c r="AA7">
        <v>558.67565000000002</v>
      </c>
      <c r="AB7" t="s">
        <v>221</v>
      </c>
      <c r="AC7" t="s">
        <v>222</v>
      </c>
      <c r="AD7" t="s">
        <v>223</v>
      </c>
      <c r="AE7" t="s">
        <v>224</v>
      </c>
      <c r="AF7" t="s">
        <v>225</v>
      </c>
      <c r="AG7">
        <v>7</v>
      </c>
      <c r="AH7" t="s">
        <v>226</v>
      </c>
      <c r="AJ7">
        <v>1</v>
      </c>
    </row>
    <row r="8" spans="1:36">
      <c r="A8" t="s">
        <v>598</v>
      </c>
      <c r="B8" t="s">
        <v>599</v>
      </c>
      <c r="C8" t="s">
        <v>211</v>
      </c>
      <c r="D8">
        <v>3</v>
      </c>
      <c r="E8" t="s">
        <v>212</v>
      </c>
      <c r="F8" t="s">
        <v>213</v>
      </c>
      <c r="G8" t="s">
        <v>214</v>
      </c>
      <c r="H8" t="s">
        <v>215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2104.8936410164001</v>
      </c>
      <c r="R8">
        <v>1511.3421063849</v>
      </c>
      <c r="S8">
        <v>-7.6063589835999998</v>
      </c>
      <c r="T8">
        <v>1.1578936151000001</v>
      </c>
      <c r="U8">
        <v>7.6939856128999997</v>
      </c>
      <c r="V8">
        <v>729.30640000000005</v>
      </c>
      <c r="W8">
        <v>386.31279999999998</v>
      </c>
      <c r="X8">
        <v>385.1814</v>
      </c>
      <c r="Y8">
        <v>387.0985</v>
      </c>
      <c r="Z8">
        <v>384.03719999999998</v>
      </c>
      <c r="AA8">
        <v>557.48193749999996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>
        <v>7</v>
      </c>
      <c r="AH8" t="s">
        <v>226</v>
      </c>
      <c r="AJ8">
        <v>1</v>
      </c>
    </row>
    <row r="9" spans="1:36">
      <c r="A9" t="s">
        <v>607</v>
      </c>
      <c r="B9" t="s">
        <v>608</v>
      </c>
      <c r="C9" t="s">
        <v>211</v>
      </c>
      <c r="D9">
        <v>3</v>
      </c>
      <c r="E9" t="s">
        <v>212</v>
      </c>
      <c r="F9" t="s">
        <v>213</v>
      </c>
      <c r="G9" t="s">
        <v>214</v>
      </c>
      <c r="H9" t="s">
        <v>215</v>
      </c>
      <c r="J9" t="s">
        <v>609</v>
      </c>
      <c r="K9" t="s">
        <v>610</v>
      </c>
      <c r="L9" t="s">
        <v>611</v>
      </c>
      <c r="M9" t="s">
        <v>612</v>
      </c>
      <c r="N9" t="s">
        <v>613</v>
      </c>
      <c r="O9">
        <v>0</v>
      </c>
      <c r="P9">
        <v>0</v>
      </c>
      <c r="Q9">
        <v>2107.2071886176</v>
      </c>
      <c r="R9">
        <v>1511.8219776179999</v>
      </c>
      <c r="S9">
        <v>-5.2928113824</v>
      </c>
      <c r="T9">
        <v>0.67802238199999998</v>
      </c>
      <c r="U9">
        <v>5.3360628443999998</v>
      </c>
      <c r="V9">
        <v>733.21280000000002</v>
      </c>
      <c r="W9">
        <v>387.36110000000002</v>
      </c>
      <c r="X9">
        <v>385.53699999999998</v>
      </c>
      <c r="Y9">
        <v>386.06880000000001</v>
      </c>
      <c r="Z9">
        <v>382.24720000000002</v>
      </c>
      <c r="AA9">
        <v>559.25816250000003</v>
      </c>
      <c r="AB9" t="s">
        <v>221</v>
      </c>
      <c r="AC9" t="s">
        <v>222</v>
      </c>
      <c r="AD9" t="s">
        <v>223</v>
      </c>
      <c r="AE9" t="s">
        <v>224</v>
      </c>
      <c r="AF9" t="s">
        <v>225</v>
      </c>
      <c r="AG9">
        <v>7</v>
      </c>
      <c r="AH9" t="s">
        <v>226</v>
      </c>
      <c r="AJ9">
        <v>1</v>
      </c>
    </row>
    <row r="10" spans="1:36">
      <c r="A10" t="s">
        <v>622</v>
      </c>
      <c r="B10" t="s">
        <v>623</v>
      </c>
      <c r="C10" t="s">
        <v>211</v>
      </c>
      <c r="D10">
        <v>3</v>
      </c>
      <c r="E10" t="s">
        <v>212</v>
      </c>
      <c r="F10" t="s">
        <v>213</v>
      </c>
      <c r="G10" t="s">
        <v>214</v>
      </c>
      <c r="H10" t="s">
        <v>215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2105.0576985079001</v>
      </c>
      <c r="R10">
        <v>1511.0525712664</v>
      </c>
      <c r="S10">
        <v>-7.4423014921000004</v>
      </c>
      <c r="T10">
        <v>1.4474287336</v>
      </c>
      <c r="U10">
        <v>7.5817479144000002</v>
      </c>
      <c r="V10">
        <v>733.17340000000002</v>
      </c>
      <c r="W10">
        <v>387.61619999999999</v>
      </c>
      <c r="X10">
        <v>385.78339999999997</v>
      </c>
      <c r="Y10">
        <v>386.35419999999999</v>
      </c>
      <c r="Z10">
        <v>384.68669999999997</v>
      </c>
      <c r="AA10">
        <v>559.64176250000003</v>
      </c>
      <c r="AB10" t="s">
        <v>221</v>
      </c>
      <c r="AC10" t="s">
        <v>222</v>
      </c>
      <c r="AD10" t="s">
        <v>223</v>
      </c>
      <c r="AE10" t="s">
        <v>224</v>
      </c>
      <c r="AF10" t="s">
        <v>225</v>
      </c>
      <c r="AG10">
        <v>7</v>
      </c>
      <c r="AH10" t="s">
        <v>226</v>
      </c>
      <c r="AJ10">
        <v>1</v>
      </c>
    </row>
    <row r="11" spans="1:36">
      <c r="A11" t="s">
        <v>631</v>
      </c>
      <c r="B11" t="s">
        <v>632</v>
      </c>
      <c r="C11" t="s">
        <v>211</v>
      </c>
      <c r="D11">
        <v>3</v>
      </c>
      <c r="E11" t="s">
        <v>212</v>
      </c>
      <c r="F11" t="s">
        <v>213</v>
      </c>
      <c r="G11" t="s">
        <v>214</v>
      </c>
      <c r="H11" t="s">
        <v>215</v>
      </c>
      <c r="J11" t="s">
        <v>633</v>
      </c>
      <c r="K11" t="s">
        <v>634</v>
      </c>
      <c r="L11" t="s">
        <v>635</v>
      </c>
      <c r="M11" t="s">
        <v>636</v>
      </c>
      <c r="N11" t="s">
        <v>637</v>
      </c>
      <c r="O11">
        <v>0</v>
      </c>
      <c r="P11">
        <v>0</v>
      </c>
      <c r="Q11">
        <v>2109.8497725415</v>
      </c>
      <c r="R11">
        <v>1521.3830699258001</v>
      </c>
      <c r="S11">
        <v>-2.6502274584999999</v>
      </c>
      <c r="T11">
        <v>-8.8830699257999992</v>
      </c>
      <c r="U11">
        <v>9.2699858083999995</v>
      </c>
      <c r="V11">
        <v>747.79899999999998</v>
      </c>
      <c r="W11">
        <v>393.20850000000002</v>
      </c>
      <c r="X11">
        <v>396.47800000000001</v>
      </c>
      <c r="Y11">
        <v>394.36700000000002</v>
      </c>
      <c r="Z11">
        <v>393.88659999999999</v>
      </c>
      <c r="AA11">
        <v>571.14201249999996</v>
      </c>
      <c r="AB11" t="s">
        <v>221</v>
      </c>
      <c r="AC11" t="s">
        <v>222</v>
      </c>
      <c r="AD11" t="s">
        <v>223</v>
      </c>
      <c r="AE11" t="s">
        <v>224</v>
      </c>
      <c r="AF11" t="s">
        <v>225</v>
      </c>
      <c r="AG11">
        <v>7</v>
      </c>
      <c r="AH11" t="s">
        <v>226</v>
      </c>
      <c r="AJ11">
        <v>1</v>
      </c>
    </row>
    <row r="12" spans="1:36">
      <c r="A12" t="s">
        <v>638</v>
      </c>
      <c r="B12" t="s">
        <v>639</v>
      </c>
      <c r="C12" t="s">
        <v>211</v>
      </c>
      <c r="D12">
        <v>3</v>
      </c>
      <c r="E12" t="s">
        <v>212</v>
      </c>
      <c r="F12" t="s">
        <v>213</v>
      </c>
      <c r="G12" t="s">
        <v>214</v>
      </c>
      <c r="H12" t="s">
        <v>215</v>
      </c>
      <c r="J12" t="s">
        <v>640</v>
      </c>
      <c r="K12" t="s">
        <v>641</v>
      </c>
      <c r="L12" t="s">
        <v>642</v>
      </c>
      <c r="M12" t="s">
        <v>643</v>
      </c>
      <c r="N12" t="s">
        <v>644</v>
      </c>
      <c r="O12">
        <v>0</v>
      </c>
      <c r="P12">
        <v>0</v>
      </c>
      <c r="Q12">
        <v>2107.9858129421</v>
      </c>
      <c r="R12">
        <v>1517.0820705045001</v>
      </c>
      <c r="S12">
        <v>-4.5141870579000001</v>
      </c>
      <c r="T12">
        <v>-4.5820705044999999</v>
      </c>
      <c r="U12">
        <v>6.4322045134000003</v>
      </c>
      <c r="V12">
        <v>752.6748</v>
      </c>
      <c r="W12">
        <v>392.15859999999998</v>
      </c>
      <c r="X12">
        <v>397.71609999999998</v>
      </c>
      <c r="Y12">
        <v>394.57440000000003</v>
      </c>
      <c r="Z12">
        <v>392.08120000000002</v>
      </c>
      <c r="AA12">
        <v>573.40368750000005</v>
      </c>
      <c r="AB12" t="s">
        <v>221</v>
      </c>
      <c r="AC12" t="s">
        <v>222</v>
      </c>
      <c r="AD12" t="s">
        <v>223</v>
      </c>
      <c r="AE12" t="s">
        <v>224</v>
      </c>
      <c r="AF12" t="s">
        <v>225</v>
      </c>
      <c r="AG12">
        <v>7</v>
      </c>
      <c r="AH12" t="s">
        <v>226</v>
      </c>
      <c r="AJ12">
        <v>1</v>
      </c>
    </row>
    <row r="13" spans="1:36">
      <c r="A13" t="s">
        <v>658</v>
      </c>
      <c r="B13" t="s">
        <v>659</v>
      </c>
      <c r="C13" t="s">
        <v>211</v>
      </c>
      <c r="D13">
        <v>3</v>
      </c>
      <c r="E13" t="s">
        <v>212</v>
      </c>
      <c r="F13" t="s">
        <v>213</v>
      </c>
      <c r="G13" t="s">
        <v>214</v>
      </c>
      <c r="H13" t="s">
        <v>215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2110.4392847815002</v>
      </c>
      <c r="R13">
        <v>1516.8973258907999</v>
      </c>
      <c r="S13">
        <v>-2.0607152184999999</v>
      </c>
      <c r="T13">
        <v>-4.3973258908000004</v>
      </c>
      <c r="U13">
        <v>4.8562353939999996</v>
      </c>
      <c r="V13">
        <v>744.06410000000005</v>
      </c>
      <c r="W13">
        <v>388.6379</v>
      </c>
      <c r="X13">
        <v>394.57279999999997</v>
      </c>
      <c r="Y13">
        <v>388.82560000000001</v>
      </c>
      <c r="Z13">
        <v>387.44619999999998</v>
      </c>
      <c r="AA13">
        <v>566.96736250000004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>
        <v>7</v>
      </c>
      <c r="AH13" t="s">
        <v>226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255</v>
      </c>
      <c r="R1" t="s">
        <v>256</v>
      </c>
      <c r="S1" t="s">
        <v>257</v>
      </c>
      <c r="T1" t="s">
        <v>258</v>
      </c>
      <c r="U1" t="s">
        <v>259</v>
      </c>
      <c r="V1" t="s">
        <v>260</v>
      </c>
      <c r="W1" t="s">
        <v>261</v>
      </c>
      <c r="X1" t="s">
        <v>262</v>
      </c>
      <c r="Y1" t="s">
        <v>263</v>
      </c>
      <c r="Z1" t="s">
        <v>264</v>
      </c>
      <c r="AA1" t="s">
        <v>265</v>
      </c>
      <c r="AB1" t="s">
        <v>266</v>
      </c>
      <c r="AC1" t="s">
        <v>267</v>
      </c>
      <c r="AD1" t="s">
        <v>268</v>
      </c>
      <c r="AE1" t="s">
        <v>269</v>
      </c>
      <c r="AF1" t="s">
        <v>270</v>
      </c>
      <c r="AG1" t="s">
        <v>271</v>
      </c>
      <c r="AH1" t="s">
        <v>272</v>
      </c>
      <c r="AI1" t="s">
        <v>273</v>
      </c>
      <c r="AJ1" t="s">
        <v>274</v>
      </c>
      <c r="AK1" t="s">
        <v>275</v>
      </c>
      <c r="AL1" t="s">
        <v>276</v>
      </c>
      <c r="AM1" t="s">
        <v>277</v>
      </c>
      <c r="AN1" t="s">
        <v>278</v>
      </c>
      <c r="AO1" t="s">
        <v>279</v>
      </c>
      <c r="AP1" t="s">
        <v>280</v>
      </c>
      <c r="AQ1" t="s">
        <v>281</v>
      </c>
      <c r="AR1" t="s">
        <v>282</v>
      </c>
      <c r="AS1" t="s">
        <v>283</v>
      </c>
      <c r="AT1" t="s">
        <v>284</v>
      </c>
      <c r="AU1" t="s">
        <v>285</v>
      </c>
      <c r="AV1" t="s">
        <v>206</v>
      </c>
      <c r="AW1" t="s">
        <v>207</v>
      </c>
      <c r="AX1" t="s">
        <v>208</v>
      </c>
    </row>
    <row r="2" spans="1:50">
      <c r="A2" t="s">
        <v>286</v>
      </c>
      <c r="B2" t="s">
        <v>287</v>
      </c>
      <c r="C2" t="s">
        <v>211</v>
      </c>
      <c r="D2">
        <v>3</v>
      </c>
      <c r="E2" t="s">
        <v>212</v>
      </c>
      <c r="F2" t="s">
        <v>213</v>
      </c>
      <c r="G2" t="s">
        <v>288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-5.6356200000000001E-5</v>
      </c>
      <c r="R2">
        <v>1.653820992</v>
      </c>
      <c r="S2">
        <v>-4.441900253</v>
      </c>
      <c r="T2">
        <v>-3.075783253</v>
      </c>
      <c r="U2">
        <v>5.7717008590000001</v>
      </c>
      <c r="V2">
        <v>-1.194771171</v>
      </c>
      <c r="W2">
        <v>-0.66523158599999999</v>
      </c>
      <c r="X2">
        <v>3.6303580000000002E-2</v>
      </c>
      <c r="Y2">
        <v>3.0087971690000002</v>
      </c>
      <c r="Z2">
        <v>7.5039859999999998E-3</v>
      </c>
      <c r="AA2">
        <v>-0.83961254399999996</v>
      </c>
      <c r="AB2">
        <v>-2.1298236849999999</v>
      </c>
      <c r="AC2">
        <v>6.5263391000000004E-2</v>
      </c>
      <c r="AD2">
        <v>0.68056392700000001</v>
      </c>
      <c r="AE2">
        <v>0.84920525599999996</v>
      </c>
      <c r="AF2">
        <v>-0.97544616500000003</v>
      </c>
      <c r="AG2">
        <v>1.2251510619999999</v>
      </c>
      <c r="AH2">
        <v>-0.39613914500000003</v>
      </c>
      <c r="AI2">
        <v>-0.50845879299999996</v>
      </c>
      <c r="AJ2">
        <v>-0.12790143500000001</v>
      </c>
      <c r="AK2">
        <v>1.6663E-4</v>
      </c>
      <c r="AL2">
        <v>4.0789804999999998E-2</v>
      </c>
      <c r="AM2">
        <v>3.3045217000000002E-2</v>
      </c>
      <c r="AN2">
        <v>8.2408220000000004E-2</v>
      </c>
      <c r="AO2">
        <v>0.141546428</v>
      </c>
      <c r="AP2">
        <v>0.16946491599999999</v>
      </c>
      <c r="AQ2">
        <v>4.7397892080000004</v>
      </c>
      <c r="AR2" t="s">
        <v>289</v>
      </c>
      <c r="AS2" t="s">
        <v>290</v>
      </c>
      <c r="AT2">
        <v>3</v>
      </c>
      <c r="AU2">
        <v>2.9</v>
      </c>
      <c r="AX2">
        <v>1</v>
      </c>
    </row>
    <row r="3" spans="1:50">
      <c r="A3" t="s">
        <v>291</v>
      </c>
      <c r="B3" t="s">
        <v>292</v>
      </c>
      <c r="C3" t="s">
        <v>211</v>
      </c>
      <c r="D3">
        <v>3</v>
      </c>
      <c r="E3" t="s">
        <v>212</v>
      </c>
      <c r="F3" t="s">
        <v>213</v>
      </c>
      <c r="G3" t="s">
        <v>288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1.09911E-4</v>
      </c>
      <c r="R3">
        <v>9.0957527159999998</v>
      </c>
      <c r="S3">
        <v>-3.1418299680000001</v>
      </c>
      <c r="T3">
        <v>-4.8174548149999996</v>
      </c>
      <c r="U3">
        <v>-0.72992169900000003</v>
      </c>
      <c r="V3">
        <v>-2.0006120209999998</v>
      </c>
      <c r="W3">
        <v>-3.299654E-3</v>
      </c>
      <c r="X3">
        <v>0.54709827899999997</v>
      </c>
      <c r="Y3">
        <v>3.7735586169999999</v>
      </c>
      <c r="Z3">
        <v>0.91678828000000001</v>
      </c>
      <c r="AA3">
        <v>6.7403319999999999E-3</v>
      </c>
      <c r="AB3">
        <v>-0.82716321999999998</v>
      </c>
      <c r="AC3">
        <v>-0.30515015099999998</v>
      </c>
      <c r="AD3">
        <v>-0.20890408799999999</v>
      </c>
      <c r="AE3">
        <v>-0.52318060399999999</v>
      </c>
      <c r="AF3">
        <v>-1.1886613370000001</v>
      </c>
      <c r="AG3">
        <v>-0.269414455</v>
      </c>
      <c r="AH3">
        <v>-0.56904238500000004</v>
      </c>
      <c r="AI3">
        <v>-0.54989016099999999</v>
      </c>
      <c r="AJ3">
        <v>-5.7439274999999998E-2</v>
      </c>
      <c r="AK3">
        <v>1.8701300000000001E-4</v>
      </c>
      <c r="AL3">
        <v>4.2760722000000001E-2</v>
      </c>
      <c r="AM3">
        <v>0.12997260699999999</v>
      </c>
      <c r="AN3">
        <v>5.5187326000000002E-2</v>
      </c>
      <c r="AO3">
        <v>0.12997260699999999</v>
      </c>
      <c r="AP3">
        <v>0.17657498999999999</v>
      </c>
      <c r="AQ3">
        <v>9.6230874990000004</v>
      </c>
      <c r="AR3" t="s">
        <v>289</v>
      </c>
      <c r="AS3" t="s">
        <v>290</v>
      </c>
      <c r="AT3">
        <v>3</v>
      </c>
      <c r="AU3">
        <v>2.9</v>
      </c>
      <c r="AX3">
        <v>1</v>
      </c>
    </row>
    <row r="4" spans="1:50">
      <c r="A4" t="s">
        <v>293</v>
      </c>
      <c r="B4" t="s">
        <v>294</v>
      </c>
      <c r="C4" t="s">
        <v>211</v>
      </c>
      <c r="D4">
        <v>3</v>
      </c>
      <c r="E4" t="s">
        <v>212</v>
      </c>
      <c r="F4" t="s">
        <v>213</v>
      </c>
      <c r="G4" t="s">
        <v>288</v>
      </c>
      <c r="H4" t="s">
        <v>215</v>
      </c>
      <c r="J4" t="s">
        <v>236</v>
      </c>
      <c r="K4" t="s">
        <v>237</v>
      </c>
      <c r="L4" t="s">
        <v>238</v>
      </c>
      <c r="M4" t="s">
        <v>239</v>
      </c>
      <c r="N4" t="s">
        <v>240</v>
      </c>
      <c r="O4">
        <v>0</v>
      </c>
      <c r="P4">
        <v>0</v>
      </c>
      <c r="Q4">
        <v>-9.2389999999999995E-7</v>
      </c>
      <c r="R4">
        <v>-2.1400179860000001</v>
      </c>
      <c r="S4">
        <v>3.127194405</v>
      </c>
      <c r="T4">
        <v>-0.93382859200000001</v>
      </c>
      <c r="U4">
        <v>4.798635483</v>
      </c>
      <c r="V4">
        <v>-2.78472352</v>
      </c>
      <c r="W4">
        <v>-0.172820687</v>
      </c>
      <c r="X4">
        <v>3.2067046170000002</v>
      </c>
      <c r="Y4">
        <v>2.6210770609999998</v>
      </c>
      <c r="Z4">
        <v>0.66047179700000003</v>
      </c>
      <c r="AA4">
        <v>0.94489473099999999</v>
      </c>
      <c r="AB4">
        <v>-1.51940918</v>
      </c>
      <c r="AC4">
        <v>0.75914371000000003</v>
      </c>
      <c r="AD4">
        <v>-0.15530315</v>
      </c>
      <c r="AE4">
        <v>-0.640125155</v>
      </c>
      <c r="AF4">
        <v>-0.763038993</v>
      </c>
      <c r="AG4">
        <v>-0.37292736799999998</v>
      </c>
      <c r="AH4">
        <v>0.116660535</v>
      </c>
      <c r="AI4">
        <v>-4.0717423000000003E-2</v>
      </c>
      <c r="AJ4">
        <v>-0.58599090600000003</v>
      </c>
      <c r="AK4">
        <v>2.0727399999999999E-4</v>
      </c>
      <c r="AL4">
        <v>4.7996134000000003E-2</v>
      </c>
      <c r="AM4">
        <v>6.2893047999999993E-2</v>
      </c>
      <c r="AN4">
        <v>0.151093587</v>
      </c>
      <c r="AO4">
        <v>0.17130564200000001</v>
      </c>
      <c r="AP4">
        <v>0.186027572</v>
      </c>
      <c r="AQ4">
        <v>5.5558797179999999</v>
      </c>
      <c r="AR4" t="s">
        <v>289</v>
      </c>
      <c r="AS4" t="s">
        <v>290</v>
      </c>
      <c r="AT4">
        <v>3</v>
      </c>
      <c r="AU4">
        <v>2.9</v>
      </c>
      <c r="AX4">
        <v>1</v>
      </c>
    </row>
    <row r="5" spans="1:50">
      <c r="A5" t="s">
        <v>295</v>
      </c>
      <c r="B5" t="s">
        <v>296</v>
      </c>
      <c r="C5" t="s">
        <v>211</v>
      </c>
      <c r="D5">
        <v>3</v>
      </c>
      <c r="E5" t="s">
        <v>212</v>
      </c>
      <c r="F5" t="s">
        <v>213</v>
      </c>
      <c r="G5" t="s">
        <v>288</v>
      </c>
      <c r="H5" t="s">
        <v>215</v>
      </c>
      <c r="J5" t="s">
        <v>243</v>
      </c>
      <c r="K5" t="s">
        <v>244</v>
      </c>
      <c r="L5" t="s">
        <v>245</v>
      </c>
      <c r="M5" t="s">
        <v>246</v>
      </c>
      <c r="N5" t="s">
        <v>247</v>
      </c>
      <c r="O5">
        <v>0</v>
      </c>
      <c r="P5">
        <v>0</v>
      </c>
      <c r="Q5">
        <v>-1.0705E-4</v>
      </c>
      <c r="R5">
        <v>-3.3036272530000002</v>
      </c>
      <c r="S5">
        <v>-3.35219121</v>
      </c>
      <c r="T5">
        <v>-1.2535334E-2</v>
      </c>
      <c r="U5">
        <v>5.8960437780000001</v>
      </c>
      <c r="V5">
        <v>-4.9860873220000004</v>
      </c>
      <c r="W5">
        <v>5.2808790209999996</v>
      </c>
      <c r="X5">
        <v>-0.81130194700000002</v>
      </c>
      <c r="Y5">
        <v>2.6005010610000001</v>
      </c>
      <c r="Z5">
        <v>1.257753611</v>
      </c>
      <c r="AA5">
        <v>0.469629884</v>
      </c>
      <c r="AB5">
        <v>-2.8585600850000001</v>
      </c>
      <c r="AC5">
        <v>0.89961862599999998</v>
      </c>
      <c r="AD5">
        <v>-1.7603880169999999</v>
      </c>
      <c r="AE5">
        <v>1.0093657970000001</v>
      </c>
      <c r="AF5">
        <v>-1.3968605999999999</v>
      </c>
      <c r="AG5">
        <v>-0.21011811499999999</v>
      </c>
      <c r="AH5">
        <v>-2.891392E-3</v>
      </c>
      <c r="AI5">
        <v>-0.61070996499999997</v>
      </c>
      <c r="AJ5">
        <v>0.19565734300000001</v>
      </c>
      <c r="AK5">
        <v>2.6139199999999999E-4</v>
      </c>
      <c r="AL5">
        <v>5.1269829000000003E-2</v>
      </c>
      <c r="AM5">
        <v>0.137065888</v>
      </c>
      <c r="AN5">
        <v>0.118982278</v>
      </c>
      <c r="AO5">
        <v>0.17143982699999999</v>
      </c>
      <c r="AP5">
        <v>0.17536269099999999</v>
      </c>
      <c r="AQ5">
        <v>4.7064996470000002</v>
      </c>
      <c r="AR5" t="s">
        <v>289</v>
      </c>
      <c r="AS5" t="s">
        <v>290</v>
      </c>
      <c r="AT5">
        <v>3</v>
      </c>
      <c r="AU5">
        <v>2.9</v>
      </c>
      <c r="AX5">
        <v>1</v>
      </c>
    </row>
    <row r="6" spans="1:50">
      <c r="A6" t="s">
        <v>583</v>
      </c>
      <c r="B6" t="s">
        <v>585</v>
      </c>
      <c r="C6" t="s">
        <v>211</v>
      </c>
      <c r="D6">
        <v>3</v>
      </c>
      <c r="E6" t="s">
        <v>212</v>
      </c>
      <c r="F6" t="s">
        <v>213</v>
      </c>
      <c r="G6" t="s">
        <v>288</v>
      </c>
      <c r="H6" t="s">
        <v>215</v>
      </c>
      <c r="J6" t="s">
        <v>250</v>
      </c>
      <c r="K6" t="s">
        <v>251</v>
      </c>
      <c r="L6" t="s">
        <v>252</v>
      </c>
      <c r="M6" t="s">
        <v>253</v>
      </c>
      <c r="N6" t="s">
        <v>254</v>
      </c>
      <c r="O6">
        <v>0</v>
      </c>
      <c r="P6">
        <v>0</v>
      </c>
      <c r="Q6">
        <v>-1.5020399999999999E-5</v>
      </c>
      <c r="R6">
        <v>4.461389542</v>
      </c>
      <c r="S6">
        <v>1.221679926</v>
      </c>
      <c r="T6">
        <v>-3.8979432580000002</v>
      </c>
      <c r="U6">
        <v>3.9106509690000002</v>
      </c>
      <c r="V6">
        <v>1.079635978</v>
      </c>
      <c r="W6">
        <v>-2.3767113999999999E-2</v>
      </c>
      <c r="X6">
        <v>-3.435775757</v>
      </c>
      <c r="Y6">
        <v>1.9614059930000001</v>
      </c>
      <c r="Z6">
        <v>1.2731893059999999</v>
      </c>
      <c r="AA6">
        <v>0.35575109700000002</v>
      </c>
      <c r="AB6">
        <v>-1.5835192199999999</v>
      </c>
      <c r="AC6">
        <v>-1.032421351</v>
      </c>
      <c r="AD6">
        <v>8.0680849999999991E-3</v>
      </c>
      <c r="AE6">
        <v>1.9049172400000001</v>
      </c>
      <c r="AF6">
        <v>1.1775652169999999</v>
      </c>
      <c r="AG6">
        <v>0.77363681799999995</v>
      </c>
      <c r="AH6">
        <v>-0.37704947599999999</v>
      </c>
      <c r="AI6">
        <v>-0.381208718</v>
      </c>
      <c r="AJ6">
        <v>6.3087731999999994E-2</v>
      </c>
      <c r="AK6">
        <v>3.1832200000000001E-4</v>
      </c>
      <c r="AL6">
        <v>5.8729983999999999E-2</v>
      </c>
      <c r="AM6">
        <v>7.2339616999999995E-2</v>
      </c>
      <c r="AN6">
        <v>8.6315199999999995E-2</v>
      </c>
      <c r="AO6">
        <v>0.121399805</v>
      </c>
      <c r="AP6">
        <v>0.121399805</v>
      </c>
      <c r="AQ6">
        <v>4.6256349280000002</v>
      </c>
      <c r="AR6" t="s">
        <v>289</v>
      </c>
      <c r="AS6" t="s">
        <v>290</v>
      </c>
      <c r="AT6">
        <v>3</v>
      </c>
      <c r="AU6">
        <v>2.9</v>
      </c>
      <c r="AX6">
        <v>1</v>
      </c>
    </row>
    <row r="7" spans="1:50">
      <c r="A7" t="s">
        <v>595</v>
      </c>
      <c r="B7" t="s">
        <v>596</v>
      </c>
      <c r="C7" t="s">
        <v>211</v>
      </c>
      <c r="D7">
        <v>3</v>
      </c>
      <c r="E7" t="s">
        <v>212</v>
      </c>
      <c r="F7" t="s">
        <v>213</v>
      </c>
      <c r="G7" t="s">
        <v>288</v>
      </c>
      <c r="H7" t="s">
        <v>215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4.8637400000000003E-5</v>
      </c>
      <c r="R7">
        <v>4.7961621279999997</v>
      </c>
      <c r="S7">
        <v>-0.57237756299999998</v>
      </c>
      <c r="T7">
        <v>1.4456895590000001</v>
      </c>
      <c r="U7">
        <v>7.2649722099999998</v>
      </c>
      <c r="V7">
        <v>-1.73416543</v>
      </c>
      <c r="W7">
        <v>-1.3406635520000001</v>
      </c>
      <c r="X7">
        <v>3.0381581780000002</v>
      </c>
      <c r="Y7">
        <v>1.094821692</v>
      </c>
      <c r="Z7">
        <v>-0.82344162499999995</v>
      </c>
      <c r="AA7">
        <v>0.48627483799999999</v>
      </c>
      <c r="AB7">
        <v>-2.8002104760000002</v>
      </c>
      <c r="AC7">
        <v>0.170893878</v>
      </c>
      <c r="AD7">
        <v>0.16638863100000001</v>
      </c>
      <c r="AE7">
        <v>-0.91790211200000005</v>
      </c>
      <c r="AF7">
        <v>-0.427044749</v>
      </c>
      <c r="AG7">
        <v>0.37563371699999998</v>
      </c>
      <c r="AH7">
        <v>0.44176453399999999</v>
      </c>
      <c r="AI7">
        <v>1.5134633E-2</v>
      </c>
      <c r="AJ7">
        <v>-0.21447776299999999</v>
      </c>
      <c r="AK7">
        <v>1.5351500000000001E-4</v>
      </c>
      <c r="AL7">
        <v>4.1112534999999999E-2</v>
      </c>
      <c r="AM7">
        <v>9.0525790999999994E-2</v>
      </c>
      <c r="AN7">
        <v>5.8647814999999999E-2</v>
      </c>
      <c r="AO7">
        <v>0.207124114</v>
      </c>
      <c r="AP7">
        <v>0.207124114</v>
      </c>
      <c r="AQ7">
        <v>4.8301953620000004</v>
      </c>
      <c r="AR7" t="s">
        <v>289</v>
      </c>
      <c r="AS7" t="s">
        <v>290</v>
      </c>
      <c r="AT7">
        <v>3</v>
      </c>
      <c r="AU7">
        <v>2.9</v>
      </c>
      <c r="AX7">
        <v>1</v>
      </c>
    </row>
    <row r="8" spans="1:50">
      <c r="A8" t="s">
        <v>614</v>
      </c>
      <c r="B8" t="s">
        <v>615</v>
      </c>
      <c r="C8" t="s">
        <v>211</v>
      </c>
      <c r="D8">
        <v>3</v>
      </c>
      <c r="E8" t="s">
        <v>212</v>
      </c>
      <c r="F8" t="s">
        <v>213</v>
      </c>
      <c r="G8" t="s">
        <v>288</v>
      </c>
      <c r="H8" t="s">
        <v>215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4.5299500000000002E-5</v>
      </c>
      <c r="R8">
        <v>6.7425384519999998</v>
      </c>
      <c r="S8">
        <v>-6.2228345870000004</v>
      </c>
      <c r="T8">
        <v>-4.3288502690000001</v>
      </c>
      <c r="U8">
        <v>1.7043659689999999</v>
      </c>
      <c r="V8">
        <v>3.0210824010000001</v>
      </c>
      <c r="W8">
        <v>-0.95171415800000003</v>
      </c>
      <c r="X8">
        <v>4.1605319979999997</v>
      </c>
      <c r="Y8">
        <v>3.6203708649999999</v>
      </c>
      <c r="Z8">
        <v>-1.1183146239999999</v>
      </c>
      <c r="AA8">
        <v>1.3753809930000001</v>
      </c>
      <c r="AB8">
        <v>-2.018018723</v>
      </c>
      <c r="AC8">
        <v>-1.4050288200000001</v>
      </c>
      <c r="AD8">
        <v>-0.19770085800000001</v>
      </c>
      <c r="AE8">
        <v>-1.374270916</v>
      </c>
      <c r="AF8">
        <v>-1.164330721</v>
      </c>
      <c r="AG8">
        <v>0.26829046000000001</v>
      </c>
      <c r="AH8">
        <v>-0.179797977</v>
      </c>
      <c r="AI8">
        <v>0.28500544999999999</v>
      </c>
      <c r="AJ8">
        <v>-0.34482234699999997</v>
      </c>
      <c r="AK8">
        <v>1.75928E-4</v>
      </c>
      <c r="AL8">
        <v>4.3568473000000003E-2</v>
      </c>
      <c r="AM8">
        <v>0.14190097199999999</v>
      </c>
      <c r="AN8">
        <v>0.173210949</v>
      </c>
      <c r="AO8">
        <v>0.17579466099999999</v>
      </c>
      <c r="AP8">
        <v>0.22217193299999999</v>
      </c>
      <c r="AQ8">
        <v>9.1752653960000004</v>
      </c>
      <c r="AR8" t="s">
        <v>289</v>
      </c>
      <c r="AS8" t="s">
        <v>290</v>
      </c>
      <c r="AT8">
        <v>3</v>
      </c>
      <c r="AU8">
        <v>2.9</v>
      </c>
      <c r="AX8">
        <v>1</v>
      </c>
    </row>
    <row r="9" spans="1:50">
      <c r="A9" t="s">
        <v>616</v>
      </c>
      <c r="B9" t="s">
        <v>617</v>
      </c>
      <c r="C9" t="s">
        <v>211</v>
      </c>
      <c r="D9">
        <v>3</v>
      </c>
      <c r="E9" t="s">
        <v>212</v>
      </c>
      <c r="F9" t="s">
        <v>213</v>
      </c>
      <c r="G9" t="s">
        <v>288</v>
      </c>
      <c r="H9" t="s">
        <v>215</v>
      </c>
      <c r="J9" t="s">
        <v>609</v>
      </c>
      <c r="K9" t="s">
        <v>610</v>
      </c>
      <c r="L9" t="s">
        <v>611</v>
      </c>
      <c r="M9" t="s">
        <v>612</v>
      </c>
      <c r="N9" t="s">
        <v>613</v>
      </c>
      <c r="O9">
        <v>0</v>
      </c>
      <c r="P9">
        <v>0</v>
      </c>
      <c r="Q9">
        <v>3.19481E-5</v>
      </c>
      <c r="R9">
        <v>5.4699354170000003</v>
      </c>
      <c r="S9">
        <v>4.7747602459999996</v>
      </c>
      <c r="T9">
        <v>-3.4087700839999999</v>
      </c>
      <c r="U9">
        <v>5.8527913089999997</v>
      </c>
      <c r="V9">
        <v>-3.535333633</v>
      </c>
      <c r="W9">
        <v>-0.82903242099999996</v>
      </c>
      <c r="X9">
        <v>2.945101261</v>
      </c>
      <c r="Y9">
        <v>2.6518335340000001</v>
      </c>
      <c r="Z9">
        <v>0.205155909</v>
      </c>
      <c r="AA9">
        <v>8.0519675999999998E-2</v>
      </c>
      <c r="AB9">
        <v>-2.004206419</v>
      </c>
      <c r="AC9">
        <v>1.023364782</v>
      </c>
      <c r="AD9">
        <v>0.69354343399999996</v>
      </c>
      <c r="AE9">
        <v>-0.86132961500000005</v>
      </c>
      <c r="AF9">
        <v>-0.82178693999999997</v>
      </c>
      <c r="AG9">
        <v>0.36376070999999999</v>
      </c>
      <c r="AH9">
        <v>-0.35011804099999999</v>
      </c>
      <c r="AI9">
        <v>-3.4478663999999999E-2</v>
      </c>
      <c r="AJ9">
        <v>-0.30345419099999998</v>
      </c>
      <c r="AK9">
        <v>1.78247E-4</v>
      </c>
      <c r="AL9">
        <v>4.2318917999999997E-2</v>
      </c>
      <c r="AM9">
        <v>0.102639034</v>
      </c>
      <c r="AN9">
        <v>0.13918377500000001</v>
      </c>
      <c r="AO9">
        <v>0.214603186</v>
      </c>
      <c r="AP9">
        <v>0.21912473399999999</v>
      </c>
      <c r="AQ9">
        <v>7.9541215340000004</v>
      </c>
      <c r="AR9" t="s">
        <v>289</v>
      </c>
      <c r="AS9" t="s">
        <v>290</v>
      </c>
      <c r="AT9">
        <v>3</v>
      </c>
      <c r="AU9">
        <v>2.9</v>
      </c>
      <c r="AX9">
        <v>1</v>
      </c>
    </row>
    <row r="10" spans="1:50">
      <c r="A10" t="s">
        <v>645</v>
      </c>
      <c r="B10" t="s">
        <v>646</v>
      </c>
      <c r="C10" t="s">
        <v>211</v>
      </c>
      <c r="D10">
        <v>3</v>
      </c>
      <c r="E10" t="s">
        <v>212</v>
      </c>
      <c r="F10" t="s">
        <v>213</v>
      </c>
      <c r="G10" t="s">
        <v>288</v>
      </c>
      <c r="H10" t="s">
        <v>215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1.35303E-5</v>
      </c>
      <c r="R10">
        <v>3.8977465630000001</v>
      </c>
      <c r="S10">
        <v>-1.3135857580000001</v>
      </c>
      <c r="T10">
        <v>-2.3220868110000001</v>
      </c>
      <c r="U10">
        <v>-7.8169346000000001E-2</v>
      </c>
      <c r="V10">
        <v>-0.35040199799999999</v>
      </c>
      <c r="W10">
        <v>-3.6166958810000001</v>
      </c>
      <c r="X10">
        <v>-1.4950135950000001</v>
      </c>
      <c r="Y10">
        <v>4.0939507480000001</v>
      </c>
      <c r="Z10">
        <v>-1.22809732</v>
      </c>
      <c r="AA10">
        <v>-1.108674049</v>
      </c>
      <c r="AB10">
        <v>-0.66439443799999998</v>
      </c>
      <c r="AC10">
        <v>0.41406017499999997</v>
      </c>
      <c r="AD10">
        <v>1.3890804050000001</v>
      </c>
      <c r="AE10">
        <v>0.70626956200000002</v>
      </c>
      <c r="AF10">
        <v>-1.8803486819999999</v>
      </c>
      <c r="AG10">
        <v>-0.34590703299999997</v>
      </c>
      <c r="AH10">
        <v>0.499495417</v>
      </c>
      <c r="AI10">
        <v>-0.15761011799999999</v>
      </c>
      <c r="AJ10">
        <v>0.67415702300000002</v>
      </c>
      <c r="AK10">
        <v>2.2062399999999999E-4</v>
      </c>
      <c r="AL10">
        <v>4.7739942E-2</v>
      </c>
      <c r="AM10">
        <v>9.2063888999999996E-2</v>
      </c>
      <c r="AN10">
        <v>3.5574172000000001E-2</v>
      </c>
      <c r="AO10">
        <v>9.2063888999999996E-2</v>
      </c>
      <c r="AP10">
        <v>0.151769668</v>
      </c>
      <c r="AQ10">
        <v>4.1131418420000001</v>
      </c>
      <c r="AR10" t="s">
        <v>289</v>
      </c>
      <c r="AS10" t="s">
        <v>290</v>
      </c>
      <c r="AT10">
        <v>3</v>
      </c>
      <c r="AU10">
        <v>2.9</v>
      </c>
      <c r="AX10">
        <v>1</v>
      </c>
    </row>
    <row r="11" spans="1:50">
      <c r="A11" t="s">
        <v>647</v>
      </c>
      <c r="B11" t="s">
        <v>648</v>
      </c>
      <c r="C11" t="s">
        <v>211</v>
      </c>
      <c r="D11">
        <v>3</v>
      </c>
      <c r="E11" t="s">
        <v>212</v>
      </c>
      <c r="F11" t="s">
        <v>213</v>
      </c>
      <c r="G11" t="s">
        <v>288</v>
      </c>
      <c r="H11" t="s">
        <v>215</v>
      </c>
      <c r="J11" t="s">
        <v>633</v>
      </c>
      <c r="K11" t="s">
        <v>634</v>
      </c>
      <c r="L11" t="s">
        <v>635</v>
      </c>
      <c r="M11" t="s">
        <v>636</v>
      </c>
      <c r="N11" t="s">
        <v>637</v>
      </c>
      <c r="O11">
        <v>0</v>
      </c>
      <c r="P11">
        <v>0</v>
      </c>
      <c r="Q11">
        <v>5.3167300000000002E-5</v>
      </c>
      <c r="R11">
        <v>7.598322392</v>
      </c>
      <c r="S11">
        <v>-1.1902191639999999</v>
      </c>
      <c r="T11">
        <v>-6.5038928990000002</v>
      </c>
      <c r="U11">
        <v>3.159124136</v>
      </c>
      <c r="V11">
        <v>0.94390755900000001</v>
      </c>
      <c r="W11">
        <v>-3.263968706</v>
      </c>
      <c r="X11">
        <v>-1.535009861</v>
      </c>
      <c r="Y11">
        <v>3.4192266459999998</v>
      </c>
      <c r="Z11">
        <v>-0.59987539099999998</v>
      </c>
      <c r="AA11">
        <v>0.17147266899999999</v>
      </c>
      <c r="AB11">
        <v>-1.4498748779999999</v>
      </c>
      <c r="AC11">
        <v>-1.0084060000000001E-3</v>
      </c>
      <c r="AD11">
        <v>1.7235419750000001</v>
      </c>
      <c r="AE11">
        <v>0.79571199400000003</v>
      </c>
      <c r="AF11">
        <v>0.126339912</v>
      </c>
      <c r="AG11">
        <v>0.98497378800000002</v>
      </c>
      <c r="AH11">
        <v>-0.211833417</v>
      </c>
      <c r="AI11">
        <v>0.94864738000000004</v>
      </c>
      <c r="AJ11">
        <v>9.2791400999999996E-2</v>
      </c>
      <c r="AK11">
        <v>2.3487200000000001E-4</v>
      </c>
      <c r="AL11">
        <v>5.0227995999999997E-2</v>
      </c>
      <c r="AM11">
        <v>0.12795828300000001</v>
      </c>
      <c r="AN11">
        <v>3.1054284000000001E-2</v>
      </c>
      <c r="AO11">
        <v>0.12795828300000001</v>
      </c>
      <c r="AP11">
        <v>0.176148206</v>
      </c>
      <c r="AQ11">
        <v>7.6909768449999998</v>
      </c>
      <c r="AR11" t="s">
        <v>289</v>
      </c>
      <c r="AS11" t="s">
        <v>290</v>
      </c>
      <c r="AT11">
        <v>3</v>
      </c>
      <c r="AU11">
        <v>2.9</v>
      </c>
      <c r="AX11">
        <v>1</v>
      </c>
    </row>
    <row r="12" spans="1:50">
      <c r="A12" t="s">
        <v>655</v>
      </c>
      <c r="B12" t="s">
        <v>656</v>
      </c>
      <c r="C12" t="s">
        <v>211</v>
      </c>
      <c r="D12">
        <v>3</v>
      </c>
      <c r="E12" t="s">
        <v>212</v>
      </c>
      <c r="F12" t="s">
        <v>213</v>
      </c>
      <c r="G12" t="s">
        <v>288</v>
      </c>
      <c r="H12" t="s">
        <v>215</v>
      </c>
      <c r="J12" t="s">
        <v>640</v>
      </c>
      <c r="K12" t="s">
        <v>641</v>
      </c>
      <c r="L12" t="s">
        <v>642</v>
      </c>
      <c r="M12" t="s">
        <v>643</v>
      </c>
      <c r="N12" t="s">
        <v>644</v>
      </c>
      <c r="O12">
        <v>0</v>
      </c>
      <c r="P12">
        <v>0</v>
      </c>
      <c r="Q12">
        <v>3.6776100000000002E-5</v>
      </c>
      <c r="R12">
        <v>1.7573480610000001</v>
      </c>
      <c r="S12">
        <v>5.9206337930000004</v>
      </c>
      <c r="T12">
        <v>-4.5161581039999996</v>
      </c>
      <c r="U12">
        <v>3.7646522519999999</v>
      </c>
      <c r="V12">
        <v>2.2875621320000001</v>
      </c>
      <c r="W12">
        <v>-2.0806617740000002</v>
      </c>
      <c r="X12">
        <v>-3.330090046</v>
      </c>
      <c r="Y12">
        <v>3.6353147030000001</v>
      </c>
      <c r="Z12">
        <v>-0.48170116499999999</v>
      </c>
      <c r="AA12">
        <v>0.31337994299999999</v>
      </c>
      <c r="AB12">
        <v>-1.4900600909999999</v>
      </c>
      <c r="AC12">
        <v>-0.107652545</v>
      </c>
      <c r="AD12">
        <v>0.35311353200000001</v>
      </c>
      <c r="AE12">
        <v>1.164222002</v>
      </c>
      <c r="AF12">
        <v>-1.29055655</v>
      </c>
      <c r="AG12">
        <v>1.555527E-2</v>
      </c>
      <c r="AH12">
        <v>0.43135601299999998</v>
      </c>
      <c r="AI12">
        <v>0.60147088800000004</v>
      </c>
      <c r="AJ12">
        <v>3.6379217999999998E-2</v>
      </c>
      <c r="AK12">
        <v>2.2696500000000001E-4</v>
      </c>
      <c r="AL12">
        <v>4.7816641999999999E-2</v>
      </c>
      <c r="AM12">
        <v>6.4318269999999997E-2</v>
      </c>
      <c r="AN12">
        <v>0.123714343</v>
      </c>
      <c r="AO12">
        <v>0.130937263</v>
      </c>
      <c r="AP12">
        <v>0.203250349</v>
      </c>
      <c r="AQ12">
        <v>6.175935291</v>
      </c>
      <c r="AR12" t="s">
        <v>289</v>
      </c>
      <c r="AS12" t="s">
        <v>290</v>
      </c>
      <c r="AT12">
        <v>3</v>
      </c>
      <c r="AU12">
        <v>2.9</v>
      </c>
      <c r="AX12">
        <v>1</v>
      </c>
    </row>
    <row r="13" spans="1:50">
      <c r="A13" t="s">
        <v>665</v>
      </c>
      <c r="B13" t="s">
        <v>666</v>
      </c>
      <c r="C13" t="s">
        <v>211</v>
      </c>
      <c r="D13">
        <v>3</v>
      </c>
      <c r="E13" t="s">
        <v>212</v>
      </c>
      <c r="F13" t="s">
        <v>213</v>
      </c>
      <c r="G13" t="s">
        <v>288</v>
      </c>
      <c r="H13" t="s">
        <v>215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-4.62532E-5</v>
      </c>
      <c r="R13">
        <v>0.27884721800000001</v>
      </c>
      <c r="S13">
        <v>-2.3783967499999998</v>
      </c>
      <c r="T13">
        <v>4.7290134430000004</v>
      </c>
      <c r="U13">
        <v>9.1959209439999992</v>
      </c>
      <c r="V13">
        <v>0.23019510500000001</v>
      </c>
      <c r="W13">
        <v>-0.53938567599999998</v>
      </c>
      <c r="X13">
        <v>0.61359673699999995</v>
      </c>
      <c r="Y13">
        <v>1.6157561540000001</v>
      </c>
      <c r="Z13">
        <v>-0.68286132799999999</v>
      </c>
      <c r="AA13">
        <v>-2.3225277999999999E-2</v>
      </c>
      <c r="AB13">
        <v>-2.8799076079999999</v>
      </c>
      <c r="AC13">
        <v>-0.153712392</v>
      </c>
      <c r="AD13">
        <v>0.23139938700000001</v>
      </c>
      <c r="AE13">
        <v>-7.0480852999999996E-2</v>
      </c>
      <c r="AF13">
        <v>-1.663878918</v>
      </c>
      <c r="AG13">
        <v>0.21265065699999999</v>
      </c>
      <c r="AH13">
        <v>3.7117556000000003E-2</v>
      </c>
      <c r="AI13">
        <v>-0.80221378799999998</v>
      </c>
      <c r="AJ13">
        <v>0.36157467999999998</v>
      </c>
      <c r="AK13">
        <v>2.4810499999999998E-4</v>
      </c>
      <c r="AL13">
        <v>5.0841399000000002E-2</v>
      </c>
      <c r="AM13">
        <v>2.3380023999999999E-2</v>
      </c>
      <c r="AN13">
        <v>4.7095690000000003E-2</v>
      </c>
      <c r="AO13">
        <v>0.19981268099999999</v>
      </c>
      <c r="AP13">
        <v>0.19981268099999999</v>
      </c>
      <c r="AQ13">
        <v>2.394687217</v>
      </c>
      <c r="AR13" t="s">
        <v>289</v>
      </c>
      <c r="AS13" t="s">
        <v>290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206</v>
      </c>
      <c r="AE1" t="s">
        <v>207</v>
      </c>
      <c r="AF1" t="s">
        <v>208</v>
      </c>
    </row>
    <row r="2" spans="1:32">
      <c r="A2" t="s">
        <v>286</v>
      </c>
      <c r="B2" t="s">
        <v>310</v>
      </c>
      <c r="C2" t="s">
        <v>211</v>
      </c>
      <c r="D2">
        <v>3</v>
      </c>
      <c r="E2" t="s">
        <v>212</v>
      </c>
      <c r="F2" t="s">
        <v>213</v>
      </c>
      <c r="G2" t="s">
        <v>288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2.3460410557000002</v>
      </c>
      <c r="R2">
        <v>16</v>
      </c>
      <c r="S2">
        <v>99.770416342299995</v>
      </c>
      <c r="T2">
        <v>90.603486627699994</v>
      </c>
      <c r="U2">
        <v>3.8970965457000002</v>
      </c>
      <c r="V2">
        <v>4.5468288000000004E-3</v>
      </c>
      <c r="W2">
        <v>-6.5372100000000004E-5</v>
      </c>
      <c r="X2">
        <v>3.8750464147999999</v>
      </c>
      <c r="Y2">
        <v>99.364092230799997</v>
      </c>
      <c r="Z2">
        <v>79.787073598399999</v>
      </c>
      <c r="AA2">
        <v>313.42585694989998</v>
      </c>
      <c r="AB2">
        <v>337.03282476509997</v>
      </c>
      <c r="AC2">
        <v>1</v>
      </c>
      <c r="AF2">
        <v>1</v>
      </c>
    </row>
    <row r="3" spans="1:32">
      <c r="A3" t="s">
        <v>291</v>
      </c>
      <c r="B3" t="s">
        <v>311</v>
      </c>
      <c r="C3" t="s">
        <v>211</v>
      </c>
      <c r="D3">
        <v>3</v>
      </c>
      <c r="E3" t="s">
        <v>212</v>
      </c>
      <c r="F3" t="s">
        <v>213</v>
      </c>
      <c r="G3" t="s">
        <v>288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0</v>
      </c>
      <c r="R3">
        <v>0</v>
      </c>
      <c r="S3">
        <v>102.5068331574</v>
      </c>
      <c r="T3">
        <v>102.5068331574</v>
      </c>
      <c r="U3">
        <v>3.726622721</v>
      </c>
      <c r="V3">
        <v>4.1686014000000002E-3</v>
      </c>
      <c r="W3">
        <v>-6.5057799999999999E-5</v>
      </c>
      <c r="X3">
        <v>3.6502285312999998</v>
      </c>
      <c r="Y3">
        <v>102.50643768339999</v>
      </c>
      <c r="Z3">
        <v>84.227584559099995</v>
      </c>
      <c r="AA3">
        <v>325.89469381150002</v>
      </c>
      <c r="AB3">
        <v>350.13168161700003</v>
      </c>
      <c r="AC3">
        <v>1</v>
      </c>
      <c r="AF3">
        <v>1</v>
      </c>
    </row>
    <row r="4" spans="1:32">
      <c r="A4" t="s">
        <v>293</v>
      </c>
      <c r="B4" t="s">
        <v>312</v>
      </c>
      <c r="C4" t="s">
        <v>211</v>
      </c>
      <c r="D4">
        <v>3</v>
      </c>
      <c r="E4" t="s">
        <v>212</v>
      </c>
      <c r="F4" t="s">
        <v>213</v>
      </c>
      <c r="G4" t="s">
        <v>288</v>
      </c>
      <c r="H4" t="s">
        <v>215</v>
      </c>
      <c r="J4" t="s">
        <v>236</v>
      </c>
      <c r="K4" t="s">
        <v>237</v>
      </c>
      <c r="L4" t="s">
        <v>238</v>
      </c>
      <c r="M4" t="s">
        <v>239</v>
      </c>
      <c r="N4" t="s">
        <v>240</v>
      </c>
      <c r="O4">
        <v>0</v>
      </c>
      <c r="P4">
        <v>0</v>
      </c>
      <c r="Q4">
        <v>-1.1730205279000001</v>
      </c>
      <c r="R4">
        <v>-8</v>
      </c>
      <c r="S4">
        <v>101.8379862095</v>
      </c>
      <c r="T4">
        <v>106.2197929761</v>
      </c>
      <c r="U4">
        <v>3.7401268376000001</v>
      </c>
      <c r="V4">
        <v>3.8786570999999998E-3</v>
      </c>
      <c r="W4">
        <v>-6.3100299999999996E-5</v>
      </c>
      <c r="X4">
        <v>3.6658122521999998</v>
      </c>
      <c r="Y4">
        <v>101.336669255</v>
      </c>
      <c r="Z4">
        <v>88.411569653300006</v>
      </c>
      <c r="AA4">
        <v>323.56666186540002</v>
      </c>
      <c r="AB4">
        <v>347.86865389709999</v>
      </c>
      <c r="AC4">
        <v>1</v>
      </c>
      <c r="AF4">
        <v>1</v>
      </c>
    </row>
    <row r="5" spans="1:32">
      <c r="A5" t="s">
        <v>295</v>
      </c>
      <c r="B5" t="s">
        <v>313</v>
      </c>
      <c r="C5" t="s">
        <v>211</v>
      </c>
      <c r="D5">
        <v>3</v>
      </c>
      <c r="E5" t="s">
        <v>212</v>
      </c>
      <c r="F5" t="s">
        <v>213</v>
      </c>
      <c r="G5" t="s">
        <v>288</v>
      </c>
      <c r="H5" t="s">
        <v>215</v>
      </c>
      <c r="J5" t="s">
        <v>243</v>
      </c>
      <c r="K5" t="s">
        <v>244</v>
      </c>
      <c r="L5" t="s">
        <v>245</v>
      </c>
      <c r="M5" t="s">
        <v>246</v>
      </c>
      <c r="N5" t="s">
        <v>247</v>
      </c>
      <c r="O5">
        <v>0</v>
      </c>
      <c r="P5">
        <v>0</v>
      </c>
      <c r="Q5">
        <v>0</v>
      </c>
      <c r="R5">
        <v>0</v>
      </c>
      <c r="S5">
        <v>98.549738634899995</v>
      </c>
      <c r="T5">
        <v>98.549738634899995</v>
      </c>
      <c r="U5">
        <v>3.6719035969</v>
      </c>
      <c r="V5">
        <v>4.5375058999999997E-3</v>
      </c>
      <c r="W5">
        <v>-6.3015099999999999E-5</v>
      </c>
      <c r="X5">
        <v>3.6319113792</v>
      </c>
      <c r="Y5">
        <v>98.046461563299999</v>
      </c>
      <c r="Z5">
        <v>81.904363799899997</v>
      </c>
      <c r="AA5">
        <v>325.80650862520002</v>
      </c>
      <c r="AB5">
        <v>348.10168617779999</v>
      </c>
      <c r="AC5">
        <v>1</v>
      </c>
      <c r="AF5">
        <v>1</v>
      </c>
    </row>
    <row r="6" spans="1:32">
      <c r="A6" t="s">
        <v>583</v>
      </c>
      <c r="B6" t="s">
        <v>584</v>
      </c>
      <c r="C6" t="s">
        <v>211</v>
      </c>
      <c r="D6">
        <v>3</v>
      </c>
      <c r="E6" t="s">
        <v>212</v>
      </c>
      <c r="F6" t="s">
        <v>213</v>
      </c>
      <c r="G6" t="s">
        <v>288</v>
      </c>
      <c r="H6" t="s">
        <v>215</v>
      </c>
      <c r="J6" t="s">
        <v>250</v>
      </c>
      <c r="K6" t="s">
        <v>251</v>
      </c>
      <c r="L6" t="s">
        <v>252</v>
      </c>
      <c r="M6" t="s">
        <v>253</v>
      </c>
      <c r="N6" t="s">
        <v>254</v>
      </c>
      <c r="O6">
        <v>0</v>
      </c>
      <c r="P6">
        <v>0</v>
      </c>
      <c r="Q6">
        <v>1.1730205279000001</v>
      </c>
      <c r="R6">
        <v>8</v>
      </c>
      <c r="S6">
        <v>96.939888976600002</v>
      </c>
      <c r="T6">
        <v>92.458753367</v>
      </c>
      <c r="U6">
        <v>3.8136517757999999</v>
      </c>
      <c r="V6">
        <v>5.6437290000000001E-3</v>
      </c>
      <c r="W6">
        <v>-7.5494399999999993E-5</v>
      </c>
      <c r="X6">
        <v>3.7920822181</v>
      </c>
      <c r="Y6">
        <v>95.738277327700004</v>
      </c>
      <c r="Z6">
        <v>81.624917319299996</v>
      </c>
      <c r="AA6">
        <v>327.10238066929998</v>
      </c>
      <c r="AB6">
        <v>350.6169744229</v>
      </c>
      <c r="AC6">
        <v>1</v>
      </c>
      <c r="AF6">
        <v>1</v>
      </c>
    </row>
    <row r="7" spans="1:32">
      <c r="A7" t="s">
        <v>595</v>
      </c>
      <c r="B7" t="s">
        <v>597</v>
      </c>
      <c r="C7" t="s">
        <v>211</v>
      </c>
      <c r="D7">
        <v>3</v>
      </c>
      <c r="E7" t="s">
        <v>212</v>
      </c>
      <c r="F7" t="s">
        <v>213</v>
      </c>
      <c r="G7" t="s">
        <v>288</v>
      </c>
      <c r="H7" t="s">
        <v>215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-2.3460410557000002</v>
      </c>
      <c r="R7">
        <v>-16</v>
      </c>
      <c r="S7">
        <v>106.7799820899</v>
      </c>
      <c r="T7">
        <v>115.3568599633</v>
      </c>
      <c r="U7">
        <v>3.6649824723000002</v>
      </c>
      <c r="V7">
        <v>3.7319571000000002E-3</v>
      </c>
      <c r="W7">
        <v>-6.0494100000000001E-5</v>
      </c>
      <c r="X7">
        <v>3.6030519977000002</v>
      </c>
      <c r="Y7">
        <v>106.0791906197</v>
      </c>
      <c r="Z7">
        <v>89.886709582700007</v>
      </c>
      <c r="AA7">
        <v>314.9355065327</v>
      </c>
      <c r="AB7">
        <v>340.12703121240003</v>
      </c>
      <c r="AC7">
        <v>1</v>
      </c>
      <c r="AF7">
        <v>1</v>
      </c>
    </row>
    <row r="8" spans="1:32">
      <c r="A8" t="s">
        <v>614</v>
      </c>
      <c r="B8" t="s">
        <v>618</v>
      </c>
      <c r="C8" t="s">
        <v>211</v>
      </c>
      <c r="D8">
        <v>3</v>
      </c>
      <c r="E8" t="s">
        <v>212</v>
      </c>
      <c r="F8" t="s">
        <v>213</v>
      </c>
      <c r="G8" t="s">
        <v>288</v>
      </c>
      <c r="H8" t="s">
        <v>215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-3.5190615836000001</v>
      </c>
      <c r="R8">
        <v>-24</v>
      </c>
      <c r="S8">
        <v>100.4013266738</v>
      </c>
      <c r="T8">
        <v>113.7018747314</v>
      </c>
      <c r="U8">
        <v>3.7939936669000001</v>
      </c>
      <c r="V8">
        <v>3.8683000999999999E-3</v>
      </c>
      <c r="W8">
        <v>-6.5284900000000002E-5</v>
      </c>
      <c r="X8">
        <v>3.7184884242999998</v>
      </c>
      <c r="Y8">
        <v>99.895307447199997</v>
      </c>
      <c r="Z8">
        <v>80.6146869536</v>
      </c>
      <c r="AA8">
        <v>328.67651907620001</v>
      </c>
      <c r="AB8">
        <v>351.40130605439998</v>
      </c>
      <c r="AC8">
        <v>1</v>
      </c>
      <c r="AF8">
        <v>1</v>
      </c>
    </row>
    <row r="9" spans="1:32">
      <c r="A9" t="s">
        <v>616</v>
      </c>
      <c r="B9" t="s">
        <v>619</v>
      </c>
      <c r="C9" t="s">
        <v>211</v>
      </c>
      <c r="D9">
        <v>3</v>
      </c>
      <c r="E9" t="s">
        <v>212</v>
      </c>
      <c r="F9" t="s">
        <v>213</v>
      </c>
      <c r="G9" t="s">
        <v>288</v>
      </c>
      <c r="H9" t="s">
        <v>215</v>
      </c>
      <c r="J9" t="s">
        <v>609</v>
      </c>
      <c r="K9" t="s">
        <v>610</v>
      </c>
      <c r="L9" t="s">
        <v>611</v>
      </c>
      <c r="M9" t="s">
        <v>612</v>
      </c>
      <c r="N9" t="s">
        <v>613</v>
      </c>
      <c r="O9">
        <v>0</v>
      </c>
      <c r="P9">
        <v>0</v>
      </c>
      <c r="Q9">
        <v>0</v>
      </c>
      <c r="R9">
        <v>0</v>
      </c>
      <c r="S9">
        <v>99.895584776099994</v>
      </c>
      <c r="T9">
        <v>99.895584776099994</v>
      </c>
      <c r="U9">
        <v>3.7281960409999999</v>
      </c>
      <c r="V9">
        <v>4.7637186999999999E-3</v>
      </c>
      <c r="W9">
        <v>-6.6534799999999999E-5</v>
      </c>
      <c r="X9">
        <v>3.6940347091999999</v>
      </c>
      <c r="Y9">
        <v>99.395683764099999</v>
      </c>
      <c r="Z9">
        <v>83.178217860800004</v>
      </c>
      <c r="AA9">
        <v>322.70583405320002</v>
      </c>
      <c r="AB9">
        <v>347.22073726439999</v>
      </c>
      <c r="AC9">
        <v>1</v>
      </c>
      <c r="AF9">
        <v>1</v>
      </c>
    </row>
    <row r="10" spans="1:32">
      <c r="A10" t="s">
        <v>645</v>
      </c>
      <c r="B10" t="s">
        <v>649</v>
      </c>
      <c r="C10" t="s">
        <v>211</v>
      </c>
      <c r="D10">
        <v>3</v>
      </c>
      <c r="E10" t="s">
        <v>212</v>
      </c>
      <c r="F10" t="s">
        <v>213</v>
      </c>
      <c r="G10" t="s">
        <v>288</v>
      </c>
      <c r="H10" t="s">
        <v>215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-1.1730205279000001</v>
      </c>
      <c r="R10">
        <v>-8</v>
      </c>
      <c r="S10">
        <v>100.0244808258</v>
      </c>
      <c r="T10">
        <v>104.4026406357</v>
      </c>
      <c r="U10">
        <v>3.7385023144999998</v>
      </c>
      <c r="V10">
        <v>5.1373469E-3</v>
      </c>
      <c r="W10">
        <v>-6.8942400000000006E-5</v>
      </c>
      <c r="X10">
        <v>3.7254462015000001</v>
      </c>
      <c r="Y10">
        <v>98.9090060833</v>
      </c>
      <c r="Z10">
        <v>79.658083125600001</v>
      </c>
      <c r="AA10">
        <v>322.24305537319998</v>
      </c>
      <c r="AB10">
        <v>346.40611495109999</v>
      </c>
      <c r="AC10">
        <v>1</v>
      </c>
      <c r="AF10">
        <v>1</v>
      </c>
    </row>
    <row r="11" spans="1:32">
      <c r="A11" t="s">
        <v>647</v>
      </c>
      <c r="B11" t="s">
        <v>650</v>
      </c>
      <c r="C11" t="s">
        <v>211</v>
      </c>
      <c r="D11">
        <v>3</v>
      </c>
      <c r="E11" t="s">
        <v>212</v>
      </c>
      <c r="F11" t="s">
        <v>213</v>
      </c>
      <c r="G11" t="s">
        <v>288</v>
      </c>
      <c r="H11" t="s">
        <v>215</v>
      </c>
      <c r="J11" t="s">
        <v>633</v>
      </c>
      <c r="K11" t="s">
        <v>634</v>
      </c>
      <c r="L11" t="s">
        <v>635</v>
      </c>
      <c r="M11" t="s">
        <v>636</v>
      </c>
      <c r="N11" t="s">
        <v>637</v>
      </c>
      <c r="O11">
        <v>0</v>
      </c>
      <c r="P11">
        <v>0</v>
      </c>
      <c r="Q11">
        <v>0</v>
      </c>
      <c r="R11">
        <v>0</v>
      </c>
      <c r="S11">
        <v>104.5882621329</v>
      </c>
      <c r="T11">
        <v>104.5882621329</v>
      </c>
      <c r="U11">
        <v>3.7857319408999999</v>
      </c>
      <c r="V11">
        <v>5.0088171999999997E-3</v>
      </c>
      <c r="W11">
        <v>-7.2469400000000001E-5</v>
      </c>
      <c r="X11">
        <v>3.7254886676000001</v>
      </c>
      <c r="Y11">
        <v>102.47209472759999</v>
      </c>
      <c r="Z11">
        <v>84.512940407299993</v>
      </c>
      <c r="AA11">
        <v>332.57608306089998</v>
      </c>
      <c r="AB11">
        <v>355.18136044720001</v>
      </c>
      <c r="AC11">
        <v>1</v>
      </c>
      <c r="AF11">
        <v>1</v>
      </c>
    </row>
    <row r="12" spans="1:32">
      <c r="A12" t="s">
        <v>655</v>
      </c>
      <c r="B12" t="s">
        <v>657</v>
      </c>
      <c r="C12" t="s">
        <v>211</v>
      </c>
      <c r="D12">
        <v>3</v>
      </c>
      <c r="E12" t="s">
        <v>212</v>
      </c>
      <c r="F12" t="s">
        <v>213</v>
      </c>
      <c r="G12" t="s">
        <v>288</v>
      </c>
      <c r="H12" t="s">
        <v>215</v>
      </c>
      <c r="J12" t="s">
        <v>640</v>
      </c>
      <c r="K12" t="s">
        <v>641</v>
      </c>
      <c r="L12" t="s">
        <v>642</v>
      </c>
      <c r="M12" t="s">
        <v>643</v>
      </c>
      <c r="N12" t="s">
        <v>644</v>
      </c>
      <c r="O12">
        <v>0</v>
      </c>
      <c r="P12">
        <v>0</v>
      </c>
      <c r="Q12">
        <v>1.1730205279000001</v>
      </c>
      <c r="R12">
        <v>8</v>
      </c>
      <c r="S12">
        <v>99.773504747600001</v>
      </c>
      <c r="T12">
        <v>95.479217863200006</v>
      </c>
      <c r="U12">
        <v>3.6550270968</v>
      </c>
      <c r="V12">
        <v>5.0630431000000002E-3</v>
      </c>
      <c r="W12">
        <v>-6.2923500000000002E-5</v>
      </c>
      <c r="X12">
        <v>3.6438835419000002</v>
      </c>
      <c r="Y12">
        <v>98.766616880599997</v>
      </c>
      <c r="Z12">
        <v>78.774260331899995</v>
      </c>
      <c r="AA12">
        <v>330.8308645029</v>
      </c>
      <c r="AB12">
        <v>355.13661351770003</v>
      </c>
      <c r="AC12">
        <v>1</v>
      </c>
      <c r="AF12">
        <v>1</v>
      </c>
    </row>
    <row r="13" spans="1:32">
      <c r="A13" t="s">
        <v>665</v>
      </c>
      <c r="B13" t="s">
        <v>667</v>
      </c>
      <c r="C13" t="s">
        <v>211</v>
      </c>
      <c r="D13">
        <v>3</v>
      </c>
      <c r="E13" t="s">
        <v>212</v>
      </c>
      <c r="F13" t="s">
        <v>213</v>
      </c>
      <c r="G13" t="s">
        <v>288</v>
      </c>
      <c r="H13" t="s">
        <v>215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0</v>
      </c>
      <c r="R13">
        <v>0</v>
      </c>
      <c r="S13">
        <v>97.107849133100004</v>
      </c>
      <c r="T13">
        <v>97.107849133100004</v>
      </c>
      <c r="U13">
        <v>3.7402122401</v>
      </c>
      <c r="V13">
        <v>4.8074422000000004E-3</v>
      </c>
      <c r="W13">
        <v>-6.6347500000000001E-5</v>
      </c>
      <c r="X13">
        <v>3.7108808082000002</v>
      </c>
      <c r="Y13">
        <v>96.406512680899993</v>
      </c>
      <c r="Z13">
        <v>76.514698448499999</v>
      </c>
      <c r="AA13">
        <v>324.46429698610001</v>
      </c>
      <c r="AB13">
        <v>347.03801343610002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314</v>
      </c>
      <c r="R1" t="s">
        <v>315</v>
      </c>
      <c r="S1" t="s">
        <v>316</v>
      </c>
      <c r="T1" t="s">
        <v>317</v>
      </c>
      <c r="U1" t="s">
        <v>318</v>
      </c>
      <c r="V1" t="s">
        <v>319</v>
      </c>
      <c r="W1" t="s">
        <v>320</v>
      </c>
      <c r="X1" t="s">
        <v>321</v>
      </c>
      <c r="Y1" t="s">
        <v>322</v>
      </c>
      <c r="Z1" t="s">
        <v>323</v>
      </c>
      <c r="AA1" t="s">
        <v>324</v>
      </c>
      <c r="AB1" t="s">
        <v>325</v>
      </c>
      <c r="AC1" t="s">
        <v>326</v>
      </c>
      <c r="AD1" t="s">
        <v>327</v>
      </c>
      <c r="AE1" t="s">
        <v>328</v>
      </c>
      <c r="AF1" t="s">
        <v>329</v>
      </c>
      <c r="AG1" t="s">
        <v>330</v>
      </c>
      <c r="AH1" t="s">
        <v>331</v>
      </c>
      <c r="AI1" t="s">
        <v>332</v>
      </c>
      <c r="AJ1" t="s">
        <v>333</v>
      </c>
      <c r="AK1" t="s">
        <v>334</v>
      </c>
      <c r="AL1" t="s">
        <v>335</v>
      </c>
      <c r="AM1" t="s">
        <v>336</v>
      </c>
      <c r="AN1" t="s">
        <v>337</v>
      </c>
      <c r="AO1" t="s">
        <v>338</v>
      </c>
      <c r="AP1" t="s">
        <v>339</v>
      </c>
      <c r="AQ1" t="s">
        <v>340</v>
      </c>
      <c r="AR1" t="s">
        <v>341</v>
      </c>
      <c r="AS1" t="s">
        <v>342</v>
      </c>
      <c r="AT1" t="s">
        <v>343</v>
      </c>
      <c r="AU1" t="s">
        <v>344</v>
      </c>
      <c r="AV1" t="s">
        <v>345</v>
      </c>
      <c r="AW1" t="s">
        <v>346</v>
      </c>
      <c r="AX1" t="s">
        <v>347</v>
      </c>
      <c r="AY1" t="s">
        <v>348</v>
      </c>
      <c r="AZ1" t="s">
        <v>349</v>
      </c>
      <c r="BA1" t="s">
        <v>350</v>
      </c>
      <c r="BB1" t="s">
        <v>351</v>
      </c>
      <c r="BC1" t="s">
        <v>352</v>
      </c>
      <c r="BD1" t="s">
        <v>353</v>
      </c>
      <c r="BE1" t="s">
        <v>354</v>
      </c>
      <c r="BF1" t="s">
        <v>355</v>
      </c>
      <c r="BG1" t="s">
        <v>356</v>
      </c>
      <c r="BH1" t="s">
        <v>357</v>
      </c>
      <c r="BI1" t="s">
        <v>358</v>
      </c>
      <c r="BJ1" t="s">
        <v>359</v>
      </c>
      <c r="BK1" t="s">
        <v>360</v>
      </c>
      <c r="BL1" t="s">
        <v>361</v>
      </c>
      <c r="BM1" t="s">
        <v>362</v>
      </c>
      <c r="BN1" t="s">
        <v>363</v>
      </c>
      <c r="BO1" t="s">
        <v>364</v>
      </c>
      <c r="BP1" t="s">
        <v>365</v>
      </c>
      <c r="BQ1" t="s">
        <v>366</v>
      </c>
      <c r="BR1" t="s">
        <v>367</v>
      </c>
      <c r="BS1" t="s">
        <v>368</v>
      </c>
      <c r="BT1" t="s">
        <v>369</v>
      </c>
      <c r="BU1" t="s">
        <v>370</v>
      </c>
      <c r="BV1" t="s">
        <v>371</v>
      </c>
      <c r="BW1" t="s">
        <v>372</v>
      </c>
      <c r="BX1" t="s">
        <v>373</v>
      </c>
      <c r="BY1" t="s">
        <v>374</v>
      </c>
      <c r="BZ1" t="s">
        <v>375</v>
      </c>
      <c r="CA1" t="s">
        <v>376</v>
      </c>
      <c r="CB1" t="s">
        <v>377</v>
      </c>
      <c r="CC1" t="s">
        <v>378</v>
      </c>
      <c r="CD1" t="s">
        <v>379</v>
      </c>
      <c r="CE1" t="s">
        <v>380</v>
      </c>
      <c r="CF1" t="s">
        <v>381</v>
      </c>
      <c r="CG1" t="s">
        <v>382</v>
      </c>
      <c r="CH1" t="s">
        <v>383</v>
      </c>
      <c r="CI1" t="s">
        <v>384</v>
      </c>
      <c r="CJ1" t="s">
        <v>385</v>
      </c>
      <c r="CK1" t="s">
        <v>386</v>
      </c>
      <c r="CL1" t="s">
        <v>387</v>
      </c>
      <c r="CM1" t="s">
        <v>388</v>
      </c>
      <c r="CN1" t="s">
        <v>389</v>
      </c>
      <c r="CO1" t="s">
        <v>390</v>
      </c>
      <c r="CP1" t="s">
        <v>391</v>
      </c>
      <c r="CQ1" t="s">
        <v>392</v>
      </c>
      <c r="CR1" t="s">
        <v>393</v>
      </c>
      <c r="CS1" t="s">
        <v>394</v>
      </c>
      <c r="CT1" t="s">
        <v>395</v>
      </c>
      <c r="CU1" t="s">
        <v>396</v>
      </c>
      <c r="CV1" t="s">
        <v>397</v>
      </c>
      <c r="CW1" t="s">
        <v>398</v>
      </c>
      <c r="CX1" t="s">
        <v>399</v>
      </c>
      <c r="CY1" t="s">
        <v>400</v>
      </c>
      <c r="CZ1" t="s">
        <v>401</v>
      </c>
      <c r="DA1" t="s">
        <v>402</v>
      </c>
      <c r="DB1" t="s">
        <v>403</v>
      </c>
      <c r="DC1" t="s">
        <v>404</v>
      </c>
      <c r="DD1" t="s">
        <v>405</v>
      </c>
      <c r="DE1" t="s">
        <v>406</v>
      </c>
      <c r="DF1" t="s">
        <v>407</v>
      </c>
      <c r="DG1" t="s">
        <v>408</v>
      </c>
      <c r="DH1" t="s">
        <v>409</v>
      </c>
      <c r="DI1" t="s">
        <v>410</v>
      </c>
      <c r="DJ1" t="s">
        <v>411</v>
      </c>
      <c r="DK1" t="s">
        <v>412</v>
      </c>
      <c r="DL1" t="s">
        <v>413</v>
      </c>
      <c r="DM1" t="s">
        <v>414</v>
      </c>
      <c r="DN1" t="s">
        <v>415</v>
      </c>
      <c r="DO1" t="s">
        <v>416</v>
      </c>
      <c r="DP1" t="s">
        <v>417</v>
      </c>
      <c r="DQ1" t="s">
        <v>418</v>
      </c>
      <c r="DR1" t="s">
        <v>419</v>
      </c>
      <c r="DS1" t="s">
        <v>420</v>
      </c>
      <c r="DT1" t="s">
        <v>421</v>
      </c>
      <c r="DU1" t="s">
        <v>422</v>
      </c>
      <c r="DV1" t="s">
        <v>423</v>
      </c>
      <c r="DW1" t="s">
        <v>424</v>
      </c>
      <c r="DX1" t="s">
        <v>425</v>
      </c>
      <c r="DY1" t="s">
        <v>426</v>
      </c>
      <c r="DZ1" t="s">
        <v>427</v>
      </c>
      <c r="EA1" t="s">
        <v>428</v>
      </c>
      <c r="EB1" t="s">
        <v>429</v>
      </c>
      <c r="EC1" t="s">
        <v>430</v>
      </c>
      <c r="ED1" t="s">
        <v>431</v>
      </c>
      <c r="EE1" t="s">
        <v>432</v>
      </c>
      <c r="EF1" t="s">
        <v>433</v>
      </c>
      <c r="EG1" t="s">
        <v>434</v>
      </c>
      <c r="EH1" t="s">
        <v>435</v>
      </c>
      <c r="EI1" t="s">
        <v>436</v>
      </c>
      <c r="EJ1" t="s">
        <v>437</v>
      </c>
      <c r="EK1" t="s">
        <v>438</v>
      </c>
      <c r="EL1" t="s">
        <v>439</v>
      </c>
      <c r="EM1" t="s">
        <v>440</v>
      </c>
      <c r="EN1" t="s">
        <v>441</v>
      </c>
      <c r="EO1" t="s">
        <v>442</v>
      </c>
      <c r="EP1" t="s">
        <v>443</v>
      </c>
      <c r="EQ1" t="s">
        <v>444</v>
      </c>
      <c r="ER1" t="s">
        <v>445</v>
      </c>
      <c r="ES1" t="s">
        <v>446</v>
      </c>
      <c r="ET1" t="s">
        <v>447</v>
      </c>
      <c r="EU1" t="s">
        <v>448</v>
      </c>
      <c r="EV1" t="s">
        <v>449</v>
      </c>
      <c r="EW1" t="s">
        <v>450</v>
      </c>
      <c r="EX1" t="s">
        <v>451</v>
      </c>
      <c r="EY1" t="s">
        <v>452</v>
      </c>
      <c r="EZ1" t="s">
        <v>453</v>
      </c>
      <c r="FA1" t="s">
        <v>454</v>
      </c>
      <c r="FB1" t="s">
        <v>455</v>
      </c>
      <c r="FC1" t="s">
        <v>456</v>
      </c>
      <c r="FD1" t="s">
        <v>457</v>
      </c>
      <c r="FE1" t="s">
        <v>458</v>
      </c>
      <c r="FF1" t="s">
        <v>459</v>
      </c>
      <c r="FG1" t="s">
        <v>460</v>
      </c>
      <c r="FH1" t="s">
        <v>461</v>
      </c>
      <c r="FI1" t="s">
        <v>462</v>
      </c>
      <c r="FJ1" t="s">
        <v>463</v>
      </c>
      <c r="FK1" t="s">
        <v>464</v>
      </c>
      <c r="FL1" t="s">
        <v>465</v>
      </c>
      <c r="FM1" t="s">
        <v>466</v>
      </c>
      <c r="FN1" t="s">
        <v>467</v>
      </c>
      <c r="FO1" t="s">
        <v>468</v>
      </c>
      <c r="FP1" t="s">
        <v>469</v>
      </c>
      <c r="FQ1" t="s">
        <v>470</v>
      </c>
      <c r="FR1" t="s">
        <v>471</v>
      </c>
      <c r="FS1" t="s">
        <v>472</v>
      </c>
      <c r="FT1" t="s">
        <v>473</v>
      </c>
      <c r="FU1" t="s">
        <v>474</v>
      </c>
      <c r="FV1" t="s">
        <v>475</v>
      </c>
      <c r="FW1" t="s">
        <v>476</v>
      </c>
      <c r="FX1" t="s">
        <v>477</v>
      </c>
      <c r="FY1" t="s">
        <v>478</v>
      </c>
      <c r="FZ1" t="s">
        <v>479</v>
      </c>
      <c r="GA1" t="s">
        <v>480</v>
      </c>
      <c r="GB1" t="s">
        <v>481</v>
      </c>
      <c r="GC1" t="s">
        <v>482</v>
      </c>
      <c r="GD1" t="s">
        <v>483</v>
      </c>
      <c r="GE1" t="s">
        <v>484</v>
      </c>
      <c r="GF1" t="s">
        <v>485</v>
      </c>
      <c r="GG1" t="s">
        <v>486</v>
      </c>
      <c r="GH1" t="s">
        <v>487</v>
      </c>
      <c r="GI1" t="s">
        <v>488</v>
      </c>
      <c r="GJ1" t="s">
        <v>489</v>
      </c>
      <c r="GK1" t="s">
        <v>490</v>
      </c>
      <c r="GL1" t="s">
        <v>491</v>
      </c>
      <c r="GM1" t="s">
        <v>492</v>
      </c>
      <c r="GN1" t="s">
        <v>493</v>
      </c>
      <c r="GO1" t="s">
        <v>494</v>
      </c>
      <c r="GP1" t="s">
        <v>495</v>
      </c>
      <c r="GQ1" t="s">
        <v>496</v>
      </c>
      <c r="GR1" t="s">
        <v>497</v>
      </c>
      <c r="GS1" t="s">
        <v>498</v>
      </c>
      <c r="GT1" t="s">
        <v>499</v>
      </c>
      <c r="GU1" t="s">
        <v>500</v>
      </c>
      <c r="GV1" t="s">
        <v>501</v>
      </c>
      <c r="GW1" t="s">
        <v>502</v>
      </c>
      <c r="GX1" t="s">
        <v>503</v>
      </c>
      <c r="GY1" t="s">
        <v>504</v>
      </c>
      <c r="GZ1" t="s">
        <v>505</v>
      </c>
      <c r="HA1" t="s">
        <v>506</v>
      </c>
      <c r="HB1" t="s">
        <v>507</v>
      </c>
      <c r="HC1" t="s">
        <v>508</v>
      </c>
      <c r="HD1" t="s">
        <v>509</v>
      </c>
      <c r="HE1" t="s">
        <v>510</v>
      </c>
      <c r="HF1" t="s">
        <v>511</v>
      </c>
      <c r="HG1" t="s">
        <v>512</v>
      </c>
      <c r="HH1" t="s">
        <v>513</v>
      </c>
      <c r="HI1" t="s">
        <v>514</v>
      </c>
      <c r="HJ1" t="s">
        <v>515</v>
      </c>
      <c r="HK1" t="s">
        <v>516</v>
      </c>
      <c r="HL1" t="s">
        <v>517</v>
      </c>
      <c r="HM1" t="s">
        <v>518</v>
      </c>
      <c r="HN1" t="s">
        <v>519</v>
      </c>
      <c r="HO1" t="s">
        <v>520</v>
      </c>
      <c r="HP1" t="s">
        <v>521</v>
      </c>
      <c r="HQ1" t="s">
        <v>522</v>
      </c>
      <c r="HR1" t="s">
        <v>523</v>
      </c>
      <c r="HS1" t="s">
        <v>524</v>
      </c>
      <c r="HT1" t="s">
        <v>525</v>
      </c>
      <c r="HU1" t="s">
        <v>526</v>
      </c>
      <c r="HV1" t="s">
        <v>527</v>
      </c>
      <c r="HW1" t="s">
        <v>528</v>
      </c>
      <c r="HX1" t="s">
        <v>529</v>
      </c>
      <c r="HY1" t="s">
        <v>530</v>
      </c>
      <c r="HZ1" t="s">
        <v>531</v>
      </c>
      <c r="IA1" t="s">
        <v>532</v>
      </c>
      <c r="IB1" t="s">
        <v>533</v>
      </c>
      <c r="IC1" t="s">
        <v>534</v>
      </c>
      <c r="ID1" t="s">
        <v>535</v>
      </c>
      <c r="IE1" t="s">
        <v>536</v>
      </c>
      <c r="IF1" t="s">
        <v>537</v>
      </c>
      <c r="IG1" t="s">
        <v>538</v>
      </c>
      <c r="IH1" t="s">
        <v>539</v>
      </c>
      <c r="II1" t="s">
        <v>540</v>
      </c>
      <c r="IJ1" t="s">
        <v>541</v>
      </c>
      <c r="IK1" t="s">
        <v>542</v>
      </c>
      <c r="IL1" t="s">
        <v>543</v>
      </c>
      <c r="IM1" t="s">
        <v>544</v>
      </c>
      <c r="IN1" t="s">
        <v>545</v>
      </c>
      <c r="IO1" t="s">
        <v>546</v>
      </c>
      <c r="IP1" t="s">
        <v>547</v>
      </c>
      <c r="IQ1" t="s">
        <v>548</v>
      </c>
      <c r="IR1" t="s">
        <v>549</v>
      </c>
      <c r="IS1" t="s">
        <v>550</v>
      </c>
      <c r="IT1" t="s">
        <v>551</v>
      </c>
      <c r="IU1" t="s">
        <v>552</v>
      </c>
      <c r="IV1" t="s">
        <v>553</v>
      </c>
      <c r="IW1" t="s">
        <v>554</v>
      </c>
      <c r="IX1" t="s">
        <v>555</v>
      </c>
      <c r="IY1" t="s">
        <v>556</v>
      </c>
      <c r="IZ1" t="s">
        <v>557</v>
      </c>
      <c r="JA1" t="s">
        <v>558</v>
      </c>
      <c r="JB1" t="s">
        <v>559</v>
      </c>
      <c r="JC1" t="s">
        <v>560</v>
      </c>
      <c r="JD1" t="s">
        <v>561</v>
      </c>
      <c r="JE1" t="s">
        <v>562</v>
      </c>
      <c r="JF1" t="s">
        <v>563</v>
      </c>
      <c r="JG1" t="s">
        <v>564</v>
      </c>
      <c r="JH1" t="s">
        <v>565</v>
      </c>
      <c r="JI1" t="s">
        <v>566</v>
      </c>
      <c r="JJ1" t="s">
        <v>567</v>
      </c>
      <c r="JK1" t="s">
        <v>304</v>
      </c>
      <c r="JL1" t="s">
        <v>568</v>
      </c>
      <c r="JM1" t="s">
        <v>569</v>
      </c>
      <c r="JN1" t="s">
        <v>570</v>
      </c>
      <c r="JO1" t="s">
        <v>206</v>
      </c>
      <c r="JP1" t="s">
        <v>207</v>
      </c>
      <c r="JQ1" t="s">
        <v>208</v>
      </c>
    </row>
    <row r="2" spans="1:277">
      <c r="A2" t="s">
        <v>571</v>
      </c>
      <c r="B2" t="s">
        <v>572</v>
      </c>
      <c r="C2" t="s">
        <v>211</v>
      </c>
      <c r="D2">
        <v>3</v>
      </c>
      <c r="E2" t="s">
        <v>212</v>
      </c>
      <c r="F2" t="s">
        <v>213</v>
      </c>
      <c r="G2" t="s">
        <v>573</v>
      </c>
      <c r="H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>
        <v>0</v>
      </c>
      <c r="P2">
        <v>0</v>
      </c>
      <c r="Q2">
        <v>0.20000000039999999</v>
      </c>
      <c r="R2">
        <v>9.9999999300000003E-2</v>
      </c>
      <c r="S2">
        <v>9.9999999300000003E-2</v>
      </c>
      <c r="T2">
        <v>0.20000000039999999</v>
      </c>
      <c r="U2">
        <v>9.9999999300000003E-2</v>
      </c>
      <c r="V2">
        <v>9.9999999300000003E-2</v>
      </c>
      <c r="W2">
        <v>0.20000000039999999</v>
      </c>
      <c r="X2">
        <v>0.20000000039999999</v>
      </c>
      <c r="Y2">
        <v>0.20000000039999999</v>
      </c>
      <c r="Z2">
        <v>0</v>
      </c>
      <c r="AA2">
        <v>0</v>
      </c>
      <c r="AB2">
        <v>9.9999999300000003E-2</v>
      </c>
      <c r="AC2">
        <v>9.9999999300000003E-2</v>
      </c>
      <c r="AD2">
        <v>9.9999999300000003E-2</v>
      </c>
      <c r="AE2">
        <v>0.20000000039999999</v>
      </c>
      <c r="AF2">
        <v>0.20000000039999999</v>
      </c>
      <c r="AG2">
        <v>0.40000000079999998</v>
      </c>
      <c r="AH2">
        <v>0.29999999970000002</v>
      </c>
      <c r="AI2">
        <v>0.40000000079999998</v>
      </c>
      <c r="AJ2">
        <v>0.40000000079999998</v>
      </c>
      <c r="AK2">
        <v>0.40000000079999998</v>
      </c>
      <c r="AL2">
        <v>2.5000000005</v>
      </c>
      <c r="AM2">
        <v>5.3000000006999999</v>
      </c>
      <c r="AN2">
        <v>12.0999999999</v>
      </c>
      <c r="AO2">
        <v>19.599999999600001</v>
      </c>
      <c r="AP2">
        <v>27.200000000399999</v>
      </c>
      <c r="AQ2">
        <v>36.000000000100002</v>
      </c>
      <c r="AR2">
        <v>44.900000000799999</v>
      </c>
      <c r="AS2">
        <v>53.700000000400003</v>
      </c>
      <c r="AT2">
        <v>62.200000000300001</v>
      </c>
      <c r="AU2">
        <v>70.600000000899996</v>
      </c>
      <c r="AV2">
        <v>78.900000000399999</v>
      </c>
      <c r="AW2">
        <v>88.499999999799996</v>
      </c>
      <c r="AX2">
        <v>98.099999999199994</v>
      </c>
      <c r="AY2">
        <v>107.5000000001</v>
      </c>
      <c r="AZ2">
        <v>116.5000000001</v>
      </c>
      <c r="BA2">
        <v>124.70000000029999</v>
      </c>
      <c r="BB2">
        <v>133.70000000030001</v>
      </c>
      <c r="BC2">
        <v>143.40000000079999</v>
      </c>
      <c r="BD2">
        <v>152.79999999980001</v>
      </c>
      <c r="BE2">
        <v>161.900000001</v>
      </c>
      <c r="BF2">
        <v>170.900000001</v>
      </c>
      <c r="BG2">
        <v>179.40000000090001</v>
      </c>
      <c r="BH2">
        <v>189.09999999959999</v>
      </c>
      <c r="BI2">
        <v>198.5999999997</v>
      </c>
      <c r="BJ2">
        <v>207.89999999939999</v>
      </c>
      <c r="BK2">
        <v>217.00000000060001</v>
      </c>
      <c r="BL2">
        <v>225.80000000019999</v>
      </c>
      <c r="BM2">
        <v>234.70000000089999</v>
      </c>
      <c r="BN2">
        <v>243.80000000019999</v>
      </c>
      <c r="BO2">
        <v>253.3000000003</v>
      </c>
      <c r="BP2">
        <v>262.80000000040002</v>
      </c>
      <c r="BQ2">
        <v>271.20000000099998</v>
      </c>
      <c r="BR2">
        <v>279.70000000099998</v>
      </c>
      <c r="BS2">
        <v>288.50000000059998</v>
      </c>
      <c r="BT2">
        <v>297.70000000099998</v>
      </c>
      <c r="BU2">
        <v>306.59999999989998</v>
      </c>
      <c r="BV2">
        <v>315.59999999989998</v>
      </c>
      <c r="BW2">
        <v>323.8000000001</v>
      </c>
      <c r="BX2">
        <v>332.20000000070002</v>
      </c>
      <c r="BY2">
        <v>340.20000000060003</v>
      </c>
      <c r="BZ2">
        <v>349.09999999950003</v>
      </c>
      <c r="CA2">
        <v>357.59999999939998</v>
      </c>
      <c r="CB2">
        <v>365.7999999996</v>
      </c>
      <c r="CC2">
        <v>373.60000000079998</v>
      </c>
      <c r="CD2">
        <v>381.60000000060001</v>
      </c>
      <c r="CE2">
        <v>389.4</v>
      </c>
      <c r="CF2">
        <v>397.80000000059999</v>
      </c>
      <c r="CG2">
        <v>405.69999999930002</v>
      </c>
      <c r="CH2">
        <v>414.00000000070003</v>
      </c>
      <c r="CI2">
        <v>421.50000000040001</v>
      </c>
      <c r="CJ2">
        <v>426.49999999959999</v>
      </c>
      <c r="CK2">
        <v>431.80000000029997</v>
      </c>
      <c r="CL2">
        <v>438.20000000049998</v>
      </c>
      <c r="CM2">
        <v>442.80000000069998</v>
      </c>
      <c r="CN2">
        <v>442.69999999959998</v>
      </c>
      <c r="CO2">
        <v>442.69999999959998</v>
      </c>
      <c r="CP2">
        <v>442.60000000029999</v>
      </c>
      <c r="CQ2">
        <v>442.50000000099999</v>
      </c>
      <c r="CR2">
        <v>442.50000000099999</v>
      </c>
      <c r="CS2">
        <v>442.69999999959998</v>
      </c>
      <c r="CT2">
        <v>442.50000000099999</v>
      </c>
      <c r="CU2">
        <v>442.39999999989999</v>
      </c>
      <c r="CV2">
        <v>442.30000000059999</v>
      </c>
      <c r="CW2">
        <v>442.39999999989999</v>
      </c>
      <c r="CX2">
        <v>442.19999999949999</v>
      </c>
      <c r="CY2">
        <v>442.19999999949999</v>
      </c>
      <c r="CZ2">
        <v>442.19999999949999</v>
      </c>
      <c r="DA2">
        <v>442.0000000009</v>
      </c>
      <c r="DB2">
        <v>442.19999999949999</v>
      </c>
      <c r="DC2">
        <v>442.0000000009</v>
      </c>
      <c r="DD2">
        <v>442.0000000009</v>
      </c>
      <c r="DE2">
        <v>441.8999999998</v>
      </c>
      <c r="DF2">
        <v>442.1000000002</v>
      </c>
      <c r="DG2">
        <v>0.7000000005</v>
      </c>
      <c r="DH2">
        <v>0.90000000089999999</v>
      </c>
      <c r="DI2">
        <v>1.0999999995</v>
      </c>
      <c r="DJ2">
        <v>1.2999999999</v>
      </c>
      <c r="DK2">
        <v>0.79999999980000003</v>
      </c>
      <c r="DL2">
        <v>1.0999999995</v>
      </c>
      <c r="DM2">
        <v>1.0000000002</v>
      </c>
      <c r="DN2">
        <v>1.0999999995</v>
      </c>
      <c r="DO2">
        <v>1.0999999995</v>
      </c>
      <c r="DP2">
        <v>1.400000001</v>
      </c>
      <c r="DQ2">
        <v>1.2000000006</v>
      </c>
      <c r="DR2">
        <v>1.2000000006</v>
      </c>
      <c r="DS2">
        <v>1.400000001</v>
      </c>
      <c r="DT2">
        <v>1.2999999999</v>
      </c>
      <c r="DU2">
        <v>1.2999999999</v>
      </c>
      <c r="DV2">
        <v>1.2000000006</v>
      </c>
      <c r="DW2">
        <v>1.2000000006</v>
      </c>
      <c r="DX2">
        <v>1.0999999995</v>
      </c>
      <c r="DY2">
        <v>1.2999999999</v>
      </c>
      <c r="DZ2">
        <v>1.2000000006</v>
      </c>
      <c r="EA2">
        <v>2.3999999993999999</v>
      </c>
      <c r="EB2">
        <v>5.4</v>
      </c>
      <c r="EC2">
        <v>11.3999999994</v>
      </c>
      <c r="ED2">
        <v>19.200000000599999</v>
      </c>
      <c r="EE2">
        <v>26.900000000799999</v>
      </c>
      <c r="EF2">
        <v>35.5</v>
      </c>
      <c r="EG2">
        <v>44.299999999599997</v>
      </c>
      <c r="EH2">
        <v>53.200000000300001</v>
      </c>
      <c r="EI2">
        <v>61.900000000600002</v>
      </c>
      <c r="EJ2">
        <v>70.299999999400001</v>
      </c>
      <c r="EK2">
        <v>78.499999999600007</v>
      </c>
      <c r="EL2">
        <v>87.7</v>
      </c>
      <c r="EM2">
        <v>97.299999999400001</v>
      </c>
      <c r="EN2">
        <v>106.9000000007</v>
      </c>
      <c r="EO2">
        <v>115.9000000007</v>
      </c>
      <c r="EP2">
        <v>124.20000000020001</v>
      </c>
      <c r="EQ2">
        <v>132.9999999998</v>
      </c>
      <c r="ER2">
        <v>143</v>
      </c>
      <c r="ES2">
        <v>152.29999999969999</v>
      </c>
      <c r="ET2">
        <v>161.5000000002</v>
      </c>
      <c r="EU2">
        <v>170.5000000002</v>
      </c>
      <c r="EV2">
        <v>179.09999999940001</v>
      </c>
      <c r="EW2">
        <v>188.40000000090001</v>
      </c>
      <c r="EX2">
        <v>198.20000000069999</v>
      </c>
      <c r="EY2">
        <v>207.50000000040001</v>
      </c>
      <c r="EZ2">
        <v>216.8000000001</v>
      </c>
      <c r="FA2">
        <v>225.70000000089999</v>
      </c>
      <c r="FB2">
        <v>234.59999999979999</v>
      </c>
      <c r="FC2">
        <v>243.80000000019999</v>
      </c>
      <c r="FD2">
        <v>253.20000000100001</v>
      </c>
      <c r="FE2">
        <v>262.60000000000002</v>
      </c>
      <c r="FF2">
        <v>271.09999999989998</v>
      </c>
      <c r="FG2">
        <v>279.80000000029997</v>
      </c>
      <c r="FH2">
        <v>288.50000000059998</v>
      </c>
      <c r="FI2">
        <v>298.00000000070003</v>
      </c>
      <c r="FJ2">
        <v>306.50000000059998</v>
      </c>
      <c r="FK2">
        <v>315.80000000029997</v>
      </c>
      <c r="FL2">
        <v>324.09999999979999</v>
      </c>
      <c r="FM2">
        <v>332.8000000001</v>
      </c>
      <c r="FN2">
        <v>341.2000000008</v>
      </c>
      <c r="FO2">
        <v>349.70000000070002</v>
      </c>
      <c r="FP2">
        <v>358.20000000060003</v>
      </c>
      <c r="FQ2">
        <v>366.50000000009999</v>
      </c>
      <c r="FR2">
        <v>374.40000000060002</v>
      </c>
      <c r="FS2">
        <v>381.800000001</v>
      </c>
      <c r="FT2">
        <v>389.90000000010002</v>
      </c>
      <c r="FU2">
        <v>398.00000000099999</v>
      </c>
      <c r="FV2">
        <v>406.0000000009</v>
      </c>
      <c r="FW2">
        <v>413.80000000029997</v>
      </c>
      <c r="FX2">
        <v>421.20000000070002</v>
      </c>
      <c r="FY2">
        <v>425.80000000090001</v>
      </c>
      <c r="FZ2">
        <v>431.09999999979999</v>
      </c>
      <c r="GA2">
        <v>436.90000000060002</v>
      </c>
      <c r="GB2">
        <v>442.69999999959998</v>
      </c>
      <c r="GC2">
        <v>442.60000000029999</v>
      </c>
      <c r="GD2">
        <v>442.80000000069998</v>
      </c>
      <c r="GE2">
        <v>442.50000000099999</v>
      </c>
      <c r="GF2">
        <v>442.1000000002</v>
      </c>
      <c r="GG2">
        <v>442.19999999949999</v>
      </c>
      <c r="GH2">
        <v>442.30000000059999</v>
      </c>
      <c r="GI2">
        <v>442.39999999989999</v>
      </c>
      <c r="GJ2">
        <v>442.30000000059999</v>
      </c>
      <c r="GK2">
        <v>442.50000000099999</v>
      </c>
      <c r="GL2">
        <v>442.19999999949999</v>
      </c>
      <c r="GM2">
        <v>442.19999999949999</v>
      </c>
      <c r="GN2">
        <v>442.30000000059999</v>
      </c>
      <c r="GO2">
        <v>442.1000000002</v>
      </c>
      <c r="GP2">
        <v>442.19999999949999</v>
      </c>
      <c r="GQ2">
        <v>442.30000000059999</v>
      </c>
      <c r="GR2">
        <v>442.19999999949999</v>
      </c>
      <c r="GS2">
        <v>442.0000000009</v>
      </c>
      <c r="GT2">
        <v>441.8999999998</v>
      </c>
      <c r="GU2">
        <v>442.0000000009</v>
      </c>
      <c r="GV2">
        <v>442.39999999989999</v>
      </c>
      <c r="GW2">
        <v>1</v>
      </c>
      <c r="GX2">
        <v>91.699999998999999</v>
      </c>
      <c r="GY2">
        <v>88.499999999799996</v>
      </c>
      <c r="GZ2">
        <v>88.499999999799996</v>
      </c>
      <c r="HA2">
        <v>97.299999999400001</v>
      </c>
      <c r="HB2">
        <v>90.346459627100003</v>
      </c>
      <c r="HC2">
        <v>-8.7999999996000007</v>
      </c>
      <c r="HD2">
        <v>442.39966120830002</v>
      </c>
      <c r="HE2">
        <v>322.849813665</v>
      </c>
      <c r="HF2">
        <v>70.363116883199993</v>
      </c>
      <c r="HG2">
        <v>442.80000000069998</v>
      </c>
      <c r="HH2">
        <v>442.80000000069998</v>
      </c>
      <c r="HI2">
        <v>442.80000000069998</v>
      </c>
      <c r="HJ2">
        <v>442.80000000069998</v>
      </c>
      <c r="HK2">
        <v>96.187683284499997</v>
      </c>
      <c r="HL2">
        <v>3.8750464147999999</v>
      </c>
      <c r="HM2">
        <v>3.7929388992000002</v>
      </c>
      <c r="HN2">
        <v>3.804455404</v>
      </c>
      <c r="HO2">
        <v>3.6573418197000001</v>
      </c>
      <c r="HP2">
        <v>3.8970965457000002</v>
      </c>
      <c r="HQ2">
        <v>3.2662139929</v>
      </c>
      <c r="HR2">
        <v>19.9833427439</v>
      </c>
      <c r="HS2">
        <v>-18.7683284457</v>
      </c>
      <c r="HT2">
        <v>-128</v>
      </c>
      <c r="HU2">
        <v>413.19627329209999</v>
      </c>
      <c r="HV2">
        <v>84.457478005900001</v>
      </c>
      <c r="HW2">
        <v>576</v>
      </c>
      <c r="HX2">
        <v>19.9833427439</v>
      </c>
      <c r="HY2">
        <v>-18.7683284457</v>
      </c>
      <c r="HZ2">
        <v>-128</v>
      </c>
      <c r="IA2">
        <v>413.19627329209999</v>
      </c>
      <c r="IB2">
        <v>84.457478005900001</v>
      </c>
      <c r="IC2">
        <v>576</v>
      </c>
      <c r="ID2">
        <v>29.6037267086</v>
      </c>
      <c r="IE2">
        <v>0.40632411149999997</v>
      </c>
      <c r="IF2">
        <v>-28.152492668600001</v>
      </c>
      <c r="IG2">
        <v>-192</v>
      </c>
      <c r="IH2">
        <v>436.80324110729998</v>
      </c>
      <c r="II2">
        <v>93.841642228699996</v>
      </c>
      <c r="IJ2">
        <v>640</v>
      </c>
      <c r="IK2">
        <v>393.21293054820001</v>
      </c>
      <c r="IL2">
        <v>103.22580645159999</v>
      </c>
      <c r="IM2">
        <v>420.1994579336</v>
      </c>
      <c r="IN2">
        <v>112.6099706745</v>
      </c>
      <c r="IO2">
        <v>7.8000000011999999</v>
      </c>
      <c r="IP2">
        <v>6.4000000002000004</v>
      </c>
      <c r="IQ2">
        <v>10.0000000002</v>
      </c>
      <c r="IR2">
        <v>2.5110331769999998</v>
      </c>
      <c r="IS2">
        <v>2.5110331769999998</v>
      </c>
      <c r="IT2">
        <v>7.1000000006999997</v>
      </c>
      <c r="IU2">
        <v>-21.114369501500001</v>
      </c>
      <c r="IV2">
        <v>9.5000000001</v>
      </c>
      <c r="IW2">
        <v>51.612903225799997</v>
      </c>
      <c r="IX2">
        <v>5.1000000002999997</v>
      </c>
      <c r="IY2">
        <v>93.841642228699996</v>
      </c>
      <c r="IZ2">
        <v>-24.1905211505</v>
      </c>
      <c r="JA2">
        <v>0.28004533570000001</v>
      </c>
      <c r="JB2">
        <v>-1.6962290000000001E-4</v>
      </c>
      <c r="JC2">
        <v>3.107E-7</v>
      </c>
      <c r="JD2">
        <v>0.25806142510000002</v>
      </c>
      <c r="JE2">
        <v>0.2235516042</v>
      </c>
      <c r="JF2">
        <v>8.5283308000000002E-2</v>
      </c>
      <c r="JG2">
        <v>90.603486627699994</v>
      </c>
      <c r="JH2">
        <v>3.8970965457000002</v>
      </c>
      <c r="JI2">
        <v>4.5468288000000004E-3</v>
      </c>
      <c r="JJ2">
        <v>-6.5372100000000004E-5</v>
      </c>
      <c r="JK2">
        <v>3.8750464147999999</v>
      </c>
      <c r="JL2">
        <v>0.93095539979999997</v>
      </c>
      <c r="JM2">
        <v>0.32275778560000001</v>
      </c>
      <c r="JN2" t="s">
        <v>574</v>
      </c>
      <c r="JQ2">
        <v>1</v>
      </c>
    </row>
    <row r="3" spans="1:277">
      <c r="A3" t="s">
        <v>575</v>
      </c>
      <c r="B3" t="s">
        <v>576</v>
      </c>
      <c r="C3" t="s">
        <v>211</v>
      </c>
      <c r="D3">
        <v>3</v>
      </c>
      <c r="E3" t="s">
        <v>212</v>
      </c>
      <c r="F3" t="s">
        <v>213</v>
      </c>
      <c r="G3" t="s">
        <v>573</v>
      </c>
      <c r="H3" t="s">
        <v>215</v>
      </c>
      <c r="J3" t="s">
        <v>229</v>
      </c>
      <c r="K3" t="s">
        <v>230</v>
      </c>
      <c r="L3" t="s">
        <v>231</v>
      </c>
      <c r="M3" t="s">
        <v>232</v>
      </c>
      <c r="N3" t="s">
        <v>233</v>
      </c>
      <c r="O3">
        <v>0</v>
      </c>
      <c r="P3">
        <v>0</v>
      </c>
      <c r="Q3">
        <v>0.20000000039999999</v>
      </c>
      <c r="R3">
        <v>0.29999999970000002</v>
      </c>
      <c r="S3">
        <v>0.50000000010000001</v>
      </c>
      <c r="T3">
        <v>0.59999999940000004</v>
      </c>
      <c r="U3">
        <v>0.59999999940000004</v>
      </c>
      <c r="V3">
        <v>0.7000000005</v>
      </c>
      <c r="W3">
        <v>0.39999999899999999</v>
      </c>
      <c r="X3">
        <v>0.29999999970000002</v>
      </c>
      <c r="Y3">
        <v>0.29999999970000002</v>
      </c>
      <c r="Z3">
        <v>0.50000000010000001</v>
      </c>
      <c r="AA3">
        <v>0.59999999940000004</v>
      </c>
      <c r="AB3">
        <v>0.7000000005</v>
      </c>
      <c r="AC3">
        <v>0.59999999940000004</v>
      </c>
      <c r="AD3">
        <v>0.59999999940000004</v>
      </c>
      <c r="AE3">
        <v>0.7000000005</v>
      </c>
      <c r="AF3">
        <v>0.59999999940000004</v>
      </c>
      <c r="AG3">
        <v>0.39999999899999999</v>
      </c>
      <c r="AH3">
        <v>0.29999999970000002</v>
      </c>
      <c r="AI3">
        <v>0</v>
      </c>
      <c r="AJ3">
        <v>0.50000000010000001</v>
      </c>
      <c r="AK3">
        <v>4.3000000004999999</v>
      </c>
      <c r="AL3">
        <v>10.5000000003</v>
      </c>
      <c r="AM3">
        <v>17.8999999989</v>
      </c>
      <c r="AN3">
        <v>25.700000000100001</v>
      </c>
      <c r="AO3">
        <v>33.400000000299997</v>
      </c>
      <c r="AP3">
        <v>41.799999999100002</v>
      </c>
      <c r="AQ3">
        <v>50.299999999000001</v>
      </c>
      <c r="AR3">
        <v>58.4999999992</v>
      </c>
      <c r="AS3">
        <v>66.300000000400004</v>
      </c>
      <c r="AT3">
        <v>74.899999999599999</v>
      </c>
      <c r="AU3">
        <v>82.800000000099999</v>
      </c>
      <c r="AV3">
        <v>92.199999999100001</v>
      </c>
      <c r="AW3">
        <v>100.8000000002</v>
      </c>
      <c r="AX3">
        <v>109.8000000002</v>
      </c>
      <c r="AY3">
        <v>117.39999999920001</v>
      </c>
      <c r="AZ3">
        <v>126.39999999920001</v>
      </c>
      <c r="BA3">
        <v>134.70000000050001</v>
      </c>
      <c r="BB3">
        <v>144.2000000006</v>
      </c>
      <c r="BC3">
        <v>152.7000000006</v>
      </c>
      <c r="BD3">
        <v>161.5000000002</v>
      </c>
      <c r="BE3">
        <v>169.3999999989</v>
      </c>
      <c r="BF3">
        <v>178.3999999989</v>
      </c>
      <c r="BG3">
        <v>186.90000000059999</v>
      </c>
      <c r="BH3">
        <v>196.3999999989</v>
      </c>
      <c r="BI3">
        <v>205.3999999989</v>
      </c>
      <c r="BJ3">
        <v>213.4999999998</v>
      </c>
      <c r="BK3">
        <v>221.7000000001</v>
      </c>
      <c r="BL3">
        <v>230.09999999889999</v>
      </c>
      <c r="BM3">
        <v>239.29999999930001</v>
      </c>
      <c r="BN3">
        <v>247.9000000003</v>
      </c>
      <c r="BO3">
        <v>256.60000000060001</v>
      </c>
      <c r="BP3">
        <v>264.79999999900002</v>
      </c>
      <c r="BQ3">
        <v>272.4999999991</v>
      </c>
      <c r="BR3">
        <v>280.80000000050001</v>
      </c>
      <c r="BS3">
        <v>289.49999999900001</v>
      </c>
      <c r="BT3">
        <v>297.80000000029997</v>
      </c>
      <c r="BU3">
        <v>306.09999999979999</v>
      </c>
      <c r="BV3">
        <v>314.00000000030002</v>
      </c>
      <c r="BW3">
        <v>320.90000000060002</v>
      </c>
      <c r="BX3">
        <v>329.09999999899998</v>
      </c>
      <c r="BY3">
        <v>337.4000000003</v>
      </c>
      <c r="BZ3">
        <v>345.40000000020001</v>
      </c>
      <c r="CA3">
        <v>353.10000000029999</v>
      </c>
      <c r="CB3">
        <v>360.49999999890002</v>
      </c>
      <c r="CC3">
        <v>367.50000000030002</v>
      </c>
      <c r="CD3">
        <v>373.90000000049997</v>
      </c>
      <c r="CE3">
        <v>381.29999999910001</v>
      </c>
      <c r="CF3">
        <v>388.99999999919999</v>
      </c>
      <c r="CG3">
        <v>396.19999999919997</v>
      </c>
      <c r="CH3">
        <v>403.59999999960002</v>
      </c>
      <c r="CI3">
        <v>410.7000000004</v>
      </c>
      <c r="CJ3">
        <v>416.60000000050002</v>
      </c>
      <c r="CK3">
        <v>423.30000000040002</v>
      </c>
      <c r="CL3">
        <v>429.70000000060003</v>
      </c>
      <c r="CM3">
        <v>436.40000000049997</v>
      </c>
      <c r="CN3">
        <v>442.79999999889998</v>
      </c>
      <c r="CO3">
        <v>449.89999999960003</v>
      </c>
      <c r="CP3">
        <v>454.70000000020002</v>
      </c>
      <c r="CQ3">
        <v>454.70000000020002</v>
      </c>
      <c r="CR3">
        <v>454.70000000020002</v>
      </c>
      <c r="CS3">
        <v>454.99999999990001</v>
      </c>
      <c r="CT3">
        <v>454.59999999910002</v>
      </c>
      <c r="CU3">
        <v>454.49999999980002</v>
      </c>
      <c r="CV3">
        <v>454.90000000060002</v>
      </c>
      <c r="CW3">
        <v>454.99999999990001</v>
      </c>
      <c r="CX3">
        <v>455.09999999920001</v>
      </c>
      <c r="CY3">
        <v>454.79999999950002</v>
      </c>
      <c r="CZ3">
        <v>454.99999999990001</v>
      </c>
      <c r="DA3">
        <v>454.90000000060002</v>
      </c>
      <c r="DB3">
        <v>454.99999999990001</v>
      </c>
      <c r="DC3">
        <v>455.09999999920001</v>
      </c>
      <c r="DD3">
        <v>454.99999999990001</v>
      </c>
      <c r="DE3">
        <v>454.70000000020002</v>
      </c>
      <c r="DF3">
        <v>454.99999999990001</v>
      </c>
      <c r="DG3">
        <v>0.7000000005</v>
      </c>
      <c r="DH3">
        <v>1.2999999999</v>
      </c>
      <c r="DI3">
        <v>1.5000000003</v>
      </c>
      <c r="DJ3">
        <v>1.2999999999</v>
      </c>
      <c r="DK3">
        <v>1.5999999996000001</v>
      </c>
      <c r="DL3">
        <v>1.2000000006</v>
      </c>
      <c r="DM3">
        <v>1.2999999999</v>
      </c>
      <c r="DN3">
        <v>1.2999999999</v>
      </c>
      <c r="DO3">
        <v>1.2999999999</v>
      </c>
      <c r="DP3">
        <v>1.5000000003</v>
      </c>
      <c r="DQ3">
        <v>1.3999999992000001</v>
      </c>
      <c r="DR3">
        <v>1.5000000003</v>
      </c>
      <c r="DS3">
        <v>1.2999999999</v>
      </c>
      <c r="DT3">
        <v>1.3999999992000001</v>
      </c>
      <c r="DU3">
        <v>1.2000000006</v>
      </c>
      <c r="DV3">
        <v>1.0000000002</v>
      </c>
      <c r="DW3">
        <v>0.79999999980000003</v>
      </c>
      <c r="DX3">
        <v>0.59999999940000004</v>
      </c>
      <c r="DY3">
        <v>0.59999999940000004</v>
      </c>
      <c r="DZ3">
        <v>4.8000000005999999</v>
      </c>
      <c r="EA3">
        <v>11.300000000100001</v>
      </c>
      <c r="EB3">
        <v>18.799999999800001</v>
      </c>
      <c r="EC3">
        <v>25.799999999400001</v>
      </c>
      <c r="ED3">
        <v>34.200000000099998</v>
      </c>
      <c r="EE3">
        <v>43.200000000099998</v>
      </c>
      <c r="EF3">
        <v>50.999999999499998</v>
      </c>
      <c r="EG3">
        <v>59.199999999699997</v>
      </c>
      <c r="EH3">
        <v>66.800000000500006</v>
      </c>
      <c r="EI3">
        <v>74.999999998899995</v>
      </c>
      <c r="EJ3">
        <v>83.000000000499995</v>
      </c>
      <c r="EK3">
        <v>92.399999999499997</v>
      </c>
      <c r="EL3">
        <v>100.8000000002</v>
      </c>
      <c r="EM3">
        <v>109.5999999998</v>
      </c>
      <c r="EN3">
        <v>117.50000000030001</v>
      </c>
      <c r="EO3">
        <v>126.50000000030001</v>
      </c>
      <c r="EP3">
        <v>134.59999999940001</v>
      </c>
      <c r="EQ3">
        <v>144.39999999919999</v>
      </c>
      <c r="ER3">
        <v>153.1999999988</v>
      </c>
      <c r="ES3">
        <v>161.7999999999</v>
      </c>
      <c r="ET3">
        <v>169.89999999899999</v>
      </c>
      <c r="EU3">
        <v>178.89999999899999</v>
      </c>
      <c r="EV3">
        <v>188.29999999980001</v>
      </c>
      <c r="EW3">
        <v>197.09999999940001</v>
      </c>
      <c r="EX3">
        <v>206.09999999940001</v>
      </c>
      <c r="EY3">
        <v>214.5999999993</v>
      </c>
      <c r="EZ3">
        <v>223.2000000004</v>
      </c>
      <c r="FA3">
        <v>232.0999999993</v>
      </c>
      <c r="FB3">
        <v>240.7999999996</v>
      </c>
      <c r="FC3">
        <v>249.70000000030001</v>
      </c>
      <c r="FD3">
        <v>258.59999999920001</v>
      </c>
      <c r="FE3">
        <v>267.09999999910002</v>
      </c>
      <c r="FF3">
        <v>275.09999999889999</v>
      </c>
      <c r="FG3">
        <v>283.5999999988</v>
      </c>
      <c r="FH3">
        <v>292.7</v>
      </c>
      <c r="FI3">
        <v>301.1999999999</v>
      </c>
      <c r="FJ3">
        <v>309.99999999950001</v>
      </c>
      <c r="FK3">
        <v>317.60000000029999</v>
      </c>
      <c r="FL3">
        <v>325.39999999970001</v>
      </c>
      <c r="FM3">
        <v>333.50000000059998</v>
      </c>
      <c r="FN3">
        <v>342.00000000059998</v>
      </c>
      <c r="FO3">
        <v>350.00000000040001</v>
      </c>
      <c r="FP3">
        <v>358.39999999920002</v>
      </c>
      <c r="FQ3">
        <v>366.0999999993</v>
      </c>
      <c r="FR3">
        <v>372.6999999999</v>
      </c>
      <c r="FS3">
        <v>380.60000000039997</v>
      </c>
      <c r="FT3">
        <v>387.89999999970001</v>
      </c>
      <c r="FU3">
        <v>395.39999999939999</v>
      </c>
      <c r="FV3">
        <v>402.59999999939998</v>
      </c>
      <c r="FW3">
        <v>409.49999999980002</v>
      </c>
      <c r="FX3">
        <v>416.19999999970003</v>
      </c>
      <c r="FY3">
        <v>422.39999999949998</v>
      </c>
      <c r="FZ3">
        <v>429.29999999979998</v>
      </c>
      <c r="GA3">
        <v>435.59999999889999</v>
      </c>
      <c r="GB3">
        <v>441.19999999930002</v>
      </c>
      <c r="GC3">
        <v>447.20000000049998</v>
      </c>
      <c r="GD3">
        <v>452.79999999910001</v>
      </c>
      <c r="GE3">
        <v>455.20000000030001</v>
      </c>
      <c r="GF3">
        <v>454.79999999950002</v>
      </c>
      <c r="GG3">
        <v>455.20000000030001</v>
      </c>
      <c r="GH3">
        <v>455.20000000030001</v>
      </c>
      <c r="GI3">
        <v>455.2999999996</v>
      </c>
      <c r="GJ3">
        <v>454.79999999950002</v>
      </c>
      <c r="GK3">
        <v>454.59999999910002</v>
      </c>
      <c r="GL3">
        <v>454.79999999950002</v>
      </c>
      <c r="GM3">
        <v>454.90000000060002</v>
      </c>
      <c r="GN3">
        <v>454.70000000020002</v>
      </c>
      <c r="GO3">
        <v>454.79999999950002</v>
      </c>
      <c r="GP3">
        <v>454.59999999910002</v>
      </c>
      <c r="GQ3">
        <v>454.70000000020002</v>
      </c>
      <c r="GR3">
        <v>454.79999999950002</v>
      </c>
      <c r="GS3">
        <v>454.70000000020002</v>
      </c>
      <c r="GT3">
        <v>454.79999999950002</v>
      </c>
      <c r="GU3">
        <v>454.70000000020002</v>
      </c>
      <c r="GV3">
        <v>454.79999999950002</v>
      </c>
      <c r="GW3">
        <v>1</v>
      </c>
      <c r="GX3">
        <v>103.8000000008</v>
      </c>
      <c r="GY3">
        <v>100.8000000002</v>
      </c>
      <c r="GZ3">
        <v>100.8000000002</v>
      </c>
      <c r="HA3">
        <v>109.5999999998</v>
      </c>
      <c r="HB3">
        <v>102.8339668242</v>
      </c>
      <c r="HC3">
        <v>-8.7999999996000007</v>
      </c>
      <c r="HD3">
        <v>454.80010985339999</v>
      </c>
      <c r="HE3">
        <v>325.56756014479998</v>
      </c>
      <c r="HF3">
        <v>84.554718225900004</v>
      </c>
      <c r="HG3">
        <v>455.2999999996</v>
      </c>
      <c r="HH3">
        <v>455.2999999996</v>
      </c>
      <c r="HI3">
        <v>455.09999999920001</v>
      </c>
      <c r="HJ3">
        <v>455.2999999996</v>
      </c>
      <c r="HK3">
        <v>103.22580645159999</v>
      </c>
      <c r="HL3">
        <v>3.6502285312999998</v>
      </c>
      <c r="HM3">
        <v>3.5186204218000001</v>
      </c>
      <c r="HN3">
        <v>3.5903481108999999</v>
      </c>
      <c r="HO3">
        <v>3.4236068612000001</v>
      </c>
      <c r="HP3">
        <v>3.726622721</v>
      </c>
      <c r="HQ3">
        <v>2.8555566932000001</v>
      </c>
      <c r="HR3">
        <v>18.279248598300001</v>
      </c>
      <c r="HS3">
        <v>-23.460410557199999</v>
      </c>
      <c r="HT3">
        <v>-160</v>
      </c>
      <c r="HU3">
        <v>428.40152696899997</v>
      </c>
      <c r="HV3">
        <v>91.495601172999997</v>
      </c>
      <c r="HW3">
        <v>624</v>
      </c>
      <c r="HX3">
        <v>18.279248598300001</v>
      </c>
      <c r="HY3">
        <v>-23.460410557199999</v>
      </c>
      <c r="HZ3">
        <v>-160</v>
      </c>
      <c r="IA3">
        <v>428.40152696899997</v>
      </c>
      <c r="IB3">
        <v>91.495601172999997</v>
      </c>
      <c r="IC3">
        <v>624</v>
      </c>
      <c r="ID3">
        <v>26.8984730307</v>
      </c>
      <c r="IE3">
        <v>3.9547399999999999E-4</v>
      </c>
      <c r="IF3">
        <v>-32.844574780099997</v>
      </c>
      <c r="IG3">
        <v>-224</v>
      </c>
      <c r="IH3">
        <v>452.63851477439999</v>
      </c>
      <c r="II3">
        <v>100.87976539589999</v>
      </c>
      <c r="IJ3">
        <v>688</v>
      </c>
      <c r="IK3">
        <v>410.12227837069997</v>
      </c>
      <c r="IL3">
        <v>114.9560117302</v>
      </c>
      <c r="IM3">
        <v>436.2822915511</v>
      </c>
      <c r="IN3">
        <v>124.3401759531</v>
      </c>
      <c r="IO3">
        <v>7.4999999997</v>
      </c>
      <c r="IP3">
        <v>7.1000000006999997</v>
      </c>
      <c r="IQ3">
        <v>9.7999999998000007</v>
      </c>
      <c r="IR3">
        <v>3.3328070967999999</v>
      </c>
      <c r="IS3">
        <v>3.3328070967999999</v>
      </c>
      <c r="IT3">
        <v>8.2999999995000007</v>
      </c>
      <c r="IU3">
        <v>-25.806451612899998</v>
      </c>
      <c r="IV3">
        <v>14.1000000003</v>
      </c>
      <c r="IW3">
        <v>79.765395894400001</v>
      </c>
      <c r="IX3">
        <v>10.8</v>
      </c>
      <c r="IY3">
        <v>98.533724340199996</v>
      </c>
      <c r="IZ3">
        <v>-28.945646684900002</v>
      </c>
      <c r="JA3">
        <v>0.3014631727</v>
      </c>
      <c r="JB3">
        <v>-2.2264290000000001E-4</v>
      </c>
      <c r="JC3">
        <v>4.0559999999999998E-7</v>
      </c>
      <c r="JD3">
        <v>0.27395544999999999</v>
      </c>
      <c r="JE3">
        <v>0.27877537819999998</v>
      </c>
      <c r="JF3">
        <v>0.1124423925</v>
      </c>
      <c r="JG3">
        <v>102.5068331574</v>
      </c>
      <c r="JH3">
        <v>3.726622721</v>
      </c>
      <c r="JI3">
        <v>4.1686014000000002E-3</v>
      </c>
      <c r="JJ3">
        <v>-6.5057799999999999E-5</v>
      </c>
      <c r="JK3">
        <v>3.6502285312999998</v>
      </c>
      <c r="JL3">
        <v>0.61193395689999996</v>
      </c>
      <c r="JM3">
        <v>0.28833129670000002</v>
      </c>
      <c r="JN3" t="s">
        <v>574</v>
      </c>
      <c r="JQ3">
        <v>1</v>
      </c>
    </row>
    <row r="4" spans="1:277">
      <c r="A4" t="s">
        <v>577</v>
      </c>
      <c r="B4" t="s">
        <v>578</v>
      </c>
      <c r="C4" t="s">
        <v>211</v>
      </c>
      <c r="D4">
        <v>3</v>
      </c>
      <c r="E4" t="s">
        <v>212</v>
      </c>
      <c r="F4" t="s">
        <v>213</v>
      </c>
      <c r="G4" t="s">
        <v>573</v>
      </c>
      <c r="H4" t="s">
        <v>215</v>
      </c>
      <c r="J4" t="s">
        <v>236</v>
      </c>
      <c r="K4" t="s">
        <v>237</v>
      </c>
      <c r="L4" t="s">
        <v>238</v>
      </c>
      <c r="M4" t="s">
        <v>239</v>
      </c>
      <c r="N4" t="s">
        <v>240</v>
      </c>
      <c r="O4">
        <v>0</v>
      </c>
      <c r="P4">
        <v>0</v>
      </c>
      <c r="Q4">
        <v>0</v>
      </c>
      <c r="R4">
        <v>0.20000000039999999</v>
      </c>
      <c r="S4">
        <v>0.29999999970000002</v>
      </c>
      <c r="T4">
        <v>0.29999999970000002</v>
      </c>
      <c r="U4">
        <v>9.9999999300000003E-2</v>
      </c>
      <c r="V4">
        <v>0.20000000039999999</v>
      </c>
      <c r="W4">
        <v>0.39999999899999999</v>
      </c>
      <c r="X4">
        <v>0.39999999899999999</v>
      </c>
      <c r="Y4">
        <v>0.29999999970000002</v>
      </c>
      <c r="Z4">
        <v>9.9999999300000003E-2</v>
      </c>
      <c r="AA4">
        <v>9.9999999300000003E-2</v>
      </c>
      <c r="AB4">
        <v>0.39999999899999999</v>
      </c>
      <c r="AC4">
        <v>9.9999999300000003E-2</v>
      </c>
      <c r="AD4">
        <v>0.29999999970000002</v>
      </c>
      <c r="AE4">
        <v>0.29999999970000002</v>
      </c>
      <c r="AF4">
        <v>0.7000000005</v>
      </c>
      <c r="AG4">
        <v>0.50000000010000001</v>
      </c>
      <c r="AH4">
        <v>0.50000000010000001</v>
      </c>
      <c r="AI4">
        <v>0.20000000039999999</v>
      </c>
      <c r="AJ4">
        <v>0.59999999940000004</v>
      </c>
      <c r="AK4">
        <v>6.4000000002000004</v>
      </c>
      <c r="AL4">
        <v>13.1000000001</v>
      </c>
      <c r="AM4">
        <v>21.0000000006</v>
      </c>
      <c r="AN4">
        <v>29.199999998999999</v>
      </c>
      <c r="AO4">
        <v>37.699999998899997</v>
      </c>
      <c r="AP4">
        <v>45.399999999099997</v>
      </c>
      <c r="AQ4">
        <v>53.899999999000002</v>
      </c>
      <c r="AR4">
        <v>60.799999999299999</v>
      </c>
      <c r="AS4">
        <v>69.499999999600007</v>
      </c>
      <c r="AT4">
        <v>77.699999999799999</v>
      </c>
      <c r="AU4">
        <v>86.999999999500005</v>
      </c>
      <c r="AV4">
        <v>94.999999999300002</v>
      </c>
      <c r="AW4">
        <v>104.60000000060001</v>
      </c>
      <c r="AX4">
        <v>113.1000000005</v>
      </c>
      <c r="AY4">
        <v>121.90000000009999</v>
      </c>
      <c r="AZ4">
        <v>130.4</v>
      </c>
      <c r="BA4">
        <v>139.79999999899999</v>
      </c>
      <c r="BB4">
        <v>147.69999999949999</v>
      </c>
      <c r="BC4">
        <v>156.80000000070001</v>
      </c>
      <c r="BD4">
        <v>164.60000000010001</v>
      </c>
      <c r="BE4">
        <v>173.80000000050001</v>
      </c>
      <c r="BF4">
        <v>182.39999999969999</v>
      </c>
      <c r="BG4">
        <v>192.30000000059999</v>
      </c>
      <c r="BH4">
        <v>200.60000000010001</v>
      </c>
      <c r="BI4">
        <v>209.1</v>
      </c>
      <c r="BJ4">
        <v>217.19999999909999</v>
      </c>
      <c r="BK4">
        <v>226.09999999990001</v>
      </c>
      <c r="BL4">
        <v>234.50000000049999</v>
      </c>
      <c r="BM4">
        <v>243.50000000049999</v>
      </c>
      <c r="BN4">
        <v>251.8</v>
      </c>
      <c r="BO4">
        <v>260.20000000060003</v>
      </c>
      <c r="BP4">
        <v>268.70000000049998</v>
      </c>
      <c r="BQ4">
        <v>277.2000000004</v>
      </c>
      <c r="BR4">
        <v>285.7000000004</v>
      </c>
      <c r="BS4">
        <v>294.4000000007</v>
      </c>
      <c r="BT4">
        <v>301.99999999969998</v>
      </c>
      <c r="BU4">
        <v>310.1999999999</v>
      </c>
      <c r="BV4">
        <v>317.69999999959998</v>
      </c>
      <c r="BW4">
        <v>325.80000000050001</v>
      </c>
      <c r="BX4">
        <v>333.89999999960003</v>
      </c>
      <c r="BY4">
        <v>342.39999999949998</v>
      </c>
      <c r="BZ4">
        <v>350.3000000001</v>
      </c>
      <c r="CA4">
        <v>357.70000000049998</v>
      </c>
      <c r="CB4">
        <v>365.20000000020002</v>
      </c>
      <c r="CC4">
        <v>372.40000000020001</v>
      </c>
      <c r="CD4">
        <v>379.69999999949999</v>
      </c>
      <c r="CE4">
        <v>386.80000000019999</v>
      </c>
      <c r="CF4">
        <v>394.8</v>
      </c>
      <c r="CG4">
        <v>402.50000000009999</v>
      </c>
      <c r="CH4">
        <v>408.99999999969998</v>
      </c>
      <c r="CI4">
        <v>415.9</v>
      </c>
      <c r="CJ4">
        <v>422.80000000029997</v>
      </c>
      <c r="CK4">
        <v>429.50000000019998</v>
      </c>
      <c r="CL4">
        <v>436.09999999899998</v>
      </c>
      <c r="CM4">
        <v>442.39999999989999</v>
      </c>
      <c r="CN4">
        <v>448.3</v>
      </c>
      <c r="CO4">
        <v>451.69999999959998</v>
      </c>
      <c r="CP4">
        <v>451.49999999919999</v>
      </c>
      <c r="CQ4">
        <v>451.60000000029999</v>
      </c>
      <c r="CR4">
        <v>451.60000000029999</v>
      </c>
      <c r="CS4">
        <v>451.69999999959998</v>
      </c>
      <c r="CT4">
        <v>451.60000000029999</v>
      </c>
      <c r="CU4">
        <v>451.39999999989999</v>
      </c>
      <c r="CV4">
        <v>451.49999999919999</v>
      </c>
      <c r="CW4">
        <v>451.39999999989999</v>
      </c>
      <c r="CX4">
        <v>451.30000000059999</v>
      </c>
      <c r="CY4">
        <v>451.49999999919999</v>
      </c>
      <c r="CZ4">
        <v>451.69999999959998</v>
      </c>
      <c r="DA4">
        <v>451.49999999919999</v>
      </c>
      <c r="DB4">
        <v>451.80000000069998</v>
      </c>
      <c r="DC4">
        <v>451.69999999959998</v>
      </c>
      <c r="DD4">
        <v>451.9</v>
      </c>
      <c r="DE4">
        <v>451.49999999919999</v>
      </c>
      <c r="DF4">
        <v>451.49999999919999</v>
      </c>
      <c r="DG4">
        <v>0.29999999970000002</v>
      </c>
      <c r="DH4">
        <v>0.79999999980000003</v>
      </c>
      <c r="DI4">
        <v>0.89999999909999995</v>
      </c>
      <c r="DJ4">
        <v>0.7000000005</v>
      </c>
      <c r="DK4">
        <v>0.59999999940000004</v>
      </c>
      <c r="DL4">
        <v>0.79999999980000003</v>
      </c>
      <c r="DM4">
        <v>0.79999999980000003</v>
      </c>
      <c r="DN4">
        <v>1.0999999995</v>
      </c>
      <c r="DO4">
        <v>1.0000000002</v>
      </c>
      <c r="DP4">
        <v>1.2000000006</v>
      </c>
      <c r="DQ4">
        <v>1.2000000006</v>
      </c>
      <c r="DR4">
        <v>1.0000000002</v>
      </c>
      <c r="DS4">
        <v>0.79999999980000003</v>
      </c>
      <c r="DT4">
        <v>0.59999999940000004</v>
      </c>
      <c r="DU4">
        <v>0.7000000005</v>
      </c>
      <c r="DV4">
        <v>0.89999999909999995</v>
      </c>
      <c r="DW4">
        <v>1.2000000006</v>
      </c>
      <c r="DX4">
        <v>1.2000000006</v>
      </c>
      <c r="DY4">
        <v>1.0999999995</v>
      </c>
      <c r="DZ4">
        <v>6.7999999991999998</v>
      </c>
      <c r="EA4">
        <v>13.699999999499999</v>
      </c>
      <c r="EB4">
        <v>21.6</v>
      </c>
      <c r="EC4">
        <v>29.800000000299999</v>
      </c>
      <c r="ED4">
        <v>37.699999998899997</v>
      </c>
      <c r="EE4">
        <v>45.099999999399998</v>
      </c>
      <c r="EF4">
        <v>53.700000000400003</v>
      </c>
      <c r="EG4">
        <v>61.299999999400001</v>
      </c>
      <c r="EH4">
        <v>69.900000000399999</v>
      </c>
      <c r="EI4">
        <v>77.499999999400004</v>
      </c>
      <c r="EJ4">
        <v>86.499999999400004</v>
      </c>
      <c r="EK4">
        <v>94.199999999499994</v>
      </c>
      <c r="EL4">
        <v>103.6000000004</v>
      </c>
      <c r="EM4">
        <v>112.1000000003</v>
      </c>
      <c r="EN4">
        <v>121.4999999993</v>
      </c>
      <c r="EO4">
        <v>129.99999999920001</v>
      </c>
      <c r="EP4">
        <v>139.4999999993</v>
      </c>
      <c r="EQ4">
        <v>147.4999999991</v>
      </c>
      <c r="ER4">
        <v>156.69999999949999</v>
      </c>
      <c r="ES4">
        <v>164.39999999969999</v>
      </c>
      <c r="ET4">
        <v>173.60000000010001</v>
      </c>
      <c r="EU4">
        <v>182.8999999998</v>
      </c>
      <c r="EV4">
        <v>191.9999999991</v>
      </c>
      <c r="EW4">
        <v>200.39999999969999</v>
      </c>
      <c r="EX4">
        <v>209.49999999900001</v>
      </c>
      <c r="EY4">
        <v>217.80000000039999</v>
      </c>
      <c r="EZ4">
        <v>226.80000000039999</v>
      </c>
      <c r="FA4">
        <v>235.89999999969999</v>
      </c>
      <c r="FB4">
        <v>244.89999999969999</v>
      </c>
      <c r="FC4">
        <v>252.89999999950001</v>
      </c>
      <c r="FD4">
        <v>261.50000000049999</v>
      </c>
      <c r="FE4">
        <v>269.8</v>
      </c>
      <c r="FF4">
        <v>278.8</v>
      </c>
      <c r="FG4">
        <v>287.69999999890001</v>
      </c>
      <c r="FH4">
        <v>296.50000000040001</v>
      </c>
      <c r="FI4">
        <v>304.89999999920002</v>
      </c>
      <c r="FJ4">
        <v>312.79999999969999</v>
      </c>
      <c r="FK4">
        <v>320.70000000020002</v>
      </c>
      <c r="FL4">
        <v>328.79999999929998</v>
      </c>
      <c r="FM4">
        <v>337.2999999992</v>
      </c>
      <c r="FN4">
        <v>345.79999999910001</v>
      </c>
      <c r="FO4">
        <v>353.30000000069998</v>
      </c>
      <c r="FP4">
        <v>361.30000000050001</v>
      </c>
      <c r="FQ4">
        <v>368.199999999</v>
      </c>
      <c r="FR4">
        <v>376.39999999920002</v>
      </c>
      <c r="FS4">
        <v>383.9000000007</v>
      </c>
      <c r="FT4">
        <v>392.09999999910002</v>
      </c>
      <c r="FU4">
        <v>399.29999999910001</v>
      </c>
      <c r="FV4">
        <v>405.89999999970001</v>
      </c>
      <c r="FW4">
        <v>413.00000000049999</v>
      </c>
      <c r="FX4">
        <v>419.5999999993</v>
      </c>
      <c r="FY4">
        <v>426.10000000060001</v>
      </c>
      <c r="FZ4">
        <v>433.1000000002</v>
      </c>
      <c r="GA4">
        <v>438.79999999990002</v>
      </c>
      <c r="GB4">
        <v>444.90000000039998</v>
      </c>
      <c r="GC4">
        <v>449.80000000029997</v>
      </c>
      <c r="GD4">
        <v>451.49999999919999</v>
      </c>
      <c r="GE4">
        <v>451.39999999989999</v>
      </c>
      <c r="GF4">
        <v>451.30000000059999</v>
      </c>
      <c r="GG4">
        <v>451.1000000002</v>
      </c>
      <c r="GH4">
        <v>451.30000000059999</v>
      </c>
      <c r="GI4">
        <v>451.69999999959998</v>
      </c>
      <c r="GJ4">
        <v>451.69999999959998</v>
      </c>
      <c r="GK4">
        <v>451.49999999919999</v>
      </c>
      <c r="GL4">
        <v>451.39999999989999</v>
      </c>
      <c r="GM4">
        <v>451.39999999989999</v>
      </c>
      <c r="GN4">
        <v>451.49999999919999</v>
      </c>
      <c r="GO4">
        <v>451.49999999919999</v>
      </c>
      <c r="GP4">
        <v>451.39999999989999</v>
      </c>
      <c r="GQ4">
        <v>451.69999999959998</v>
      </c>
      <c r="GR4">
        <v>451.80000000069998</v>
      </c>
      <c r="GS4">
        <v>451.60000000029999</v>
      </c>
      <c r="GT4">
        <v>451.69999999959998</v>
      </c>
      <c r="GU4">
        <v>451.69999999959998</v>
      </c>
      <c r="GV4">
        <v>451.49999999919999</v>
      </c>
      <c r="GW4">
        <v>1</v>
      </c>
      <c r="GX4">
        <v>107</v>
      </c>
      <c r="GY4">
        <v>104.60000000060001</v>
      </c>
      <c r="GZ4">
        <v>104.60000000060001</v>
      </c>
      <c r="HA4">
        <v>112.1000000003</v>
      </c>
      <c r="HB4">
        <v>106.3986387787</v>
      </c>
      <c r="HC4">
        <v>-7.4999999997</v>
      </c>
      <c r="HD4">
        <v>451.49999999919999</v>
      </c>
      <c r="HE4">
        <v>319.00600929619998</v>
      </c>
      <c r="HF4">
        <v>92.972222222599996</v>
      </c>
      <c r="HG4">
        <v>451.9</v>
      </c>
      <c r="HH4">
        <v>451.80000000069998</v>
      </c>
      <c r="HI4">
        <v>451.9</v>
      </c>
      <c r="HJ4">
        <v>451.80000000069998</v>
      </c>
      <c r="HK4">
        <v>100.87976539589999</v>
      </c>
      <c r="HL4">
        <v>3.6658122521999998</v>
      </c>
      <c r="HM4">
        <v>3.5611882653000002</v>
      </c>
      <c r="HN4">
        <v>3.6066869987999999</v>
      </c>
      <c r="HO4">
        <v>3.4138687489000001</v>
      </c>
      <c r="HP4">
        <v>3.7401268376000001</v>
      </c>
      <c r="HQ4">
        <v>2.9271911406000002</v>
      </c>
      <c r="HR4">
        <v>13.4264165561</v>
      </c>
      <c r="HS4">
        <v>-25.806451612899998</v>
      </c>
      <c r="HT4">
        <v>-176</v>
      </c>
      <c r="HU4">
        <v>425.40464807490002</v>
      </c>
      <c r="HV4">
        <v>89.149560117299998</v>
      </c>
      <c r="HW4">
        <v>608</v>
      </c>
      <c r="HX4">
        <v>13.4264165561</v>
      </c>
      <c r="HY4">
        <v>-25.806451612899998</v>
      </c>
      <c r="HZ4">
        <v>-176</v>
      </c>
      <c r="IA4">
        <v>425.40464807490002</v>
      </c>
      <c r="IB4">
        <v>89.149560117299998</v>
      </c>
      <c r="IC4">
        <v>608</v>
      </c>
      <c r="ID4">
        <v>26.3953519258</v>
      </c>
      <c r="IE4">
        <v>0.50131695450000002</v>
      </c>
      <c r="IF4">
        <v>-35.190615835800003</v>
      </c>
      <c r="IG4">
        <v>-240</v>
      </c>
      <c r="IH4">
        <v>449.7066401065</v>
      </c>
      <c r="II4">
        <v>98.533724340199996</v>
      </c>
      <c r="IJ4">
        <v>672</v>
      </c>
      <c r="IK4">
        <v>411.97823151879999</v>
      </c>
      <c r="IL4">
        <v>114.9560117302</v>
      </c>
      <c r="IM4">
        <v>437.78591190840001</v>
      </c>
      <c r="IN4">
        <v>124.3401759531</v>
      </c>
      <c r="IO4">
        <v>7.9000000005000004</v>
      </c>
      <c r="IP4">
        <v>6.5999999988000004</v>
      </c>
      <c r="IQ4">
        <v>9.9000000009000004</v>
      </c>
      <c r="IR4">
        <v>3.0284538311000002</v>
      </c>
      <c r="IS4">
        <v>3.0284538311000002</v>
      </c>
      <c r="IT4">
        <v>8.4999999999</v>
      </c>
      <c r="IU4">
        <v>-25.806451612899998</v>
      </c>
      <c r="IV4">
        <v>12.4999999989</v>
      </c>
      <c r="IW4">
        <v>79.765395894400001</v>
      </c>
      <c r="IX4">
        <v>9.2999999997000007</v>
      </c>
      <c r="IY4">
        <v>93.841642228699996</v>
      </c>
      <c r="IZ4">
        <v>-29.8162606313</v>
      </c>
      <c r="JA4">
        <v>0.29911191259999997</v>
      </c>
      <c r="JB4">
        <v>-2.0984930000000001E-4</v>
      </c>
      <c r="JC4">
        <v>3.8179999999999999E-7</v>
      </c>
      <c r="JD4">
        <v>0.27279083900000001</v>
      </c>
      <c r="JE4">
        <v>0.30466281989999999</v>
      </c>
      <c r="JF4">
        <v>0.11669481549999999</v>
      </c>
      <c r="JG4">
        <v>106.2197929761</v>
      </c>
      <c r="JH4">
        <v>3.7401268376000001</v>
      </c>
      <c r="JI4">
        <v>3.8786570999999998E-3</v>
      </c>
      <c r="JJ4">
        <v>-6.3100299999999996E-5</v>
      </c>
      <c r="JK4">
        <v>3.6658122521999998</v>
      </c>
      <c r="JL4">
        <v>0.86662162070000004</v>
      </c>
      <c r="JM4">
        <v>0.36460019110000003</v>
      </c>
      <c r="JN4" t="s">
        <v>574</v>
      </c>
      <c r="JQ4">
        <v>1</v>
      </c>
    </row>
    <row r="5" spans="1:277">
      <c r="A5" t="s">
        <v>579</v>
      </c>
      <c r="B5" t="s">
        <v>580</v>
      </c>
      <c r="C5" t="s">
        <v>211</v>
      </c>
      <c r="D5">
        <v>3</v>
      </c>
      <c r="E5" t="s">
        <v>212</v>
      </c>
      <c r="F5" t="s">
        <v>213</v>
      </c>
      <c r="G5" t="s">
        <v>573</v>
      </c>
      <c r="H5" t="s">
        <v>215</v>
      </c>
      <c r="J5" t="s">
        <v>243</v>
      </c>
      <c r="K5" t="s">
        <v>244</v>
      </c>
      <c r="L5" t="s">
        <v>245</v>
      </c>
      <c r="M5" t="s">
        <v>246</v>
      </c>
      <c r="N5" t="s">
        <v>247</v>
      </c>
      <c r="O5">
        <v>0</v>
      </c>
      <c r="P5">
        <v>0</v>
      </c>
      <c r="Q5">
        <v>0.50000000010000001</v>
      </c>
      <c r="R5">
        <v>0.29999999970000002</v>
      </c>
      <c r="S5">
        <v>0.29999999970000002</v>
      </c>
      <c r="T5">
        <v>0.29999999970000002</v>
      </c>
      <c r="U5">
        <v>0.29999999970000002</v>
      </c>
      <c r="V5">
        <v>0.29999999970000002</v>
      </c>
      <c r="W5">
        <v>0.20000000039999999</v>
      </c>
      <c r="X5">
        <v>0.20000000039999999</v>
      </c>
      <c r="Y5">
        <v>9.9999999300000003E-2</v>
      </c>
      <c r="Z5">
        <v>0.20000000039999999</v>
      </c>
      <c r="AA5">
        <v>0</v>
      </c>
      <c r="AB5">
        <v>9.9999999300000003E-2</v>
      </c>
      <c r="AC5">
        <v>0.29999999970000002</v>
      </c>
      <c r="AD5">
        <v>0.39999999899999999</v>
      </c>
      <c r="AE5">
        <v>0.39999999899999999</v>
      </c>
      <c r="AF5">
        <v>9.9999999300000003E-2</v>
      </c>
      <c r="AG5">
        <v>0.29999999970000002</v>
      </c>
      <c r="AH5">
        <v>0.29999999970000002</v>
      </c>
      <c r="AI5">
        <v>0.50000000010000001</v>
      </c>
      <c r="AJ5">
        <v>2.1999999990000001</v>
      </c>
      <c r="AK5">
        <v>4.8000000005999999</v>
      </c>
      <c r="AL5">
        <v>8.7999999996000007</v>
      </c>
      <c r="AM5">
        <v>16.299999999299999</v>
      </c>
      <c r="AN5">
        <v>23.299999998899999</v>
      </c>
      <c r="AO5">
        <v>30.6</v>
      </c>
      <c r="AP5">
        <v>38.399999999499997</v>
      </c>
      <c r="AQ5">
        <v>46.699999998999999</v>
      </c>
      <c r="AR5">
        <v>55.200000000700001</v>
      </c>
      <c r="AS5">
        <v>63.500000000199996</v>
      </c>
      <c r="AT5">
        <v>71.599999999299996</v>
      </c>
      <c r="AU5">
        <v>79.4000000005</v>
      </c>
      <c r="AV5">
        <v>87.499999999600007</v>
      </c>
      <c r="AW5">
        <v>96.499999999699995</v>
      </c>
      <c r="AX5">
        <v>105.2999999993</v>
      </c>
      <c r="AY5">
        <v>114.4000000004</v>
      </c>
      <c r="AZ5">
        <v>122.9000000003</v>
      </c>
      <c r="BA5">
        <v>130.79999999899999</v>
      </c>
      <c r="BB5">
        <v>139.10000000030001</v>
      </c>
      <c r="BC5">
        <v>147.80000000059999</v>
      </c>
      <c r="BD5">
        <v>156.80000000070001</v>
      </c>
      <c r="BE5">
        <v>165.80000000070001</v>
      </c>
      <c r="BF5">
        <v>174.80000000070001</v>
      </c>
      <c r="BG5">
        <v>182.80000000050001</v>
      </c>
      <c r="BH5">
        <v>191.39999999969999</v>
      </c>
      <c r="BI5">
        <v>199.8999999996</v>
      </c>
      <c r="BJ5">
        <v>208.6999999992</v>
      </c>
      <c r="BK5">
        <v>217.59999999990001</v>
      </c>
      <c r="BL5">
        <v>226.3000000003</v>
      </c>
      <c r="BM5">
        <v>234.00000000040001</v>
      </c>
      <c r="BN5">
        <v>242.39999999919999</v>
      </c>
      <c r="BO5">
        <v>251.0999999995</v>
      </c>
      <c r="BP5">
        <v>259.70000000049998</v>
      </c>
      <c r="BQ5">
        <v>268.39999999899999</v>
      </c>
      <c r="BR5">
        <v>276.59999999920001</v>
      </c>
      <c r="BS5">
        <v>284.20000000009998</v>
      </c>
      <c r="BT5">
        <v>292.2999999992</v>
      </c>
      <c r="BU5">
        <v>300.29999999900002</v>
      </c>
      <c r="BV5">
        <v>308.39999999989999</v>
      </c>
      <c r="BW5">
        <v>316.9999999991</v>
      </c>
      <c r="BX5">
        <v>324.80000000029997</v>
      </c>
      <c r="BY5">
        <v>332.699999999</v>
      </c>
      <c r="BZ5">
        <v>339.79999999969999</v>
      </c>
      <c r="CA5">
        <v>347.20000000020002</v>
      </c>
      <c r="CB5">
        <v>354.9000000003</v>
      </c>
      <c r="CC5">
        <v>362.30000000069998</v>
      </c>
      <c r="CD5">
        <v>370.10000000010001</v>
      </c>
      <c r="CE5">
        <v>377.39999999939999</v>
      </c>
      <c r="CF5">
        <v>384.59999999939998</v>
      </c>
      <c r="CG5">
        <v>391.40000000039998</v>
      </c>
      <c r="CH5">
        <v>398.10000000029999</v>
      </c>
      <c r="CI5">
        <v>405.19999999919997</v>
      </c>
      <c r="CJ5">
        <v>412.5999999997</v>
      </c>
      <c r="CK5">
        <v>419.7000000004</v>
      </c>
      <c r="CL5">
        <v>426.10000000060001</v>
      </c>
      <c r="CM5">
        <v>432.69999999940001</v>
      </c>
      <c r="CN5">
        <v>438.50000000019998</v>
      </c>
      <c r="CO5">
        <v>444.10000000060001</v>
      </c>
      <c r="CP5">
        <v>449.00000000049999</v>
      </c>
      <c r="CQ5">
        <v>453.59999999889999</v>
      </c>
      <c r="CR5">
        <v>456.09999999939998</v>
      </c>
      <c r="CS5">
        <v>456.20000000049998</v>
      </c>
      <c r="CT5">
        <v>456.09999999939998</v>
      </c>
      <c r="CU5">
        <v>456.00000000009999</v>
      </c>
      <c r="CV5">
        <v>456.00000000009999</v>
      </c>
      <c r="CW5">
        <v>456.09999999939998</v>
      </c>
      <c r="CX5">
        <v>456.00000000009999</v>
      </c>
      <c r="CY5">
        <v>456.09999999939998</v>
      </c>
      <c r="CZ5">
        <v>456.09999999939998</v>
      </c>
      <c r="DA5">
        <v>455.89999999899999</v>
      </c>
      <c r="DB5">
        <v>456.09999999939998</v>
      </c>
      <c r="DC5">
        <v>455.79999999969999</v>
      </c>
      <c r="DD5">
        <v>456.09999999939998</v>
      </c>
      <c r="DE5">
        <v>456.09999999939998</v>
      </c>
      <c r="DF5">
        <v>456.09999999939998</v>
      </c>
      <c r="DG5">
        <v>1.0000000002</v>
      </c>
      <c r="DH5">
        <v>0.7000000005</v>
      </c>
      <c r="DI5">
        <v>0.89999999909999995</v>
      </c>
      <c r="DJ5">
        <v>0.79999999980000003</v>
      </c>
      <c r="DK5">
        <v>1.0000000002</v>
      </c>
      <c r="DL5">
        <v>1.0000000002</v>
      </c>
      <c r="DM5">
        <v>1.0000000002</v>
      </c>
      <c r="DN5">
        <v>0.79999999980000003</v>
      </c>
      <c r="DO5">
        <v>0.89999999909999995</v>
      </c>
      <c r="DP5">
        <v>0.59999999940000004</v>
      </c>
      <c r="DQ5">
        <v>0.7000000005</v>
      </c>
      <c r="DR5">
        <v>0.89999999909999995</v>
      </c>
      <c r="DS5">
        <v>1.0999999995</v>
      </c>
      <c r="DT5">
        <v>0.89999999909999995</v>
      </c>
      <c r="DU5">
        <v>1.0000000002</v>
      </c>
      <c r="DV5">
        <v>0.79999999980000003</v>
      </c>
      <c r="DW5">
        <v>0.79999999980000003</v>
      </c>
      <c r="DX5">
        <v>0.7000000005</v>
      </c>
      <c r="DY5">
        <v>1.8</v>
      </c>
      <c r="DZ5">
        <v>4.8999999999000003</v>
      </c>
      <c r="EA5">
        <v>9.5999999993999996</v>
      </c>
      <c r="EB5">
        <v>17.200000000199999</v>
      </c>
      <c r="EC5">
        <v>24.1000000005</v>
      </c>
      <c r="ED5">
        <v>31.199999999399999</v>
      </c>
      <c r="EE5">
        <v>38.800000000300003</v>
      </c>
      <c r="EF5">
        <v>47.199999999100001</v>
      </c>
      <c r="EG5">
        <v>55.3999999993</v>
      </c>
      <c r="EH5">
        <v>63.899999999199999</v>
      </c>
      <c r="EI5">
        <v>72.099999999399998</v>
      </c>
      <c r="EJ5">
        <v>79.499999999799996</v>
      </c>
      <c r="EK5">
        <v>87.499999999600007</v>
      </c>
      <c r="EL5">
        <v>95.999999999500005</v>
      </c>
      <c r="EM5">
        <v>104.99999999960001</v>
      </c>
      <c r="EN5">
        <v>113.9000000003</v>
      </c>
      <c r="EO5">
        <v>122.1000000005</v>
      </c>
      <c r="EP5">
        <v>130.4999999993</v>
      </c>
      <c r="EQ5">
        <v>138.99999999920001</v>
      </c>
      <c r="ER5">
        <v>147.89999999989999</v>
      </c>
      <c r="ES5">
        <v>156.9</v>
      </c>
      <c r="ET5">
        <v>165.80000000070001</v>
      </c>
      <c r="EU5">
        <v>174.60000000030001</v>
      </c>
      <c r="EV5">
        <v>182.69999999940001</v>
      </c>
      <c r="EW5">
        <v>191.39999999969999</v>
      </c>
      <c r="EX5">
        <v>200.39999999969999</v>
      </c>
      <c r="EY5">
        <v>209.19999999929999</v>
      </c>
      <c r="EZ5">
        <v>218.19999999929999</v>
      </c>
      <c r="FA5">
        <v>226.89999999969999</v>
      </c>
      <c r="FB5">
        <v>235.09999999990001</v>
      </c>
      <c r="FC5">
        <v>243.59999999979999</v>
      </c>
      <c r="FD5">
        <v>252.59999999979999</v>
      </c>
      <c r="FE5">
        <v>261.39999999939999</v>
      </c>
      <c r="FF5">
        <v>270.3000000001</v>
      </c>
      <c r="FG5">
        <v>278.89999999930001</v>
      </c>
      <c r="FH5">
        <v>286.59999999950003</v>
      </c>
      <c r="FI5">
        <v>295.00000000009999</v>
      </c>
      <c r="FJ5">
        <v>304.00000000009999</v>
      </c>
      <c r="FK5">
        <v>311.99999999990001</v>
      </c>
      <c r="FL5">
        <v>320.90000000060002</v>
      </c>
      <c r="FM5">
        <v>328.99999999969998</v>
      </c>
      <c r="FN5">
        <v>336.79999999910001</v>
      </c>
      <c r="FO5">
        <v>344.10000000029999</v>
      </c>
      <c r="FP5">
        <v>352.19999999940001</v>
      </c>
      <c r="FQ5">
        <v>360.09999999989998</v>
      </c>
      <c r="FR5">
        <v>368.39999999939999</v>
      </c>
      <c r="FS5">
        <v>375.79999999979998</v>
      </c>
      <c r="FT5">
        <v>383.29999999950002</v>
      </c>
      <c r="FU5">
        <v>390.40000000020001</v>
      </c>
      <c r="FV5">
        <v>397.30000000050001</v>
      </c>
      <c r="FW5">
        <v>404.50000000059998</v>
      </c>
      <c r="FX5">
        <v>411.79999999990002</v>
      </c>
      <c r="FY5">
        <v>418.90000000060002</v>
      </c>
      <c r="FZ5">
        <v>425.40000000010002</v>
      </c>
      <c r="GA5">
        <v>431.69999999919997</v>
      </c>
      <c r="GB5">
        <v>436.90000000060002</v>
      </c>
      <c r="GC5">
        <v>442.1000000002</v>
      </c>
      <c r="GD5">
        <v>446.89999999899999</v>
      </c>
      <c r="GE5">
        <v>451.1000000002</v>
      </c>
      <c r="GF5">
        <v>454.79999999950002</v>
      </c>
      <c r="GG5">
        <v>455.89999999899999</v>
      </c>
      <c r="GH5">
        <v>456.09999999939998</v>
      </c>
      <c r="GI5">
        <v>456.00000000009999</v>
      </c>
      <c r="GJ5">
        <v>456.00000000009999</v>
      </c>
      <c r="GK5">
        <v>455.89999999899999</v>
      </c>
      <c r="GL5">
        <v>455.89999999899999</v>
      </c>
      <c r="GM5">
        <v>456.00000000009999</v>
      </c>
      <c r="GN5">
        <v>456.09999999939998</v>
      </c>
      <c r="GO5">
        <v>456.20000000049998</v>
      </c>
      <c r="GP5">
        <v>456.09999999939998</v>
      </c>
      <c r="GQ5">
        <v>456.09999999939998</v>
      </c>
      <c r="GR5">
        <v>455.89999999899999</v>
      </c>
      <c r="GS5">
        <v>455.89999999899999</v>
      </c>
      <c r="GT5">
        <v>456.00000000009999</v>
      </c>
      <c r="GU5">
        <v>456.29999999979998</v>
      </c>
      <c r="GV5">
        <v>456.20000000049998</v>
      </c>
      <c r="GW5">
        <v>1</v>
      </c>
      <c r="GX5">
        <v>98.799999999799994</v>
      </c>
      <c r="GY5">
        <v>96.499999999699995</v>
      </c>
      <c r="GZ5">
        <v>96.499999999699995</v>
      </c>
      <c r="HA5">
        <v>104.99999999960001</v>
      </c>
      <c r="HB5">
        <v>98.377192020699994</v>
      </c>
      <c r="HC5">
        <v>-8.4999999999</v>
      </c>
      <c r="HD5">
        <v>456.1999890404</v>
      </c>
      <c r="HE5">
        <v>325.9790552394</v>
      </c>
      <c r="HF5">
        <v>81.731817185699995</v>
      </c>
      <c r="HG5">
        <v>456.29999999979998</v>
      </c>
      <c r="HH5">
        <v>456.29999999979998</v>
      </c>
      <c r="HI5">
        <v>456.20000000049998</v>
      </c>
      <c r="HJ5">
        <v>456.29999999979998</v>
      </c>
      <c r="HK5">
        <v>107.91788856300001</v>
      </c>
      <c r="HL5">
        <v>3.6319113792</v>
      </c>
      <c r="HM5">
        <v>3.5037528014000001</v>
      </c>
      <c r="HN5">
        <v>3.5842456782999998</v>
      </c>
      <c r="HO5">
        <v>3.3549512681999998</v>
      </c>
      <c r="HP5">
        <v>3.6719035969</v>
      </c>
      <c r="HQ5">
        <v>2.9196446230999999</v>
      </c>
      <c r="HR5">
        <v>16.645374834999998</v>
      </c>
      <c r="HS5">
        <v>-23.460410557199999</v>
      </c>
      <c r="HT5">
        <v>-160</v>
      </c>
      <c r="HU5">
        <v>424.35624725999998</v>
      </c>
      <c r="HV5">
        <v>91.495601172999997</v>
      </c>
      <c r="HW5">
        <v>624</v>
      </c>
      <c r="HX5">
        <v>16.645374834999998</v>
      </c>
      <c r="HY5">
        <v>-23.460410557199999</v>
      </c>
      <c r="HZ5">
        <v>-160</v>
      </c>
      <c r="IA5">
        <v>424.35624725999998</v>
      </c>
      <c r="IB5">
        <v>91.495601172999997</v>
      </c>
      <c r="IC5">
        <v>624</v>
      </c>
      <c r="ID5">
        <v>31.943752739800001</v>
      </c>
      <c r="IE5">
        <v>0.50327707160000001</v>
      </c>
      <c r="IF5">
        <v>-32.844574780099997</v>
      </c>
      <c r="IG5">
        <v>-224</v>
      </c>
      <c r="IH5">
        <v>446.65142481269999</v>
      </c>
      <c r="II5">
        <v>100.87976539589999</v>
      </c>
      <c r="IJ5">
        <v>688</v>
      </c>
      <c r="IK5">
        <v>407.71087242509998</v>
      </c>
      <c r="IL5">
        <v>114.9560117302</v>
      </c>
      <c r="IM5">
        <v>431.4395002192</v>
      </c>
      <c r="IN5">
        <v>124.3401759531</v>
      </c>
      <c r="IO5">
        <v>7.6000000007999997</v>
      </c>
      <c r="IP5">
        <v>6.2999999990999997</v>
      </c>
      <c r="IQ5">
        <v>9.1000000010999997</v>
      </c>
      <c r="IR5">
        <v>2.7801057781999998</v>
      </c>
      <c r="IS5">
        <v>2.7801057781999998</v>
      </c>
      <c r="IT5">
        <v>8.4000000006000004</v>
      </c>
      <c r="IU5">
        <v>-25.806451612899998</v>
      </c>
      <c r="IV5">
        <v>13.700000001299999</v>
      </c>
      <c r="IW5">
        <v>89.149560117299998</v>
      </c>
      <c r="IX5">
        <v>9.4000000008000004</v>
      </c>
      <c r="IY5">
        <v>98.533724340199996</v>
      </c>
      <c r="IZ5">
        <v>-28.2374029094</v>
      </c>
      <c r="JA5">
        <v>0.30491976780000002</v>
      </c>
      <c r="JB5">
        <v>-2.2139530000000001E-4</v>
      </c>
      <c r="JC5">
        <v>3.9359999999999998E-7</v>
      </c>
      <c r="JD5">
        <v>0.2753371147</v>
      </c>
      <c r="JE5">
        <v>0.23898487760000001</v>
      </c>
      <c r="JF5">
        <v>9.8181179800000004E-2</v>
      </c>
      <c r="JG5">
        <v>98.549738634899995</v>
      </c>
      <c r="JH5">
        <v>3.6719035969</v>
      </c>
      <c r="JI5">
        <v>4.5375058999999997E-3</v>
      </c>
      <c r="JJ5">
        <v>-6.3015099999999999E-5</v>
      </c>
      <c r="JK5">
        <v>3.6319113792</v>
      </c>
      <c r="JL5">
        <v>0.928924258</v>
      </c>
      <c r="JM5">
        <v>0.3185673195</v>
      </c>
      <c r="JN5" t="s">
        <v>574</v>
      </c>
      <c r="JQ5">
        <v>1</v>
      </c>
    </row>
    <row r="6" spans="1:277">
      <c r="A6" t="s">
        <v>581</v>
      </c>
      <c r="B6" t="s">
        <v>582</v>
      </c>
      <c r="C6" t="s">
        <v>211</v>
      </c>
      <c r="D6">
        <v>3</v>
      </c>
      <c r="E6" t="s">
        <v>212</v>
      </c>
      <c r="F6" t="s">
        <v>213</v>
      </c>
      <c r="G6" t="s">
        <v>573</v>
      </c>
      <c r="H6" t="s">
        <v>215</v>
      </c>
      <c r="J6" t="s">
        <v>250</v>
      </c>
      <c r="K6" t="s">
        <v>251</v>
      </c>
      <c r="L6" t="s">
        <v>252</v>
      </c>
      <c r="M6" t="s">
        <v>253</v>
      </c>
      <c r="N6" t="s">
        <v>254</v>
      </c>
      <c r="O6">
        <v>0</v>
      </c>
      <c r="P6">
        <v>0</v>
      </c>
      <c r="Q6">
        <v>0</v>
      </c>
      <c r="R6">
        <v>0.3000000015</v>
      </c>
      <c r="S6">
        <v>0.3000000015</v>
      </c>
      <c r="T6">
        <v>0.3000000015</v>
      </c>
      <c r="U6">
        <v>0.50000000010000001</v>
      </c>
      <c r="V6">
        <v>0.60000000119999997</v>
      </c>
      <c r="W6">
        <v>0.60000000119999997</v>
      </c>
      <c r="X6">
        <v>0.20000000039999999</v>
      </c>
      <c r="Y6">
        <v>0.40000000079999998</v>
      </c>
      <c r="Z6">
        <v>0.3000000015</v>
      </c>
      <c r="AA6">
        <v>0.60000000119999997</v>
      </c>
      <c r="AB6">
        <v>0.90000000089999999</v>
      </c>
      <c r="AC6">
        <v>0.7000000005</v>
      </c>
      <c r="AD6">
        <v>0.7000000005</v>
      </c>
      <c r="AE6">
        <v>0.7000000005</v>
      </c>
      <c r="AF6">
        <v>0.50000000010000001</v>
      </c>
      <c r="AG6">
        <v>0.7000000005</v>
      </c>
      <c r="AH6">
        <v>0.90000000089999999</v>
      </c>
      <c r="AI6">
        <v>1.2000000006</v>
      </c>
      <c r="AJ6">
        <v>1.2000000006</v>
      </c>
      <c r="AK6">
        <v>1.1000000013</v>
      </c>
      <c r="AL6">
        <v>1.0000000002</v>
      </c>
      <c r="AM6">
        <v>7.3000000010999999</v>
      </c>
      <c r="AN6">
        <v>14.9000000001</v>
      </c>
      <c r="AO6">
        <v>23.500000001099998</v>
      </c>
      <c r="AP6">
        <v>30.900000001599999</v>
      </c>
      <c r="AQ6">
        <v>39.000000000699998</v>
      </c>
      <c r="AR6">
        <v>47.5999999999</v>
      </c>
      <c r="AS6">
        <v>55.6000000015</v>
      </c>
      <c r="AT6">
        <v>64.200000000700001</v>
      </c>
      <c r="AU6">
        <v>72.900000000999995</v>
      </c>
      <c r="AV6">
        <v>81.299999999799994</v>
      </c>
      <c r="AW6">
        <v>90.400000000999995</v>
      </c>
      <c r="AX6">
        <v>100.00000000039999</v>
      </c>
      <c r="AY6">
        <v>108.50000000030001</v>
      </c>
      <c r="AZ6">
        <v>117.2999999999</v>
      </c>
      <c r="BA6">
        <v>126.60000000140001</v>
      </c>
      <c r="BB6">
        <v>135.1000000013</v>
      </c>
      <c r="BC6">
        <v>144.0000000002</v>
      </c>
      <c r="BD6">
        <v>152.900000001</v>
      </c>
      <c r="BE6">
        <v>162.40000000110001</v>
      </c>
      <c r="BF6">
        <v>171.3</v>
      </c>
      <c r="BG6">
        <v>179.7000000006</v>
      </c>
      <c r="BH6">
        <v>189.00000000029999</v>
      </c>
      <c r="BI6">
        <v>198.00000000029999</v>
      </c>
      <c r="BJ6">
        <v>207.00000000029999</v>
      </c>
      <c r="BK6">
        <v>216.00000000029999</v>
      </c>
      <c r="BL6">
        <v>225.50000000049999</v>
      </c>
      <c r="BM6">
        <v>233.70000000069999</v>
      </c>
      <c r="BN6">
        <v>242.90000000110001</v>
      </c>
      <c r="BO6">
        <v>251.70000000069999</v>
      </c>
      <c r="BP6">
        <v>259.90000000089998</v>
      </c>
      <c r="BQ6">
        <v>268.79999999979998</v>
      </c>
      <c r="BR6">
        <v>277.90000000100002</v>
      </c>
      <c r="BS6">
        <v>286.10000000119999</v>
      </c>
      <c r="BT6">
        <v>294.5</v>
      </c>
      <c r="BU6">
        <v>302.80000000130002</v>
      </c>
      <c r="BV6">
        <v>311.00000000149998</v>
      </c>
      <c r="BW6">
        <v>319.5000000014</v>
      </c>
      <c r="BX6">
        <v>327.90000000020001</v>
      </c>
      <c r="BY6">
        <v>335.30000000059999</v>
      </c>
      <c r="BZ6">
        <v>343.30000000050001</v>
      </c>
      <c r="CA6">
        <v>350.90000000129999</v>
      </c>
      <c r="CB6">
        <v>358.90000000110001</v>
      </c>
      <c r="CC6">
        <v>366.2000000004</v>
      </c>
      <c r="CD6">
        <v>373.90000000049997</v>
      </c>
      <c r="CE6">
        <v>381.50000000130001</v>
      </c>
      <c r="CF6">
        <v>388.80000000059999</v>
      </c>
      <c r="CG6">
        <v>396.40000000139997</v>
      </c>
      <c r="CH6">
        <v>402.50000000009999</v>
      </c>
      <c r="CI6">
        <v>410.30000000140001</v>
      </c>
      <c r="CJ6">
        <v>417.60000000069999</v>
      </c>
      <c r="CK6">
        <v>425.20000000149997</v>
      </c>
      <c r="CL6">
        <v>431.70000000099998</v>
      </c>
      <c r="CM6">
        <v>438.29999999979998</v>
      </c>
      <c r="CN6">
        <v>445.00000000149998</v>
      </c>
      <c r="CO6">
        <v>449.70000000099998</v>
      </c>
      <c r="CP6">
        <v>449.90000000139997</v>
      </c>
      <c r="CQ6">
        <v>449.90000000139997</v>
      </c>
      <c r="CR6">
        <v>450.00000000070003</v>
      </c>
      <c r="CS6">
        <v>449.90000000139997</v>
      </c>
      <c r="CT6">
        <v>449.80000000029997</v>
      </c>
      <c r="CU6">
        <v>449.70000000099998</v>
      </c>
      <c r="CV6">
        <v>449.70000000099998</v>
      </c>
      <c r="CW6">
        <v>449.59999999989998</v>
      </c>
      <c r="CX6">
        <v>449.90000000139997</v>
      </c>
      <c r="CY6">
        <v>449.80000000029997</v>
      </c>
      <c r="CZ6">
        <v>449.90000000139997</v>
      </c>
      <c r="DA6">
        <v>449.80000000029997</v>
      </c>
      <c r="DB6">
        <v>449.80000000029997</v>
      </c>
      <c r="DC6">
        <v>449.70000000099998</v>
      </c>
      <c r="DD6">
        <v>449.90000000139997</v>
      </c>
      <c r="DE6">
        <v>449.90000000139997</v>
      </c>
      <c r="DF6">
        <v>449.80000000029997</v>
      </c>
      <c r="DG6">
        <v>0.20000000039999999</v>
      </c>
      <c r="DH6">
        <v>1.0000000002</v>
      </c>
      <c r="DI6">
        <v>0.90000000089999999</v>
      </c>
      <c r="DJ6">
        <v>1.1000000013</v>
      </c>
      <c r="DK6">
        <v>1.2000000006</v>
      </c>
      <c r="DL6">
        <v>1.2000000006</v>
      </c>
      <c r="DM6">
        <v>1.2000000006</v>
      </c>
      <c r="DN6">
        <v>1.2999999999</v>
      </c>
      <c r="DO6">
        <v>1.2000000006</v>
      </c>
      <c r="DP6">
        <v>1.400000001</v>
      </c>
      <c r="DQ6">
        <v>1.6000000014</v>
      </c>
      <c r="DR6">
        <v>1.9000000011</v>
      </c>
      <c r="DS6">
        <v>1.6000000014</v>
      </c>
      <c r="DT6">
        <v>1.5000000003</v>
      </c>
      <c r="DU6">
        <v>1.400000001</v>
      </c>
      <c r="DV6">
        <v>1.7000000007</v>
      </c>
      <c r="DW6">
        <v>1.7000000007</v>
      </c>
      <c r="DX6">
        <v>1.7000000007</v>
      </c>
      <c r="DY6">
        <v>1.5000000003</v>
      </c>
      <c r="DZ6">
        <v>1.7000000007</v>
      </c>
      <c r="EA6">
        <v>1.9000000011</v>
      </c>
      <c r="EB6">
        <v>8.2000000001999993</v>
      </c>
      <c r="EC6">
        <v>16.500000001499998</v>
      </c>
      <c r="ED6">
        <v>24.400000000199999</v>
      </c>
      <c r="EE6">
        <v>32.000000001099998</v>
      </c>
      <c r="EF6">
        <v>39.600000000100003</v>
      </c>
      <c r="EG6">
        <v>47.800000000300003</v>
      </c>
      <c r="EH6">
        <v>55.900000001199999</v>
      </c>
      <c r="EI6">
        <v>64.600000001500007</v>
      </c>
      <c r="EJ6">
        <v>73.200000000700001</v>
      </c>
      <c r="EK6">
        <v>81.400000000899993</v>
      </c>
      <c r="EL6">
        <v>90.000000000100002</v>
      </c>
      <c r="EM6">
        <v>99.700000000700001</v>
      </c>
      <c r="EN6">
        <v>108.60000000140001</v>
      </c>
      <c r="EO6">
        <v>118.00000000039999</v>
      </c>
      <c r="EP6">
        <v>126.2000000006</v>
      </c>
      <c r="EQ6">
        <v>135.0000000002</v>
      </c>
      <c r="ER6">
        <v>144.2999999999</v>
      </c>
      <c r="ES6">
        <v>153.50000000029999</v>
      </c>
      <c r="ET6">
        <v>162.7000000008</v>
      </c>
      <c r="EU6">
        <v>171.20000000069999</v>
      </c>
      <c r="EV6">
        <v>180.60000000150001</v>
      </c>
      <c r="EW6">
        <v>189.7000000008</v>
      </c>
      <c r="EX6">
        <v>199.00000000049999</v>
      </c>
      <c r="EY6">
        <v>207.9000000012</v>
      </c>
      <c r="EZ6">
        <v>217.4000000014</v>
      </c>
      <c r="FA6">
        <v>226.6</v>
      </c>
      <c r="FB6">
        <v>235.20000000100001</v>
      </c>
      <c r="FC6">
        <v>244.5000000007</v>
      </c>
      <c r="FD6">
        <v>253.5000000007</v>
      </c>
      <c r="FE6">
        <v>262.09999999989998</v>
      </c>
      <c r="FF6">
        <v>271.80000000040002</v>
      </c>
      <c r="FG6">
        <v>280.40000000150002</v>
      </c>
      <c r="FH6">
        <v>289.30000000040002</v>
      </c>
      <c r="FI6">
        <v>298.20000000110002</v>
      </c>
      <c r="FJ6">
        <v>306.80000000029997</v>
      </c>
      <c r="FK6">
        <v>315.20000000089999</v>
      </c>
      <c r="FL6">
        <v>324.20000000089999</v>
      </c>
      <c r="FM6">
        <v>332.50000000040001</v>
      </c>
      <c r="FN6">
        <v>341.10000000150001</v>
      </c>
      <c r="FO6">
        <v>349.50000000030002</v>
      </c>
      <c r="FP6">
        <v>357.3000000015</v>
      </c>
      <c r="FQ6">
        <v>365.30000000130002</v>
      </c>
      <c r="FR6">
        <v>373.70000000009998</v>
      </c>
      <c r="FS6">
        <v>381.30000000090001</v>
      </c>
      <c r="FT6">
        <v>388.6000000002</v>
      </c>
      <c r="FU6">
        <v>396.6</v>
      </c>
      <c r="FV6">
        <v>403.60000000150001</v>
      </c>
      <c r="FW6">
        <v>410.4000000007</v>
      </c>
      <c r="FX6">
        <v>417.80000000109999</v>
      </c>
      <c r="FY6">
        <v>425.10000000039997</v>
      </c>
      <c r="FZ6">
        <v>431.20000000089999</v>
      </c>
      <c r="GA6">
        <v>437.30000000140001</v>
      </c>
      <c r="GB6">
        <v>442.80000000069998</v>
      </c>
      <c r="GC6">
        <v>447.70000000060003</v>
      </c>
      <c r="GD6">
        <v>449.70000000099998</v>
      </c>
      <c r="GE6">
        <v>449.80000000029997</v>
      </c>
      <c r="GF6">
        <v>449.80000000029997</v>
      </c>
      <c r="GG6">
        <v>449.80000000029997</v>
      </c>
      <c r="GH6">
        <v>449.70000000099998</v>
      </c>
      <c r="GI6">
        <v>449.80000000029997</v>
      </c>
      <c r="GJ6">
        <v>449.90000000139997</v>
      </c>
      <c r="GK6">
        <v>449.80000000029997</v>
      </c>
      <c r="GL6">
        <v>449.70000000099998</v>
      </c>
      <c r="GM6">
        <v>449.70000000099998</v>
      </c>
      <c r="GN6">
        <v>449.70000000099998</v>
      </c>
      <c r="GO6">
        <v>449.59999999989998</v>
      </c>
      <c r="GP6">
        <v>449.59999999989998</v>
      </c>
      <c r="GQ6">
        <v>449.70000000099998</v>
      </c>
      <c r="GR6">
        <v>449.59999999989998</v>
      </c>
      <c r="GS6">
        <v>449.70000000099998</v>
      </c>
      <c r="GT6">
        <v>449.70000000099998</v>
      </c>
      <c r="GU6">
        <v>449.70000000099998</v>
      </c>
      <c r="GV6">
        <v>449.59999999989998</v>
      </c>
      <c r="GW6">
        <v>1</v>
      </c>
      <c r="GX6">
        <v>93.199999999300005</v>
      </c>
      <c r="GY6">
        <v>90.400000000999995</v>
      </c>
      <c r="GZ6">
        <v>90.400000000999995</v>
      </c>
      <c r="HA6">
        <v>99.700000000700001</v>
      </c>
      <c r="HB6">
        <v>92.365021674800005</v>
      </c>
      <c r="HC6">
        <v>-9.2999999997000007</v>
      </c>
      <c r="HD6">
        <v>449.60006668879998</v>
      </c>
      <c r="HE6">
        <v>331.67724797109997</v>
      </c>
      <c r="HF6">
        <v>77.050050017399997</v>
      </c>
      <c r="HG6">
        <v>450.00000000070003</v>
      </c>
      <c r="HH6">
        <v>449.90000000139997</v>
      </c>
      <c r="HI6">
        <v>450.00000000070003</v>
      </c>
      <c r="HJ6">
        <v>449.90000000139997</v>
      </c>
      <c r="HK6">
        <v>100.87976539589999</v>
      </c>
      <c r="HL6">
        <v>3.7920822181</v>
      </c>
      <c r="HM6">
        <v>3.6419884813999999</v>
      </c>
      <c r="HN6">
        <v>3.7385692506999999</v>
      </c>
      <c r="HO6">
        <v>3.4743542996999999</v>
      </c>
      <c r="HP6">
        <v>3.8136517757999999</v>
      </c>
      <c r="HQ6">
        <v>3.0199167294999998</v>
      </c>
      <c r="HR6">
        <v>15.314971657399999</v>
      </c>
      <c r="HS6">
        <v>-21.114369501500001</v>
      </c>
      <c r="HT6">
        <v>-144</v>
      </c>
      <c r="HU6">
        <v>424.04226964589998</v>
      </c>
      <c r="HV6">
        <v>89.149560117299998</v>
      </c>
      <c r="HW6">
        <v>608</v>
      </c>
      <c r="HX6">
        <v>15.314971657399999</v>
      </c>
      <c r="HY6">
        <v>-21.114369501500001</v>
      </c>
      <c r="HZ6">
        <v>-144</v>
      </c>
      <c r="IA6">
        <v>424.04226964589998</v>
      </c>
      <c r="IB6">
        <v>89.149560117299998</v>
      </c>
      <c r="IC6">
        <v>608</v>
      </c>
      <c r="ID6">
        <v>25.857730355499999</v>
      </c>
      <c r="IE6">
        <v>1.2016116488999999</v>
      </c>
      <c r="IF6">
        <v>-30.4985337243</v>
      </c>
      <c r="IG6">
        <v>-208</v>
      </c>
      <c r="IH6">
        <v>447.5568633995</v>
      </c>
      <c r="II6">
        <v>98.533724340199996</v>
      </c>
      <c r="IJ6">
        <v>672</v>
      </c>
      <c r="IK6">
        <v>408.72729798850003</v>
      </c>
      <c r="IL6">
        <v>110.26392961880001</v>
      </c>
      <c r="IM6">
        <v>435.72607535970002</v>
      </c>
      <c r="IN6">
        <v>119.6480938416</v>
      </c>
      <c r="IO6">
        <v>8.3000000013000008</v>
      </c>
      <c r="IP6">
        <v>6.7000000017000003</v>
      </c>
      <c r="IQ6">
        <v>9.7000000004999993</v>
      </c>
      <c r="IR6">
        <v>2.9350857257</v>
      </c>
      <c r="IS6">
        <v>2.9350857257</v>
      </c>
      <c r="IT6">
        <v>9.2000000003999993</v>
      </c>
      <c r="IU6">
        <v>-23.460410557199999</v>
      </c>
      <c r="IV6">
        <v>15.300000000900001</v>
      </c>
      <c r="IW6">
        <v>86.803519061599999</v>
      </c>
      <c r="IX6">
        <v>11.0999999997</v>
      </c>
      <c r="IY6">
        <v>96.187683284499997</v>
      </c>
      <c r="IZ6">
        <v>-25.559618314000002</v>
      </c>
      <c r="JA6">
        <v>0.29423069660000001</v>
      </c>
      <c r="JB6">
        <v>-2.2491859999999999E-4</v>
      </c>
      <c r="JC6">
        <v>3.9719999999999998E-7</v>
      </c>
      <c r="JD6">
        <v>0.26370736249999999</v>
      </c>
      <c r="JE6">
        <v>0.18570276620000001</v>
      </c>
      <c r="JF6">
        <v>8.9394953999999999E-2</v>
      </c>
      <c r="JG6">
        <v>92.458753367</v>
      </c>
      <c r="JH6">
        <v>3.8136517757999999</v>
      </c>
      <c r="JI6">
        <v>5.6437290000000001E-3</v>
      </c>
      <c r="JJ6">
        <v>-7.5494399999999993E-5</v>
      </c>
      <c r="JK6">
        <v>3.7920822181</v>
      </c>
      <c r="JL6">
        <v>0.65434851140000005</v>
      </c>
      <c r="JM6">
        <v>0.2456047616</v>
      </c>
      <c r="JN6" t="s">
        <v>574</v>
      </c>
      <c r="JQ6">
        <v>1</v>
      </c>
    </row>
    <row r="7" spans="1:277">
      <c r="A7" t="s">
        <v>593</v>
      </c>
      <c r="B7" t="s">
        <v>594</v>
      </c>
      <c r="C7" t="s">
        <v>211</v>
      </c>
      <c r="D7">
        <v>3</v>
      </c>
      <c r="E7" t="s">
        <v>212</v>
      </c>
      <c r="F7" t="s">
        <v>213</v>
      </c>
      <c r="G7" t="s">
        <v>573</v>
      </c>
      <c r="H7" t="s">
        <v>215</v>
      </c>
      <c r="J7" t="s">
        <v>588</v>
      </c>
      <c r="K7" t="s">
        <v>589</v>
      </c>
      <c r="L7" t="s">
        <v>590</v>
      </c>
      <c r="M7" t="s">
        <v>591</v>
      </c>
      <c r="N7" t="s">
        <v>592</v>
      </c>
      <c r="O7">
        <v>0</v>
      </c>
      <c r="P7">
        <v>0</v>
      </c>
      <c r="Q7">
        <v>0</v>
      </c>
      <c r="R7">
        <v>0.20000000039999999</v>
      </c>
      <c r="S7">
        <v>0.3000000015</v>
      </c>
      <c r="T7">
        <v>0.3000000015</v>
      </c>
      <c r="U7">
        <v>0.20000000039999999</v>
      </c>
      <c r="V7">
        <v>0.3000000015</v>
      </c>
      <c r="W7">
        <v>0.3000000015</v>
      </c>
      <c r="X7">
        <v>0.3000000015</v>
      </c>
      <c r="Y7">
        <v>0.40000000079999998</v>
      </c>
      <c r="Z7">
        <v>0.40000000079999998</v>
      </c>
      <c r="AA7">
        <v>0.50000000010000001</v>
      </c>
      <c r="AB7">
        <v>0.60000000119999997</v>
      </c>
      <c r="AC7">
        <v>0.40000000079999998</v>
      </c>
      <c r="AD7">
        <v>0.40000000079999998</v>
      </c>
      <c r="AE7">
        <v>0.50000000010000001</v>
      </c>
      <c r="AF7">
        <v>0.50000000010000001</v>
      </c>
      <c r="AG7">
        <v>0.7000000005</v>
      </c>
      <c r="AH7">
        <v>0.79999999980000003</v>
      </c>
      <c r="AI7">
        <v>4.5000000009000001</v>
      </c>
      <c r="AJ7">
        <v>9.6000000011999997</v>
      </c>
      <c r="AK7">
        <v>16.499999999700002</v>
      </c>
      <c r="AL7">
        <v>24.1000000005</v>
      </c>
      <c r="AM7">
        <v>32.4000000001</v>
      </c>
      <c r="AN7">
        <v>39.5000000008</v>
      </c>
      <c r="AO7">
        <v>47.300000000200001</v>
      </c>
      <c r="AP7">
        <v>54.900000001000002</v>
      </c>
      <c r="AQ7">
        <v>62.6000000011</v>
      </c>
      <c r="AR7">
        <v>70.700000000200006</v>
      </c>
      <c r="AS7">
        <v>79.800000001300006</v>
      </c>
      <c r="AT7">
        <v>87.7</v>
      </c>
      <c r="AU7">
        <v>95.800000001000001</v>
      </c>
      <c r="AV7">
        <v>104.00000000119999</v>
      </c>
      <c r="AW7">
        <v>112.8000000008</v>
      </c>
      <c r="AX7">
        <v>121.90000000009999</v>
      </c>
      <c r="AY7">
        <v>131.00000000119999</v>
      </c>
      <c r="AZ7">
        <v>139.50000000110001</v>
      </c>
      <c r="BA7">
        <v>147.89999999989999</v>
      </c>
      <c r="BB7">
        <v>156.2000000013</v>
      </c>
      <c r="BC7">
        <v>164.30000000039999</v>
      </c>
      <c r="BD7">
        <v>172.8000000003</v>
      </c>
      <c r="BE7">
        <v>182.1</v>
      </c>
      <c r="BF7">
        <v>190.70000000100001</v>
      </c>
      <c r="BG7">
        <v>199.30000000019999</v>
      </c>
      <c r="BH7">
        <v>207.40000000110001</v>
      </c>
      <c r="BI7">
        <v>215.400000001</v>
      </c>
      <c r="BJ7">
        <v>223.90000000090001</v>
      </c>
      <c r="BK7">
        <v>233.2000000006</v>
      </c>
      <c r="BL7">
        <v>241.40000000079999</v>
      </c>
      <c r="BM7">
        <v>249.9000000007</v>
      </c>
      <c r="BN7">
        <v>257.99999999980002</v>
      </c>
      <c r="BO7">
        <v>266.0000000014</v>
      </c>
      <c r="BP7">
        <v>274.10000000050002</v>
      </c>
      <c r="BQ7">
        <v>282.80000000090001</v>
      </c>
      <c r="BR7">
        <v>290.80000000069998</v>
      </c>
      <c r="BS7">
        <v>299.30000000059999</v>
      </c>
      <c r="BT7">
        <v>307.10000000000002</v>
      </c>
      <c r="BU7">
        <v>314.9000000012</v>
      </c>
      <c r="BV7">
        <v>322.40000000089998</v>
      </c>
      <c r="BW7">
        <v>330.6000000011</v>
      </c>
      <c r="BX7">
        <v>339.1000000011</v>
      </c>
      <c r="BY7">
        <v>346.60000000079998</v>
      </c>
      <c r="BZ7">
        <v>354.10000000050002</v>
      </c>
      <c r="CA7">
        <v>361.3999999998</v>
      </c>
      <c r="CB7">
        <v>368.50000000049999</v>
      </c>
      <c r="CC7">
        <v>375.90000000089998</v>
      </c>
      <c r="CD7">
        <v>383.60000000100001</v>
      </c>
      <c r="CE7">
        <v>391.10000000069999</v>
      </c>
      <c r="CF7">
        <v>398.20000000149997</v>
      </c>
      <c r="CG7">
        <v>405.00000000070003</v>
      </c>
      <c r="CH7">
        <v>411.90000000100002</v>
      </c>
      <c r="CI7">
        <v>418.60000000090002</v>
      </c>
      <c r="CJ7">
        <v>425.50000000120002</v>
      </c>
      <c r="CK7">
        <v>432.50000000080001</v>
      </c>
      <c r="CL7">
        <v>439.50000000040001</v>
      </c>
      <c r="CM7">
        <v>445.30000000119998</v>
      </c>
      <c r="CN7">
        <v>450.30000000040002</v>
      </c>
      <c r="CO7">
        <v>454.80000000130002</v>
      </c>
      <c r="CP7">
        <v>454.80000000130002</v>
      </c>
      <c r="CQ7">
        <v>454.90000000060002</v>
      </c>
      <c r="CR7">
        <v>454.90000000060002</v>
      </c>
      <c r="CS7">
        <v>454.80000000130002</v>
      </c>
      <c r="CT7">
        <v>454.90000000060002</v>
      </c>
      <c r="CU7">
        <v>454.90000000060002</v>
      </c>
      <c r="CV7">
        <v>454.80000000130002</v>
      </c>
      <c r="CW7">
        <v>454.80000000130002</v>
      </c>
      <c r="CX7">
        <v>454.80000000130002</v>
      </c>
      <c r="CY7">
        <v>454.80000000130002</v>
      </c>
      <c r="CZ7">
        <v>454.80000000130002</v>
      </c>
      <c r="DA7">
        <v>454.60000000090002</v>
      </c>
      <c r="DB7">
        <v>454.49999999980002</v>
      </c>
      <c r="DC7">
        <v>454.60000000090002</v>
      </c>
      <c r="DD7">
        <v>454.60000000090002</v>
      </c>
      <c r="DE7">
        <v>454.60000000090002</v>
      </c>
      <c r="DF7">
        <v>454.60000000090002</v>
      </c>
      <c r="DG7">
        <v>0.40000000079999998</v>
      </c>
      <c r="DH7">
        <v>1.0000000002</v>
      </c>
      <c r="DI7">
        <v>0.90000000089999999</v>
      </c>
      <c r="DJ7">
        <v>0.79999999980000003</v>
      </c>
      <c r="DK7">
        <v>1.1000000013</v>
      </c>
      <c r="DL7">
        <v>1.0000000002</v>
      </c>
      <c r="DM7">
        <v>1.0000000002</v>
      </c>
      <c r="DN7">
        <v>1.1000000013</v>
      </c>
      <c r="DO7">
        <v>1.1000000013</v>
      </c>
      <c r="DP7">
        <v>1.1000000013</v>
      </c>
      <c r="DQ7">
        <v>1.2999999999</v>
      </c>
      <c r="DR7">
        <v>1.2999999999</v>
      </c>
      <c r="DS7">
        <v>1.2999999999</v>
      </c>
      <c r="DT7">
        <v>1.2999999999</v>
      </c>
      <c r="DU7">
        <v>1.1000000013</v>
      </c>
      <c r="DV7">
        <v>1.2000000006</v>
      </c>
      <c r="DW7">
        <v>1.1000000013</v>
      </c>
      <c r="DX7">
        <v>4.8999999999000003</v>
      </c>
      <c r="DY7">
        <v>10.1000000013</v>
      </c>
      <c r="DZ7">
        <v>17.400000000599999</v>
      </c>
      <c r="EA7">
        <v>25.1000000007</v>
      </c>
      <c r="EB7">
        <v>33.199999999900001</v>
      </c>
      <c r="EC7">
        <v>39.899999999800002</v>
      </c>
      <c r="ED7">
        <v>47.5999999999</v>
      </c>
      <c r="EE7">
        <v>55.5000000004</v>
      </c>
      <c r="EF7">
        <v>63.100000001200002</v>
      </c>
      <c r="EG7">
        <v>70.999999999899998</v>
      </c>
      <c r="EH7">
        <v>79.999999999899998</v>
      </c>
      <c r="EI7">
        <v>87.999999999699995</v>
      </c>
      <c r="EJ7">
        <v>95.800000001000001</v>
      </c>
      <c r="EK7">
        <v>103.8000000008</v>
      </c>
      <c r="EL7">
        <v>112.000000001</v>
      </c>
      <c r="EM7">
        <v>120.8999999999</v>
      </c>
      <c r="EN7">
        <v>130.8000000008</v>
      </c>
      <c r="EO7">
        <v>139.20000000140001</v>
      </c>
      <c r="EP7">
        <v>147.5000000009</v>
      </c>
      <c r="EQ7">
        <v>155.80000000050001</v>
      </c>
      <c r="ER7">
        <v>164.0000000007</v>
      </c>
      <c r="ES7">
        <v>172.70000000100001</v>
      </c>
      <c r="ET7">
        <v>182.30000000039999</v>
      </c>
      <c r="EU7">
        <v>190.8000000003</v>
      </c>
      <c r="EV7">
        <v>199.30000000019999</v>
      </c>
      <c r="EW7">
        <v>207.5999999997</v>
      </c>
      <c r="EX7">
        <v>215.7999999999</v>
      </c>
      <c r="EY7">
        <v>224.2999999999</v>
      </c>
      <c r="EZ7">
        <v>233.90000000110001</v>
      </c>
      <c r="FA7">
        <v>242.2999999999</v>
      </c>
      <c r="FB7">
        <v>251.0000000002</v>
      </c>
      <c r="FC7">
        <v>259.2000000004</v>
      </c>
      <c r="FD7">
        <v>267.20000000020002</v>
      </c>
      <c r="FE7">
        <v>275.49999999969998</v>
      </c>
      <c r="FF7">
        <v>284.70000000020002</v>
      </c>
      <c r="FG7">
        <v>293.10000000079998</v>
      </c>
      <c r="FH7">
        <v>301.4000000003</v>
      </c>
      <c r="FI7">
        <v>309.40000000010002</v>
      </c>
      <c r="FJ7">
        <v>317.39999999989999</v>
      </c>
      <c r="FK7">
        <v>325.30000000040002</v>
      </c>
      <c r="FL7">
        <v>333.90000000139997</v>
      </c>
      <c r="FM7">
        <v>342.00000000059998</v>
      </c>
      <c r="FN7">
        <v>350.10000000150001</v>
      </c>
      <c r="FO7">
        <v>357.90000000089998</v>
      </c>
      <c r="FP7">
        <v>365.30000000130002</v>
      </c>
      <c r="FQ7">
        <v>372.60000000060001</v>
      </c>
      <c r="FR7">
        <v>380.00000000099999</v>
      </c>
      <c r="FS7">
        <v>387.89999999970001</v>
      </c>
      <c r="FT7">
        <v>395.2000000008</v>
      </c>
      <c r="FU7">
        <v>402.60000000129997</v>
      </c>
      <c r="FV7">
        <v>409.49999999980002</v>
      </c>
      <c r="FW7">
        <v>416.40000000010002</v>
      </c>
      <c r="FX7">
        <v>422.59999999989998</v>
      </c>
      <c r="FY7">
        <v>429.40000000089998</v>
      </c>
      <c r="FZ7">
        <v>436.49999999980002</v>
      </c>
      <c r="GA7">
        <v>442.80000000069998</v>
      </c>
      <c r="GB7">
        <v>447.10000000119999</v>
      </c>
      <c r="GC7">
        <v>452.10000000039997</v>
      </c>
      <c r="GD7">
        <v>454.70000000020002</v>
      </c>
      <c r="GE7">
        <v>454.90000000060002</v>
      </c>
      <c r="GF7">
        <v>454.70000000020002</v>
      </c>
      <c r="GG7">
        <v>454.60000000090002</v>
      </c>
      <c r="GH7">
        <v>454.80000000130002</v>
      </c>
      <c r="GI7">
        <v>454.90000000060002</v>
      </c>
      <c r="GJ7">
        <v>454.80000000130002</v>
      </c>
      <c r="GK7">
        <v>454.70000000020002</v>
      </c>
      <c r="GL7">
        <v>454.80000000130002</v>
      </c>
      <c r="GM7">
        <v>454.49999999980002</v>
      </c>
      <c r="GN7">
        <v>454.70000000020002</v>
      </c>
      <c r="GO7">
        <v>454.80000000130002</v>
      </c>
      <c r="GP7">
        <v>454.70000000020002</v>
      </c>
      <c r="GQ7">
        <v>454.70000000020002</v>
      </c>
      <c r="GR7">
        <v>454.70000000020002</v>
      </c>
      <c r="GS7">
        <v>454.49999999980002</v>
      </c>
      <c r="GT7">
        <v>454.30000000119998</v>
      </c>
      <c r="GU7">
        <v>454.49999999980002</v>
      </c>
      <c r="GV7">
        <v>454.70000000020002</v>
      </c>
      <c r="GW7">
        <v>1</v>
      </c>
      <c r="GX7">
        <v>115.2999999995</v>
      </c>
      <c r="GY7">
        <v>112.8000000008</v>
      </c>
      <c r="GZ7">
        <v>112.8000000008</v>
      </c>
      <c r="HA7">
        <v>120.8999999999</v>
      </c>
      <c r="HB7">
        <v>114.8808728158</v>
      </c>
      <c r="HC7">
        <v>-8.0999999990999996</v>
      </c>
      <c r="HD7">
        <v>454.69995602969999</v>
      </c>
      <c r="HE7">
        <v>306.8346158068</v>
      </c>
      <c r="HF7">
        <v>97.987600308599994</v>
      </c>
      <c r="HG7">
        <v>454.90000000060002</v>
      </c>
      <c r="HH7">
        <v>454.90000000060002</v>
      </c>
      <c r="HI7">
        <v>454.90000000060002</v>
      </c>
      <c r="HJ7">
        <v>454.90000000060002</v>
      </c>
      <c r="HK7">
        <v>100.87976539589999</v>
      </c>
      <c r="HL7">
        <v>3.6030519977000002</v>
      </c>
      <c r="HM7">
        <v>3.4923841938</v>
      </c>
      <c r="HN7">
        <v>3.5430362895999998</v>
      </c>
      <c r="HO7">
        <v>3.3110184611000002</v>
      </c>
      <c r="HP7">
        <v>3.6649824723000002</v>
      </c>
      <c r="HQ7">
        <v>2.9454335120000001</v>
      </c>
      <c r="HR7">
        <v>16.893272507199999</v>
      </c>
      <c r="HS7">
        <v>-28.152492668600001</v>
      </c>
      <c r="HT7">
        <v>-192</v>
      </c>
      <c r="HU7">
        <v>421.71548862259999</v>
      </c>
      <c r="HV7">
        <v>86.803519061599999</v>
      </c>
      <c r="HW7">
        <v>592</v>
      </c>
      <c r="HX7">
        <v>16.893272507199999</v>
      </c>
      <c r="HY7">
        <v>-28.152492668600001</v>
      </c>
      <c r="HZ7">
        <v>-192</v>
      </c>
      <c r="IA7">
        <v>421.71548862259999</v>
      </c>
      <c r="IB7">
        <v>86.803519061599999</v>
      </c>
      <c r="IC7">
        <v>592</v>
      </c>
      <c r="ID7">
        <v>33.184511378099998</v>
      </c>
      <c r="IE7">
        <v>0.70079147019999999</v>
      </c>
      <c r="IF7">
        <v>-37.536656891500002</v>
      </c>
      <c r="IG7">
        <v>-256</v>
      </c>
      <c r="IH7">
        <v>446.90701330230002</v>
      </c>
      <c r="II7">
        <v>96.187683284499997</v>
      </c>
      <c r="IJ7">
        <v>656</v>
      </c>
      <c r="IK7">
        <v>404.82221611540001</v>
      </c>
      <c r="IL7">
        <v>114.9560117302</v>
      </c>
      <c r="IM7">
        <v>431.3333406607</v>
      </c>
      <c r="IN7">
        <v>124.3401759531</v>
      </c>
      <c r="IO7">
        <v>7.2999999992999998</v>
      </c>
      <c r="IP7">
        <v>7.0999999989000004</v>
      </c>
      <c r="IQ7">
        <v>9.9000000009000004</v>
      </c>
      <c r="IR7">
        <v>2.7684086842000002</v>
      </c>
      <c r="IS7">
        <v>2.7684086842000002</v>
      </c>
      <c r="IT7">
        <v>7.7999999993999998</v>
      </c>
      <c r="IU7">
        <v>-30.4985337243</v>
      </c>
      <c r="IV7">
        <v>11.9999999988</v>
      </c>
      <c r="IW7">
        <v>75.073313783000003</v>
      </c>
      <c r="IX7">
        <v>10.299999999900001</v>
      </c>
      <c r="IY7">
        <v>93.841642228699996</v>
      </c>
      <c r="IZ7">
        <v>-33.204659534699999</v>
      </c>
      <c r="JA7">
        <v>0.30853062679999999</v>
      </c>
      <c r="JB7">
        <v>-2.2126209999999999E-4</v>
      </c>
      <c r="JC7">
        <v>3.8650000000000003E-7</v>
      </c>
      <c r="JD7">
        <v>0.2775424836</v>
      </c>
      <c r="JE7">
        <v>0.25640006030000001</v>
      </c>
      <c r="JF7">
        <v>0.1230449617</v>
      </c>
      <c r="JG7">
        <v>115.3568599633</v>
      </c>
      <c r="JH7">
        <v>3.6649824723000002</v>
      </c>
      <c r="JI7">
        <v>3.7319571000000002E-3</v>
      </c>
      <c r="JJ7">
        <v>-6.0494100000000001E-5</v>
      </c>
      <c r="JK7">
        <v>3.6030519977000002</v>
      </c>
      <c r="JL7">
        <v>0.880454772</v>
      </c>
      <c r="JM7">
        <v>0.41772752010000003</v>
      </c>
      <c r="JN7" t="s">
        <v>574</v>
      </c>
      <c r="JQ7">
        <v>1</v>
      </c>
    </row>
    <row r="8" spans="1:277">
      <c r="A8" t="s">
        <v>605</v>
      </c>
      <c r="B8" t="s">
        <v>606</v>
      </c>
      <c r="C8" t="s">
        <v>211</v>
      </c>
      <c r="D8">
        <v>3</v>
      </c>
      <c r="E8" t="s">
        <v>212</v>
      </c>
      <c r="F8" t="s">
        <v>213</v>
      </c>
      <c r="G8" t="s">
        <v>573</v>
      </c>
      <c r="H8" t="s">
        <v>215</v>
      </c>
      <c r="J8" t="s">
        <v>600</v>
      </c>
      <c r="K8" t="s">
        <v>601</v>
      </c>
      <c r="L8" t="s">
        <v>602</v>
      </c>
      <c r="M8" t="s">
        <v>603</v>
      </c>
      <c r="N8" t="s">
        <v>604</v>
      </c>
      <c r="O8">
        <v>0</v>
      </c>
      <c r="P8">
        <v>0</v>
      </c>
      <c r="Q8">
        <v>9.9999999300000003E-2</v>
      </c>
      <c r="R8">
        <v>0.7000000005</v>
      </c>
      <c r="S8">
        <v>0.39999999899999999</v>
      </c>
      <c r="T8">
        <v>0</v>
      </c>
      <c r="U8">
        <v>9.9999999300000003E-2</v>
      </c>
      <c r="V8">
        <v>0</v>
      </c>
      <c r="W8">
        <v>9.9999999300000003E-2</v>
      </c>
      <c r="X8">
        <v>9.9999999300000003E-2</v>
      </c>
      <c r="Y8">
        <v>9.9999999300000003E-2</v>
      </c>
      <c r="Z8">
        <v>0.29999999970000002</v>
      </c>
      <c r="AA8">
        <v>0.39999999899999999</v>
      </c>
      <c r="AB8">
        <v>0.39999999899999999</v>
      </c>
      <c r="AC8">
        <v>0.29999999970000002</v>
      </c>
      <c r="AD8">
        <v>0.50000000010000001</v>
      </c>
      <c r="AE8">
        <v>0.59999999940000004</v>
      </c>
      <c r="AF8">
        <v>0.50000000010000001</v>
      </c>
      <c r="AG8">
        <v>0.29999999970000002</v>
      </c>
      <c r="AH8">
        <v>0.50000000010000001</v>
      </c>
      <c r="AI8">
        <v>1.5000000003</v>
      </c>
      <c r="AJ8">
        <v>5.4</v>
      </c>
      <c r="AK8">
        <v>11.8999999995</v>
      </c>
      <c r="AL8">
        <v>19.299999999899999</v>
      </c>
      <c r="AM8">
        <v>26.799999999600001</v>
      </c>
      <c r="AN8">
        <v>35.799999999699999</v>
      </c>
      <c r="AO8">
        <v>43.4000000005</v>
      </c>
      <c r="AP8">
        <v>51.7</v>
      </c>
      <c r="AQ8">
        <v>59.499999999400004</v>
      </c>
      <c r="AR8">
        <v>67.6000000003</v>
      </c>
      <c r="AS8">
        <v>75.999999999099998</v>
      </c>
      <c r="AT8">
        <v>85.4999999992</v>
      </c>
      <c r="AU8">
        <v>93.499999998999996</v>
      </c>
      <c r="AV8">
        <v>102.4999999991</v>
      </c>
      <c r="AW8">
        <v>111.30000000050001</v>
      </c>
      <c r="AX8">
        <v>120.4999999991</v>
      </c>
      <c r="AY8">
        <v>128.80000000039999</v>
      </c>
      <c r="AZ8">
        <v>138.4999999991</v>
      </c>
      <c r="BA8">
        <v>146.89999999969999</v>
      </c>
      <c r="BB8">
        <v>155.89999999969999</v>
      </c>
      <c r="BC8">
        <v>164.19999999929999</v>
      </c>
      <c r="BD8">
        <v>172.99999999889999</v>
      </c>
      <c r="BE8">
        <v>181.6999999992</v>
      </c>
      <c r="BF8">
        <v>191.30000000039999</v>
      </c>
      <c r="BG8">
        <v>199.99999999889999</v>
      </c>
      <c r="BH8">
        <v>208.59999999990001</v>
      </c>
      <c r="BI8">
        <v>216.8000000001</v>
      </c>
      <c r="BJ8">
        <v>225.80000000019999</v>
      </c>
      <c r="BK8">
        <v>234.50000000049999</v>
      </c>
      <c r="BL8">
        <v>243.99999999880001</v>
      </c>
      <c r="BM8">
        <v>252.3000000001</v>
      </c>
      <c r="BN8">
        <v>260.69999999890001</v>
      </c>
      <c r="BO8">
        <v>268.50000000009999</v>
      </c>
      <c r="BP8">
        <v>277.0999999993</v>
      </c>
      <c r="BQ8">
        <v>285.20000000030001</v>
      </c>
      <c r="BR8">
        <v>294.3999999989</v>
      </c>
      <c r="BS8">
        <v>302.29999999939997</v>
      </c>
      <c r="BT8">
        <v>310.4000000003</v>
      </c>
      <c r="BU8">
        <v>318.29999999900002</v>
      </c>
      <c r="BV8">
        <v>326.19999999949999</v>
      </c>
      <c r="BW8">
        <v>334.19999999930002</v>
      </c>
      <c r="BX8">
        <v>342.49999999879998</v>
      </c>
      <c r="BY8">
        <v>350.50000000049999</v>
      </c>
      <c r="BZ8">
        <v>358.19999999880002</v>
      </c>
      <c r="CA8">
        <v>365.59999999920001</v>
      </c>
      <c r="CB8">
        <v>372.7999999992</v>
      </c>
      <c r="CC8">
        <v>379.89999999989999</v>
      </c>
      <c r="CD8">
        <v>387.19999999919997</v>
      </c>
      <c r="CE8">
        <v>395.199999999</v>
      </c>
      <c r="CF8">
        <v>402.50000000009999</v>
      </c>
      <c r="CG8">
        <v>409.59999999899998</v>
      </c>
      <c r="CH8">
        <v>416.49999999940002</v>
      </c>
      <c r="CI8">
        <v>422.99999999890002</v>
      </c>
      <c r="CJ8">
        <v>430.00000000030002</v>
      </c>
      <c r="CK8">
        <v>436.89999999880001</v>
      </c>
      <c r="CL8">
        <v>443.10000000039997</v>
      </c>
      <c r="CM8">
        <v>448.89999999939999</v>
      </c>
      <c r="CN8">
        <v>454.29999999939997</v>
      </c>
      <c r="CO8">
        <v>457.89999999939999</v>
      </c>
      <c r="CP8">
        <v>457.8000000001</v>
      </c>
      <c r="CQ8">
        <v>457.8000000001</v>
      </c>
      <c r="CR8">
        <v>457.699999999</v>
      </c>
      <c r="CS8">
        <v>457.50000000040001</v>
      </c>
      <c r="CT8">
        <v>457.699999999</v>
      </c>
      <c r="CU8">
        <v>457.50000000040001</v>
      </c>
      <c r="CV8">
        <v>457.39999999930001</v>
      </c>
      <c r="CW8">
        <v>457.50000000040001</v>
      </c>
      <c r="CX8">
        <v>457.5999999997</v>
      </c>
      <c r="CY8">
        <v>457.699999999</v>
      </c>
      <c r="CZ8">
        <v>457.5999999997</v>
      </c>
      <c r="DA8">
        <v>457.50000000040001</v>
      </c>
      <c r="DB8">
        <v>457.50000000040001</v>
      </c>
      <c r="DC8">
        <v>457.5999999997</v>
      </c>
      <c r="DD8">
        <v>457.5999999997</v>
      </c>
      <c r="DE8">
        <v>457.50000000040001</v>
      </c>
      <c r="DF8">
        <v>457.50000000040001</v>
      </c>
      <c r="DG8">
        <v>0.29999999970000002</v>
      </c>
      <c r="DH8">
        <v>1.0000000002</v>
      </c>
      <c r="DI8">
        <v>0.79999999980000003</v>
      </c>
      <c r="DJ8">
        <v>0.89999999909999995</v>
      </c>
      <c r="DK8">
        <v>1.0000000002</v>
      </c>
      <c r="DL8">
        <v>1.0000000002</v>
      </c>
      <c r="DM8">
        <v>0.89999999909999995</v>
      </c>
      <c r="DN8">
        <v>1.0999999995</v>
      </c>
      <c r="DO8">
        <v>1.1999999988000001</v>
      </c>
      <c r="DP8">
        <v>1.0999999995</v>
      </c>
      <c r="DQ8">
        <v>1.1999999988000001</v>
      </c>
      <c r="DR8">
        <v>1.0000000002</v>
      </c>
      <c r="DS8">
        <v>1.0999999995</v>
      </c>
      <c r="DT8">
        <v>1.1999999988000001</v>
      </c>
      <c r="DU8">
        <v>1.3999999992000001</v>
      </c>
      <c r="DV8">
        <v>1.5999999996000001</v>
      </c>
      <c r="DW8">
        <v>1.3999999992000001</v>
      </c>
      <c r="DX8">
        <v>2.3999999993999999</v>
      </c>
      <c r="DY8">
        <v>6.9999999996</v>
      </c>
      <c r="DZ8">
        <v>14.1000000003</v>
      </c>
      <c r="EA8">
        <v>21.199999999199999</v>
      </c>
      <c r="EB8">
        <v>28.599999999600001</v>
      </c>
      <c r="EC8">
        <v>37.599999999700003</v>
      </c>
      <c r="ED8">
        <v>45.200000000499998</v>
      </c>
      <c r="EE8">
        <v>53.200000000300001</v>
      </c>
      <c r="EF8">
        <v>60.799999999299999</v>
      </c>
      <c r="EG8">
        <v>68.799999999099995</v>
      </c>
      <c r="EH8">
        <v>77.100000000400001</v>
      </c>
      <c r="EI8">
        <v>86.199999999699997</v>
      </c>
      <c r="EJ8">
        <v>93.999999999099998</v>
      </c>
      <c r="EK8">
        <v>102.69999999949999</v>
      </c>
      <c r="EL8">
        <v>111.30000000050001</v>
      </c>
      <c r="EM8">
        <v>120.19999999940001</v>
      </c>
      <c r="EN8">
        <v>129.6000000002</v>
      </c>
      <c r="EO8">
        <v>139.10000000030001</v>
      </c>
      <c r="EP8">
        <v>147.6000000002</v>
      </c>
      <c r="EQ8">
        <v>156.19999999940001</v>
      </c>
      <c r="ER8">
        <v>164.69999999940001</v>
      </c>
      <c r="ES8">
        <v>173.49999999900001</v>
      </c>
      <c r="ET8">
        <v>182.19999999929999</v>
      </c>
      <c r="EU8">
        <v>191.9999999991</v>
      </c>
      <c r="EV8">
        <v>200.69999999940001</v>
      </c>
      <c r="EW8">
        <v>209.69999999940001</v>
      </c>
      <c r="EX8">
        <v>218.1</v>
      </c>
      <c r="EY8">
        <v>227.10000000010001</v>
      </c>
      <c r="EZ8">
        <v>236.10000000010001</v>
      </c>
      <c r="FA8">
        <v>245.10000000010001</v>
      </c>
      <c r="FB8">
        <v>254.19999999940001</v>
      </c>
      <c r="FC8">
        <v>262.80000000040002</v>
      </c>
      <c r="FD8">
        <v>271.39999999960003</v>
      </c>
      <c r="FE8">
        <v>280.09999999989998</v>
      </c>
      <c r="FF8">
        <v>289.10000000000002</v>
      </c>
      <c r="FG8">
        <v>297.99999999890002</v>
      </c>
      <c r="FH8">
        <v>306.49999999879998</v>
      </c>
      <c r="FI8">
        <v>315.09999999979999</v>
      </c>
      <c r="FJ8">
        <v>323.09999999960002</v>
      </c>
      <c r="FK8">
        <v>331.29999999979998</v>
      </c>
      <c r="FL8">
        <v>340.00000000009999</v>
      </c>
      <c r="FM8">
        <v>348.3999999989</v>
      </c>
      <c r="FN8">
        <v>356.49999999990001</v>
      </c>
      <c r="FO8">
        <v>364.49999999969998</v>
      </c>
      <c r="FP8">
        <v>371.79999999900002</v>
      </c>
      <c r="FQ8">
        <v>379.79999999879999</v>
      </c>
      <c r="FR8">
        <v>387.09999999989998</v>
      </c>
      <c r="FS8">
        <v>395.3000000001</v>
      </c>
      <c r="FT8">
        <v>402.29999999969999</v>
      </c>
      <c r="FU8">
        <v>409.89999999870003</v>
      </c>
      <c r="FV8">
        <v>416.99999999950001</v>
      </c>
      <c r="FW8">
        <v>423.69999999940001</v>
      </c>
      <c r="FX8">
        <v>430.09999999960002</v>
      </c>
      <c r="FY8">
        <v>436.49999999980002</v>
      </c>
      <c r="FZ8">
        <v>442.49999999919999</v>
      </c>
      <c r="GA8">
        <v>447.20000000049998</v>
      </c>
      <c r="GB8">
        <v>451.99999999929997</v>
      </c>
      <c r="GC8">
        <v>456.29999999979998</v>
      </c>
      <c r="GD8">
        <v>457.50000000040001</v>
      </c>
      <c r="GE8">
        <v>457.39999999930001</v>
      </c>
      <c r="GF8">
        <v>457.39999999930001</v>
      </c>
      <c r="GG8">
        <v>457.5999999997</v>
      </c>
      <c r="GH8">
        <v>457.50000000040001</v>
      </c>
      <c r="GI8">
        <v>457.50000000040001</v>
      </c>
      <c r="GJ8">
        <v>457.50000000040001</v>
      </c>
      <c r="GK8">
        <v>457.50000000040001</v>
      </c>
      <c r="GL8">
        <v>457.39999999930001</v>
      </c>
      <c r="GM8">
        <v>457.50000000040001</v>
      </c>
      <c r="GN8">
        <v>457.5999999997</v>
      </c>
      <c r="GO8">
        <v>457.3</v>
      </c>
      <c r="GP8">
        <v>457.39999999930001</v>
      </c>
      <c r="GQ8">
        <v>457.3</v>
      </c>
      <c r="GR8">
        <v>457.39999999930001</v>
      </c>
      <c r="GS8">
        <v>457.3</v>
      </c>
      <c r="GT8">
        <v>457.3</v>
      </c>
      <c r="GU8">
        <v>457.19999999890001</v>
      </c>
      <c r="GV8">
        <v>457.39999999930001</v>
      </c>
      <c r="GW8">
        <v>1</v>
      </c>
      <c r="GX8">
        <v>114.3000000011</v>
      </c>
      <c r="GY8">
        <v>111.30000000050001</v>
      </c>
      <c r="GZ8">
        <v>111.30000000050001</v>
      </c>
      <c r="HA8">
        <v>120.19999999940001</v>
      </c>
      <c r="HB8">
        <v>113.55076469319999</v>
      </c>
      <c r="HC8">
        <v>-8.8999999989000003</v>
      </c>
      <c r="HD8">
        <v>457.40005462030001</v>
      </c>
      <c r="HE8">
        <v>315.5270810568</v>
      </c>
      <c r="HF8">
        <v>93.764124972999994</v>
      </c>
      <c r="HG8">
        <v>457.89999999939999</v>
      </c>
      <c r="HH8">
        <v>457.5999999997</v>
      </c>
      <c r="HI8">
        <v>457.89999999939999</v>
      </c>
      <c r="HJ8">
        <v>457.5999999997</v>
      </c>
      <c r="HK8">
        <v>100.87976539589999</v>
      </c>
      <c r="HL8">
        <v>3.7184884242999998</v>
      </c>
      <c r="HM8">
        <v>3.5750339705999998</v>
      </c>
      <c r="HN8">
        <v>3.6627401531000001</v>
      </c>
      <c r="HO8">
        <v>3.4639056260999999</v>
      </c>
      <c r="HP8">
        <v>3.7939936669000001</v>
      </c>
      <c r="HQ8">
        <v>2.9898228327999998</v>
      </c>
      <c r="HR8">
        <v>19.786639720299998</v>
      </c>
      <c r="HS8">
        <v>-25.806451612899998</v>
      </c>
      <c r="HT8">
        <v>-176</v>
      </c>
      <c r="HU8">
        <v>429.07784574999999</v>
      </c>
      <c r="HV8">
        <v>86.803519061599999</v>
      </c>
      <c r="HW8">
        <v>592</v>
      </c>
      <c r="HX8">
        <v>19.786639720299998</v>
      </c>
      <c r="HY8">
        <v>-25.806451612899998</v>
      </c>
      <c r="HZ8">
        <v>-176</v>
      </c>
      <c r="IA8">
        <v>429.07784574999999</v>
      </c>
      <c r="IB8">
        <v>86.803519061599999</v>
      </c>
      <c r="IC8">
        <v>592</v>
      </c>
      <c r="ID8">
        <v>28.522154249700002</v>
      </c>
      <c r="IE8">
        <v>0.50601922669999999</v>
      </c>
      <c r="IF8">
        <v>-35.190615835800003</v>
      </c>
      <c r="IG8">
        <v>-240</v>
      </c>
      <c r="IH8">
        <v>451.80263272820002</v>
      </c>
      <c r="II8">
        <v>96.187683284499997</v>
      </c>
      <c r="IJ8">
        <v>656</v>
      </c>
      <c r="IK8">
        <v>409.29120602979998</v>
      </c>
      <c r="IL8">
        <v>112.6099706745</v>
      </c>
      <c r="IM8">
        <v>436.32886169900002</v>
      </c>
      <c r="IN8">
        <v>121.9941348974</v>
      </c>
      <c r="IO8">
        <v>7.4000000004000004</v>
      </c>
      <c r="IP8">
        <v>6.4000000002000004</v>
      </c>
      <c r="IQ8">
        <v>9.7999999998000007</v>
      </c>
      <c r="IR8">
        <v>3.2617221840999999</v>
      </c>
      <c r="IS8">
        <v>3.2617221840999999</v>
      </c>
      <c r="IT8">
        <v>9.2999999997000007</v>
      </c>
      <c r="IU8">
        <v>-28.152492668600001</v>
      </c>
      <c r="IV8">
        <v>15.4000000002</v>
      </c>
      <c r="IW8">
        <v>75.073313783000003</v>
      </c>
      <c r="IX8">
        <v>10.300000001700001</v>
      </c>
      <c r="IY8">
        <v>93.841642228699996</v>
      </c>
      <c r="IZ8">
        <v>-31.563635619300001</v>
      </c>
      <c r="JA8">
        <v>0.29713242249999999</v>
      </c>
      <c r="JB8">
        <v>-2.1084510000000001E-4</v>
      </c>
      <c r="JC8">
        <v>3.721E-7</v>
      </c>
      <c r="JD8">
        <v>0.26892647920000001</v>
      </c>
      <c r="JE8">
        <v>0.30018010299999998</v>
      </c>
      <c r="JF8">
        <v>0.1049084331</v>
      </c>
      <c r="JG8">
        <v>113.7018747314</v>
      </c>
      <c r="JH8">
        <v>3.7939936669000001</v>
      </c>
      <c r="JI8">
        <v>3.8683000999999999E-3</v>
      </c>
      <c r="JJ8">
        <v>-6.5284900000000002E-5</v>
      </c>
      <c r="JK8">
        <v>3.7184884242999998</v>
      </c>
      <c r="JL8">
        <v>0.77079696490000005</v>
      </c>
      <c r="JM8">
        <v>0.32309394190000001</v>
      </c>
      <c r="JN8" t="s">
        <v>574</v>
      </c>
      <c r="JQ8">
        <v>1</v>
      </c>
    </row>
    <row r="9" spans="1:277">
      <c r="A9" t="s">
        <v>620</v>
      </c>
      <c r="B9" t="s">
        <v>621</v>
      </c>
      <c r="C9" t="s">
        <v>211</v>
      </c>
      <c r="D9">
        <v>3</v>
      </c>
      <c r="E9" t="s">
        <v>212</v>
      </c>
      <c r="F9" t="s">
        <v>213</v>
      </c>
      <c r="G9" t="s">
        <v>573</v>
      </c>
      <c r="H9" t="s">
        <v>215</v>
      </c>
      <c r="J9" t="s">
        <v>609</v>
      </c>
      <c r="K9" t="s">
        <v>610</v>
      </c>
      <c r="L9" t="s">
        <v>611</v>
      </c>
      <c r="M9" t="s">
        <v>612</v>
      </c>
      <c r="N9" t="s">
        <v>613</v>
      </c>
      <c r="O9">
        <v>0</v>
      </c>
      <c r="P9">
        <v>0</v>
      </c>
      <c r="Q9">
        <v>0.29999999970000002</v>
      </c>
      <c r="R9">
        <v>0.20000000039999999</v>
      </c>
      <c r="S9">
        <v>0.20000000039999999</v>
      </c>
      <c r="T9">
        <v>0.20000000039999999</v>
      </c>
      <c r="U9">
        <v>0.20000000039999999</v>
      </c>
      <c r="V9">
        <v>0.29999999970000002</v>
      </c>
      <c r="W9">
        <v>0.20000000039999999</v>
      </c>
      <c r="X9">
        <v>0.29999999970000002</v>
      </c>
      <c r="Y9">
        <v>0.29999999970000002</v>
      </c>
      <c r="Z9">
        <v>0.20000000039999999</v>
      </c>
      <c r="AA9">
        <v>0.29999999970000002</v>
      </c>
      <c r="AB9">
        <v>0.20000000039999999</v>
      </c>
      <c r="AC9">
        <v>0.40000000079999998</v>
      </c>
      <c r="AD9">
        <v>0.40000000079999998</v>
      </c>
      <c r="AE9">
        <v>0.50000000010000001</v>
      </c>
      <c r="AF9">
        <v>0.50000000010000001</v>
      </c>
      <c r="AG9">
        <v>0.40000000079999998</v>
      </c>
      <c r="AH9">
        <v>0.40000000079999998</v>
      </c>
      <c r="AI9">
        <v>0.50000000010000001</v>
      </c>
      <c r="AJ9">
        <v>0.79999999980000003</v>
      </c>
      <c r="AK9">
        <v>3.5000000007000001</v>
      </c>
      <c r="AL9">
        <v>8.4999999999</v>
      </c>
      <c r="AM9">
        <v>16.299999999299999</v>
      </c>
      <c r="AN9">
        <v>23.4</v>
      </c>
      <c r="AO9">
        <v>31.499999999100002</v>
      </c>
      <c r="AP9">
        <v>39.199999999299997</v>
      </c>
      <c r="AQ9">
        <v>47.200000000899998</v>
      </c>
      <c r="AR9">
        <v>55.200000000700001</v>
      </c>
      <c r="AS9">
        <v>63.4000000009</v>
      </c>
      <c r="AT9">
        <v>71.900000000800006</v>
      </c>
      <c r="AU9">
        <v>80.700000000399996</v>
      </c>
      <c r="AV9">
        <v>89.099999999199994</v>
      </c>
      <c r="AW9">
        <v>97.700000000299994</v>
      </c>
      <c r="AX9">
        <v>106.7999999996</v>
      </c>
      <c r="AY9">
        <v>115.20000000020001</v>
      </c>
      <c r="AZ9">
        <v>124.20000000020001</v>
      </c>
      <c r="BA9">
        <v>132.9999999998</v>
      </c>
      <c r="BB9">
        <v>141.49999999970001</v>
      </c>
      <c r="BC9">
        <v>150.60000000080001</v>
      </c>
      <c r="BD9">
        <v>158.69999999999999</v>
      </c>
      <c r="BE9">
        <v>167.4000000003</v>
      </c>
      <c r="BF9">
        <v>176.1999999999</v>
      </c>
      <c r="BG9">
        <v>185.2999999992</v>
      </c>
      <c r="BH9">
        <v>194.10000000060001</v>
      </c>
      <c r="BI9">
        <v>202.49999999939999</v>
      </c>
      <c r="BJ9">
        <v>211.1999999997</v>
      </c>
      <c r="BK9">
        <v>219.6000000004</v>
      </c>
      <c r="BL9">
        <v>228.6000000004</v>
      </c>
      <c r="BM9">
        <v>237.10000000030001</v>
      </c>
      <c r="BN9">
        <v>245.89999999989999</v>
      </c>
      <c r="BO9">
        <v>254.19999999940001</v>
      </c>
      <c r="BP9">
        <v>263.10000000010001</v>
      </c>
      <c r="BQ9">
        <v>271.39999999960003</v>
      </c>
      <c r="BR9">
        <v>279.89999999949998</v>
      </c>
      <c r="BS9">
        <v>288.50000000059998</v>
      </c>
      <c r="BT9">
        <v>296.50000000040001</v>
      </c>
      <c r="BU9">
        <v>305.00000000030002</v>
      </c>
      <c r="BV9">
        <v>312.2999999996</v>
      </c>
      <c r="BW9">
        <v>320.10000000079998</v>
      </c>
      <c r="BX9">
        <v>327.99999999950001</v>
      </c>
      <c r="BY9">
        <v>337.2999999992</v>
      </c>
      <c r="BZ9">
        <v>341.3</v>
      </c>
      <c r="CA9">
        <v>349.70000000070002</v>
      </c>
      <c r="CB9">
        <v>359.2000000008</v>
      </c>
      <c r="CC9">
        <v>366.59999999939998</v>
      </c>
      <c r="CD9">
        <v>371.49999999929997</v>
      </c>
      <c r="CE9">
        <v>381.10000000050002</v>
      </c>
      <c r="CF9">
        <v>388.89999999989999</v>
      </c>
      <c r="CG9">
        <v>396.80000000040002</v>
      </c>
      <c r="CH9">
        <v>404.0999999997</v>
      </c>
      <c r="CI9">
        <v>410.4000000007</v>
      </c>
      <c r="CJ9">
        <v>417.1999999999</v>
      </c>
      <c r="CK9">
        <v>424.1000000002</v>
      </c>
      <c r="CL9">
        <v>430.09999999960002</v>
      </c>
      <c r="CM9">
        <v>436.99999999990001</v>
      </c>
      <c r="CN9">
        <v>444.2999999992</v>
      </c>
      <c r="CO9">
        <v>449.19999999909999</v>
      </c>
      <c r="CP9">
        <v>453.99999999969998</v>
      </c>
      <c r="CQ9">
        <v>453.99999999969998</v>
      </c>
      <c r="CR9">
        <v>454.20000000009998</v>
      </c>
      <c r="CS9">
        <v>453.99999999969998</v>
      </c>
      <c r="CT9">
        <v>454.10000000079998</v>
      </c>
      <c r="CU9">
        <v>454.29999999939997</v>
      </c>
      <c r="CV9">
        <v>454.29999999939997</v>
      </c>
      <c r="CW9">
        <v>454.40000000049997</v>
      </c>
      <c r="CX9">
        <v>454.49999999980002</v>
      </c>
      <c r="CY9">
        <v>454.59999999910002</v>
      </c>
      <c r="CZ9">
        <v>454.10000000079998</v>
      </c>
      <c r="DA9">
        <v>454.29999999939997</v>
      </c>
      <c r="DB9">
        <v>454.29999999939997</v>
      </c>
      <c r="DC9">
        <v>454.29999999939997</v>
      </c>
      <c r="DD9">
        <v>454.40000000049997</v>
      </c>
      <c r="DE9">
        <v>454.59999999910002</v>
      </c>
      <c r="DF9">
        <v>454.59999999910002</v>
      </c>
      <c r="DG9">
        <v>0</v>
      </c>
      <c r="DH9">
        <v>0.20000000039999999</v>
      </c>
      <c r="DI9">
        <v>9.9999999300000003E-2</v>
      </c>
      <c r="DJ9">
        <v>0.20000000039999999</v>
      </c>
      <c r="DK9">
        <v>9.9999999300000003E-2</v>
      </c>
      <c r="DL9">
        <v>0.29999999970000002</v>
      </c>
      <c r="DM9">
        <v>0.40000000079999998</v>
      </c>
      <c r="DN9">
        <v>0.40000000079999998</v>
      </c>
      <c r="DO9">
        <v>0.40000000079999998</v>
      </c>
      <c r="DP9">
        <v>0.40000000079999998</v>
      </c>
      <c r="DQ9">
        <v>0.50000000010000001</v>
      </c>
      <c r="DR9">
        <v>0.29999999970000002</v>
      </c>
      <c r="DS9">
        <v>0.40000000079999998</v>
      </c>
      <c r="DT9">
        <v>0.29999999970000002</v>
      </c>
      <c r="DU9">
        <v>0.29999999970000002</v>
      </c>
      <c r="DV9">
        <v>0.20000000039999999</v>
      </c>
      <c r="DW9">
        <v>0.40000000079999998</v>
      </c>
      <c r="DX9">
        <v>0.40000000079999998</v>
      </c>
      <c r="DY9">
        <v>0.40000000079999998</v>
      </c>
      <c r="DZ9">
        <v>4.3000000004999999</v>
      </c>
      <c r="EA9">
        <v>9.5999999993999996</v>
      </c>
      <c r="EB9">
        <v>17.200000000199999</v>
      </c>
      <c r="EC9">
        <v>25.400000000399999</v>
      </c>
      <c r="ED9">
        <v>33.299999999100002</v>
      </c>
      <c r="EE9">
        <v>40.999999999300002</v>
      </c>
      <c r="EF9">
        <v>48.600000000100003</v>
      </c>
      <c r="EG9">
        <v>56.399999999499997</v>
      </c>
      <c r="EH9">
        <v>64.099999999600001</v>
      </c>
      <c r="EI9">
        <v>72.5999999995</v>
      </c>
      <c r="EJ9">
        <v>81.399999999100004</v>
      </c>
      <c r="EK9">
        <v>89.599999999299996</v>
      </c>
      <c r="EL9">
        <v>97.799999999600004</v>
      </c>
      <c r="EM9">
        <v>106.4999999999</v>
      </c>
      <c r="EN9">
        <v>115.1000000009</v>
      </c>
      <c r="EO9">
        <v>124.4000000006</v>
      </c>
      <c r="EP9">
        <v>133.49999999990001</v>
      </c>
      <c r="EQ9">
        <v>142.09999999909999</v>
      </c>
      <c r="ER9">
        <v>150.49999999970001</v>
      </c>
      <c r="ES9">
        <v>159.29999999930001</v>
      </c>
      <c r="ET9">
        <v>167.49999999959999</v>
      </c>
      <c r="EU9">
        <v>177.2000000001</v>
      </c>
      <c r="EV9">
        <v>186.2000000001</v>
      </c>
      <c r="EW9">
        <v>195.2999999994</v>
      </c>
      <c r="EX9">
        <v>203.90000000040001</v>
      </c>
      <c r="EY9">
        <v>212.49999999959999</v>
      </c>
      <c r="EZ9">
        <v>220.9000000003</v>
      </c>
      <c r="FA9">
        <v>230.60000000080001</v>
      </c>
      <c r="FB9">
        <v>239.49999999970001</v>
      </c>
      <c r="FC9">
        <v>248.2</v>
      </c>
      <c r="FD9">
        <v>256.49999999950001</v>
      </c>
      <c r="FE9">
        <v>265.40000000020001</v>
      </c>
      <c r="FF9">
        <v>273.90000000010002</v>
      </c>
      <c r="FG9">
        <v>283.10000000060001</v>
      </c>
      <c r="FH9">
        <v>291.60000000050002</v>
      </c>
      <c r="FI9">
        <v>300.60000000050002</v>
      </c>
      <c r="FJ9">
        <v>308.39999999989999</v>
      </c>
      <c r="FK9">
        <v>316.69999999940001</v>
      </c>
      <c r="FL9">
        <v>324.59999999989998</v>
      </c>
      <c r="FM9">
        <v>333.80000000029997</v>
      </c>
      <c r="FN9">
        <v>342.19999999909999</v>
      </c>
      <c r="FO9">
        <v>350.39999999939999</v>
      </c>
      <c r="FP9">
        <v>358.00000000019998</v>
      </c>
      <c r="FQ9">
        <v>365.9000000007</v>
      </c>
      <c r="FR9">
        <v>372.9000000003</v>
      </c>
      <c r="FS9">
        <v>380.49999999929997</v>
      </c>
      <c r="FT9">
        <v>388.99999999919999</v>
      </c>
      <c r="FU9">
        <v>396.30000000029997</v>
      </c>
      <c r="FV9">
        <v>403.8</v>
      </c>
      <c r="FW9">
        <v>410.4000000007</v>
      </c>
      <c r="FX9">
        <v>417.4000000003</v>
      </c>
      <c r="FY9">
        <v>423.69999999940001</v>
      </c>
      <c r="FZ9">
        <v>430.50000000040001</v>
      </c>
      <c r="GA9">
        <v>437.2999999996</v>
      </c>
      <c r="GB9">
        <v>443.19999999970003</v>
      </c>
      <c r="GC9">
        <v>447.39999999909998</v>
      </c>
      <c r="GD9">
        <v>451.9</v>
      </c>
      <c r="GE9">
        <v>453.90000000039998</v>
      </c>
      <c r="GF9">
        <v>454.40000000049997</v>
      </c>
      <c r="GG9">
        <v>454.29999999939997</v>
      </c>
      <c r="GH9">
        <v>454.40000000049997</v>
      </c>
      <c r="GI9">
        <v>454.29999999939997</v>
      </c>
      <c r="GJ9">
        <v>454.29999999939997</v>
      </c>
      <c r="GK9">
        <v>454.20000000009998</v>
      </c>
      <c r="GL9">
        <v>454.10000000079998</v>
      </c>
      <c r="GM9">
        <v>454.20000000009998</v>
      </c>
      <c r="GN9">
        <v>454.20000000009998</v>
      </c>
      <c r="GO9">
        <v>454.49999999980002</v>
      </c>
      <c r="GP9">
        <v>454.49999999980002</v>
      </c>
      <c r="GQ9">
        <v>454.49999999980002</v>
      </c>
      <c r="GR9">
        <v>454.29999999939997</v>
      </c>
      <c r="GS9">
        <v>454.40000000049997</v>
      </c>
      <c r="GT9">
        <v>454.49999999980002</v>
      </c>
      <c r="GU9">
        <v>454.49999999980002</v>
      </c>
      <c r="GV9">
        <v>454.59999999910002</v>
      </c>
      <c r="GW9">
        <v>1</v>
      </c>
      <c r="GX9">
        <v>100.00000000039999</v>
      </c>
      <c r="GY9">
        <v>97.700000000299994</v>
      </c>
      <c r="GZ9">
        <v>97.700000000299994</v>
      </c>
      <c r="HA9">
        <v>106.4999999999</v>
      </c>
      <c r="HB9">
        <v>99.676418829900001</v>
      </c>
      <c r="HC9">
        <v>-8.7999999996000007</v>
      </c>
      <c r="HD9">
        <v>454.59999999910002</v>
      </c>
      <c r="HE9">
        <v>322.92499999929998</v>
      </c>
      <c r="HF9">
        <v>82.959051914599996</v>
      </c>
      <c r="HG9">
        <v>454.59999999910002</v>
      </c>
      <c r="HH9">
        <v>454.59999999910002</v>
      </c>
      <c r="HI9">
        <v>454.59999999910002</v>
      </c>
      <c r="HJ9">
        <v>454.59999999910002</v>
      </c>
      <c r="HK9">
        <v>103.22580645159999</v>
      </c>
      <c r="HL9">
        <v>3.6940347091999999</v>
      </c>
      <c r="HM9">
        <v>3.5522517759999999</v>
      </c>
      <c r="HN9">
        <v>3.6308537875</v>
      </c>
      <c r="HO9">
        <v>3.3948179410999999</v>
      </c>
      <c r="HP9">
        <v>3.7281960409999999</v>
      </c>
      <c r="HQ9">
        <v>2.9911771723</v>
      </c>
      <c r="HR9">
        <v>16.717366915300001</v>
      </c>
      <c r="HS9">
        <v>-23.460410557199999</v>
      </c>
      <c r="HT9">
        <v>-160</v>
      </c>
      <c r="HU9">
        <v>422.60141882919999</v>
      </c>
      <c r="HV9">
        <v>89.149560117299998</v>
      </c>
      <c r="HW9">
        <v>608</v>
      </c>
      <c r="HX9">
        <v>16.717366915300001</v>
      </c>
      <c r="HY9">
        <v>-23.460410557199999</v>
      </c>
      <c r="HZ9">
        <v>-160</v>
      </c>
      <c r="IA9">
        <v>422.60141882919999</v>
      </c>
      <c r="IB9">
        <v>89.149560117299998</v>
      </c>
      <c r="IC9">
        <v>608</v>
      </c>
      <c r="ID9">
        <v>31.9985811699</v>
      </c>
      <c r="IE9">
        <v>0.49990101199999998</v>
      </c>
      <c r="IF9">
        <v>-32.844574780099997</v>
      </c>
      <c r="IG9">
        <v>-224</v>
      </c>
      <c r="IH9">
        <v>447.11632204049999</v>
      </c>
      <c r="II9">
        <v>98.533724340199996</v>
      </c>
      <c r="IJ9">
        <v>672</v>
      </c>
      <c r="IK9">
        <v>405.88405191390001</v>
      </c>
      <c r="IL9">
        <v>112.6099706745</v>
      </c>
      <c r="IM9">
        <v>433.01813682250003</v>
      </c>
      <c r="IN9">
        <v>121.9941348974</v>
      </c>
      <c r="IO9">
        <v>7.7999999993999998</v>
      </c>
      <c r="IP9">
        <v>7.2999999992999998</v>
      </c>
      <c r="IQ9">
        <v>9.7000000004999993</v>
      </c>
      <c r="IR9">
        <v>2.5368167846</v>
      </c>
      <c r="IS9">
        <v>2.5368167846</v>
      </c>
      <c r="IT9">
        <v>8.7000000002999993</v>
      </c>
      <c r="IU9">
        <v>-25.806451612899998</v>
      </c>
      <c r="IV9">
        <v>17.499999999900002</v>
      </c>
      <c r="IW9">
        <v>77.419354838700002</v>
      </c>
      <c r="IX9">
        <v>13.1000000001</v>
      </c>
      <c r="IY9">
        <v>96.187683284499997</v>
      </c>
      <c r="IZ9">
        <v>-28.2238739965</v>
      </c>
      <c r="JA9">
        <v>0.3009756643</v>
      </c>
      <c r="JB9">
        <v>-2.1974479999999999E-4</v>
      </c>
      <c r="JC9">
        <v>3.861E-7</v>
      </c>
      <c r="JD9">
        <v>0.27070671470000002</v>
      </c>
      <c r="JE9">
        <v>0.28177937600000003</v>
      </c>
      <c r="JF9">
        <v>0.1056416526</v>
      </c>
      <c r="JG9">
        <v>99.895584776099994</v>
      </c>
      <c r="JH9">
        <v>3.7281960409999999</v>
      </c>
      <c r="JI9">
        <v>4.7637186999999999E-3</v>
      </c>
      <c r="JJ9">
        <v>-6.6534799999999999E-5</v>
      </c>
      <c r="JK9">
        <v>3.6940347091999999</v>
      </c>
      <c r="JL9">
        <v>0.80576045169999999</v>
      </c>
      <c r="JM9">
        <v>0.33868984819999998</v>
      </c>
      <c r="JN9" t="s">
        <v>574</v>
      </c>
      <c r="JQ9">
        <v>1</v>
      </c>
    </row>
    <row r="10" spans="1:277">
      <c r="A10" t="s">
        <v>629</v>
      </c>
      <c r="B10" t="s">
        <v>630</v>
      </c>
      <c r="C10" t="s">
        <v>211</v>
      </c>
      <c r="D10">
        <v>3</v>
      </c>
      <c r="E10" t="s">
        <v>212</v>
      </c>
      <c r="F10" t="s">
        <v>213</v>
      </c>
      <c r="G10" t="s">
        <v>573</v>
      </c>
      <c r="H10" t="s">
        <v>215</v>
      </c>
      <c r="J10" t="s">
        <v>624</v>
      </c>
      <c r="K10" t="s">
        <v>625</v>
      </c>
      <c r="L10" t="s">
        <v>626</v>
      </c>
      <c r="M10" t="s">
        <v>627</v>
      </c>
      <c r="N10" t="s">
        <v>628</v>
      </c>
      <c r="O10">
        <v>0</v>
      </c>
      <c r="P10">
        <v>0</v>
      </c>
      <c r="Q10">
        <v>0</v>
      </c>
      <c r="R10">
        <v>0.19999999860000001</v>
      </c>
      <c r="S10">
        <v>0.39999999899999999</v>
      </c>
      <c r="T10">
        <v>0.59999999940000004</v>
      </c>
      <c r="U10">
        <v>0.59999999940000004</v>
      </c>
      <c r="V10">
        <v>0.39999999899999999</v>
      </c>
      <c r="W10">
        <v>0.29999999970000002</v>
      </c>
      <c r="X10">
        <v>0.19999999860000001</v>
      </c>
      <c r="Y10">
        <v>0.39999999899999999</v>
      </c>
      <c r="Z10">
        <v>0.49999999830000003</v>
      </c>
      <c r="AA10">
        <v>0.49999999830000003</v>
      </c>
      <c r="AB10">
        <v>0.59999999940000004</v>
      </c>
      <c r="AC10">
        <v>0.49999999830000003</v>
      </c>
      <c r="AD10">
        <v>0.69999999869999996</v>
      </c>
      <c r="AE10">
        <v>0.79999999980000003</v>
      </c>
      <c r="AF10">
        <v>0.89999999909999995</v>
      </c>
      <c r="AG10">
        <v>0.79999999980000003</v>
      </c>
      <c r="AH10">
        <v>0.89999999909999995</v>
      </c>
      <c r="AI10">
        <v>1.0999999995</v>
      </c>
      <c r="AJ10">
        <v>3.2999999985000001</v>
      </c>
      <c r="AK10">
        <v>5.2999999988999997</v>
      </c>
      <c r="AL10">
        <v>12.4999999989</v>
      </c>
      <c r="AM10">
        <v>19.8999999993</v>
      </c>
      <c r="AN10">
        <v>27.9999999984</v>
      </c>
      <c r="AO10">
        <v>36.299999999800001</v>
      </c>
      <c r="AP10">
        <v>43.199999998300001</v>
      </c>
      <c r="AQ10">
        <v>51.899999998600002</v>
      </c>
      <c r="AR10">
        <v>59.999999999499998</v>
      </c>
      <c r="AS10">
        <v>68.399999998300004</v>
      </c>
      <c r="AT10">
        <v>76.699999999599996</v>
      </c>
      <c r="AU10">
        <v>85.599999998499996</v>
      </c>
      <c r="AV10">
        <v>93.999999999099998</v>
      </c>
      <c r="AW10">
        <v>102.3999999998</v>
      </c>
      <c r="AX10">
        <v>111.19999999940001</v>
      </c>
      <c r="AY10">
        <v>120.09999999830001</v>
      </c>
      <c r="AZ10">
        <v>128.99999999900001</v>
      </c>
      <c r="BA10">
        <v>137.99999999900001</v>
      </c>
      <c r="BB10">
        <v>146.1999999992</v>
      </c>
      <c r="BC10">
        <v>154.99999999880001</v>
      </c>
      <c r="BD10">
        <v>163.59999999990001</v>
      </c>
      <c r="BE10">
        <v>172.39999999950001</v>
      </c>
      <c r="BF10">
        <v>181.49999999880001</v>
      </c>
      <c r="BG10">
        <v>190.59999999990001</v>
      </c>
      <c r="BH10">
        <v>198.39999999930001</v>
      </c>
      <c r="BI10">
        <v>207.7999999983</v>
      </c>
      <c r="BJ10">
        <v>216.09999999959999</v>
      </c>
      <c r="BK10">
        <v>225.7999999983</v>
      </c>
      <c r="BL10">
        <v>234.0999999997</v>
      </c>
      <c r="BM10">
        <v>243.49999999869999</v>
      </c>
      <c r="BN10">
        <v>251.0999999995</v>
      </c>
      <c r="BO10">
        <v>259.99999999840003</v>
      </c>
      <c r="BP10">
        <v>268.39999999899999</v>
      </c>
      <c r="BQ10">
        <v>277.49999999829998</v>
      </c>
      <c r="BR10">
        <v>285.8999999989</v>
      </c>
      <c r="BS10">
        <v>294.79999999969999</v>
      </c>
      <c r="BT10">
        <v>302.49999999980002</v>
      </c>
      <c r="BU10">
        <v>310.7</v>
      </c>
      <c r="BV10">
        <v>318.89999999840001</v>
      </c>
      <c r="BW10">
        <v>326.29999999879999</v>
      </c>
      <c r="BX10">
        <v>334.9999999991</v>
      </c>
      <c r="BY10">
        <v>342.89999999960003</v>
      </c>
      <c r="BZ10">
        <v>350.99999999869999</v>
      </c>
      <c r="CA10">
        <v>358.89999999930001</v>
      </c>
      <c r="CB10">
        <v>366.49999999829998</v>
      </c>
      <c r="CC10">
        <v>374.39999999880001</v>
      </c>
      <c r="CD10">
        <v>381.89999999849999</v>
      </c>
      <c r="CE10">
        <v>389.59999999860003</v>
      </c>
      <c r="CF10">
        <v>396.59999999820002</v>
      </c>
      <c r="CG10">
        <v>404.199999999</v>
      </c>
      <c r="CH10">
        <v>411.19999999859999</v>
      </c>
      <c r="CI10">
        <v>418.19999999829997</v>
      </c>
      <c r="CJ10">
        <v>425.19999999970003</v>
      </c>
      <c r="CK10">
        <v>432.39999999970001</v>
      </c>
      <c r="CL10">
        <v>438.69999999880002</v>
      </c>
      <c r="CM10">
        <v>444.49999999959999</v>
      </c>
      <c r="CN10">
        <v>449.79999999850003</v>
      </c>
      <c r="CO10">
        <v>452.29999999900002</v>
      </c>
      <c r="CP10">
        <v>452.19999999970003</v>
      </c>
      <c r="CQ10">
        <v>452.19999999970003</v>
      </c>
      <c r="CR10">
        <v>452.29999999900002</v>
      </c>
      <c r="CS10">
        <v>452.39999999830002</v>
      </c>
      <c r="CT10">
        <v>452.39999999830002</v>
      </c>
      <c r="CU10">
        <v>452.49999999940002</v>
      </c>
      <c r="CV10">
        <v>452.59999999870001</v>
      </c>
      <c r="CW10">
        <v>452.49999999940002</v>
      </c>
      <c r="CX10">
        <v>452.39999999830002</v>
      </c>
      <c r="CY10">
        <v>452.39999999830002</v>
      </c>
      <c r="CZ10">
        <v>451.99999999929997</v>
      </c>
      <c r="DA10">
        <v>452.39999999830002</v>
      </c>
      <c r="DB10">
        <v>452.39999999830002</v>
      </c>
      <c r="DC10">
        <v>452.39999999830002</v>
      </c>
      <c r="DD10">
        <v>452.39999999830002</v>
      </c>
      <c r="DE10">
        <v>452.49999999940002</v>
      </c>
      <c r="DF10">
        <v>452.39999999830002</v>
      </c>
      <c r="DG10">
        <v>0.59999999940000004</v>
      </c>
      <c r="DH10">
        <v>1.0999999995</v>
      </c>
      <c r="DI10">
        <v>1.0999999995</v>
      </c>
      <c r="DJ10">
        <v>0.99999999839999998</v>
      </c>
      <c r="DK10">
        <v>1.1999999988000001</v>
      </c>
      <c r="DL10">
        <v>1.1999999988000001</v>
      </c>
      <c r="DM10">
        <v>1.1999999988000001</v>
      </c>
      <c r="DN10">
        <v>1.2999999999</v>
      </c>
      <c r="DO10">
        <v>1.0999999995</v>
      </c>
      <c r="DP10">
        <v>1.3999999992000001</v>
      </c>
      <c r="DQ10">
        <v>1.2999999999</v>
      </c>
      <c r="DR10">
        <v>1.2999999999</v>
      </c>
      <c r="DS10">
        <v>1.5999999996000001</v>
      </c>
      <c r="DT10">
        <v>1.2999999999</v>
      </c>
      <c r="DU10">
        <v>1.5999999996000001</v>
      </c>
      <c r="DV10">
        <v>1.4999999985000001</v>
      </c>
      <c r="DW10">
        <v>1.1999999988000001</v>
      </c>
      <c r="DX10">
        <v>1.2999999999</v>
      </c>
      <c r="DY10">
        <v>3.8999999996999999</v>
      </c>
      <c r="DZ10">
        <v>5.9999999994</v>
      </c>
      <c r="EA10">
        <v>13.3999999998</v>
      </c>
      <c r="EB10">
        <v>20.599999999800001</v>
      </c>
      <c r="EC10">
        <v>28.599999999600001</v>
      </c>
      <c r="ED10">
        <v>36.699999998700001</v>
      </c>
      <c r="EE10">
        <v>43.999999999899998</v>
      </c>
      <c r="EF10">
        <v>51.899999998600002</v>
      </c>
      <c r="EG10">
        <v>59.899999998399998</v>
      </c>
      <c r="EH10">
        <v>68.199999999699997</v>
      </c>
      <c r="EI10">
        <v>76.399999999900004</v>
      </c>
      <c r="EJ10">
        <v>85.199999999499994</v>
      </c>
      <c r="EK10">
        <v>93.3999999997</v>
      </c>
      <c r="EL10">
        <v>101.1999999992</v>
      </c>
      <c r="EM10">
        <v>110.09999999990001</v>
      </c>
      <c r="EN10">
        <v>119.1999999992</v>
      </c>
      <c r="EO10">
        <v>128.09999999990001</v>
      </c>
      <c r="EP10">
        <v>137.2999999985</v>
      </c>
      <c r="EQ10">
        <v>145.69999999909999</v>
      </c>
      <c r="ER10">
        <v>154.39999999939999</v>
      </c>
      <c r="ES10">
        <v>163.09999999979999</v>
      </c>
      <c r="ET10">
        <v>171.99999999869999</v>
      </c>
      <c r="EU10">
        <v>180.89999999939999</v>
      </c>
      <c r="EV10">
        <v>190.49999999880001</v>
      </c>
      <c r="EW10">
        <v>198.99999999869999</v>
      </c>
      <c r="EX10">
        <v>208.19999999909999</v>
      </c>
      <c r="EY10">
        <v>216.99999999869999</v>
      </c>
      <c r="EZ10">
        <v>225.69999999909999</v>
      </c>
      <c r="FA10">
        <v>234.69999999909999</v>
      </c>
      <c r="FB10">
        <v>244.1999999992</v>
      </c>
      <c r="FC10">
        <v>252.69999999909999</v>
      </c>
      <c r="FD10">
        <v>261.49999999869999</v>
      </c>
      <c r="FE10">
        <v>270.2999999983</v>
      </c>
      <c r="FF10">
        <v>279.2999999983</v>
      </c>
      <c r="FG10">
        <v>287.9999999986</v>
      </c>
      <c r="FH10">
        <v>296.7999999983</v>
      </c>
      <c r="FI10">
        <v>304.99999999850002</v>
      </c>
      <c r="FJ10">
        <v>313.79999999990002</v>
      </c>
      <c r="FK10">
        <v>322.19999999869998</v>
      </c>
      <c r="FL10">
        <v>330.69999999859999</v>
      </c>
      <c r="FM10">
        <v>339.1999999985</v>
      </c>
      <c r="FN10">
        <v>347.7999999996</v>
      </c>
      <c r="FO10">
        <v>355.59999999899998</v>
      </c>
      <c r="FP10">
        <v>363.49999999950001</v>
      </c>
      <c r="FQ10">
        <v>371.29999999889998</v>
      </c>
      <c r="FR10">
        <v>379.2999999987</v>
      </c>
      <c r="FS10">
        <v>386.69999999909999</v>
      </c>
      <c r="FT10">
        <v>394.89999999930001</v>
      </c>
      <c r="FU10">
        <v>401.8999999989</v>
      </c>
      <c r="FV10">
        <v>409.39999999859998</v>
      </c>
      <c r="FW10">
        <v>416.09999999860003</v>
      </c>
      <c r="FX10">
        <v>423.19999999930002</v>
      </c>
      <c r="FY10">
        <v>430.09999999960002</v>
      </c>
      <c r="FZ10">
        <v>435.89999999859998</v>
      </c>
      <c r="GA10">
        <v>441.8999999998</v>
      </c>
      <c r="GB10">
        <v>446.5999999993</v>
      </c>
      <c r="GC10">
        <v>450.39999999970001</v>
      </c>
      <c r="GD10">
        <v>451.99999999929997</v>
      </c>
      <c r="GE10">
        <v>451.99999999929997</v>
      </c>
      <c r="GF10">
        <v>451.99999999929997</v>
      </c>
      <c r="GG10">
        <v>452.19999999970003</v>
      </c>
      <c r="GH10">
        <v>452.09999999860003</v>
      </c>
      <c r="GI10">
        <v>452.19999999970003</v>
      </c>
      <c r="GJ10">
        <v>452.19999999970003</v>
      </c>
      <c r="GK10">
        <v>452.19999999970003</v>
      </c>
      <c r="GL10">
        <v>452.09999999860003</v>
      </c>
      <c r="GM10">
        <v>452.09999999860003</v>
      </c>
      <c r="GN10">
        <v>451.99999999929997</v>
      </c>
      <c r="GO10">
        <v>452.19999999970003</v>
      </c>
      <c r="GP10">
        <v>452.09999999860003</v>
      </c>
      <c r="GQ10">
        <v>452.19999999970003</v>
      </c>
      <c r="GR10">
        <v>452.29999999900002</v>
      </c>
      <c r="GS10">
        <v>452.29999999900002</v>
      </c>
      <c r="GT10">
        <v>452.19999999970003</v>
      </c>
      <c r="GU10">
        <v>452.19999999970003</v>
      </c>
      <c r="GV10">
        <v>452.29999999900002</v>
      </c>
      <c r="GW10">
        <v>1</v>
      </c>
      <c r="GX10">
        <v>104.7999999992</v>
      </c>
      <c r="GY10">
        <v>102.3999999998</v>
      </c>
      <c r="GZ10">
        <v>102.3999999998</v>
      </c>
      <c r="HA10">
        <v>110.09999999990001</v>
      </c>
      <c r="HB10">
        <v>104.2086105889</v>
      </c>
      <c r="HC10">
        <v>-7.7000000001000002</v>
      </c>
      <c r="HD10">
        <v>452.29999999900002</v>
      </c>
      <c r="HE10">
        <v>318.0589256101</v>
      </c>
      <c r="HF10">
        <v>83.842212888700004</v>
      </c>
      <c r="HG10">
        <v>452.59999999870001</v>
      </c>
      <c r="HH10">
        <v>452.29999999900002</v>
      </c>
      <c r="HI10">
        <v>452.59999999870001</v>
      </c>
      <c r="HJ10">
        <v>452.29999999900002</v>
      </c>
      <c r="HK10">
        <v>100.87976539589999</v>
      </c>
      <c r="HL10">
        <v>3.7254462015000001</v>
      </c>
      <c r="HM10">
        <v>3.5988354022000002</v>
      </c>
      <c r="HN10">
        <v>3.6666155484999998</v>
      </c>
      <c r="HO10">
        <v>3.3836180272999998</v>
      </c>
      <c r="HP10">
        <v>3.7385023144999998</v>
      </c>
      <c r="HQ10">
        <v>3.0719704515999999</v>
      </c>
      <c r="HR10">
        <v>20.3663977002</v>
      </c>
      <c r="HS10">
        <v>-23.460410557199999</v>
      </c>
      <c r="HT10">
        <v>-160</v>
      </c>
      <c r="HU10">
        <v>422.26753619900001</v>
      </c>
      <c r="HV10">
        <v>86.803519061599999</v>
      </c>
      <c r="HW10">
        <v>592</v>
      </c>
      <c r="HX10">
        <v>20.3663977002</v>
      </c>
      <c r="HY10">
        <v>-23.460410557199999</v>
      </c>
      <c r="HZ10">
        <v>-160</v>
      </c>
      <c r="IA10">
        <v>422.26753619900001</v>
      </c>
      <c r="IB10">
        <v>86.803519061599999</v>
      </c>
      <c r="IC10">
        <v>592</v>
      </c>
      <c r="ID10">
        <v>30.032463799999999</v>
      </c>
      <c r="IE10">
        <v>1.1154747425</v>
      </c>
      <c r="IF10">
        <v>-32.844574780099997</v>
      </c>
      <c r="IG10">
        <v>-224</v>
      </c>
      <c r="IH10">
        <v>446.43059577690002</v>
      </c>
      <c r="II10">
        <v>96.187683284499997</v>
      </c>
      <c r="IJ10">
        <v>656</v>
      </c>
      <c r="IK10">
        <v>401.90113849879998</v>
      </c>
      <c r="IL10">
        <v>110.26392961880001</v>
      </c>
      <c r="IM10">
        <v>429.9169116832</v>
      </c>
      <c r="IN10">
        <v>119.6480938416</v>
      </c>
      <c r="IO10">
        <v>7.4000000004000004</v>
      </c>
      <c r="IP10">
        <v>6.2999999990999997</v>
      </c>
      <c r="IQ10">
        <v>9.6999999986999992</v>
      </c>
      <c r="IR10">
        <v>2.4187576008999998</v>
      </c>
      <c r="IS10">
        <v>2.4187576008999998</v>
      </c>
      <c r="IT10">
        <v>8.1000000008999997</v>
      </c>
      <c r="IU10">
        <v>-28.152492668600001</v>
      </c>
      <c r="IV10">
        <v>13.0000000008</v>
      </c>
      <c r="IW10">
        <v>77.419354838700002</v>
      </c>
      <c r="IX10">
        <v>9.5000000001</v>
      </c>
      <c r="IY10">
        <v>93.841642228699996</v>
      </c>
      <c r="IZ10">
        <v>-29.560930518999999</v>
      </c>
      <c r="JA10">
        <v>0.30297460269999998</v>
      </c>
      <c r="JB10">
        <v>-2.276627E-4</v>
      </c>
      <c r="JC10">
        <v>3.826E-7</v>
      </c>
      <c r="JD10">
        <v>0.26842422249999998</v>
      </c>
      <c r="JE10">
        <v>0.21312754449999999</v>
      </c>
      <c r="JF10">
        <v>8.4761999399999996E-2</v>
      </c>
      <c r="JG10">
        <v>104.4026406357</v>
      </c>
      <c r="JH10">
        <v>3.7385023144999998</v>
      </c>
      <c r="JI10">
        <v>5.1373469E-3</v>
      </c>
      <c r="JJ10">
        <v>-6.8942400000000006E-5</v>
      </c>
      <c r="JK10">
        <v>3.7254462015000001</v>
      </c>
      <c r="JL10">
        <v>0.58419840879999996</v>
      </c>
      <c r="JM10">
        <v>0.2346536166</v>
      </c>
      <c r="JN10" t="s">
        <v>574</v>
      </c>
      <c r="JQ10">
        <v>1</v>
      </c>
    </row>
    <row r="11" spans="1:277">
      <c r="A11" t="s">
        <v>651</v>
      </c>
      <c r="B11" t="s">
        <v>652</v>
      </c>
      <c r="C11" t="s">
        <v>211</v>
      </c>
      <c r="D11">
        <v>3</v>
      </c>
      <c r="E11" t="s">
        <v>212</v>
      </c>
      <c r="F11" t="s">
        <v>213</v>
      </c>
      <c r="G11" t="s">
        <v>573</v>
      </c>
      <c r="H11" t="s">
        <v>215</v>
      </c>
      <c r="J11" t="s">
        <v>633</v>
      </c>
      <c r="K11" t="s">
        <v>634</v>
      </c>
      <c r="L11" t="s">
        <v>635</v>
      </c>
      <c r="M11" t="s">
        <v>636</v>
      </c>
      <c r="N11" t="s">
        <v>637</v>
      </c>
      <c r="O11">
        <v>0</v>
      </c>
      <c r="P11">
        <v>0</v>
      </c>
      <c r="Q11">
        <v>0</v>
      </c>
      <c r="R11">
        <v>0.40000000079999998</v>
      </c>
      <c r="S11">
        <v>0.40000000079999998</v>
      </c>
      <c r="T11">
        <v>0.40000000079999998</v>
      </c>
      <c r="U11">
        <v>0.29999999970000002</v>
      </c>
      <c r="V11">
        <v>9.9999999300000003E-2</v>
      </c>
      <c r="W11">
        <v>0.29999999970000002</v>
      </c>
      <c r="X11">
        <v>0.29999999970000002</v>
      </c>
      <c r="Y11">
        <v>0.50000000010000001</v>
      </c>
      <c r="Z11">
        <v>0.7000000005</v>
      </c>
      <c r="AA11">
        <v>0.79999999980000003</v>
      </c>
      <c r="AB11">
        <v>0.29999999970000002</v>
      </c>
      <c r="AC11">
        <v>0.40000000079999998</v>
      </c>
      <c r="AD11">
        <v>0.29999999970000002</v>
      </c>
      <c r="AE11">
        <v>0.40000000079999998</v>
      </c>
      <c r="AF11">
        <v>0.90000000089999999</v>
      </c>
      <c r="AG11">
        <v>1.0000000002</v>
      </c>
      <c r="AH11">
        <v>1.5000000003</v>
      </c>
      <c r="AI11">
        <v>2.0999999997000001</v>
      </c>
      <c r="AJ11">
        <v>4.1000000000999997</v>
      </c>
      <c r="AK11">
        <v>6.7999999991999998</v>
      </c>
      <c r="AL11">
        <v>11.5999999998</v>
      </c>
      <c r="AM11">
        <v>19.599999999600001</v>
      </c>
      <c r="AN11">
        <v>27.700000000599999</v>
      </c>
      <c r="AO11">
        <v>35.0999999991</v>
      </c>
      <c r="AP11">
        <v>42.199999999900001</v>
      </c>
      <c r="AQ11">
        <v>51.299999999199997</v>
      </c>
      <c r="AR11">
        <v>59.300000000799997</v>
      </c>
      <c r="AS11">
        <v>67.900000000000006</v>
      </c>
      <c r="AT11">
        <v>76.900000000000006</v>
      </c>
      <c r="AU11">
        <v>84.899999999800002</v>
      </c>
      <c r="AV11">
        <v>93.0000000008</v>
      </c>
      <c r="AW11">
        <v>102.69999999949999</v>
      </c>
      <c r="AX11">
        <v>111.69999999949999</v>
      </c>
      <c r="AY11">
        <v>120.3999999998</v>
      </c>
      <c r="AZ11">
        <v>129.89999999989999</v>
      </c>
      <c r="BA11">
        <v>137.89999999969999</v>
      </c>
      <c r="BB11">
        <v>146.1999999992</v>
      </c>
      <c r="BC11">
        <v>155.89999999969999</v>
      </c>
      <c r="BD11">
        <v>164.69999999940001</v>
      </c>
      <c r="BE11">
        <v>173.80000000050001</v>
      </c>
      <c r="BF11">
        <v>182.8999999998</v>
      </c>
      <c r="BG11">
        <v>191.19999999929999</v>
      </c>
      <c r="BH11">
        <v>199.8000000003</v>
      </c>
      <c r="BI11">
        <v>208.8000000003</v>
      </c>
      <c r="BJ11">
        <v>217.80000000039999</v>
      </c>
      <c r="BK11">
        <v>227.00000000079999</v>
      </c>
      <c r="BL11">
        <v>236.30000000050001</v>
      </c>
      <c r="BM11">
        <v>244.5000000007</v>
      </c>
      <c r="BN11">
        <v>252.70000000089999</v>
      </c>
      <c r="BO11">
        <v>261.3000000001</v>
      </c>
      <c r="BP11">
        <v>270.0999999997</v>
      </c>
      <c r="BQ11">
        <v>279.20000000089999</v>
      </c>
      <c r="BR11">
        <v>288.20000000089999</v>
      </c>
      <c r="BS11">
        <v>296.50000000040001</v>
      </c>
      <c r="BT11">
        <v>304.29999999979998</v>
      </c>
      <c r="BU11">
        <v>312.2999999996</v>
      </c>
      <c r="BV11">
        <v>320.49999999980002</v>
      </c>
      <c r="BW11">
        <v>329.10000000079998</v>
      </c>
      <c r="BX11">
        <v>337.60000000069999</v>
      </c>
      <c r="BY11">
        <v>345.79999999910001</v>
      </c>
      <c r="BZ11">
        <v>353.10000000029999</v>
      </c>
      <c r="CA11">
        <v>360.80000000040002</v>
      </c>
      <c r="CB11">
        <v>368.2000000008</v>
      </c>
      <c r="CC11">
        <v>375.79999999979998</v>
      </c>
      <c r="CD11">
        <v>383.59999999920001</v>
      </c>
      <c r="CE11">
        <v>391.29999999929998</v>
      </c>
      <c r="CF11">
        <v>398.19999999959998</v>
      </c>
      <c r="CG11">
        <v>405.19999999919997</v>
      </c>
      <c r="CH11">
        <v>412.5999999997</v>
      </c>
      <c r="CI11">
        <v>419.20000000030001</v>
      </c>
      <c r="CJ11">
        <v>426.60000000069999</v>
      </c>
      <c r="CK11">
        <v>433.49999999919999</v>
      </c>
      <c r="CL11">
        <v>439.50000000040001</v>
      </c>
      <c r="CM11">
        <v>444.79999999929998</v>
      </c>
      <c r="CN11">
        <v>451.1000000002</v>
      </c>
      <c r="CO11">
        <v>457.50000000040001</v>
      </c>
      <c r="CP11">
        <v>461.60000000050002</v>
      </c>
      <c r="CQ11">
        <v>461.49999999940002</v>
      </c>
      <c r="CR11">
        <v>461.60000000050002</v>
      </c>
      <c r="CS11">
        <v>461.79999999910001</v>
      </c>
      <c r="CT11">
        <v>461.79999999910001</v>
      </c>
      <c r="CU11">
        <v>461.69999999980001</v>
      </c>
      <c r="CV11">
        <v>461.90000000020001</v>
      </c>
      <c r="CW11">
        <v>462.10000000060001</v>
      </c>
      <c r="CX11">
        <v>462.1999999999</v>
      </c>
      <c r="CY11">
        <v>462.10000000060001</v>
      </c>
      <c r="CZ11">
        <v>462.10000000060001</v>
      </c>
      <c r="DA11">
        <v>462.1999999999</v>
      </c>
      <c r="DB11">
        <v>462.10000000060001</v>
      </c>
      <c r="DC11">
        <v>462.1999999999</v>
      </c>
      <c r="DD11">
        <v>462.10000000060001</v>
      </c>
      <c r="DE11">
        <v>462.2999999992</v>
      </c>
      <c r="DF11">
        <v>462.4000000003</v>
      </c>
      <c r="DG11">
        <v>0.7000000005</v>
      </c>
      <c r="DH11">
        <v>1.0999999995</v>
      </c>
      <c r="DI11">
        <v>1.0999999995</v>
      </c>
      <c r="DJ11">
        <v>0.90000000089999999</v>
      </c>
      <c r="DK11">
        <v>1.0999999995</v>
      </c>
      <c r="DL11">
        <v>1.2000000006</v>
      </c>
      <c r="DM11">
        <v>1.3999999992000001</v>
      </c>
      <c r="DN11">
        <v>1.3999999992000001</v>
      </c>
      <c r="DO11">
        <v>1.2000000006</v>
      </c>
      <c r="DP11">
        <v>1.0999999995</v>
      </c>
      <c r="DQ11">
        <v>1.0000000002</v>
      </c>
      <c r="DR11">
        <v>0.79999999980000003</v>
      </c>
      <c r="DS11">
        <v>1.2000000006</v>
      </c>
      <c r="DT11">
        <v>1.2999999999</v>
      </c>
      <c r="DU11">
        <v>1.5000000003</v>
      </c>
      <c r="DV11">
        <v>1.7000000007</v>
      </c>
      <c r="DW11">
        <v>1.7000000007</v>
      </c>
      <c r="DX11">
        <v>2.5000000005</v>
      </c>
      <c r="DY11">
        <v>4.3999999998000003</v>
      </c>
      <c r="DZ11">
        <v>7.4000000004000004</v>
      </c>
      <c r="EA11">
        <v>12.3999999996</v>
      </c>
      <c r="EB11">
        <v>20.500000000499998</v>
      </c>
      <c r="EC11">
        <v>28.700000000799999</v>
      </c>
      <c r="ED11">
        <v>35.799999999699999</v>
      </c>
      <c r="EE11">
        <v>42.7</v>
      </c>
      <c r="EF11">
        <v>51.7</v>
      </c>
      <c r="EG11">
        <v>59.800000000899999</v>
      </c>
      <c r="EH11">
        <v>68.499999999400004</v>
      </c>
      <c r="EI11">
        <v>77.199999999699997</v>
      </c>
      <c r="EJ11">
        <v>84.999999999099998</v>
      </c>
      <c r="EK11">
        <v>92.800000000400004</v>
      </c>
      <c r="EL11">
        <v>102.19999999940001</v>
      </c>
      <c r="EM11">
        <v>111.19999999940001</v>
      </c>
      <c r="EN11">
        <v>120.5000000009</v>
      </c>
      <c r="EO11">
        <v>129.4999999991</v>
      </c>
      <c r="EP11">
        <v>137.6</v>
      </c>
      <c r="EQ11">
        <v>146.1999999992</v>
      </c>
      <c r="ER11">
        <v>155.3999999996</v>
      </c>
      <c r="ES11">
        <v>164.69999999940001</v>
      </c>
      <c r="ET11">
        <v>174.0000000009</v>
      </c>
      <c r="EU11">
        <v>183.49999999920001</v>
      </c>
      <c r="EV11">
        <v>191.30000000039999</v>
      </c>
      <c r="EW11">
        <v>200.39999999969999</v>
      </c>
      <c r="EX11">
        <v>209.19999999929999</v>
      </c>
      <c r="EY11">
        <v>218.19999999929999</v>
      </c>
      <c r="EZ11">
        <v>227.89999999989999</v>
      </c>
      <c r="FA11">
        <v>237.30000000070001</v>
      </c>
      <c r="FB11">
        <v>245.99999999920001</v>
      </c>
      <c r="FC11">
        <v>254.6000000002</v>
      </c>
      <c r="FD11">
        <v>263.3999999998</v>
      </c>
      <c r="FE11">
        <v>272.19999999940001</v>
      </c>
      <c r="FF11">
        <v>281.19999999940001</v>
      </c>
      <c r="FG11">
        <v>290.19999999949999</v>
      </c>
      <c r="FH11">
        <v>298.30000000040002</v>
      </c>
      <c r="FI11">
        <v>306.69999999919997</v>
      </c>
      <c r="FJ11">
        <v>315.39999999949998</v>
      </c>
      <c r="FK11">
        <v>324.09999999979999</v>
      </c>
      <c r="FL11">
        <v>332.8000000001</v>
      </c>
      <c r="FM11">
        <v>341.39999999930001</v>
      </c>
      <c r="FN11">
        <v>348.90000000089998</v>
      </c>
      <c r="FO11">
        <v>356.70000000030001</v>
      </c>
      <c r="FP11">
        <v>364.79999999939997</v>
      </c>
      <c r="FQ11">
        <v>372.9000000003</v>
      </c>
      <c r="FR11">
        <v>381.10000000050002</v>
      </c>
      <c r="FS11">
        <v>389.10000000029999</v>
      </c>
      <c r="FT11">
        <v>396.69999999930002</v>
      </c>
      <c r="FU11">
        <v>403.39999999920002</v>
      </c>
      <c r="FV11">
        <v>410.79999999969999</v>
      </c>
      <c r="FW11">
        <v>417.49999999959999</v>
      </c>
      <c r="FX11">
        <v>424.69999999959998</v>
      </c>
      <c r="FY11">
        <v>431.59999999989998</v>
      </c>
      <c r="FZ11">
        <v>437.90000000079999</v>
      </c>
      <c r="GA11">
        <v>442.19999999949999</v>
      </c>
      <c r="GB11">
        <v>447.79999999990002</v>
      </c>
      <c r="GC11">
        <v>453.79999999929998</v>
      </c>
      <c r="GD11">
        <v>459.8999999998</v>
      </c>
      <c r="GE11">
        <v>461.69999999980001</v>
      </c>
      <c r="GF11">
        <v>461.60000000050002</v>
      </c>
      <c r="GG11">
        <v>462.1999999999</v>
      </c>
      <c r="GH11">
        <v>462.2999999992</v>
      </c>
      <c r="GI11">
        <v>462.10000000060001</v>
      </c>
      <c r="GJ11">
        <v>461.90000000020001</v>
      </c>
      <c r="GK11">
        <v>461.60000000050002</v>
      </c>
      <c r="GL11">
        <v>461.99999999950001</v>
      </c>
      <c r="GM11">
        <v>461.99999999950001</v>
      </c>
      <c r="GN11">
        <v>462.10000000060001</v>
      </c>
      <c r="GO11">
        <v>462.1999999999</v>
      </c>
      <c r="GP11">
        <v>462.10000000060001</v>
      </c>
      <c r="GQ11">
        <v>462.1999999999</v>
      </c>
      <c r="GR11">
        <v>461.90000000020001</v>
      </c>
      <c r="GS11">
        <v>461.90000000020001</v>
      </c>
      <c r="GT11">
        <v>461.90000000020001</v>
      </c>
      <c r="GU11">
        <v>462.10000000060001</v>
      </c>
      <c r="GV11">
        <v>462.2999999992</v>
      </c>
      <c r="GW11">
        <v>1</v>
      </c>
      <c r="GX11">
        <v>105.60000000079999</v>
      </c>
      <c r="GY11">
        <v>102.69999999949999</v>
      </c>
      <c r="GZ11">
        <v>102.69999999949999</v>
      </c>
      <c r="HA11">
        <v>111.19999999940001</v>
      </c>
      <c r="HB11">
        <v>104.6662052552</v>
      </c>
      <c r="HC11">
        <v>-8.4999999999</v>
      </c>
      <c r="HD11">
        <v>462.2999999992</v>
      </c>
      <c r="HE11">
        <v>332.49813993869998</v>
      </c>
      <c r="HF11">
        <v>84.590883529500005</v>
      </c>
      <c r="HG11">
        <v>462.4000000003</v>
      </c>
      <c r="HH11">
        <v>462.2999999992</v>
      </c>
      <c r="HI11">
        <v>462.4000000003</v>
      </c>
      <c r="HJ11">
        <v>462.2999999992</v>
      </c>
      <c r="HK11">
        <v>103.22580645159999</v>
      </c>
      <c r="HL11">
        <v>3.7254886676000001</v>
      </c>
      <c r="HM11">
        <v>3.6116991855</v>
      </c>
      <c r="HN11">
        <v>3.6632040724000001</v>
      </c>
      <c r="HO11">
        <v>3.4310545582</v>
      </c>
      <c r="HP11">
        <v>3.7857319408999999</v>
      </c>
      <c r="HQ11">
        <v>2.8822793660000001</v>
      </c>
      <c r="HR11">
        <v>20.0753217257</v>
      </c>
      <c r="HS11">
        <v>-23.460410557199999</v>
      </c>
      <c r="HT11">
        <v>-160</v>
      </c>
      <c r="HU11">
        <v>437.16434519389998</v>
      </c>
      <c r="HV11">
        <v>91.495601172999997</v>
      </c>
      <c r="HW11">
        <v>624</v>
      </c>
      <c r="HX11">
        <v>20.0753217257</v>
      </c>
      <c r="HY11">
        <v>-23.460410557199999</v>
      </c>
      <c r="HZ11">
        <v>-160</v>
      </c>
      <c r="IA11">
        <v>437.16434519389998</v>
      </c>
      <c r="IB11">
        <v>91.495601172999997</v>
      </c>
      <c r="IC11">
        <v>624</v>
      </c>
      <c r="ID11">
        <v>25.135654805400002</v>
      </c>
      <c r="IE11">
        <v>2.1161674053000001</v>
      </c>
      <c r="IF11">
        <v>-32.844574780099997</v>
      </c>
      <c r="IG11">
        <v>-224</v>
      </c>
      <c r="IH11">
        <v>459.76962258010002</v>
      </c>
      <c r="II11">
        <v>100.87976539589999</v>
      </c>
      <c r="IJ11">
        <v>688</v>
      </c>
      <c r="IK11">
        <v>417.08902346820003</v>
      </c>
      <c r="IL11">
        <v>114.9560117302</v>
      </c>
      <c r="IM11">
        <v>440.54802638770002</v>
      </c>
      <c r="IN11">
        <v>124.3401759531</v>
      </c>
      <c r="IO11">
        <v>8.1000000008999997</v>
      </c>
      <c r="IP11">
        <v>6.4000000002000004</v>
      </c>
      <c r="IQ11">
        <v>9.7000000004999993</v>
      </c>
      <c r="IR11">
        <v>3.4118452905000001</v>
      </c>
      <c r="IS11">
        <v>3.4118452905000001</v>
      </c>
      <c r="IT11">
        <v>8.9000000007000004</v>
      </c>
      <c r="IU11">
        <v>-25.806451612899998</v>
      </c>
      <c r="IV11">
        <v>13.300000000500001</v>
      </c>
      <c r="IW11">
        <v>75.073313783000003</v>
      </c>
      <c r="IX11">
        <v>9</v>
      </c>
      <c r="IY11">
        <v>98.533724340199996</v>
      </c>
      <c r="IZ11">
        <v>-29.292298664</v>
      </c>
      <c r="JA11">
        <v>0.30113748260000001</v>
      </c>
      <c r="JB11">
        <v>-2.398705E-4</v>
      </c>
      <c r="JC11">
        <v>4.15E-7</v>
      </c>
      <c r="JD11">
        <v>0.2684211628</v>
      </c>
      <c r="JE11">
        <v>0.3099545494</v>
      </c>
      <c r="JF11">
        <v>0.1267071162</v>
      </c>
      <c r="JG11">
        <v>104.5882621329</v>
      </c>
      <c r="JH11">
        <v>3.7857319408999999</v>
      </c>
      <c r="JI11">
        <v>5.0088171999999997E-3</v>
      </c>
      <c r="JJ11">
        <v>-7.2469400000000001E-5</v>
      </c>
      <c r="JK11">
        <v>3.7254886676000001</v>
      </c>
      <c r="JL11">
        <v>0.92499218569999997</v>
      </c>
      <c r="JM11">
        <v>0.36456447390000002</v>
      </c>
      <c r="JN11" t="s">
        <v>574</v>
      </c>
      <c r="JQ11">
        <v>1</v>
      </c>
    </row>
    <row r="12" spans="1:277">
      <c r="A12" t="s">
        <v>653</v>
      </c>
      <c r="B12" t="s">
        <v>654</v>
      </c>
      <c r="C12" t="s">
        <v>211</v>
      </c>
      <c r="D12">
        <v>3</v>
      </c>
      <c r="E12" t="s">
        <v>212</v>
      </c>
      <c r="F12" t="s">
        <v>213</v>
      </c>
      <c r="G12" t="s">
        <v>573</v>
      </c>
      <c r="H12" t="s">
        <v>215</v>
      </c>
      <c r="J12" t="s">
        <v>640</v>
      </c>
      <c r="K12" t="s">
        <v>641</v>
      </c>
      <c r="L12" t="s">
        <v>642</v>
      </c>
      <c r="M12" t="s">
        <v>643</v>
      </c>
      <c r="N12" t="s">
        <v>644</v>
      </c>
      <c r="O12">
        <v>0</v>
      </c>
      <c r="P12">
        <v>0</v>
      </c>
      <c r="Q12">
        <v>0</v>
      </c>
      <c r="R12">
        <v>0</v>
      </c>
      <c r="S12">
        <v>0.40000000079999998</v>
      </c>
      <c r="T12">
        <v>0.20000000039999999</v>
      </c>
      <c r="U12">
        <v>0.40000000079999998</v>
      </c>
      <c r="V12">
        <v>0.29999999970000002</v>
      </c>
      <c r="W12">
        <v>0.20000000039999999</v>
      </c>
      <c r="X12">
        <v>0.29999999970000002</v>
      </c>
      <c r="Y12">
        <v>0.29999999970000002</v>
      </c>
      <c r="Z12">
        <v>0.50000000010000001</v>
      </c>
      <c r="AA12">
        <v>0.40000000079999998</v>
      </c>
      <c r="AB12">
        <v>0.59999999940000004</v>
      </c>
      <c r="AC12">
        <v>0.50000000010000001</v>
      </c>
      <c r="AD12">
        <v>0.59999999940000004</v>
      </c>
      <c r="AE12">
        <v>0.79999999980000003</v>
      </c>
      <c r="AF12">
        <v>0.50000000010000001</v>
      </c>
      <c r="AG12">
        <v>0.50000000010000001</v>
      </c>
      <c r="AH12">
        <v>0.59999999940000004</v>
      </c>
      <c r="AI12">
        <v>0.79999999980000003</v>
      </c>
      <c r="AJ12">
        <v>1.0000000002</v>
      </c>
      <c r="AK12">
        <v>2.3000000000999998</v>
      </c>
      <c r="AL12">
        <v>6.1000000004999997</v>
      </c>
      <c r="AM12">
        <v>12.699999999299999</v>
      </c>
      <c r="AN12">
        <v>20.500000000499998</v>
      </c>
      <c r="AO12">
        <v>28.8</v>
      </c>
      <c r="AP12">
        <v>36.500000000199996</v>
      </c>
      <c r="AQ12">
        <v>44.5</v>
      </c>
      <c r="AR12">
        <v>52.4000000005</v>
      </c>
      <c r="AS12">
        <v>60.199999999900001</v>
      </c>
      <c r="AT12">
        <v>67.900000000000006</v>
      </c>
      <c r="AU12">
        <v>76.399999999900004</v>
      </c>
      <c r="AV12">
        <v>85.399999999900004</v>
      </c>
      <c r="AW12">
        <v>93.999999999099998</v>
      </c>
      <c r="AX12">
        <v>102.8999999999</v>
      </c>
      <c r="AY12">
        <v>110.8000000004</v>
      </c>
      <c r="AZ12">
        <v>118.6999999991</v>
      </c>
      <c r="BA12">
        <v>127.50000000049999</v>
      </c>
      <c r="BB12">
        <v>136.69999999909999</v>
      </c>
      <c r="BC12">
        <v>145.50000000049999</v>
      </c>
      <c r="BD12">
        <v>154.0999999997</v>
      </c>
      <c r="BE12">
        <v>162.50000000040001</v>
      </c>
      <c r="BF12">
        <v>170.29999999980001</v>
      </c>
      <c r="BG12">
        <v>179.00000000009999</v>
      </c>
      <c r="BH12">
        <v>188.5999999995</v>
      </c>
      <c r="BI12">
        <v>197.20000000050001</v>
      </c>
      <c r="BJ12">
        <v>205.5999999993</v>
      </c>
      <c r="BK12">
        <v>214.20000000030001</v>
      </c>
      <c r="BL12">
        <v>222.20000000019999</v>
      </c>
      <c r="BM12">
        <v>230.7999999994</v>
      </c>
      <c r="BN12">
        <v>240.29999999949999</v>
      </c>
      <c r="BO12">
        <v>248.9000000005</v>
      </c>
      <c r="BP12">
        <v>256.99999999959999</v>
      </c>
      <c r="BQ12">
        <v>265.29999999910001</v>
      </c>
      <c r="BR12">
        <v>273.30000000069998</v>
      </c>
      <c r="BS12">
        <v>281.89999999999998</v>
      </c>
      <c r="BT12">
        <v>290.89999999999998</v>
      </c>
      <c r="BU12">
        <v>298.80000000050001</v>
      </c>
      <c r="BV12">
        <v>307.00000000070003</v>
      </c>
      <c r="BW12">
        <v>314.89999999939999</v>
      </c>
      <c r="BX12">
        <v>322.29999999979998</v>
      </c>
      <c r="BY12">
        <v>330.5</v>
      </c>
      <c r="BZ12">
        <v>339.09999999920001</v>
      </c>
      <c r="CA12">
        <v>347.49999999990001</v>
      </c>
      <c r="CB12">
        <v>354.60000000060001</v>
      </c>
      <c r="CC12">
        <v>362.10000000029999</v>
      </c>
      <c r="CD12">
        <v>369.09999999989998</v>
      </c>
      <c r="CE12">
        <v>376.29999999990002</v>
      </c>
      <c r="CF12">
        <v>383.70000000030001</v>
      </c>
      <c r="CG12">
        <v>391.99999999980002</v>
      </c>
      <c r="CH12">
        <v>399.49999999950001</v>
      </c>
      <c r="CI12">
        <v>406.3999999998</v>
      </c>
      <c r="CJ12">
        <v>413.30000000019999</v>
      </c>
      <c r="CK12">
        <v>419.7000000004</v>
      </c>
      <c r="CL12">
        <v>426.4000000003</v>
      </c>
      <c r="CM12">
        <v>433.30000000059999</v>
      </c>
      <c r="CN12">
        <v>440.80000000029997</v>
      </c>
      <c r="CO12">
        <v>447.39999999909998</v>
      </c>
      <c r="CP12">
        <v>453.90000000039998</v>
      </c>
      <c r="CQ12">
        <v>455.7000000004</v>
      </c>
      <c r="CR12">
        <v>456.09999999939998</v>
      </c>
      <c r="CS12">
        <v>456.00000000009999</v>
      </c>
      <c r="CT12">
        <v>456.09999999939998</v>
      </c>
      <c r="CU12">
        <v>456.29999999979998</v>
      </c>
      <c r="CV12">
        <v>456.20000000049998</v>
      </c>
      <c r="CW12">
        <v>456.39999999909998</v>
      </c>
      <c r="CX12">
        <v>456.29999999979998</v>
      </c>
      <c r="CY12">
        <v>456.39999999909998</v>
      </c>
      <c r="CZ12">
        <v>456.09999999939998</v>
      </c>
      <c r="DA12">
        <v>456.39999999909998</v>
      </c>
      <c r="DB12">
        <v>456.39999999909998</v>
      </c>
      <c r="DC12">
        <v>456.59999999950003</v>
      </c>
      <c r="DD12">
        <v>456.50000000019998</v>
      </c>
      <c r="DE12">
        <v>456.39999999909998</v>
      </c>
      <c r="DF12">
        <v>456.39999999909998</v>
      </c>
      <c r="DG12">
        <v>0.40000000079999998</v>
      </c>
      <c r="DH12">
        <v>1.0000000002</v>
      </c>
      <c r="DI12">
        <v>0.89999999909999995</v>
      </c>
      <c r="DJ12">
        <v>0.89999999909999995</v>
      </c>
      <c r="DK12">
        <v>1.0000000002</v>
      </c>
      <c r="DL12">
        <v>1.0000000002</v>
      </c>
      <c r="DM12">
        <v>0.89999999909999995</v>
      </c>
      <c r="DN12">
        <v>1.0000000002</v>
      </c>
      <c r="DO12">
        <v>1.2000000006</v>
      </c>
      <c r="DP12">
        <v>1.0999999995</v>
      </c>
      <c r="DQ12">
        <v>1.0999999995</v>
      </c>
      <c r="DR12">
        <v>1.0999999995</v>
      </c>
      <c r="DS12">
        <v>1.0000000002</v>
      </c>
      <c r="DT12">
        <v>1.0000000002</v>
      </c>
      <c r="DU12">
        <v>1.0999999995</v>
      </c>
      <c r="DV12">
        <v>0.79999999980000003</v>
      </c>
      <c r="DW12">
        <v>0.89999999909999995</v>
      </c>
      <c r="DX12">
        <v>1.2000000006</v>
      </c>
      <c r="DY12">
        <v>1.2000000006</v>
      </c>
      <c r="DZ12">
        <v>2.6999999991000001</v>
      </c>
      <c r="EA12">
        <v>6.6999999999000002</v>
      </c>
      <c r="EB12">
        <v>13.4999999991</v>
      </c>
      <c r="EC12">
        <v>21.0000000006</v>
      </c>
      <c r="ED12">
        <v>29.599999999800001</v>
      </c>
      <c r="EE12">
        <v>37.200000000700001</v>
      </c>
      <c r="EF12">
        <v>45.200000000499998</v>
      </c>
      <c r="EG12">
        <v>52.799999999500002</v>
      </c>
      <c r="EH12">
        <v>60.199999999900001</v>
      </c>
      <c r="EI12">
        <v>68.100000000400001</v>
      </c>
      <c r="EJ12">
        <v>76.300000000599994</v>
      </c>
      <c r="EK12">
        <v>85.4999999992</v>
      </c>
      <c r="EL12">
        <v>93.499999998999996</v>
      </c>
      <c r="EM12">
        <v>102.4999999991</v>
      </c>
      <c r="EN12">
        <v>110.8999999997</v>
      </c>
      <c r="EO12">
        <v>118.6999999991</v>
      </c>
      <c r="EP12">
        <v>127.2000000008</v>
      </c>
      <c r="EQ12">
        <v>136.50000000049999</v>
      </c>
      <c r="ER12">
        <v>145.3000000001</v>
      </c>
      <c r="ES12">
        <v>153.89999999930001</v>
      </c>
      <c r="ET12">
        <v>162.39999999930001</v>
      </c>
      <c r="EU12">
        <v>170.5999999995</v>
      </c>
      <c r="EV12">
        <v>179.7000000006</v>
      </c>
      <c r="EW12">
        <v>189.20000000069999</v>
      </c>
      <c r="EX12">
        <v>197.5999999995</v>
      </c>
      <c r="EY12">
        <v>206.09999999940001</v>
      </c>
      <c r="EZ12">
        <v>214.7000000004</v>
      </c>
      <c r="FA12">
        <v>223</v>
      </c>
      <c r="FB12">
        <v>232.59999999940001</v>
      </c>
      <c r="FC12">
        <v>241.50000000009999</v>
      </c>
      <c r="FD12">
        <v>250.0999999993</v>
      </c>
      <c r="FE12">
        <v>258.9000000007</v>
      </c>
      <c r="FF12">
        <v>267.20000000020002</v>
      </c>
      <c r="FG12">
        <v>274.99999999959999</v>
      </c>
      <c r="FH12">
        <v>284.29999999929998</v>
      </c>
      <c r="FI12">
        <v>293.10000000079998</v>
      </c>
      <c r="FJ12">
        <v>301.49999999959999</v>
      </c>
      <c r="FK12">
        <v>309.79999999910001</v>
      </c>
      <c r="FL12">
        <v>318.19999999970003</v>
      </c>
      <c r="FM12">
        <v>325.8999999998</v>
      </c>
      <c r="FN12">
        <v>334.1</v>
      </c>
      <c r="FO12">
        <v>343.00000000080001</v>
      </c>
      <c r="FP12">
        <v>350.89999999949998</v>
      </c>
      <c r="FQ12">
        <v>358.50000000030002</v>
      </c>
      <c r="FR12">
        <v>366.70000000049998</v>
      </c>
      <c r="FS12">
        <v>373.79999999939997</v>
      </c>
      <c r="FT12">
        <v>381.40000000020001</v>
      </c>
      <c r="FU12">
        <v>389.69999999970003</v>
      </c>
      <c r="FV12">
        <v>397.6000000002</v>
      </c>
      <c r="FW12">
        <v>404.50000000059998</v>
      </c>
      <c r="FX12">
        <v>411.29999999979998</v>
      </c>
      <c r="FY12">
        <v>418.10000000079998</v>
      </c>
      <c r="FZ12">
        <v>424.60000000029999</v>
      </c>
      <c r="GA12">
        <v>431.39999999949998</v>
      </c>
      <c r="GB12">
        <v>438.20000000049998</v>
      </c>
      <c r="GC12">
        <v>444.4000000003</v>
      </c>
      <c r="GD12">
        <v>450.1</v>
      </c>
      <c r="GE12">
        <v>454.99999999990001</v>
      </c>
      <c r="GF12">
        <v>456.00000000009999</v>
      </c>
      <c r="GG12">
        <v>456.09999999939998</v>
      </c>
      <c r="GH12">
        <v>456.39999999909998</v>
      </c>
      <c r="GI12">
        <v>456.39999999909998</v>
      </c>
      <c r="GJ12">
        <v>456.39999999909998</v>
      </c>
      <c r="GK12">
        <v>456.39999999909998</v>
      </c>
      <c r="GL12">
        <v>456.29999999979998</v>
      </c>
      <c r="GM12">
        <v>456.29999999979998</v>
      </c>
      <c r="GN12">
        <v>456.09999999939998</v>
      </c>
      <c r="GO12">
        <v>456.39999999909998</v>
      </c>
      <c r="GP12">
        <v>456.39999999909998</v>
      </c>
      <c r="GQ12">
        <v>456.70000000060003</v>
      </c>
      <c r="GR12">
        <v>456.39999999909998</v>
      </c>
      <c r="GS12">
        <v>456.59999999950003</v>
      </c>
      <c r="GT12">
        <v>456.29999999979998</v>
      </c>
      <c r="GU12">
        <v>456.39999999909998</v>
      </c>
      <c r="GV12">
        <v>456.20000000049998</v>
      </c>
      <c r="GW12">
        <v>1</v>
      </c>
      <c r="GX12">
        <v>96.9000000005</v>
      </c>
      <c r="GY12">
        <v>93.999999999099998</v>
      </c>
      <c r="GZ12">
        <v>93.999999999099998</v>
      </c>
      <c r="HA12">
        <v>102.4999999991</v>
      </c>
      <c r="HB12">
        <v>95.829007883499997</v>
      </c>
      <c r="HC12">
        <v>-8.4999999999</v>
      </c>
      <c r="HD12">
        <v>456.20013140660001</v>
      </c>
      <c r="HE12">
        <v>334.7753613671</v>
      </c>
      <c r="HF12">
        <v>74.829763467700005</v>
      </c>
      <c r="HG12">
        <v>456.70000000060003</v>
      </c>
      <c r="HH12">
        <v>456.69996714910002</v>
      </c>
      <c r="HI12">
        <v>456.59999999950003</v>
      </c>
      <c r="HJ12">
        <v>456.70000000060003</v>
      </c>
      <c r="HK12">
        <v>105.57184750730001</v>
      </c>
      <c r="HL12">
        <v>3.6438835419000002</v>
      </c>
      <c r="HM12">
        <v>3.5328641516000001</v>
      </c>
      <c r="HN12">
        <v>3.5944306482999999</v>
      </c>
      <c r="HO12">
        <v>3.3570640918999999</v>
      </c>
      <c r="HP12">
        <v>3.6550270968</v>
      </c>
      <c r="HQ12">
        <v>2.9429136101000002</v>
      </c>
      <c r="HR12">
        <v>20.999244415700002</v>
      </c>
      <c r="HS12">
        <v>-21.114369501500001</v>
      </c>
      <c r="HT12">
        <v>-144</v>
      </c>
      <c r="HU12">
        <v>430.60436925049999</v>
      </c>
      <c r="HV12">
        <v>93.841642228699996</v>
      </c>
      <c r="HW12">
        <v>640</v>
      </c>
      <c r="HX12">
        <v>20.999244415700002</v>
      </c>
      <c r="HY12">
        <v>-21.114369501500001</v>
      </c>
      <c r="HZ12">
        <v>-144</v>
      </c>
      <c r="IA12">
        <v>430.60436925049999</v>
      </c>
      <c r="IB12">
        <v>93.841642228699996</v>
      </c>
      <c r="IC12">
        <v>640</v>
      </c>
      <c r="ID12">
        <v>26.095597898600001</v>
      </c>
      <c r="IE12">
        <v>1.0068878670000001</v>
      </c>
      <c r="IF12">
        <v>-30.4985337243</v>
      </c>
      <c r="IG12">
        <v>-208</v>
      </c>
      <c r="IH12">
        <v>454.9101182654</v>
      </c>
      <c r="II12">
        <v>103.22580645159999</v>
      </c>
      <c r="IJ12">
        <v>704</v>
      </c>
      <c r="IK12">
        <v>409.60512483479999</v>
      </c>
      <c r="IL12">
        <v>114.9560117302</v>
      </c>
      <c r="IM12">
        <v>437.70966929470001</v>
      </c>
      <c r="IN12">
        <v>124.3401759531</v>
      </c>
      <c r="IO12">
        <v>7.8000000011999999</v>
      </c>
      <c r="IP12">
        <v>7.4999999997</v>
      </c>
      <c r="IQ12">
        <v>9.5999999993999996</v>
      </c>
      <c r="IR12">
        <v>2.7457514269000001</v>
      </c>
      <c r="IS12">
        <v>2.7457514269000001</v>
      </c>
      <c r="IT12">
        <v>8.3000000013000008</v>
      </c>
      <c r="IU12">
        <v>-23.460410557199999</v>
      </c>
      <c r="IV12">
        <v>13.8999999999</v>
      </c>
      <c r="IW12">
        <v>82.1114369501</v>
      </c>
      <c r="IX12">
        <v>11.0999999997</v>
      </c>
      <c r="IY12">
        <v>98.533724340199996</v>
      </c>
      <c r="IZ12">
        <v>-27.5362924577</v>
      </c>
      <c r="JA12">
        <v>0.3067454107</v>
      </c>
      <c r="JB12">
        <v>-2.256053E-4</v>
      </c>
      <c r="JC12">
        <v>3.8579999999999997E-7</v>
      </c>
      <c r="JD12">
        <v>0.27443248079999999</v>
      </c>
      <c r="JE12">
        <v>0.31793327339999999</v>
      </c>
      <c r="JF12">
        <v>0.1208375045</v>
      </c>
      <c r="JG12">
        <v>95.479217863200006</v>
      </c>
      <c r="JH12">
        <v>3.6550270968</v>
      </c>
      <c r="JI12">
        <v>5.0630431000000002E-3</v>
      </c>
      <c r="JJ12">
        <v>-6.2923500000000002E-5</v>
      </c>
      <c r="JK12">
        <v>3.6438835419000002</v>
      </c>
      <c r="JL12">
        <v>0.80101043090000001</v>
      </c>
      <c r="JM12">
        <v>0.34001541239999999</v>
      </c>
      <c r="JN12" t="s">
        <v>574</v>
      </c>
      <c r="JQ12">
        <v>1</v>
      </c>
    </row>
    <row r="13" spans="1:277">
      <c r="A13" t="s">
        <v>668</v>
      </c>
      <c r="B13" t="s">
        <v>669</v>
      </c>
      <c r="C13" t="s">
        <v>211</v>
      </c>
      <c r="D13">
        <v>3</v>
      </c>
      <c r="E13" t="s">
        <v>212</v>
      </c>
      <c r="F13" t="s">
        <v>213</v>
      </c>
      <c r="G13" t="s">
        <v>573</v>
      </c>
      <c r="H13" t="s">
        <v>215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0</v>
      </c>
      <c r="R13">
        <v>0.20000000039999999</v>
      </c>
      <c r="S13">
        <v>0.50000000010000001</v>
      </c>
      <c r="T13">
        <v>0.29999999970000002</v>
      </c>
      <c r="U13">
        <v>0.40000000079999998</v>
      </c>
      <c r="V13">
        <v>0.20000000039999999</v>
      </c>
      <c r="W13">
        <v>0.20000000039999999</v>
      </c>
      <c r="X13">
        <v>0.20000000039999999</v>
      </c>
      <c r="Y13">
        <v>0.20000000039999999</v>
      </c>
      <c r="Z13">
        <v>0.20000000039999999</v>
      </c>
      <c r="AA13">
        <v>0.40000000079999998</v>
      </c>
      <c r="AB13">
        <v>0.1000000011</v>
      </c>
      <c r="AC13">
        <v>0.29999999970000002</v>
      </c>
      <c r="AD13">
        <v>0.40000000079999998</v>
      </c>
      <c r="AE13">
        <v>0.50000000010000001</v>
      </c>
      <c r="AF13">
        <v>0.29999999970000002</v>
      </c>
      <c r="AG13">
        <v>0.50000000010000001</v>
      </c>
      <c r="AH13">
        <v>0.59999999940000004</v>
      </c>
      <c r="AI13">
        <v>0.40000000079999998</v>
      </c>
      <c r="AJ13">
        <v>0.7000000005</v>
      </c>
      <c r="AK13">
        <v>0.79999999980000003</v>
      </c>
      <c r="AL13">
        <v>6.4999999995</v>
      </c>
      <c r="AM13">
        <v>13.1000000001</v>
      </c>
      <c r="AN13">
        <v>20.0999999997</v>
      </c>
      <c r="AO13">
        <v>28.200000000700001</v>
      </c>
      <c r="AP13">
        <v>37.099999999600001</v>
      </c>
      <c r="AQ13">
        <v>44.799999999699999</v>
      </c>
      <c r="AR13">
        <v>53.299999999599997</v>
      </c>
      <c r="AS13">
        <v>61.200000000099998</v>
      </c>
      <c r="AT13">
        <v>69.300000001000001</v>
      </c>
      <c r="AU13">
        <v>77.199999999699997</v>
      </c>
      <c r="AV13">
        <v>86.300000000799997</v>
      </c>
      <c r="AW13">
        <v>95.300000000899999</v>
      </c>
      <c r="AX13">
        <v>104.3000000009</v>
      </c>
      <c r="AY13">
        <v>112.6999999997</v>
      </c>
      <c r="AZ13">
        <v>121.4</v>
      </c>
      <c r="BA13">
        <v>129.3999999998</v>
      </c>
      <c r="BB13">
        <v>139.00000000099999</v>
      </c>
      <c r="BC13">
        <v>147.69999999949999</v>
      </c>
      <c r="BD13">
        <v>156.80000000070001</v>
      </c>
      <c r="BE13">
        <v>165.1000000002</v>
      </c>
      <c r="BF13">
        <v>173.80000000050001</v>
      </c>
      <c r="BG13">
        <v>182.0000000007</v>
      </c>
      <c r="BH13">
        <v>192.0000000009</v>
      </c>
      <c r="BI13">
        <v>200.50000000079999</v>
      </c>
      <c r="BJ13">
        <v>209.69999999940001</v>
      </c>
      <c r="BK13">
        <v>218.00000000079999</v>
      </c>
      <c r="BL13">
        <v>226.09999999990001</v>
      </c>
      <c r="BM13">
        <v>234.70000000089999</v>
      </c>
      <c r="BN13">
        <v>244.20000000100001</v>
      </c>
      <c r="BO13">
        <v>252.89999999950001</v>
      </c>
      <c r="BP13">
        <v>262.00000000059998</v>
      </c>
      <c r="BQ13">
        <v>270.00000000040001</v>
      </c>
      <c r="BR13">
        <v>277.50000000009999</v>
      </c>
      <c r="BS13">
        <v>286.00000000009999</v>
      </c>
      <c r="BT13">
        <v>294.79999999969999</v>
      </c>
      <c r="BU13">
        <v>303.7000000004</v>
      </c>
      <c r="BV13">
        <v>312.10000000100001</v>
      </c>
      <c r="BW13">
        <v>319.60000000069999</v>
      </c>
      <c r="BX13">
        <v>327.80000000090001</v>
      </c>
      <c r="BY13">
        <v>334.80000000050001</v>
      </c>
      <c r="BZ13">
        <v>342.89999999960003</v>
      </c>
      <c r="CA13">
        <v>350.59999999979999</v>
      </c>
      <c r="CB13">
        <v>359.2000000008</v>
      </c>
      <c r="CC13">
        <v>366.50000000009999</v>
      </c>
      <c r="CD13">
        <v>373.49999999969998</v>
      </c>
      <c r="CE13">
        <v>380.10000000029999</v>
      </c>
      <c r="CF13">
        <v>387.70000000110002</v>
      </c>
      <c r="CG13">
        <v>394.70000000070002</v>
      </c>
      <c r="CH13">
        <v>401.90000000079999</v>
      </c>
      <c r="CI13">
        <v>409.79999999939997</v>
      </c>
      <c r="CJ13">
        <v>417.10000000060001</v>
      </c>
      <c r="CK13">
        <v>423.69999999940001</v>
      </c>
      <c r="CL13">
        <v>429.40000000089998</v>
      </c>
      <c r="CM13">
        <v>436.29999999939997</v>
      </c>
      <c r="CN13">
        <v>441.80000000050001</v>
      </c>
      <c r="CO13">
        <v>446.2999999996</v>
      </c>
      <c r="CP13">
        <v>448.3</v>
      </c>
      <c r="CQ13">
        <v>448.40000000110001</v>
      </c>
      <c r="CR13">
        <v>448.5999999997</v>
      </c>
      <c r="CS13">
        <v>448.8000000001</v>
      </c>
      <c r="CT13">
        <v>448.89999999939999</v>
      </c>
      <c r="CU13">
        <v>448.50000000040001</v>
      </c>
      <c r="CV13">
        <v>448.40000000110001</v>
      </c>
      <c r="CW13">
        <v>448.40000000110001</v>
      </c>
      <c r="CX13">
        <v>448.5999999997</v>
      </c>
      <c r="CY13">
        <v>448.7000000008</v>
      </c>
      <c r="CZ13">
        <v>448.7000000008</v>
      </c>
      <c r="DA13">
        <v>448.89999999939999</v>
      </c>
      <c r="DB13">
        <v>448.89999999939999</v>
      </c>
      <c r="DC13">
        <v>448.7000000008</v>
      </c>
      <c r="DD13">
        <v>448.8000000001</v>
      </c>
      <c r="DE13">
        <v>448.50000000040001</v>
      </c>
      <c r="DF13">
        <v>448.40000000110001</v>
      </c>
      <c r="DG13">
        <v>0.20000000039999999</v>
      </c>
      <c r="DH13">
        <v>1.2000000006</v>
      </c>
      <c r="DI13">
        <v>0.79999999980000003</v>
      </c>
      <c r="DJ13">
        <v>0.7000000005</v>
      </c>
      <c r="DK13">
        <v>0.79999999980000003</v>
      </c>
      <c r="DL13">
        <v>1.0000000002</v>
      </c>
      <c r="DM13">
        <v>1.0000000002</v>
      </c>
      <c r="DN13">
        <v>0.90000000089999999</v>
      </c>
      <c r="DO13">
        <v>1.0000000002</v>
      </c>
      <c r="DP13">
        <v>1.0999999995</v>
      </c>
      <c r="DQ13">
        <v>1.400000001</v>
      </c>
      <c r="DR13">
        <v>1.0000000002</v>
      </c>
      <c r="DS13">
        <v>1.2000000006</v>
      </c>
      <c r="DT13">
        <v>1.2000000006</v>
      </c>
      <c r="DU13">
        <v>1.2000000006</v>
      </c>
      <c r="DV13">
        <v>1.2000000006</v>
      </c>
      <c r="DW13">
        <v>1.2000000006</v>
      </c>
      <c r="DX13">
        <v>1.2000000006</v>
      </c>
      <c r="DY13">
        <v>1.2000000006</v>
      </c>
      <c r="DZ13">
        <v>1.2999999999</v>
      </c>
      <c r="EA13">
        <v>6.8000000009999999</v>
      </c>
      <c r="EB13">
        <v>13.8999999999</v>
      </c>
      <c r="EC13">
        <v>21.0999999999</v>
      </c>
      <c r="ED13">
        <v>29.0999999997</v>
      </c>
      <c r="EE13">
        <v>38.099999999799998</v>
      </c>
      <c r="EF13">
        <v>45.500000000199996</v>
      </c>
      <c r="EG13">
        <v>53.6000000011</v>
      </c>
      <c r="EH13">
        <v>61.600000000900003</v>
      </c>
      <c r="EI13">
        <v>69.999999999699995</v>
      </c>
      <c r="EJ13">
        <v>77.199999999699997</v>
      </c>
      <c r="EK13">
        <v>86.900000000199995</v>
      </c>
      <c r="EL13">
        <v>95.199999999699997</v>
      </c>
      <c r="EM13">
        <v>104.1000000005</v>
      </c>
      <c r="EN13">
        <v>112.90000000009999</v>
      </c>
      <c r="EO13">
        <v>121.1999999996</v>
      </c>
      <c r="EP13">
        <v>129.30000000050001</v>
      </c>
      <c r="EQ13">
        <v>139.10000000030001</v>
      </c>
      <c r="ER13">
        <v>147.69999999949999</v>
      </c>
      <c r="ES13">
        <v>156.69999999949999</v>
      </c>
      <c r="ET13">
        <v>165.30000000059999</v>
      </c>
      <c r="EU13">
        <v>173.69999999940001</v>
      </c>
      <c r="EV13">
        <v>182.60000000010001</v>
      </c>
      <c r="EW13">
        <v>192.30000000059999</v>
      </c>
      <c r="EX13">
        <v>201.19999999949999</v>
      </c>
      <c r="EY13">
        <v>210.19999999949999</v>
      </c>
      <c r="EZ13">
        <v>218.6000000002</v>
      </c>
      <c r="FA13">
        <v>227.00000000079999</v>
      </c>
      <c r="FB13">
        <v>236.10000000010001</v>
      </c>
      <c r="FC13">
        <v>245.69999999949999</v>
      </c>
      <c r="FD13">
        <v>254.69999999949999</v>
      </c>
      <c r="FE13">
        <v>263.3999999998</v>
      </c>
      <c r="FF13">
        <v>272.00000000080001</v>
      </c>
      <c r="FG13">
        <v>279.80000000029997</v>
      </c>
      <c r="FH13">
        <v>288.80000000029997</v>
      </c>
      <c r="FI13">
        <v>298.00000000070003</v>
      </c>
      <c r="FJ13">
        <v>306.89999999960003</v>
      </c>
      <c r="FK13">
        <v>315.30000000019999</v>
      </c>
      <c r="FL13">
        <v>323.00000000030002</v>
      </c>
      <c r="FM13">
        <v>330.79999999969999</v>
      </c>
      <c r="FN13">
        <v>339.20000000030001</v>
      </c>
      <c r="FO13">
        <v>346.99999999980002</v>
      </c>
      <c r="FP13">
        <v>356.10000000090002</v>
      </c>
      <c r="FQ13">
        <v>364.2</v>
      </c>
      <c r="FR13">
        <v>371.80000000080003</v>
      </c>
      <c r="FS13">
        <v>378.6</v>
      </c>
      <c r="FT13">
        <v>386.39999999939999</v>
      </c>
      <c r="FU13">
        <v>394.00000000019998</v>
      </c>
      <c r="FV13">
        <v>401.40000000060002</v>
      </c>
      <c r="FW13">
        <v>409.29999999929998</v>
      </c>
      <c r="FX13">
        <v>416.10000000039997</v>
      </c>
      <c r="FY13">
        <v>422.50000000059998</v>
      </c>
      <c r="FZ13">
        <v>428.2999999996</v>
      </c>
      <c r="GA13">
        <v>434.60000000050002</v>
      </c>
      <c r="GB13">
        <v>439.89999999939999</v>
      </c>
      <c r="GC13">
        <v>444.300000001</v>
      </c>
      <c r="GD13">
        <v>448.00000000030002</v>
      </c>
      <c r="GE13">
        <v>448.3</v>
      </c>
      <c r="GF13">
        <v>448.50000000040001</v>
      </c>
      <c r="GG13">
        <v>448.5999999997</v>
      </c>
      <c r="GH13">
        <v>448.8000000001</v>
      </c>
      <c r="GI13">
        <v>448.89999999939999</v>
      </c>
      <c r="GJ13">
        <v>448.8000000001</v>
      </c>
      <c r="GK13">
        <v>448.7000000008</v>
      </c>
      <c r="GL13">
        <v>448.50000000040001</v>
      </c>
      <c r="GM13">
        <v>448.40000000110001</v>
      </c>
      <c r="GN13">
        <v>448.50000000040001</v>
      </c>
      <c r="GO13">
        <v>448.5999999997</v>
      </c>
      <c r="GP13">
        <v>448.89999999939999</v>
      </c>
      <c r="GQ13">
        <v>449.00000000049999</v>
      </c>
      <c r="GR13">
        <v>448.89999999939999</v>
      </c>
      <c r="GS13">
        <v>449.00000000049999</v>
      </c>
      <c r="GT13">
        <v>448.89999999939999</v>
      </c>
      <c r="GU13">
        <v>448.5999999997</v>
      </c>
      <c r="GV13">
        <v>448.09999999960002</v>
      </c>
      <c r="GW13">
        <v>1</v>
      </c>
      <c r="GX13">
        <v>98.1000000011</v>
      </c>
      <c r="GY13">
        <v>95.300000000899999</v>
      </c>
      <c r="GZ13">
        <v>95.300000000899999</v>
      </c>
      <c r="HA13">
        <v>104.1000000005</v>
      </c>
      <c r="HB13">
        <v>97.254248803600007</v>
      </c>
      <c r="HC13">
        <v>-8.7999999996000007</v>
      </c>
      <c r="HD13">
        <v>448.10046775770002</v>
      </c>
      <c r="HE13">
        <v>324.31789731570001</v>
      </c>
      <c r="HF13">
        <v>76.6610981189</v>
      </c>
      <c r="HG13">
        <v>449.00000000049999</v>
      </c>
      <c r="HH13">
        <v>449.00000000049999</v>
      </c>
      <c r="HI13">
        <v>448.89999999939999</v>
      </c>
      <c r="HJ13">
        <v>449.00000000049999</v>
      </c>
      <c r="HK13">
        <v>103.22580645159999</v>
      </c>
      <c r="HL13">
        <v>3.7108808082000002</v>
      </c>
      <c r="HM13">
        <v>3.587550523</v>
      </c>
      <c r="HN13">
        <v>3.6547762372000001</v>
      </c>
      <c r="HO13">
        <v>3.4484635164999999</v>
      </c>
      <c r="HP13">
        <v>3.7402122401</v>
      </c>
      <c r="HQ13">
        <v>3.0154551431000001</v>
      </c>
      <c r="HR13">
        <v>20.593150684699999</v>
      </c>
      <c r="HS13">
        <v>-21.114369501500001</v>
      </c>
      <c r="HT13">
        <v>-144</v>
      </c>
      <c r="HU13">
        <v>421.5721461192</v>
      </c>
      <c r="HV13">
        <v>89.149560117299998</v>
      </c>
      <c r="HW13">
        <v>608</v>
      </c>
      <c r="HX13">
        <v>20.593150684699999</v>
      </c>
      <c r="HY13">
        <v>-21.114369501500001</v>
      </c>
      <c r="HZ13">
        <v>-144</v>
      </c>
      <c r="IA13">
        <v>421.5721461192</v>
      </c>
      <c r="IB13">
        <v>89.149560117299998</v>
      </c>
      <c r="IC13">
        <v>608</v>
      </c>
      <c r="ID13">
        <v>27.427853881299999</v>
      </c>
      <c r="IE13">
        <v>0.70133645219999996</v>
      </c>
      <c r="IF13">
        <v>-30.4985337243</v>
      </c>
      <c r="IG13">
        <v>-208</v>
      </c>
      <c r="IH13">
        <v>444.14586256920001</v>
      </c>
      <c r="II13">
        <v>98.533724340199996</v>
      </c>
      <c r="IJ13">
        <v>672</v>
      </c>
      <c r="IK13">
        <v>400.97899543459999</v>
      </c>
      <c r="IL13">
        <v>110.26392961880001</v>
      </c>
      <c r="IM13">
        <v>427.45115269050001</v>
      </c>
      <c r="IN13">
        <v>119.6480938416</v>
      </c>
      <c r="IO13">
        <v>7.0999999989000004</v>
      </c>
      <c r="IP13">
        <v>6.8999999985000002</v>
      </c>
      <c r="IQ13">
        <v>10.0000000002</v>
      </c>
      <c r="IR13">
        <v>2.5984510057999999</v>
      </c>
      <c r="IS13">
        <v>2.5984510057999999</v>
      </c>
      <c r="IT13">
        <v>7.9999999998</v>
      </c>
      <c r="IU13">
        <v>-23.460410557199999</v>
      </c>
      <c r="IV13">
        <v>14.5999999986</v>
      </c>
      <c r="IW13">
        <v>84.457478005900001</v>
      </c>
      <c r="IX13">
        <v>10.9000000011</v>
      </c>
      <c r="IY13">
        <v>93.841642228699996</v>
      </c>
      <c r="IZ13">
        <v>-27.302983959799999</v>
      </c>
      <c r="JA13">
        <v>0.2987310487</v>
      </c>
      <c r="JB13">
        <v>-2.1429549999999999E-4</v>
      </c>
      <c r="JC13">
        <v>3.7899999999999999E-7</v>
      </c>
      <c r="JD13">
        <v>0.26947780100000002</v>
      </c>
      <c r="JE13">
        <v>0.20633727139999999</v>
      </c>
      <c r="JF13">
        <v>0.10341044739999999</v>
      </c>
      <c r="JG13">
        <v>97.107849133100004</v>
      </c>
      <c r="JH13">
        <v>3.7402122401</v>
      </c>
      <c r="JI13">
        <v>4.8074422000000004E-3</v>
      </c>
      <c r="JJ13">
        <v>-6.6347500000000001E-5</v>
      </c>
      <c r="JK13">
        <v>3.7108808082000002</v>
      </c>
      <c r="JL13">
        <v>0.69838892919999995</v>
      </c>
      <c r="JM13">
        <v>0.34668336999999999</v>
      </c>
      <c r="JN13" t="s">
        <v>574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79.787073598399999</v>
      </c>
      <c r="D16" s="9">
        <f>AVERAGE(C18:C20)</f>
        <v>83.980283590833324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84.227584559099995</v>
      </c>
      <c r="D17" s="9">
        <f>AVERAGE(C21:C23)</f>
        <v>84.559871465699999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88.411569653300006</v>
      </c>
      <c r="D18" s="11">
        <f>AVERAGE(C24:C26)</f>
        <v>80.981761288266668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81.904363799899997</v>
      </c>
      <c r="D19" s="6">
        <f>AVERAGE('Summary(3pcs)'!E34:E35)</f>
        <v>148.15716979063788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81.624917319299996</v>
      </c>
      <c r="D20" s="9">
        <f>AVERAGE('Summary(3pcs)'!E36:E38)</f>
        <v>153.9887447965379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89.886709582700007</v>
      </c>
      <c r="D21" s="9">
        <f>AVERAGE('Summary(3pcs)'!E39:E41)</f>
        <v>150.60284763060457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80.6146869536</v>
      </c>
      <c r="D22" s="11">
        <f>AVERAGE('Summary(3pcs)'!E42:E44)</f>
        <v>157.04689538897125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83.178217860800004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79.658083125600001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84.512940407299993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78.774260331899995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-1.4885226467999999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1.0559573769999999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0.10044046399999999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-3.8369593409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-1.2092630831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-5.2928113824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-7.4423014921000004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-2.6502274584999999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-1.0422710366750001</v>
      </c>
      <c r="C39" s="5">
        <f>'Summary(3pcs)'!M34</f>
        <v>-1.4885226467999999</v>
      </c>
      <c r="D39" s="11">
        <f t="shared" si="0"/>
        <v>-4.5141870579000001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1.0559573769999999</v>
      </c>
      <c r="D40" s="6">
        <f t="shared" si="0"/>
        <v>-2.0607152184999999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0.10044046399999999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-3.8369593409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-4.148650854025</v>
      </c>
      <c r="C43" s="8">
        <f>'Summary(3pcs)'!M39</f>
        <v>-1.2092630831</v>
      </c>
      <c r="D43" s="6">
        <f t="shared" ref="D43:D54" si="2">C55</f>
        <v>3.5479066623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-5.2928113824</v>
      </c>
      <c r="D44" s="9">
        <f t="shared" si="2"/>
        <v>-0.3393620334999996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-7.4423014921000004</v>
      </c>
      <c r="D45" s="11">
        <f t="shared" si="2"/>
        <v>-7.0225978489000003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-2.6502274584999999</v>
      </c>
      <c r="D46" s="6">
        <f t="shared" si="2"/>
        <v>3.7461820043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-4.5141870579000001</v>
      </c>
      <c r="D47" s="9">
        <f t="shared" si="2"/>
        <v>-0.3077320791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-2.0607152184999999</v>
      </c>
      <c r="D48" s="11">
        <f t="shared" si="2"/>
        <v>4.678022382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5.4474287335999998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-4.8830699257999992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-0.58207050449999986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-0.39732589080000036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-1.6967803949999971E-2</v>
      </c>
      <c r="C55" s="5">
        <f>'Summary(3pcs)'!N34</f>
        <v>3.5479066623</v>
      </c>
      <c r="D55" s="6">
        <f>AVERAGE(D31:D33)</f>
        <v>-0.11070826859999999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-0.3393620334999996</v>
      </c>
      <c r="D56" s="9">
        <f>AVERAGE(D34:D36)</f>
        <v>-3.4463446021333333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-7.0225978489000003</v>
      </c>
      <c r="D57" s="9">
        <f>AVERAGE(D37:D39)</f>
        <v>-4.8689053361666668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3.7461820043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1.2336622776750001</v>
      </c>
      <c r="C59" s="8">
        <f>'Summary(3pcs)'!N39</f>
        <v>-0.3077320791</v>
      </c>
      <c r="D59" s="9">
        <f>AVERAGE(D43:D45)</f>
        <v>-1.2713510733666666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4.678022382</v>
      </c>
      <c r="D60" s="9">
        <f>AVERAGE(D46:D48)</f>
        <v>2.705490769066667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5.4474287335999998</v>
      </c>
      <c r="D61" s="9">
        <f>AVERAGE(D49:D51)</f>
        <v>-5.9038988999997599E-3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-4.8830699257999992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-0.58207050449999986</v>
      </c>
      <c r="D63" s="6">
        <f>AVERAGE(C71:C73)</f>
        <v>-1.1301480926666667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-0.39732589080000036</v>
      </c>
      <c r="D64" s="9">
        <f>AVERAGE(C74:C76)</f>
        <v>-2.0153585276666668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1.3700734773333334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-0.78849410966666655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-4.485511938666666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-3.9009629490000002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-3.9205533663333338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-2.2159940403333334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-2.346179008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5.0957527159999998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-6.1400179860000001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-7.3036272530000002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0.46138954200000004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0.79616212799999975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2.7425384519999998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1.4699354170000003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-0.10225343699999989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3.598322392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-2.2426519389999999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-3.7211527819999999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-7.441900253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-6.1418299679999997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0.12719440500000001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-6.35219121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-1.778320074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-3.5723775629999999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-9.2228345870000012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1.7747602459999996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-4.3135857580000003</v>
      </c>
    </row>
    <row r="96" spans="1:7">
      <c r="A96" s="1" t="s">
        <v>87</v>
      </c>
      <c r="C96" s="5">
        <f>'Summary(3pcs)'!W43</f>
        <v>-4.1902191640000002</v>
      </c>
    </row>
    <row r="97" spans="1:3">
      <c r="A97" s="1" t="s">
        <v>87</v>
      </c>
      <c r="C97" s="8">
        <f>'Summary(3pcs)'!W44</f>
        <v>2.9206337930000004</v>
      </c>
    </row>
    <row r="98" spans="1:3" ht="17.25" thickBot="1">
      <c r="A98" s="1" t="s">
        <v>87</v>
      </c>
      <c r="C98" s="10">
        <f>'Summary(3pcs)'!W45</f>
        <v>-5.3783967500000003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