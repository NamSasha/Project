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<sst xmlns="http://schemas.openxmlformats.org/spreadsheetml/2006/main" count="1419" uniqueCount="671">
  <si>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</si>
  <si>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</si>
  <si>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</si>
  <si>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</si>
  <si>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</si>
  <si>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</si>
  <si>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</si>
  <si>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</si>
  <si>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</si>
  <si>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</si>
  <si>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</si>
  <si>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</si>
  <si>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</si>
  <si>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</si>
  <si>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</si>
  <si>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</si>
  <si>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</si>
  <si>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</si>
  <si>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</si>
  <si>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</si>
  <si>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</si>
  <si>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</si>
  <si>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</si>
  <si>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</si>
  <si>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</si>
  <si>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</si>
  <si>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</si>
  <si>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</si>
  <si>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</si>
  <si>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</si>
  <si>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</si>
  <si>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</si>
  <si>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</si>
  <si>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</si>
  <si>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</si>
  <si>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</si>
  <si>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</si>
  <si>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</si>
  <si>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</si>
  <si>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</si>
  <si>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</si>
  <si>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</si>
  <si>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</si>
  <si>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</si>
  <si>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</si>
  <si>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</si>
  <si>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</si>
  <si>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</si>
  <si>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</si>
  <si>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</si>
  <si>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</si>
  <si>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</si>
  <si>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</si>
  <si>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</si>
  <si>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</si>
  <si>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</si>
  <si>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</si>
  <si>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</si>
  <si>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</si>
  <si>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</si>
  <si>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</si>
  <si>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</si>
  <si>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</si>
  <si>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</si>
  <si>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</si>
  <si>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</si>
  <si>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</si>
  <si>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</si>
  <si>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</si>
  <si>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</si>
  <si>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</si>
  <si>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</si>
  <si>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</si>
  <si>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</si>
  <si>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</si>
  <si>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</si>
  <si>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</si>
  <si>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</si>
  <si>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</si>
  <si>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</si>
  <si>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</si>
  <si>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</si>
  <si>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</si>
  <si>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</si>
  <si>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</si>
  <si>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</si>
  <si>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</si>
  <si>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</si>
  <si>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</si>
  <si>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</si>
  <si>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</si>
  <si>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</si>
  <si>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</si>
  <si>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</si>
  <si>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</si>
  <si>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</si>
  <si>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</si>
  <si>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</si>
  <si>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</si>
  <si>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</si>
  <si>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</si>
  <si>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</si>
  <si>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</si>
  <si>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</si>
  <si>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</si>
  <si>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</si>
  <si>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</si>
  <si>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</si>
  <si>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</si>
  <si>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</si>
  <si>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</si>
  <si>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</si>
  <si>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</si>
  <si>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</si>
  <si>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</si>
  <si>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</si>
  <si>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</si>
  <si>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</si>
  <si>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</si>
  <si>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</si>
  <si>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</si>
  <si>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</si>
  <si>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</si>
  <si>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</si>
  <si>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</si>
  <si>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</si>
  <si>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</si>
  <si>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</si>
  <si>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</si>
  <si>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</si>
  <si>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</si>
  <si>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</si>
  <si>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</si>
  <si>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</si>
  <si>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</si>
  <si>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</si>
  <si>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</si>
  <si>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</si>
  <si>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</si>
  <si>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</si>
  <si>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</si>
  <si>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</si>
  <si>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</si>
  <si>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</si>
  <si>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</si>
  <si>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</si>
  <si>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</si>
  <si>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</si>
  <si>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</si>
  <si>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</si>
  <si>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</si>
  <si>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</si>
  <si>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</si>
  <si>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</si>
  <si>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</si>
  <si>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</si>
  <si>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</si>
  <si>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</si>
  <si>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</si>
  <si>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</si>
  <si>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</si>
  <si>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</si>
  <si>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</si>
  <si>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</si>
  <si>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</si>
  <si>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</si>
  <si>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</si>
  <si>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</si>
  <si>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</si>
  <si>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</si>
  <si>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</si>
  <si>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</si>
  <si>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</si>
  <si>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D:\EVMS\TP\LOG\VSY841XN9NDI 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</si>
  <si>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</si>
  <si>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</si>
  <si>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</si>
  <si>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</si>
  <si>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</si>
  <si>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</si>
  <si>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</si>
  <si>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</si>
  <si>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</si>
  <si>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</si>
  <si>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</si>
  <si>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</si>
  <si>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</si>
  <si>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</si>
  <si>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</si>
  <si>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</si>
  <si>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</si>
  <si>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</si>
  <si>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</si>
  <si>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</si>
  <si>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</si>
  <si>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</si>
  <si>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</si>
  <si>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</si>
  <si>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</si>
  <si>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</si>
  <si>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</si>
  <si>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</si>
  <si>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</si>
  <si>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</si>
  <si>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</si>
  <si>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</si>
  <si>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</si>
  <si>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</si>
  <si>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</si>
  <si>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</si>
  <si>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T220923101522645VCMLEBC050</t>
  </si>
  <si>
    <t>'2022-09-23 10:15:31:997</t>
  </si>
  <si>
    <t>VCMLEBC050A</t>
  </si>
  <si>
    <t>DB_C1001</t>
  </si>
  <si>
    <t>210615ADOE</t>
  </si>
  <si>
    <t>R13A_OC_MFG_C10_21091603_b1779c9</t>
  </si>
  <si>
    <t xml:space="preserve">VSY841XN9NDI </t>
  </si>
  <si>
    <t>22cb56210414</t>
  </si>
  <si>
    <t>0x52801562c115a304</t>
  </si>
  <si>
    <t>MFCC354CB1R541B6B838102146</t>
  </si>
  <si>
    <t>MF3C3513A3VS13A7A641</t>
  </si>
  <si>
    <t>DNA22301075240J05A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</si>
  <si>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</si>
  <si>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</si>
  <si>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</si>
  <si>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</si>
  <si>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</si>
  <si>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</si>
  <si>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</si>
  <si>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</si>
  <si>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</si>
  <si>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</si>
  <si>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</si>
  <si>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</si>
  <si>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</si>
  <si>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</si>
  <si>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</si>
  <si>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</si>
  <si>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</si>
  <si>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</si>
  <si>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</si>
  <si>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</si>
  <si>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</si>
  <si>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</si>
  <si>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</si>
  <si>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</si>
  <si>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</si>
  <si>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</si>
  <si>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</si>
  <si>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</si>
  <si>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</si>
  <si>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</si>
  <si>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</si>
  <si>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</si>
  <si>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</si>
  <si>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</si>
  <si>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</si>
  <si>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</si>
  <si>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</si>
  <si>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T220923101549438VCMLEBC050</t>
  </si>
  <si>
    <t>'2022-09-23 10:16:18:115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</si>
  <si>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</si>
  <si>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</si>
  <si>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</si>
  <si>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</si>
  <si>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</si>
  <si>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</si>
  <si>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</si>
  <si>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</si>
  <si>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</si>
  <si>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</si>
  <si>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</si>
  <si>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</si>
  <si>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</si>
  <si>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</si>
  <si>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</si>
  <si>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</si>
  <si>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10:16:08:089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</si>
  <si>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</si>
  <si>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</si>
  <si>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</si>
  <si>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</si>
  <si>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</si>
  <si>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</si>
  <si>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</si>
  <si>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</si>
  <si>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</si>
  <si>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</si>
  <si>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</si>
  <si>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</si>
  <si>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</si>
  <si>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</si>
  <si>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</si>
  <si>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</si>
  <si>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</si>
  <si>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</si>
  <si>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</si>
  <si>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</si>
  <si>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</si>
  <si>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</si>
  <si>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</si>
  <si>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</si>
  <si>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</si>
  <si>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</si>
  <si>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</si>
  <si>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</si>
  <si>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</si>
  <si>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</si>
  <si>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</si>
  <si>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</si>
  <si>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</si>
  <si>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</si>
  <si>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</si>
  <si>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</si>
  <si>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</si>
  <si>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</si>
  <si>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</si>
  <si>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</si>
  <si>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</si>
  <si>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</si>
  <si>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</si>
  <si>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</si>
  <si>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</si>
  <si>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</si>
  <si>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</si>
  <si>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</si>
  <si>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</si>
  <si>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</si>
  <si>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</si>
  <si>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</si>
  <si>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</si>
  <si>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</si>
  <si>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</si>
  <si>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</si>
  <si>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</si>
  <si>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</si>
  <si>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</si>
  <si>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</si>
  <si>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</si>
  <si>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</si>
  <si>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</si>
  <si>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</si>
  <si>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</si>
  <si>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</si>
  <si>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</si>
  <si>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</si>
  <si>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</si>
  <si>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</si>
  <si>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</si>
  <si>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</si>
  <si>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</si>
  <si>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</si>
  <si>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</si>
  <si>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</si>
  <si>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</si>
  <si>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</si>
  <si>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</si>
  <si>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</si>
  <si>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</si>
  <si>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</si>
  <si>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</si>
  <si>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</si>
  <si>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</si>
  <si>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</si>
  <si>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</si>
  <si>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</si>
  <si>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</si>
  <si>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</si>
  <si>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</si>
  <si>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</si>
  <si>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</si>
  <si>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</si>
  <si>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</si>
  <si>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</si>
  <si>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</si>
  <si>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</si>
  <si>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</si>
  <si>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</si>
  <si>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</si>
  <si>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</si>
  <si>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</si>
  <si>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</si>
  <si>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</si>
  <si>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</si>
  <si>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</si>
  <si>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</si>
  <si>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</si>
  <si>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</si>
  <si>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</si>
  <si>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</si>
  <si>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</si>
  <si>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</si>
  <si>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</si>
  <si>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</si>
  <si>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</si>
  <si>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</si>
  <si>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</si>
  <si>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</si>
  <si>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</si>
  <si>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</si>
  <si>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</si>
  <si>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</si>
  <si>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</si>
  <si>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</si>
  <si>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</si>
  <si>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</si>
  <si>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</si>
  <si>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</si>
  <si>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</si>
  <si>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</si>
  <si>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</si>
  <si>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</si>
  <si>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</si>
  <si>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</si>
  <si>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</si>
  <si>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</si>
  <si>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</si>
  <si>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</si>
  <si>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</si>
  <si>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</si>
  <si>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</si>
  <si>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</si>
  <si>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</si>
  <si>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</si>
  <si>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</si>
  <si>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</si>
  <si>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</si>
  <si>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</si>
  <si>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</si>
  <si>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</si>
  <si>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</si>
  <si>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</si>
  <si>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</si>
  <si>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</si>
  <si>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</si>
  <si>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</si>
  <si>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</si>
  <si>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</si>
  <si>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</si>
  <si>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</si>
  <si>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</si>
  <si>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</si>
  <si>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</si>
  <si>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</si>
  <si>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</si>
  <si>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</si>
  <si>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</si>
  <si>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</si>
  <si>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</si>
  <si>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</si>
  <si>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</si>
  <si>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</si>
  <si>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</si>
  <si>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</si>
  <si>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</si>
  <si>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</si>
  <si>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</si>
  <si>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</si>
  <si>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</si>
  <si>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</si>
  <si>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</si>
  <si>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</si>
  <si>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</si>
  <si>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</si>
  <si>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</si>
  <si>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</si>
  <si>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</si>
  <si>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</si>
  <si>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</si>
  <si>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</si>
  <si>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</si>
  <si>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</si>
  <si>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</si>
  <si>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</si>
  <si>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</si>
  <si>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</si>
  <si>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</si>
  <si>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</si>
  <si>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</si>
  <si>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</si>
  <si>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</si>
  <si>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</si>
  <si>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</si>
  <si>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</si>
  <si>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</si>
  <si>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</si>
  <si>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</si>
  <si>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</si>
  <si>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</si>
  <si>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</si>
  <si>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</si>
  <si>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</si>
  <si>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</si>
  <si>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</si>
  <si>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</si>
  <si>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</si>
  <si>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</si>
  <si>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</si>
  <si>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</si>
  <si>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</si>
  <si>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</si>
  <si>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</si>
  <si>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</si>
  <si>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</si>
  <si>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</si>
  <si>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</si>
  <si>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</si>
  <si>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</si>
  <si>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</si>
  <si>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</si>
  <si>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</si>
  <si>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</si>
  <si>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</si>
  <si>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</si>
  <si>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</si>
  <si>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</si>
  <si>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</si>
  <si>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</si>
  <si>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</si>
  <si>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</si>
  <si>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</si>
  <si>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</si>
  <si>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</si>
  <si>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</si>
  <si>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</si>
  <si>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</si>
  <si>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</si>
  <si>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</si>
  <si>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</si>
  <si>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</si>
  <si>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</si>
  <si>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</si>
  <si>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</si>
  <si>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</si>
  <si>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</si>
  <si>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T220923101534603VCMLEBC050</t>
  </si>
  <si>
    <t>'2022-09-23 10:15:47:140</t>
  </si>
  <si>
    <t>R13A_IPQC_MFG_Laser_C10_21090805_b1779c9</t>
  </si>
  <si>
    <t>v9p4</t>
  </si>
  <si>
    <t>T220923101634212VCMLEBC050</t>
  </si>
  <si>
    <t>'2022-09-23 10:16:43:118</t>
  </si>
  <si>
    <t>22cb56210661</t>
  </si>
  <si>
    <t>0x52801362c1a4a808</t>
  </si>
  <si>
    <t>MFCC354CB1LY41B6B439003133</t>
  </si>
  <si>
    <t>MF3C3513A3VC13A7A643</t>
  </si>
  <si>
    <t>DNA22301075400A03A</t>
  </si>
  <si>
    <t>T220923101745853VCMLEBC050</t>
  </si>
  <si>
    <t>'2022-09-23 10:17:54:684</t>
  </si>
  <si>
    <t>22cb56210388</t>
  </si>
  <si>
    <t>0x52801562c1159008</t>
  </si>
  <si>
    <t>MF3C3173B91T41B1C037020107</t>
  </si>
  <si>
    <t>MF7C3517B46U13A7A658</t>
  </si>
  <si>
    <t>DNA22302011420F12A</t>
  </si>
  <si>
    <t>T220923101700538VCMLEBC050</t>
  </si>
  <si>
    <t>'2022-09-23 10:17:28:610</t>
  </si>
  <si>
    <t>'2022-09-23 10:17:18:589</t>
  </si>
  <si>
    <t>T220923101812168VCMLEBC050</t>
  </si>
  <si>
    <t>'2022-09-23 10:18:30:229</t>
  </si>
  <si>
    <t>T220923101645778VCMLEBC050</t>
  </si>
  <si>
    <t>'2022-09-23 10:16:58:308</t>
  </si>
  <si>
    <t>T220923101757333VCMLEBC050</t>
  </si>
  <si>
    <t>'2022-09-23 10:18:09:864</t>
  </si>
  <si>
    <t>T220923101855881VCMLEBC050</t>
  </si>
  <si>
    <t>'2022-09-23 10:19:04:786</t>
  </si>
  <si>
    <t>22cb56210468</t>
  </si>
  <si>
    <t>0x52801362c1a4fe05</t>
  </si>
  <si>
    <t>MFCC354CB1UG41B6A731020007</t>
  </si>
  <si>
    <t>MF3C3513A3W113A7A639</t>
  </si>
  <si>
    <t>DNA22301075240I10A</t>
  </si>
  <si>
    <t>'2022-09-23 10:18:40:253</t>
  </si>
  <si>
    <t>T220923101922254VCMLEBC050</t>
  </si>
  <si>
    <t>'2022-09-23 10:19:41:081</t>
  </si>
  <si>
    <t>T220923101907422VCMLEBC050</t>
  </si>
  <si>
    <t>'2022-09-23 10:19:19:952</t>
  </si>
  <si>
    <t>T220923102003859VCMLEBC050</t>
  </si>
  <si>
    <t>'2022-09-23 10:20:12:652</t>
  </si>
  <si>
    <t>22cb56210717</t>
  </si>
  <si>
    <t>0x52801362c1a3f407</t>
  </si>
  <si>
    <t>MFCC354CB16541B6B438016120</t>
  </si>
  <si>
    <t>MF3C3513A3V713A7A645</t>
  </si>
  <si>
    <t>DNA22301075090B12A</t>
  </si>
  <si>
    <t>T220923102110327VCMLEBC050</t>
  </si>
  <si>
    <t>'2022-09-23 10:21:19:128</t>
  </si>
  <si>
    <t>22cb56220168</t>
  </si>
  <si>
    <t>0x52801362c1a60507</t>
  </si>
  <si>
    <t>MF3C3113B4NVC4B1A847056014</t>
  </si>
  <si>
    <t>MF7C3517B47613A7A637</t>
  </si>
  <si>
    <t>DNA22302011460D14A</t>
  </si>
  <si>
    <t>'2022-09-23 10:19:51:107</t>
  </si>
  <si>
    <t>T220923102030087VCMLEBC050</t>
  </si>
  <si>
    <t>'2022-09-23 10:20:58:310</t>
  </si>
  <si>
    <t>'2022-09-23 10:20:48:281</t>
  </si>
  <si>
    <t>T220923102136625VCMLEBC050</t>
  </si>
  <si>
    <t>'2022-09-23 10:21:55:607</t>
  </si>
  <si>
    <t>T220923102015259VCMLEBC050</t>
  </si>
  <si>
    <t>'2022-09-23 10:20:27:789</t>
  </si>
  <si>
    <t>T220923102121785VCMLEBC050</t>
  </si>
  <si>
    <t>'2022-09-23 10:21:34:313</t>
  </si>
  <si>
    <t>T220923102219236VCMLEBC050</t>
  </si>
  <si>
    <t>'2022-09-23 10:22:28:161</t>
  </si>
  <si>
    <t>22cb56210746</t>
  </si>
  <si>
    <t>0x52801362c1a62e01</t>
  </si>
  <si>
    <t>MFCC354CB16D41B6B737012131</t>
  </si>
  <si>
    <t>MF3C3513A3V813A7A646</t>
  </si>
  <si>
    <t>DNA22301075240J06A</t>
  </si>
  <si>
    <t>'2022-09-23 10:22:05:637</t>
  </si>
  <si>
    <t>T220923102245658VCMLEBC050</t>
  </si>
  <si>
    <t>'2022-09-23 10:23:04:196</t>
  </si>
  <si>
    <t>T220923102230866VCMLEBC050</t>
  </si>
  <si>
    <t>'2022-09-23 10:22:43:402</t>
  </si>
  <si>
    <t>'2022-09-23 10:23:14:231</t>
  </si>
  <si>
    <t>T220923102326495VCMLEBC050</t>
  </si>
  <si>
    <t>'2022-09-23 10:23:35:435</t>
  </si>
  <si>
    <t>22cb56210163</t>
  </si>
  <si>
    <t>0x52801562c1157806</t>
  </si>
  <si>
    <t>MFCC354CB15Y41B6B839004116</t>
  </si>
  <si>
    <t>MF3C3513A3VD13A7A645</t>
  </si>
  <si>
    <t>DNA22302012730M13A</t>
  </si>
  <si>
    <t>T220923102432664VCMLEBC050</t>
  </si>
  <si>
    <t>'2022-09-23 10:24:41:441</t>
  </si>
  <si>
    <t>22cb56210482</t>
  </si>
  <si>
    <t>0x52801562c1159708</t>
  </si>
  <si>
    <t>MF3C3113B4P7C4B1B141031013</t>
  </si>
  <si>
    <t>MF7C3517B46B13A7A632</t>
  </si>
  <si>
    <t>DNA22292025490J10A</t>
  </si>
  <si>
    <t>T220923102352879VCMLEBC050</t>
  </si>
  <si>
    <t>'2022-09-23 10:24:21:284</t>
  </si>
  <si>
    <t>'2022-09-23 10:24:11:257</t>
  </si>
  <si>
    <t>T220923102338041VCMLEBC050</t>
  </si>
  <si>
    <t>'2022-09-23 10:23:50:575</t>
  </si>
  <si>
    <t>T220923102543774VCMLEBC050</t>
  </si>
  <si>
    <t>'2022-09-23 10:25:52:583</t>
  </si>
  <si>
    <t>22cb56210413</t>
  </si>
  <si>
    <t>0x52801362c1a4f606</t>
  </si>
  <si>
    <t>MFCC354CB1MD41B6B038019113</t>
  </si>
  <si>
    <t>MF3C3513A3VK13A7A636</t>
  </si>
  <si>
    <t>DNA22301075090B11A</t>
  </si>
  <si>
    <t>T220923102458849VCMLEBC050</t>
  </si>
  <si>
    <t>'2022-09-23 10:25:26:962</t>
  </si>
  <si>
    <t>'2022-09-23 10:25:16:934</t>
  </si>
  <si>
    <t>T220923102444093VCMLEBC050</t>
  </si>
  <si>
    <t>'2022-09-23 10:24:56:625</t>
  </si>
  <si>
    <t>T220923102555207VCMLEBC050</t>
  </si>
  <si>
    <t>'2022-09-23 10:26:07:739</t>
  </si>
  <si>
    <t>T220923102610037VCMLEBC050</t>
  </si>
  <si>
    <t>'2022-09-23 10:26:39:176</t>
  </si>
  <si>
    <t>'2022-09-23 10:26:29:149</t>
  </si>
  <si>
    <t>T220923102654128VCMLEBC050</t>
  </si>
  <si>
    <t>'2022-09-23 10:27:03:066</t>
  </si>
  <si>
    <t>22cb56210655</t>
  </si>
  <si>
    <t>0x52801362c1a16207</t>
  </si>
  <si>
    <t>MFCC354CB1R141B6B438002137</t>
  </si>
  <si>
    <t>MF3C3513A3VY13A7A645</t>
  </si>
  <si>
    <t>DNA22301075240F10A</t>
  </si>
  <si>
    <t>T220923102721414VCMLEBC050</t>
  </si>
  <si>
    <t>'2022-09-23 10:27:49:369</t>
  </si>
  <si>
    <t>'2022-09-23 10:27:39:339</t>
  </si>
  <si>
    <t>T220923102706620VCMLEBC050</t>
  </si>
  <si>
    <t>'2022-09-23 10:27:19:159</t>
  </si>
  <si>
    <t>T220923102810937VCMLEBC050</t>
  </si>
  <si>
    <t>'2022-09-23 10:28:19:899</t>
  </si>
  <si>
    <t>22cb56220634</t>
  </si>
  <si>
    <t>0x52801362c1a4b007</t>
  </si>
  <si>
    <t>MF3C3113B4NYC4B1B244008011</t>
  </si>
  <si>
    <t>MF7C3517B46C13A7A639</t>
  </si>
  <si>
    <t>DNA22302011420K05A</t>
  </si>
  <si>
    <t>T220923102822507VCMLEBC050</t>
  </si>
  <si>
    <t>'2022-09-23 10:28:35:046</t>
  </si>
  <si>
    <t>T220923102837334VCMLEBC050</t>
  </si>
  <si>
    <t>'2022-09-23 10:29:06:442</t>
  </si>
  <si>
    <t>'2022-09-23 10:28:56:407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</si>
</sst>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-0.51317514490000005</c:v>
                </c:pt>
                <c:pt idx="1">
                  <c:v>-5.4919905480000004</c:v>
                </c:pt>
                <c:pt idx="2">
                  <c:v>-4.8097102040999999</c:v>
                </c:pt>
                <c:pt idx="3">
                  <c:v>4.5514644758999996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0.81091066400000011</c:v>
                </c:pt>
                <c:pt idx="1">
                  <c:v>0.96179245569999994</c:v>
                </c:pt>
                <c:pt idx="2">
                  <c:v>6.4488147676000001</c:v>
                </c:pt>
                <c:pt idx="3">
                  <c:v>-1.0753302657999999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-3.6049586323333336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2.7405059624333332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68608"/>
        <c:axId val="47270144"/>
      </c:scatterChart>
      <c:valAx>
        <c:axId val="472686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270144"/>
        <c:crosses val="autoZero"/>
        <c:crossBetween val="midCat"/>
        <c:majorUnit val="10"/>
      </c:valAx>
      <c:valAx>
        <c:axId val="472701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26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1.7533994706</c:v>
                </c:pt>
                <c:pt idx="1">
                  <c:v>-1.3003408404000001</c:v>
                </c:pt>
                <c:pt idx="2">
                  <c:v>3.2589657167000001</c:v>
                </c:pt>
                <c:pt idx="3">
                  <c:v>1.9105610436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-0.50164832669999981</c:v>
                </c:pt>
                <c:pt idx="1">
                  <c:v>1.6932162541000002</c:v>
                </c:pt>
                <c:pt idx="2">
                  <c:v>3.0003755730999999</c:v>
                </c:pt>
                <c:pt idx="3">
                  <c:v>6.6516116940999996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1.6681743686999997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3.8745887200000162E-2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88928"/>
        <c:axId val="47398912"/>
      </c:scatterChart>
      <c:valAx>
        <c:axId val="473889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398912"/>
        <c:crosses val="autoZero"/>
        <c:crossBetween val="midCat"/>
        <c:majorUnit val="10"/>
      </c:valAx>
      <c:valAx>
        <c:axId val="473989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38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-4.9276620228999999</c:v>
                </c:pt>
                <c:pt idx="1">
                  <c:v>-2.7014955218000001</c:v>
                </c:pt>
                <c:pt idx="2">
                  <c:v>2.8182967755999999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5.3422617988000001</c:v>
                </c:pt>
                <c:pt idx="1">
                  <c:v>-2.8099362508999999</c:v>
                </c:pt>
                <c:pt idx="2">
                  <c:v>-2.4672385182000003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8.0621579133333413E-2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4.9980830219999994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1680"/>
        <c:axId val="47433216"/>
      </c:scatterChart>
      <c:valAx>
        <c:axId val="474316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433216"/>
        <c:crosses val="autoZero"/>
        <c:crossBetween val="midCat"/>
        <c:majorUnit val="10"/>
      </c:valAx>
      <c:valAx>
        <c:axId val="474332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43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-6.5296739909000001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1.0099464630999999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-2.1376242457000001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-1.4224094353333332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3264"/>
        <c:axId val="48204800"/>
      </c:scatterChart>
      <c:valAx>
        <c:axId val="482032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204800"/>
        <c:crosses val="autoZero"/>
        <c:crossBetween val="midCat"/>
        <c:majorUnit val="10"/>
      </c:valAx>
      <c:valAx>
        <c:axId val="482048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20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97.954470661100004</c:v>
                </c:pt>
                <c:pt idx="1">
                  <c:v>91.753886289700006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93.380592387766669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4160"/>
        <c:axId val="51005696"/>
      </c:scatterChart>
      <c:valAx>
        <c:axId val="5100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05696"/>
        <c:crosses val="autoZero"/>
        <c:crossBetween val="midCat"/>
      </c:valAx>
      <c:valAx>
        <c:axId val="5100569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0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90.433420212499996</c:v>
                </c:pt>
                <c:pt idx="1">
                  <c:v>88.698375302200006</c:v>
                </c:pt>
                <c:pt idx="2">
                  <c:v>90.287535102600003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88.38365145889999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136"/>
        <c:axId val="72352128"/>
      </c:scatterChart>
      <c:valAx>
        <c:axId val="5105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352128"/>
        <c:crosses val="autoZero"/>
        <c:crossBetween val="midCat"/>
      </c:valAx>
      <c:valAx>
        <c:axId val="723521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51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86.165043971900005</c:v>
                </c:pt>
                <c:pt idx="1">
                  <c:v>84.848062345599999</c:v>
                </c:pt>
                <c:pt idx="2">
                  <c:v>94.101714777200002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87.834978386600014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05376"/>
        <c:axId val="72406912"/>
      </c:scatterChart>
      <c:valAx>
        <c:axId val="7240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406912"/>
        <c:crosses val="autoZero"/>
        <c:crossBetween val="midCat"/>
      </c:valAx>
      <c:valAx>
        <c:axId val="7240691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40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84.555158036999998</c:v>
                </c:pt>
                <c:pt idx="1">
                  <c:v>85.038127314099995</c:v>
                </c:pt>
                <c:pt idx="2">
                  <c:v>88.527884762799999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86.401317789499998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60576"/>
        <c:axId val="115162112"/>
      </c:scatterChart>
      <c:valAx>
        <c:axId val="11516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162112"/>
        <c:crosses val="autoZero"/>
        <c:crossBetween val="midCat"/>
      </c:valAx>
      <c:valAx>
        <c:axId val="11516211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16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-5.8019647597999997</c:v>
                </c:pt>
                <c:pt idx="1">
                  <c:v>-2.6205720900999996</c:v>
                </c:pt>
                <c:pt idx="2">
                  <c:v>-6.7913086414000006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7.6329956054999997</c:v>
                </c:pt>
                <c:pt idx="1">
                  <c:v>-3.4827019571999998</c:v>
                </c:pt>
                <c:pt idx="2">
                  <c:v>1.2822360992000004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-5.0712818304333327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1.8108432491666668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13760"/>
        <c:axId val="119419648"/>
      </c:scatterChart>
      <c:valAx>
        <c:axId val="1194137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419648"/>
        <c:crosses val="autoZero"/>
        <c:crossBetween val="midCat"/>
        <c:majorUnit val="10"/>
      </c:valAx>
      <c:valAx>
        <c:axId val="1194196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413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-1.8299064636000004</c:v>
                </c:pt>
                <c:pt idx="1">
                  <c:v>-8.569610238100001</c:v>
                </c:pt>
                <c:pt idx="2">
                  <c:v>-3.8910582065999999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2.0206480025999998</c:v>
                </c:pt>
                <c:pt idx="1">
                  <c:v>-0.89414167400000011</c:v>
                </c:pt>
                <c:pt idx="2">
                  <c:v>-0.90605664249999984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-4.7635249694333339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7.3483228699999945E-2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62528"/>
        <c:axId val="119546240"/>
      </c:scatterChart>
      <c:valAx>
        <c:axId val="1194625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546240"/>
        <c:crosses val="autoZero"/>
        <c:crossBetween val="midCat"/>
        <c:majorUnit val="10"/>
      </c:valAx>
      <c:valAx>
        <c:axId val="1195462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46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-3.7743258476000001</c:v>
                </c:pt>
                <c:pt idx="1">
                  <c:v>-2.3666043282000002</c:v>
                </c:pt>
                <c:pt idx="2">
                  <c:v>-6.1139290332999998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8.4969358443999994</c:v>
                </c:pt>
                <c:pt idx="1">
                  <c:v>3.5541152953999999</c:v>
                </c:pt>
                <c:pt idx="2">
                  <c:v>4.8225102424999999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-4.0849530697000001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5.6245204607666652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74912"/>
        <c:axId val="119576448"/>
      </c:scatterChart>
      <c:valAx>
        <c:axId val="1195749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576448"/>
        <c:crosses val="autoZero"/>
        <c:crossBetween val="midCat"/>
        <c:majorUnit val="10"/>
      </c:valAx>
      <c:valAx>
        <c:axId val="1195764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57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-6.2068791388999998</c:v>
                </c:pt>
                <c:pt idx="1">
                  <c:v>-0.4065537453000001</c:v>
                </c:pt>
                <c:pt idx="2">
                  <c:v>-0.75233888629999957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4.4994616507999998</c:v>
                </c:pt>
                <c:pt idx="1">
                  <c:v>0.79080200199999995</c:v>
                </c:pt>
                <c:pt idx="2">
                  <c:v>6.9591808318999995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-2.4552572568333333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4.0831481615666663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00032"/>
        <c:axId val="119901568"/>
      </c:scatterChart>
      <c:valAx>
        <c:axId val="1199000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901568"/>
        <c:crosses val="autoZero"/>
        <c:crossBetween val="midCat"/>
        <c:majorUnit val="10"/>
      </c:valAx>
      <c:valAx>
        <c:axId val="1199015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90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D:\EVMS\TP\LOG\VSY841XN9NDI 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D:\EVMS\TP\LOG\VSY841XN9NDI 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D:\EVMS\TP\LOG\VSY841XN9NDI 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D:\EVMS\TP\LOG\VSY841XN9NDI 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V31" sqref="V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22cb56210414</v>
      </c>
      <c r="C34" s="44">
        <f>IPQC!S2+VLOOKUP($R$31,$AD$38:$AK$42,6,FALSE)+VLOOKUP('File location'!$B$1,'Tester offset'!$A$2:$D$4,2,FALSE)</f>
        <v>97.954470661100004</v>
      </c>
      <c r="D34" s="44">
        <f>IPQC!Z2+VLOOKUP($R$31,$AD$38:$AK$42,6,FALSE)</f>
        <v>78.678453954700004</v>
      </c>
      <c r="E34" s="44">
        <f>VCM!HU2-'Summary(3pcs)'!C34-'Summary(3pcs)'!$D$32</f>
        <v>138.97395815303793</v>
      </c>
      <c r="F34" s="90">
        <f>AVERAGEIF($A$34:$A$45,1,$C$34:$C$45)</f>
        <v>93.380592387766669</v>
      </c>
      <c r="G34" s="91">
        <f>AVERAGEIF($A$34:$A$45,1,$D$34:$D$45)</f>
        <v>73.095697727499996</v>
      </c>
      <c r="H34" s="91">
        <f>AVERAGEIF($A$34:$A$45,1,$E$34:$E$45)</f>
        <v>143.76681876183792</v>
      </c>
      <c r="I34" s="91">
        <f>85-F34</f>
        <v>-8.3805923877666686</v>
      </c>
      <c r="J34"/>
      <c r="K34" s="79">
        <f>T34</f>
        <v>1</v>
      </c>
      <c r="L34" s="80" t="str">
        <f>OC!J2</f>
        <v>22cb56210414</v>
      </c>
      <c r="M34" s="44">
        <f>OC!S2+VLOOKUP($R$31,$AD$38:$AK$42,4,FALSE)</f>
        <v>-0.51317514490000005</v>
      </c>
      <c r="N34" s="44">
        <f>OC!T2+VLOOKUP($R$31,$AD$38:$AK$42,5,FALSE)</f>
        <v>0.81091066400000011</v>
      </c>
      <c r="O34" s="92">
        <f>AVERAGEIF($K$34:$K$45,1,$M$34:$M$45)</f>
        <v>-3.6049586323333336</v>
      </c>
      <c r="P34" s="92">
        <f>AVERAGEIF($K$34:$K$45,1,$N$34:$N$45)</f>
        <v>2.7405059624333332</v>
      </c>
      <c r="Q34" s="90">
        <f>P34*0.001</f>
        <v>2.7405059624333334E-3</v>
      </c>
      <c r="R34" s="90">
        <f>O34*0.001</f>
        <v>-3.6049586323333338E-3</v>
      </c>
      <c r="T34" s="79">
        <v>1</v>
      </c>
      <c r="U34" s="80" t="str">
        <f>FPDC!J2</f>
        <v>22cb56210414</v>
      </c>
      <c r="V34" s="75">
        <f>FPDC!R2+VLOOKUP($R$31,$AD$38:$AK$42,2,FALSE)+VLOOKUP($R$31,$AD$38:$AK$42,7,FALSE)+VLOOKUP('File location'!$B$1,'Tester offset'!$A$2:$D$4,3,FALSE)</f>
        <v>-6.2068791388999998</v>
      </c>
      <c r="W34" s="76">
        <f>FPDC!S2+VLOOKUP($R$31,$AD$38:$AK$42,3,FALSE)+VLOOKUP($R$31,$AD$38:$AK$42,8,FALSE)+VLOOKUP('File location'!$B$1,'Tester offset'!$A$2:$D$4,4,FALSE)</f>
        <v>4.4994616507999998</v>
      </c>
      <c r="X34" s="92">
        <f>AVERAGEIF($T$34:$T$45,1,$V$34:$V$45)</f>
        <v>-2.4552572568333333</v>
      </c>
      <c r="Y34" s="92">
        <f>AVERAGEIF($T$34:$T$45,1,$W$34:$W$45)</f>
        <v>4.0831481615666663</v>
      </c>
      <c r="Z34" s="90">
        <f>(X34*-0.01)/4</f>
        <v>6.1381431420833334E-3</v>
      </c>
      <c r="AA34" s="90">
        <f>(Y34*-0.01)/4</f>
        <v>-1.0207870403916667E-2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22cb56210661</v>
      </c>
      <c r="C35" s="44">
        <f>IPQC!S3+VLOOKUP($R$31,$AD$38:$AK$42,6,FALSE)+VLOOKUP('File location'!$B$1,'Tester offset'!$A$2:$D$4,2,FALSE)</f>
        <v>91.753886289700006</v>
      </c>
      <c r="D35" s="44">
        <f>IPQC!Z3+VLOOKUP($R$31,$AD$38:$AK$42,6,FALSE)</f>
        <v>70.290660273</v>
      </c>
      <c r="E35" s="44">
        <f>VCM!HU3-'Summary(3pcs)'!C35-'Summary(3pcs)'!$D$32</f>
        <v>148.5914853869379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22cb56210661</v>
      </c>
      <c r="M35" s="44">
        <f>OC!S3+VLOOKUP($R$31,$AD$38:$AK$42,4,FALSE)</f>
        <v>-5.4919905480000004</v>
      </c>
      <c r="N35" s="44">
        <f>OC!T3+VLOOKUP($R$31,$AD$38:$AK$42,5,FALSE)</f>
        <v>0.96179245569999994</v>
      </c>
      <c r="O35" s="92"/>
      <c r="P35" s="92"/>
      <c r="Q35" s="90"/>
      <c r="R35" s="90"/>
      <c r="T35" s="79">
        <v>1</v>
      </c>
      <c r="U35" s="80" t="str">
        <f>FPDC!J3</f>
        <v>22cb56210661</v>
      </c>
      <c r="V35" s="75">
        <f>FPDC!R3+VLOOKUP($R$31,$AD$38:$AK$42,2,FALSE)+VLOOKUP($R$31,$AD$38:$AK$42,7,FALSE)+VLOOKUP('File location'!$B$1,'Tester offset'!$A$2:$D$4,3,FALSE)</f>
        <v>-0.4065537453000001</v>
      </c>
      <c r="W35" s="76">
        <f>FPDC!S3+VLOOKUP($R$31,$AD$38:$AK$42,3,FALSE)+VLOOKUP($R$31,$AD$38:$AK$42,8,FALSE)+VLOOKUP('File location'!$B$1,'Tester offset'!$A$2:$D$4,4,FALSE)</f>
        <v>0.79080200199999995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22cb56210388</v>
      </c>
      <c r="C36" s="44">
        <f>IPQC!S4+VLOOKUP($R$31,$AD$38:$AK$42,6,FALSE)+VLOOKUP('File location'!$B$1,'Tester offset'!$A$2:$D$4,2,FALSE)</f>
        <v>90.433420212499996</v>
      </c>
      <c r="D36" s="44">
        <f>IPQC!Z4+VLOOKUP($R$31,$AD$38:$AK$42,6,FALSE)</f>
        <v>70.317978954799997</v>
      </c>
      <c r="E36" s="44">
        <f>VCM!HU4-'Summary(3pcs)'!C36-'Summary(3pcs)'!$D$32</f>
        <v>143.73501274553792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22cb56210388</v>
      </c>
      <c r="M36" s="44">
        <f>OC!S4+VLOOKUP($R$31,$AD$38:$AK$42,4,FALSE)</f>
        <v>-4.8097102040999999</v>
      </c>
      <c r="N36" s="44">
        <f>OC!T4+VLOOKUP($R$31,$AD$38:$AK$42,5,FALSE)</f>
        <v>6.4488147676000001</v>
      </c>
      <c r="O36" s="92"/>
      <c r="P36" s="92"/>
      <c r="Q36" s="90"/>
      <c r="R36" s="90"/>
      <c r="T36" s="79">
        <v>1</v>
      </c>
      <c r="U36" s="80" t="str">
        <f>FPDC!J4</f>
        <v>22cb56210388</v>
      </c>
      <c r="V36" s="75">
        <f>FPDC!R4+VLOOKUP($R$31,$AD$38:$AK$42,2,FALSE)+VLOOKUP($R$31,$AD$38:$AK$42,7,FALSE)+VLOOKUP('File location'!$B$1,'Tester offset'!$A$2:$D$4,3,FALSE)</f>
        <v>-0.75233888629999957</v>
      </c>
      <c r="W36" s="76">
        <f>FPDC!S4+VLOOKUP($R$31,$AD$38:$AK$42,3,FALSE)+VLOOKUP($R$31,$AD$38:$AK$42,8,FALSE)+VLOOKUP('File location'!$B$1,'Tester offset'!$A$2:$D$4,4,FALSE)</f>
        <v>6.9591808318999995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22cb56210468</v>
      </c>
      <c r="C37" s="44">
        <f>IPQC!S5+VLOOKUP($R$31,$AD$38:$AK$42,6,FALSE)+VLOOKUP('File location'!$B$1,'Tester offset'!$A$2:$D$4,2,FALSE)</f>
        <v>88.698375302200006</v>
      </c>
      <c r="D37" s="44">
        <f>IPQC!Z5+VLOOKUP($R$31,$AD$38:$AK$42,6,FALSE)</f>
        <v>74.818716364599993</v>
      </c>
      <c r="E37" s="44">
        <f>VCM!HU5-'Summary(3pcs)'!C37-'Summary(3pcs)'!$D$32</f>
        <v>146.95148388683788</v>
      </c>
      <c r="F37" s="90">
        <f>AVERAGEIF($A$34:$A$45,2,$C$34:$C$45)</f>
        <v>88.38365145889999</v>
      </c>
      <c r="G37" s="91">
        <f>AVERAGEIF($A$34:$A$45,2,$D$34:$D$45)</f>
        <v>72.237169253366673</v>
      </c>
      <c r="H37" s="91">
        <f>AVERAGEIF($A$34:$A$45,2,$E$34:$E$45)</f>
        <v>142.73110439340456</v>
      </c>
      <c r="I37" s="91">
        <f>85-F37</f>
        <v>-3.3836514588999904</v>
      </c>
      <c r="J37"/>
      <c r="K37" s="79">
        <f t="shared" si="1"/>
        <v>2</v>
      </c>
      <c r="L37" s="80" t="str">
        <f>OC!J5</f>
        <v>22cb56210468</v>
      </c>
      <c r="M37" s="44">
        <f>OC!S5+VLOOKUP($R$31,$AD$38:$AK$42,4,FALSE)</f>
        <v>4.5514644758999996</v>
      </c>
      <c r="N37" s="44">
        <f>OC!T5+VLOOKUP($R$31,$AD$38:$AK$42,5,FALSE)</f>
        <v>-1.0753302657999999</v>
      </c>
      <c r="O37" s="92">
        <f>AVERAGEIF($K$34:$K$45,2,$M$34:$M$45)</f>
        <v>1.6681743686999997</v>
      </c>
      <c r="P37" s="92">
        <f>AVERAGEIF($K$34:$K$45,2,$N$34:$N$45)</f>
        <v>3.8745887200000162E-2</v>
      </c>
      <c r="Q37" s="90">
        <f>P37*0.001</f>
        <v>3.8745887200000161E-5</v>
      </c>
      <c r="R37" s="90">
        <f>O37*0.001</f>
        <v>1.6681743686999997E-3</v>
      </c>
      <c r="T37" s="79">
        <v>2</v>
      </c>
      <c r="U37" s="80" t="str">
        <f>FPDC!J5</f>
        <v>22cb56210468</v>
      </c>
      <c r="V37" s="75">
        <f>FPDC!R5+VLOOKUP($R$31,$AD$38:$AK$42,2,FALSE)+VLOOKUP($R$31,$AD$38:$AK$42,7,FALSE)+VLOOKUP('File location'!$B$1,'Tester offset'!$A$2:$D$4,3,FALSE)</f>
        <v>-5.8019647597999997</v>
      </c>
      <c r="W37" s="76">
        <f>FPDC!S5+VLOOKUP($R$31,$AD$38:$AK$42,3,FALSE)+VLOOKUP($R$31,$AD$38:$AK$42,8,FALSE)+VLOOKUP('File location'!$B$1,'Tester offset'!$A$2:$D$4,4,FALSE)</f>
        <v>7.6329956054999997</v>
      </c>
      <c r="X37" s="92">
        <f>AVERAGEIF($T$34:$T$45,2,$V$34:$V$45)</f>
        <v>-5.0712818304333327</v>
      </c>
      <c r="Y37" s="92">
        <f>AVERAGEIF($T$34:$T$45,2,$W$34:$W$45)</f>
        <v>1.8108432491666668</v>
      </c>
      <c r="Z37" s="90">
        <f>(X37*-0.01)/4</f>
        <v>1.2678204576083332E-2</v>
      </c>
      <c r="AA37" s="90">
        <f>(Y37*-0.01)/4</f>
        <v>-4.5271081229166675E-3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22cb56210717</v>
      </c>
      <c r="C38" s="44">
        <f>IPQC!S6+VLOOKUP($R$31,$AD$38:$AK$42,6,FALSE)+VLOOKUP('File location'!$B$1,'Tester offset'!$A$2:$D$4,2,FALSE)</f>
        <v>90.287535102600003</v>
      </c>
      <c r="D38" s="44">
        <f>IPQC!Z6+VLOOKUP($R$31,$AD$38:$AK$42,6,FALSE)</f>
        <v>68.872129638700002</v>
      </c>
      <c r="E38" s="44">
        <f>VCM!HU6-'Summary(3pcs)'!C38-'Summary(3pcs)'!$D$32</f>
        <v>144.96005314953788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22cb56210717</v>
      </c>
      <c r="M38" s="44">
        <f>OC!S6+VLOOKUP($R$31,$AD$38:$AK$42,4,FALSE)</f>
        <v>1.7533994706</v>
      </c>
      <c r="N38" s="44">
        <f>OC!T6+VLOOKUP($R$31,$AD$38:$AK$42,5,FALSE)</f>
        <v>-0.50164832669999981</v>
      </c>
      <c r="O38" s="92"/>
      <c r="P38" s="92"/>
      <c r="Q38" s="90"/>
      <c r="R38" s="90"/>
      <c r="T38" s="79">
        <v>2</v>
      </c>
      <c r="U38" s="80" t="str">
        <f>FPDC!J6</f>
        <v>22cb56210717</v>
      </c>
      <c r="V38" s="75">
        <f>FPDC!R6+VLOOKUP($R$31,$AD$38:$AK$42,2,FALSE)+VLOOKUP($R$31,$AD$38:$AK$42,7,FALSE)+VLOOKUP('File location'!$B$1,'Tester offset'!$A$2:$D$4,3,FALSE)</f>
        <v>-2.6205720900999996</v>
      </c>
      <c r="W38" s="76">
        <f>FPDC!S6+VLOOKUP($R$31,$AD$38:$AK$42,3,FALSE)+VLOOKUP($R$31,$AD$38:$AK$42,8,FALSE)+VLOOKUP('File location'!$B$1,'Tester offset'!$A$2:$D$4,4,FALSE)</f>
        <v>-3.4827019571999998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22cb56220168</v>
      </c>
      <c r="C39" s="44">
        <f>IPQC!S7+VLOOKUP($R$31,$AD$38:$AK$42,6,FALSE)+VLOOKUP('File location'!$B$1,'Tester offset'!$A$2:$D$4,2,FALSE)</f>
        <v>86.165043971900005</v>
      </c>
      <c r="D39" s="44">
        <f>IPQC!Z7+VLOOKUP($R$31,$AD$38:$AK$42,6,FALSE)</f>
        <v>73.020661756799996</v>
      </c>
      <c r="E39" s="44">
        <f>VCM!HU7-'Summary(3pcs)'!C39-'Summary(3pcs)'!$D$32</f>
        <v>136.28177614383793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22cb56220168</v>
      </c>
      <c r="M39" s="44">
        <f>OC!S7+VLOOKUP($R$31,$AD$38:$AK$42,4,FALSE)</f>
        <v>-1.3003408404000001</v>
      </c>
      <c r="N39" s="44">
        <f>OC!T7+VLOOKUP($R$31,$AD$38:$AK$42,5,FALSE)</f>
        <v>1.6932162541000002</v>
      </c>
      <c r="O39" s="92"/>
      <c r="P39" s="92"/>
      <c r="Q39" s="90"/>
      <c r="R39" s="90"/>
      <c r="T39" s="79">
        <v>2</v>
      </c>
      <c r="U39" s="80" t="str">
        <f>FPDC!J7</f>
        <v>22cb56220168</v>
      </c>
      <c r="V39" s="75">
        <f>FPDC!R7+VLOOKUP($R$31,$AD$38:$AK$42,2,FALSE)+VLOOKUP($R$31,$AD$38:$AK$42,7,FALSE)+VLOOKUP('File location'!$B$1,'Tester offset'!$A$2:$D$4,3,FALSE)</f>
        <v>-6.7913086414000006</v>
      </c>
      <c r="W39" s="76">
        <f>FPDC!S7+VLOOKUP($R$31,$AD$38:$AK$42,3,FALSE)+VLOOKUP($R$31,$AD$38:$AK$42,8,FALSE)+VLOOKUP('File location'!$B$1,'Tester offset'!$A$2:$D$4,4,FALSE)</f>
        <v>1.2822360992000004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22cb56210746</v>
      </c>
      <c r="C40" s="44">
        <f>IPQC!S8+VLOOKUP($R$31,$AD$38:$AK$42,6,FALSE)+VLOOKUP('File location'!$B$1,'Tester offset'!$A$2:$D$4,2,FALSE)</f>
        <v>84.848062345599999</v>
      </c>
      <c r="D40" s="44">
        <f>IPQC!Z8+VLOOKUP($R$31,$AD$38:$AK$42,6,FALSE)</f>
        <v>61.953002382999998</v>
      </c>
      <c r="E40" s="44">
        <f>VCM!HU8-'Summary(3pcs)'!C40-'Summary(3pcs)'!$D$32</f>
        <v>143.25222077603792</v>
      </c>
      <c r="F40" s="90">
        <f>AVERAGEIF($A$34:$A$45,3,$C$34:$C$45)</f>
        <v>87.834978386600014</v>
      </c>
      <c r="G40" s="91">
        <f>AVERAGEIF($A$34:$A$45,3,$D$34:$D$45)</f>
        <v>64.883039708633319</v>
      </c>
      <c r="H40" s="91">
        <f>AVERAGEIF($A$34:$A$45,3,$E$34:$E$45)</f>
        <v>148.04326926090457</v>
      </c>
      <c r="I40" s="91">
        <f>85-F40</f>
        <v>-2.8349783866000138</v>
      </c>
      <c r="J40"/>
      <c r="K40" s="79">
        <f t="shared" si="1"/>
        <v>3</v>
      </c>
      <c r="L40" s="80" t="str">
        <f>OC!J8</f>
        <v>22cb56210746</v>
      </c>
      <c r="M40" s="44">
        <f>OC!S8+VLOOKUP($R$31,$AD$38:$AK$42,4,FALSE)</f>
        <v>3.2589657167000001</v>
      </c>
      <c r="N40" s="44">
        <f>OC!T8+VLOOKUP($R$31,$AD$38:$AK$42,5,FALSE)</f>
        <v>3.0003755730999999</v>
      </c>
      <c r="O40" s="92">
        <f>AVERAGEIF($K$34:$K$45,3,$M$34:$M$45)</f>
        <v>8.0621579133333413E-2</v>
      </c>
      <c r="P40" s="92">
        <f>AVERAGEIF($K$34:$K$45,3,$N$34:$N$45)</f>
        <v>4.9980830219999994</v>
      </c>
      <c r="Q40" s="90">
        <f>P40*0.001</f>
        <v>4.9980830219999994E-3</v>
      </c>
      <c r="R40" s="90">
        <f>O40*0.001</f>
        <v>8.0621579133333411E-5</v>
      </c>
      <c r="T40" s="79">
        <v>3</v>
      </c>
      <c r="U40" s="80" t="str">
        <f>FPDC!J8</f>
        <v>22cb56210746</v>
      </c>
      <c r="V40" s="75">
        <f>FPDC!R8+VLOOKUP($R$31,$AD$38:$AK$42,2,FALSE)+VLOOKUP($R$31,$AD$38:$AK$42,7,FALSE)+VLOOKUP('File location'!$B$1,'Tester offset'!$A$2:$D$4,3,FALSE)</f>
        <v>-1.8299064636000004</v>
      </c>
      <c r="W40" s="76">
        <f>FPDC!S8+VLOOKUP($R$31,$AD$38:$AK$42,3,FALSE)+VLOOKUP($R$31,$AD$38:$AK$42,8,FALSE)+VLOOKUP('File location'!$B$1,'Tester offset'!$A$2:$D$4,4,FALSE)</f>
        <v>2.0206480025999998</v>
      </c>
      <c r="X40" s="92">
        <f>AVERAGEIF($T$34:$T$45,3,$V$34:$V$45)</f>
        <v>-4.7635249694333339</v>
      </c>
      <c r="Y40" s="92">
        <f>AVERAGEIF($T$34:$T$45,3,$W$34:$W$45)</f>
        <v>7.3483228699999945E-2</v>
      </c>
      <c r="Z40" s="90">
        <f>(X40*-0.01)/4</f>
        <v>1.1908812423583335E-2</v>
      </c>
      <c r="AA40" s="90">
        <f>(Y40*-0.01)/4</f>
        <v>-1.8370807174999986E-4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22cb56210163</v>
      </c>
      <c r="C41" s="44">
        <f>IPQC!S9+VLOOKUP($R$31,$AD$38:$AK$42,6,FALSE)+VLOOKUP('File location'!$B$1,'Tester offset'!$A$2:$D$4,2,FALSE)</f>
        <v>94.101714777200002</v>
      </c>
      <c r="D41" s="44">
        <f>IPQC!Z9+VLOOKUP($R$31,$AD$38:$AK$42,6,FALSE)</f>
        <v>62.475653719900002</v>
      </c>
      <c r="E41" s="44">
        <f>VCM!HU9-'Summary(3pcs)'!C41-'Summary(3pcs)'!$D$32</f>
        <v>162.49712623443787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22cb56210163</v>
      </c>
      <c r="M41" s="44">
        <f>OC!S9+VLOOKUP($R$31,$AD$38:$AK$42,4,FALSE)</f>
        <v>1.9105610436</v>
      </c>
      <c r="N41" s="44">
        <f>OC!T9+VLOOKUP($R$31,$AD$38:$AK$42,5,FALSE)</f>
        <v>6.6516116940999996</v>
      </c>
      <c r="O41" s="92"/>
      <c r="P41" s="92"/>
      <c r="Q41" s="90"/>
      <c r="R41" s="90"/>
      <c r="T41" s="79">
        <v>3</v>
      </c>
      <c r="U41" s="80" t="str">
        <f>FPDC!J9</f>
        <v>22cb56210163</v>
      </c>
      <c r="V41" s="75">
        <f>FPDC!R9+VLOOKUP($R$31,$AD$38:$AK$42,2,FALSE)+VLOOKUP($R$31,$AD$38:$AK$42,7,FALSE)+VLOOKUP('File location'!$B$1,'Tester offset'!$A$2:$D$4,3,FALSE)</f>
        <v>-8.569610238100001</v>
      </c>
      <c r="W41" s="76">
        <f>FPDC!S9+VLOOKUP($R$31,$AD$38:$AK$42,3,FALSE)+VLOOKUP($R$31,$AD$38:$AK$42,8,FALSE)+VLOOKUP('File location'!$B$1,'Tester offset'!$A$2:$D$4,4,FALSE)</f>
        <v>-0.89414167400000011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22cb56210482</v>
      </c>
      <c r="C42" s="44">
        <f>IPQC!S10+VLOOKUP($R$31,$AD$38:$AK$42,6,FALSE)+VLOOKUP('File location'!$B$1,'Tester offset'!$A$2:$D$4,2,FALSE)</f>
        <v>84.555158036999998</v>
      </c>
      <c r="D42" s="44">
        <f>IPQC!Z10+VLOOKUP($R$31,$AD$38:$AK$42,6,FALSE)</f>
        <v>70.220463022999994</v>
      </c>
      <c r="E42" s="44">
        <f>VCM!HU10-'Summary(3pcs)'!C42-'Summary(3pcs)'!$D$32</f>
        <v>138.38046077223788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22cb56210482</v>
      </c>
      <c r="M42" s="44">
        <f>OC!S10+VLOOKUP($R$31,$AD$38:$AK$42,4,FALSE)</f>
        <v>-4.9276620228999999</v>
      </c>
      <c r="N42" s="44">
        <f>OC!T10+VLOOKUP($R$31,$AD$38:$AK$42,5,FALSE)</f>
        <v>5.3422617988000001</v>
      </c>
      <c r="O42" s="92"/>
      <c r="P42" s="92"/>
      <c r="Q42" s="90"/>
      <c r="R42" s="90"/>
      <c r="T42" s="79">
        <v>3</v>
      </c>
      <c r="U42" s="80" t="str">
        <f>FPDC!J10</f>
        <v>22cb56210482</v>
      </c>
      <c r="V42" s="75">
        <f>FPDC!R10+VLOOKUP($R$31,$AD$38:$AK$42,2,FALSE)+VLOOKUP($R$31,$AD$38:$AK$42,7,FALSE)+VLOOKUP('File location'!$B$1,'Tester offset'!$A$2:$D$4,3,FALSE)</f>
        <v>-3.8910582065999999</v>
      </c>
      <c r="W42" s="76">
        <f>FPDC!S10+VLOOKUP($R$31,$AD$38:$AK$42,3,FALSE)+VLOOKUP($R$31,$AD$38:$AK$42,8,FALSE)+VLOOKUP('File location'!$B$1,'Tester offset'!$A$2:$D$4,4,FALSE)</f>
        <v>-0.90605664249999984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22cb56210413</v>
      </c>
      <c r="C43" s="44">
        <f>IPQC!S11+VLOOKUP($R$31,$AD$38:$AK$42,6,FALSE)+VLOOKUP('File location'!$B$1,'Tester offset'!$A$2:$D$4,2,FALSE)</f>
        <v>85.038127314099995</v>
      </c>
      <c r="D43" s="44">
        <f>IPQC!Z11+VLOOKUP($R$31,$AD$38:$AK$42,6,FALSE)</f>
        <v>70.019981271299997</v>
      </c>
      <c r="E43" s="44">
        <f>VCM!HU11-'Summary(3pcs)'!C43-'Summary(3pcs)'!$D$32</f>
        <v>152.9860517483379</v>
      </c>
      <c r="F43" s="90">
        <f>AVERAGEIF($A$34:$A$45,4,$C$34:$C$45)</f>
        <v>86.401317789499998</v>
      </c>
      <c r="G43" s="91">
        <f>AVERAGEIF($A$34:$A$45,4,$D$34:$D$45)</f>
        <v>68.214689074700004</v>
      </c>
      <c r="H43" s="91">
        <f>AVERAGEIF($A$34:$A$45,4,$E$34:$E$45)</f>
        <v>150.21371747290459</v>
      </c>
      <c r="I43" s="91">
        <f>85-F43</f>
        <v>-1.4013177894999984</v>
      </c>
      <c r="J43"/>
      <c r="K43" s="79">
        <f t="shared" si="1"/>
        <v>4</v>
      </c>
      <c r="L43" s="80" t="str">
        <f>OC!J11</f>
        <v>22cb56210413</v>
      </c>
      <c r="M43" s="44">
        <f>OC!S11+VLOOKUP($R$31,$AD$38:$AK$42,4,FALSE)</f>
        <v>-2.7014955218000001</v>
      </c>
      <c r="N43" s="44">
        <f>OC!T11+VLOOKUP($R$31,$AD$38:$AK$42,5,FALSE)</f>
        <v>-2.8099362508999999</v>
      </c>
      <c r="O43" s="92">
        <f>AVERAGEIF($K$34:$K$45,4,$M$34:$M$45)</f>
        <v>-2.1376242457000001</v>
      </c>
      <c r="P43" s="92">
        <f>AVERAGEIF($K$34:$K$45,4,$N$34:$N$45)</f>
        <v>-1.4224094353333332</v>
      </c>
      <c r="Q43" s="90">
        <f>P43*0.001</f>
        <v>-1.4224094353333333E-3</v>
      </c>
      <c r="R43" s="90">
        <f>O43*0.001</f>
        <v>-2.1376242457000001E-3</v>
      </c>
      <c r="T43" s="79">
        <v>4</v>
      </c>
      <c r="U43" s="80" t="str">
        <f>FPDC!J11</f>
        <v>22cb56210413</v>
      </c>
      <c r="V43" s="75">
        <f>FPDC!R11+VLOOKUP($R$31,$AD$38:$AK$42,2,FALSE)+VLOOKUP($R$31,$AD$38:$AK$42,7,FALSE)+VLOOKUP('File location'!$B$1,'Tester offset'!$A$2:$D$4,3,FALSE)</f>
        <v>-3.7743258476000001</v>
      </c>
      <c r="W43" s="76">
        <f>FPDC!S11+VLOOKUP($R$31,$AD$38:$AK$42,3,FALSE)+VLOOKUP($R$31,$AD$38:$AK$42,8,FALSE)+VLOOKUP('File location'!$B$1,'Tester offset'!$A$2:$D$4,4,FALSE)</f>
        <v>8.4969358443999994</v>
      </c>
      <c r="X43" s="92">
        <f>AVERAGEIF($T$34:$T$45,4,$V$34:$V$45)</f>
        <v>-4.0849530697000001</v>
      </c>
      <c r="Y43" s="92">
        <f>AVERAGEIF($T$34:$T$45,4,$W$34:$W$45)</f>
        <v>5.6245204607666652</v>
      </c>
      <c r="Z43" s="90">
        <f>(X43*-0.01)/4</f>
        <v>1.021238267425E-2</v>
      </c>
      <c r="AA43" s="90">
        <f>(Y43*-0.01)/4</f>
        <v>-1.4061301151916663E-2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22cb56210655</v>
      </c>
      <c r="C44" s="44">
        <f>IPQC!S12+VLOOKUP($R$31,$AD$38:$AK$42,6,FALSE)+VLOOKUP('File location'!$B$1,'Tester offset'!$A$2:$D$4,2,FALSE)</f>
        <v>88.527884762799999</v>
      </c>
      <c r="D44" s="44">
        <f>IPQC!Z12+VLOOKUP($R$31,$AD$38:$AK$42,6,FALSE)</f>
        <v>70.405915975400006</v>
      </c>
      <c r="E44" s="44">
        <f>VCM!HU12-'Summary(3pcs)'!C44-'Summary(3pcs)'!$D$32</f>
        <v>143.95444018183792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22cb56210655</v>
      </c>
      <c r="M44" s="44">
        <f>OC!S12+VLOOKUP($R$31,$AD$38:$AK$42,4,FALSE)</f>
        <v>2.8182967755999999</v>
      </c>
      <c r="N44" s="44">
        <f>OC!T12+VLOOKUP($R$31,$AD$38:$AK$42,5,FALSE)</f>
        <v>-2.4672385182000003</v>
      </c>
      <c r="O44" s="92"/>
      <c r="P44" s="92"/>
      <c r="Q44" s="90"/>
      <c r="R44" s="90"/>
      <c r="T44" s="79">
        <v>4</v>
      </c>
      <c r="U44" s="80" t="str">
        <f>FPDC!J12</f>
        <v>22cb56210655</v>
      </c>
      <c r="V44" s="75">
        <f>FPDC!R12+VLOOKUP($R$31,$AD$38:$AK$42,2,FALSE)+VLOOKUP($R$31,$AD$38:$AK$42,7,FALSE)+VLOOKUP('File location'!$B$1,'Tester offset'!$A$2:$D$4,3,FALSE)</f>
        <v>-2.3666043282000002</v>
      </c>
      <c r="W44" s="76">
        <f>FPDC!S12+VLOOKUP($R$31,$AD$38:$AK$42,3,FALSE)+VLOOKUP($R$31,$AD$38:$AK$42,8,FALSE)+VLOOKUP('File location'!$B$1,'Tester offset'!$A$2:$D$4,4,FALSE)</f>
        <v>3.5541152953999999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22cb56220634</v>
      </c>
      <c r="C45" s="44">
        <f>IPQC!S13+VLOOKUP($R$31,$AD$38:$AK$42,6,FALSE)+VLOOKUP('File location'!$B$1,'Tester offset'!$A$2:$D$4,2,FALSE)</f>
        <v>85.637941291600001</v>
      </c>
      <c r="D45" s="44">
        <f>IPQC!Z13+VLOOKUP($R$31,$AD$38:$AK$42,6,FALSE)</f>
        <v>64.218169977400009</v>
      </c>
      <c r="E45" s="44">
        <f>VCM!HU13-'Summary(3pcs)'!C45-'Summary(3pcs)'!$D$32</f>
        <v>153.70066048853795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22cb56220634</v>
      </c>
      <c r="M45" s="44">
        <f>OC!S13+VLOOKUP($R$31,$AD$38:$AK$42,4,FALSE)</f>
        <v>-6.5296739909000001</v>
      </c>
      <c r="N45" s="44">
        <f>OC!T13+VLOOKUP($R$31,$AD$38:$AK$42,5,FALSE)</f>
        <v>1.0099464630999999</v>
      </c>
      <c r="O45" s="92"/>
      <c r="P45" s="92"/>
      <c r="Q45" s="90"/>
      <c r="R45" s="90"/>
      <c r="T45" s="79">
        <v>4</v>
      </c>
      <c r="U45" s="80" t="str">
        <f>FPDC!J13</f>
        <v>22cb56220634</v>
      </c>
      <c r="V45" s="75">
        <f>FPDC!R13+VLOOKUP($R$31,$AD$38:$AK$42,2,FALSE)+VLOOKUP($R$31,$AD$38:$AK$42,7,FALSE)+VLOOKUP('File location'!$B$1,'Tester offset'!$A$2:$D$4,3,FALSE)</f>
        <v>-6.1139290332999998</v>
      </c>
      <c r="W45" s="76">
        <f>FPDC!S13+VLOOKUP($R$31,$AD$38:$AK$42,3,FALSE)+VLOOKUP($R$31,$AD$38:$AK$42,8,FALSE)+VLOOKUP('File location'!$B$1,'Tester offset'!$A$2:$D$4,4,FALSE)</f>
        <v>4.8225102424999999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97.954470661100004</v>
      </c>
      <c r="L54" s="49">
        <f t="shared" ref="L54:L65" si="4">D34</f>
        <v>78.678453954700004</v>
      </c>
      <c r="M54" s="49">
        <f t="shared" ref="M54:M65" si="5">E34</f>
        <v>138.97395815303793</v>
      </c>
      <c r="N54" s="49">
        <f t="shared" ref="N54:O65" si="6">M34</f>
        <v>-0.51317514490000005</v>
      </c>
      <c r="O54" s="49">
        <f t="shared" si="6"/>
        <v>0.81091066400000011</v>
      </c>
      <c r="P54" s="49">
        <f t="shared" ref="P54:P65" si="7">V34</f>
        <v>-6.2068791388999998</v>
      </c>
      <c r="Q54" s="50">
        <f t="shared" ref="Q54:Q65" si="8">W34</f>
        <v>4.4994616507999998</v>
      </c>
    </row>
    <row r="55" spans="6:27" ht="19.5">
      <c r="I55" s="47">
        <f t="shared" si="2"/>
        <v>1</v>
      </c>
      <c r="J55" s="46"/>
      <c r="K55" s="51">
        <f t="shared" si="3"/>
        <v>91.753886289700006</v>
      </c>
      <c r="L55" s="52">
        <f t="shared" si="4"/>
        <v>70.290660273</v>
      </c>
      <c r="M55" s="52">
        <f t="shared" si="5"/>
        <v>148.5914853869379</v>
      </c>
      <c r="N55" s="52">
        <f t="shared" si="6"/>
        <v>-5.4919905480000004</v>
      </c>
      <c r="O55" s="52">
        <f t="shared" si="6"/>
        <v>0.96179245569999994</v>
      </c>
      <c r="P55" s="52">
        <f t="shared" si="7"/>
        <v>-0.4065537453000001</v>
      </c>
      <c r="Q55" s="53">
        <f t="shared" si="8"/>
        <v>0.79080200199999995</v>
      </c>
    </row>
    <row r="56" spans="6:27" ht="19.5">
      <c r="I56" s="47">
        <f t="shared" si="2"/>
        <v>1</v>
      </c>
      <c r="J56" s="46"/>
      <c r="K56" s="54">
        <f t="shared" si="3"/>
        <v>90.433420212499996</v>
      </c>
      <c r="L56" s="55">
        <f t="shared" si="4"/>
        <v>70.317978954799997</v>
      </c>
      <c r="M56" s="55">
        <f t="shared" si="5"/>
        <v>143.73501274553792</v>
      </c>
      <c r="N56" s="55">
        <f t="shared" si="6"/>
        <v>-4.8097102040999999</v>
      </c>
      <c r="O56" s="55">
        <f t="shared" si="6"/>
        <v>6.4488147676000001</v>
      </c>
      <c r="P56" s="55">
        <f t="shared" si="7"/>
        <v>-0.75233888629999957</v>
      </c>
      <c r="Q56" s="56">
        <f t="shared" si="8"/>
        <v>6.9591808318999995</v>
      </c>
    </row>
    <row r="57" spans="6:27" ht="19.5">
      <c r="I57" s="47">
        <f t="shared" si="2"/>
        <v>2</v>
      </c>
      <c r="J57" s="46"/>
      <c r="K57" s="57">
        <f t="shared" si="3"/>
        <v>88.698375302200006</v>
      </c>
      <c r="L57" s="58">
        <f t="shared" si="4"/>
        <v>74.818716364599993</v>
      </c>
      <c r="M57" s="58">
        <f t="shared" si="5"/>
        <v>146.95148388683788</v>
      </c>
      <c r="N57" s="58">
        <f t="shared" si="6"/>
        <v>4.5514644758999996</v>
      </c>
      <c r="O57" s="58">
        <f t="shared" si="6"/>
        <v>-1.0753302657999999</v>
      </c>
      <c r="P57" s="58">
        <f t="shared" si="7"/>
        <v>-5.8019647597999997</v>
      </c>
      <c r="Q57" s="59">
        <f t="shared" si="8"/>
        <v>7.6329956054999997</v>
      </c>
    </row>
    <row r="58" spans="6:27" ht="19.5">
      <c r="I58" s="47">
        <f t="shared" si="2"/>
        <v>2</v>
      </c>
      <c r="J58" s="46"/>
      <c r="K58" s="57">
        <f t="shared" si="3"/>
        <v>90.287535102600003</v>
      </c>
      <c r="L58" s="58">
        <f t="shared" si="4"/>
        <v>68.872129638700002</v>
      </c>
      <c r="M58" s="58">
        <f t="shared" si="5"/>
        <v>144.96005314953788</v>
      </c>
      <c r="N58" s="58">
        <f t="shared" si="6"/>
        <v>1.7533994706</v>
      </c>
      <c r="O58" s="58">
        <f t="shared" si="6"/>
        <v>-0.50164832669999981</v>
      </c>
      <c r="P58" s="58">
        <f t="shared" si="7"/>
        <v>-2.6205720900999996</v>
      </c>
      <c r="Q58" s="59">
        <f t="shared" si="8"/>
        <v>-3.4827019571999998</v>
      </c>
    </row>
    <row r="59" spans="6:27" ht="19.5">
      <c r="I59" s="47">
        <f t="shared" si="2"/>
        <v>2</v>
      </c>
      <c r="J59" s="46"/>
      <c r="K59" s="57">
        <f t="shared" si="3"/>
        <v>86.165043971900005</v>
      </c>
      <c r="L59" s="58">
        <f t="shared" si="4"/>
        <v>73.020661756799996</v>
      </c>
      <c r="M59" s="58">
        <f t="shared" si="5"/>
        <v>136.28177614383793</v>
      </c>
      <c r="N59" s="58">
        <f t="shared" si="6"/>
        <v>-1.3003408404000001</v>
      </c>
      <c r="O59" s="58">
        <f t="shared" si="6"/>
        <v>1.6932162541000002</v>
      </c>
      <c r="P59" s="58">
        <f t="shared" si="7"/>
        <v>-6.7913086414000006</v>
      </c>
      <c r="Q59" s="59">
        <f t="shared" si="8"/>
        <v>1.2822360992000004</v>
      </c>
    </row>
    <row r="60" spans="6:27" ht="19.5">
      <c r="I60" s="47">
        <f t="shared" si="2"/>
        <v>3</v>
      </c>
      <c r="J60" s="46"/>
      <c r="K60" s="60">
        <f t="shared" si="3"/>
        <v>84.848062345599999</v>
      </c>
      <c r="L60" s="61">
        <f t="shared" si="4"/>
        <v>61.953002382999998</v>
      </c>
      <c r="M60" s="61">
        <f t="shared" si="5"/>
        <v>143.25222077603792</v>
      </c>
      <c r="N60" s="61">
        <f t="shared" si="6"/>
        <v>3.2589657167000001</v>
      </c>
      <c r="O60" s="61">
        <f t="shared" si="6"/>
        <v>3.0003755730999999</v>
      </c>
      <c r="P60" s="61">
        <f t="shared" si="7"/>
        <v>-1.8299064636000004</v>
      </c>
      <c r="Q60" s="62">
        <f t="shared" si="8"/>
        <v>2.0206480025999998</v>
      </c>
    </row>
    <row r="61" spans="6:27" ht="19.5">
      <c r="I61" s="47">
        <f t="shared" si="2"/>
        <v>3</v>
      </c>
      <c r="J61" s="46"/>
      <c r="K61" s="63">
        <f t="shared" si="3"/>
        <v>94.101714777200002</v>
      </c>
      <c r="L61" s="64">
        <f t="shared" si="4"/>
        <v>62.475653719900002</v>
      </c>
      <c r="M61" s="64">
        <f t="shared" si="5"/>
        <v>162.49712623443787</v>
      </c>
      <c r="N61" s="64">
        <f t="shared" si="6"/>
        <v>1.9105610436</v>
      </c>
      <c r="O61" s="64">
        <f t="shared" si="6"/>
        <v>6.6516116940999996</v>
      </c>
      <c r="P61" s="64">
        <f t="shared" si="7"/>
        <v>-8.569610238100001</v>
      </c>
      <c r="Q61" s="65">
        <f t="shared" si="8"/>
        <v>-0.89414167400000011</v>
      </c>
    </row>
    <row r="62" spans="6:27" ht="19.5">
      <c r="I62" s="47">
        <f t="shared" si="2"/>
        <v>3</v>
      </c>
      <c r="J62" s="46"/>
      <c r="K62" s="66">
        <f t="shared" si="3"/>
        <v>84.555158036999998</v>
      </c>
      <c r="L62" s="67">
        <f t="shared" si="4"/>
        <v>70.220463022999994</v>
      </c>
      <c r="M62" s="67">
        <f t="shared" si="5"/>
        <v>138.38046077223788</v>
      </c>
      <c r="N62" s="67">
        <f t="shared" si="6"/>
        <v>-4.9276620228999999</v>
      </c>
      <c r="O62" s="67">
        <f t="shared" si="6"/>
        <v>5.3422617988000001</v>
      </c>
      <c r="P62" s="67">
        <f t="shared" si="7"/>
        <v>-3.8910582065999999</v>
      </c>
      <c r="Q62" s="68">
        <f t="shared" si="8"/>
        <v>-0.90605664249999984</v>
      </c>
    </row>
    <row r="63" spans="6:27" ht="19.5">
      <c r="I63" s="47">
        <f t="shared" si="2"/>
        <v>4</v>
      </c>
      <c r="J63" s="46"/>
      <c r="K63" s="57">
        <f t="shared" si="3"/>
        <v>85.038127314099995</v>
      </c>
      <c r="L63" s="58">
        <f t="shared" si="4"/>
        <v>70.019981271299997</v>
      </c>
      <c r="M63" s="58">
        <f t="shared" si="5"/>
        <v>152.9860517483379</v>
      </c>
      <c r="N63" s="58">
        <f t="shared" si="6"/>
        <v>-2.7014955218000001</v>
      </c>
      <c r="O63" s="58">
        <f t="shared" si="6"/>
        <v>-2.8099362508999999</v>
      </c>
      <c r="P63" s="58">
        <f t="shared" si="7"/>
        <v>-3.7743258476000001</v>
      </c>
      <c r="Q63" s="59">
        <f t="shared" si="8"/>
        <v>8.4969358443999994</v>
      </c>
    </row>
    <row r="64" spans="6:27" ht="19.5">
      <c r="I64" s="47">
        <f t="shared" si="2"/>
        <v>4</v>
      </c>
      <c r="J64" s="46"/>
      <c r="K64" s="57">
        <f t="shared" si="3"/>
        <v>88.527884762799999</v>
      </c>
      <c r="L64" s="58">
        <f t="shared" si="4"/>
        <v>70.405915975400006</v>
      </c>
      <c r="M64" s="58">
        <f t="shared" si="5"/>
        <v>143.95444018183792</v>
      </c>
      <c r="N64" s="58">
        <f t="shared" si="6"/>
        <v>2.8182967755999999</v>
      </c>
      <c r="O64" s="58">
        <f t="shared" si="6"/>
        <v>-2.4672385182000003</v>
      </c>
      <c r="P64" s="58">
        <f t="shared" si="7"/>
        <v>-2.3666043282000002</v>
      </c>
      <c r="Q64" s="59">
        <f t="shared" si="8"/>
        <v>3.5541152953999999</v>
      </c>
    </row>
    <row r="65" spans="9:17" ht="20.25" thickBot="1">
      <c r="I65" s="47">
        <f t="shared" si="2"/>
        <v>4</v>
      </c>
      <c r="J65" s="46"/>
      <c r="K65" s="69">
        <f t="shared" si="3"/>
        <v>85.637941291600001</v>
      </c>
      <c r="L65" s="70">
        <f t="shared" si="4"/>
        <v>64.218169977400009</v>
      </c>
      <c r="M65" s="70">
        <f t="shared" si="5"/>
        <v>153.70066048853795</v>
      </c>
      <c r="N65" s="70">
        <f t="shared" si="6"/>
        <v>-6.5296739909000001</v>
      </c>
      <c r="O65" s="70">
        <f t="shared" si="6"/>
        <v>1.0099464630999999</v>
      </c>
      <c r="P65" s="70">
        <f t="shared" si="7"/>
        <v>-6.1139290332999998</v>
      </c>
      <c r="Q65" s="71">
        <f t="shared" si="8"/>
        <v>4.8225102424999999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2111.9868248551002</v>
      </c>
      <c r="R2">
        <v>1515.6890893360001</v>
      </c>
      <c r="S2">
        <v>-0.51317514490000005</v>
      </c>
      <c r="T2">
        <v>-3.1890893359999999</v>
      </c>
      <c r="U2">
        <v>3.2301144751000002</v>
      </c>
      <c r="V2">
        <v>735.06799999999998</v>
      </c>
      <c r="W2">
        <v>391.99459999999999</v>
      </c>
      <c r="X2">
        <v>395.36489999999998</v>
      </c>
      <c r="Y2">
        <v>392.4991</v>
      </c>
      <c r="Z2">
        <v>389.49540000000002</v>
      </c>
      <c r="AA2">
        <v>563.70325000000003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2107.0080094519999</v>
      </c>
      <c r="R3">
        <v>1515.5382075442999</v>
      </c>
      <c r="S3">
        <v>-5.4919905480000004</v>
      </c>
      <c r="T3">
        <v>-3.0382075443000001</v>
      </c>
      <c r="U3">
        <v>6.2763576428999999</v>
      </c>
      <c r="V3">
        <v>727.37620000000004</v>
      </c>
      <c r="W3">
        <v>388.01389999999998</v>
      </c>
      <c r="X3">
        <v>392.62950000000001</v>
      </c>
      <c r="Y3">
        <v>391.22949999999997</v>
      </c>
      <c r="Z3">
        <v>385.59429999999998</v>
      </c>
      <c r="AA3">
        <v>558.37149999999997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546</v>
      </c>
      <c r="B4" t="s">
        <v>547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2107.6902897958998</v>
      </c>
      <c r="R4">
        <v>1510.0511852324</v>
      </c>
      <c r="S4">
        <v>-4.8097102040999999</v>
      </c>
      <c r="T4">
        <v>2.4488147676000001</v>
      </c>
      <c r="U4">
        <v>5.3972220645000002</v>
      </c>
      <c r="V4">
        <v>728.92150000000004</v>
      </c>
      <c r="W4">
        <v>393.75290000000001</v>
      </c>
      <c r="X4">
        <v>390.50630000000001</v>
      </c>
      <c r="Y4">
        <v>392.49900000000002</v>
      </c>
      <c r="Z4">
        <v>388.95119999999997</v>
      </c>
      <c r="AA4">
        <v>560.17442500000004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562</v>
      </c>
      <c r="B5" t="s">
        <v>563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564</v>
      </c>
      <c r="K5" t="s">
        <v>565</v>
      </c>
      <c r="L5" t="s">
        <v>566</v>
      </c>
      <c r="M5" t="s">
        <v>567</v>
      </c>
      <c r="N5" t="s">
        <v>568</v>
      </c>
      <c r="O5">
        <v>0</v>
      </c>
      <c r="P5">
        <v>0</v>
      </c>
      <c r="Q5">
        <v>2117.0514644759</v>
      </c>
      <c r="R5">
        <v>1517.5753302657999</v>
      </c>
      <c r="S5">
        <v>4.5514644758999996</v>
      </c>
      <c r="T5">
        <v>-5.0753302657999999</v>
      </c>
      <c r="U5">
        <v>6.8172432979000002</v>
      </c>
      <c r="V5">
        <v>734.49159999999995</v>
      </c>
      <c r="W5">
        <v>394.17489999999998</v>
      </c>
      <c r="X5">
        <v>392.97829999999999</v>
      </c>
      <c r="Y5">
        <v>390.24610000000001</v>
      </c>
      <c r="Z5">
        <v>392.05880000000002</v>
      </c>
      <c r="AA5">
        <v>563.42806250000001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574</v>
      </c>
      <c r="B6" t="s">
        <v>575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2114.2533994706</v>
      </c>
      <c r="R6">
        <v>1517.0016483267</v>
      </c>
      <c r="S6">
        <v>1.7533994706</v>
      </c>
      <c r="T6">
        <v>-4.5016483266999998</v>
      </c>
      <c r="U6">
        <v>4.8310710366</v>
      </c>
      <c r="V6">
        <v>732.0326</v>
      </c>
      <c r="W6">
        <v>389.99360000000001</v>
      </c>
      <c r="X6">
        <v>393.14089999999999</v>
      </c>
      <c r="Y6">
        <v>389.31670000000003</v>
      </c>
      <c r="Z6">
        <v>390.69830000000002</v>
      </c>
      <c r="AA6">
        <v>561.40998750000006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581</v>
      </c>
      <c r="B7" t="s">
        <v>582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2111.1996591595998</v>
      </c>
      <c r="R7">
        <v>1514.8067837459</v>
      </c>
      <c r="S7">
        <v>-1.3003408404000001</v>
      </c>
      <c r="T7">
        <v>-2.3067837458999998</v>
      </c>
      <c r="U7">
        <v>2.6480440992999998</v>
      </c>
      <c r="V7">
        <v>722.25429999999994</v>
      </c>
      <c r="W7">
        <v>385.303</v>
      </c>
      <c r="X7">
        <v>386.48439999999999</v>
      </c>
      <c r="Y7">
        <v>385.10120000000001</v>
      </c>
      <c r="Z7">
        <v>383.41739999999999</v>
      </c>
      <c r="AA7">
        <v>553.66539999999998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598</v>
      </c>
      <c r="B8" t="s">
        <v>599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2115.7589657167</v>
      </c>
      <c r="R8">
        <v>1513.4996244269</v>
      </c>
      <c r="S8">
        <v>3.2589657167000001</v>
      </c>
      <c r="T8">
        <v>-0.99962442689999997</v>
      </c>
      <c r="U8">
        <v>3.4088277365000001</v>
      </c>
      <c r="V8">
        <v>740.596</v>
      </c>
      <c r="W8">
        <v>397.03949999999998</v>
      </c>
      <c r="X8">
        <v>398.42410000000001</v>
      </c>
      <c r="Y8">
        <v>395.35680000000002</v>
      </c>
      <c r="Z8">
        <v>395.87520000000001</v>
      </c>
      <c r="AA8">
        <v>568.63495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611</v>
      </c>
      <c r="B9" t="s">
        <v>612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2114.4105610436</v>
      </c>
      <c r="R9">
        <v>1509.8483883059</v>
      </c>
      <c r="S9">
        <v>1.9105610436</v>
      </c>
      <c r="T9">
        <v>2.6516116941000001</v>
      </c>
      <c r="U9">
        <v>3.2682239944</v>
      </c>
      <c r="V9">
        <v>722.32370000000003</v>
      </c>
      <c r="W9">
        <v>391.20370000000003</v>
      </c>
      <c r="X9">
        <v>388.06229999999999</v>
      </c>
      <c r="Y9">
        <v>390.37819999999999</v>
      </c>
      <c r="Z9">
        <v>387.29629999999997</v>
      </c>
      <c r="AA9">
        <v>555.77941250000003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618</v>
      </c>
      <c r="B10" t="s">
        <v>619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2107.5723379770998</v>
      </c>
      <c r="R10">
        <v>1511.1577382011999</v>
      </c>
      <c r="S10">
        <v>-4.9276620228999999</v>
      </c>
      <c r="T10">
        <v>1.3422617988000001</v>
      </c>
      <c r="U10">
        <v>5.1072027322000002</v>
      </c>
      <c r="V10">
        <v>721.14840000000004</v>
      </c>
      <c r="W10">
        <v>387.39839999999998</v>
      </c>
      <c r="X10">
        <v>387.92039999999997</v>
      </c>
      <c r="Y10">
        <v>387.4907</v>
      </c>
      <c r="Z10">
        <v>383.66730000000001</v>
      </c>
      <c r="AA10">
        <v>553.88379999999995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630</v>
      </c>
      <c r="B11" t="s">
        <v>631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2109.7985044781999</v>
      </c>
      <c r="R11">
        <v>1519.3099362508999</v>
      </c>
      <c r="S11">
        <v>-2.7014955218000001</v>
      </c>
      <c r="T11">
        <v>-6.8099362508999999</v>
      </c>
      <c r="U11">
        <v>7.3262070538000001</v>
      </c>
      <c r="V11">
        <v>737.76890000000003</v>
      </c>
      <c r="W11">
        <v>394.16910000000001</v>
      </c>
      <c r="X11">
        <v>397.46589999999998</v>
      </c>
      <c r="Y11">
        <v>393.30950000000001</v>
      </c>
      <c r="Z11">
        <v>392.10919999999999</v>
      </c>
      <c r="AA11">
        <v>566.01616249999995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647</v>
      </c>
      <c r="B12" t="s">
        <v>648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2115.3182967756002</v>
      </c>
      <c r="R12">
        <v>1518.9672385182</v>
      </c>
      <c r="S12">
        <v>2.8182967755999999</v>
      </c>
      <c r="T12">
        <v>-6.4672385182000003</v>
      </c>
      <c r="U12">
        <v>7.0546417886999997</v>
      </c>
      <c r="V12">
        <v>733.84320000000002</v>
      </c>
      <c r="W12">
        <v>391.48469999999998</v>
      </c>
      <c r="X12">
        <v>396.62619999999998</v>
      </c>
      <c r="Y12">
        <v>392.39870000000002</v>
      </c>
      <c r="Z12">
        <v>391.50549999999998</v>
      </c>
      <c r="AA12">
        <v>563.42348749999996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659</v>
      </c>
      <c r="B13" t="s">
        <v>660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2105.9703260091001</v>
      </c>
      <c r="R13">
        <v>1515.4900535368999</v>
      </c>
      <c r="S13">
        <v>-6.5296739909000001</v>
      </c>
      <c r="T13">
        <v>-2.9900535369000001</v>
      </c>
      <c r="U13">
        <v>7.1817172445999997</v>
      </c>
      <c r="V13">
        <v>724.9615</v>
      </c>
      <c r="W13">
        <v>387.8657</v>
      </c>
      <c r="X13">
        <v>388.68209999999999</v>
      </c>
      <c r="Y13">
        <v>387.73349999999999</v>
      </c>
      <c r="Z13">
        <v>382.40379999999999</v>
      </c>
      <c r="AA13">
        <v>555.81638750000002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3.5107100000000001E-5</v>
      </c>
      <c r="R2">
        <v>0.79312086110000002</v>
      </c>
      <c r="S2">
        <v>7.4994616507999998</v>
      </c>
      <c r="T2">
        <v>0.35713505740000001</v>
      </c>
      <c r="U2">
        <v>5.2118568420000004</v>
      </c>
      <c r="V2">
        <v>-3.4309718609000002</v>
      </c>
      <c r="W2">
        <v>1.8538084029999999</v>
      </c>
      <c r="X2">
        <v>3.2966756821000001</v>
      </c>
      <c r="Y2">
        <v>1.7886424064999999</v>
      </c>
      <c r="Z2">
        <v>0.54071629050000003</v>
      </c>
      <c r="AA2">
        <v>2.0261416434999999</v>
      </c>
      <c r="AB2">
        <v>-2.1934132576000001</v>
      </c>
      <c r="AC2">
        <v>4.1074156799999997E-2</v>
      </c>
      <c r="AD2">
        <v>-1.4102864264999999</v>
      </c>
      <c r="AE2">
        <v>-2.4610886573999999</v>
      </c>
      <c r="AF2">
        <v>-0.49332627649999999</v>
      </c>
      <c r="AG2">
        <v>-0.5739135742</v>
      </c>
      <c r="AH2">
        <v>-0.76863873000000005</v>
      </c>
      <c r="AI2">
        <v>2.2385597199999999E-2</v>
      </c>
      <c r="AJ2">
        <v>-6.2546804499999997E-2</v>
      </c>
      <c r="AK2">
        <v>2.1224629999999999E-4</v>
      </c>
      <c r="AL2">
        <v>4.74637225E-2</v>
      </c>
      <c r="AM2">
        <v>3.5783067299999999E-2</v>
      </c>
      <c r="AN2">
        <v>0.149853453</v>
      </c>
      <c r="AO2">
        <v>0.149853453</v>
      </c>
      <c r="AP2">
        <v>0.149853453</v>
      </c>
      <c r="AQ2">
        <v>7.5412840917999997</v>
      </c>
      <c r="AR2" t="s">
        <v>262</v>
      </c>
      <c r="AS2" t="s">
        <v>263</v>
      </c>
      <c r="AT2">
        <v>4</v>
      </c>
      <c r="AU2">
        <v>2.9</v>
      </c>
      <c r="AX2">
        <v>1</v>
      </c>
    </row>
    <row r="3" spans="1:50">
      <c r="A3" t="s">
        <v>553</v>
      </c>
      <c r="B3" t="s">
        <v>554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-3.7431700000000003E-5</v>
      </c>
      <c r="R3">
        <v>6.5934462546999999</v>
      </c>
      <c r="S3">
        <v>3.7908020019999999</v>
      </c>
      <c r="T3">
        <v>-1.6615557671000001</v>
      </c>
      <c r="U3">
        <v>4.5699863434000001</v>
      </c>
      <c r="V3">
        <v>-2.6695556640999998</v>
      </c>
      <c r="W3">
        <v>1.2435407639</v>
      </c>
      <c r="X3">
        <v>1.1269264220999999</v>
      </c>
      <c r="Y3">
        <v>1.3676003217999999</v>
      </c>
      <c r="Z3">
        <v>-0.76699155569999999</v>
      </c>
      <c r="AA3">
        <v>0.60030889509999996</v>
      </c>
      <c r="AB3">
        <v>-1.2809004784</v>
      </c>
      <c r="AC3">
        <v>0.88097417349999996</v>
      </c>
      <c r="AD3">
        <v>-1.3866462708</v>
      </c>
      <c r="AE3">
        <v>-1.0521601438999999</v>
      </c>
      <c r="AF3">
        <v>-0.26496681570000002</v>
      </c>
      <c r="AG3">
        <v>0.28686943650000002</v>
      </c>
      <c r="AH3">
        <v>-0.93568646909999997</v>
      </c>
      <c r="AI3">
        <v>0.67685675619999996</v>
      </c>
      <c r="AJ3">
        <v>0.41869843010000002</v>
      </c>
      <c r="AK3">
        <v>1.7874890000000001E-4</v>
      </c>
      <c r="AL3">
        <v>4.23706472E-2</v>
      </c>
      <c r="AM3">
        <v>0.1176764369</v>
      </c>
      <c r="AN3">
        <v>8.8359266500000005E-2</v>
      </c>
      <c r="AO3">
        <v>0.13384838399999999</v>
      </c>
      <c r="AP3">
        <v>0.13384838399999999</v>
      </c>
      <c r="AQ3">
        <v>7.605505462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556</v>
      </c>
      <c r="B4" t="s">
        <v>569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-2.5749200000000001E-5</v>
      </c>
      <c r="R4">
        <v>6.2476611137000004</v>
      </c>
      <c r="S4">
        <v>9.9591808318999995</v>
      </c>
      <c r="T4">
        <v>1.82704926E-2</v>
      </c>
      <c r="U4">
        <v>3.5446405399999999E-2</v>
      </c>
      <c r="V4">
        <v>-7.3322091103</v>
      </c>
      <c r="W4">
        <v>3.0111207962000002</v>
      </c>
      <c r="X4">
        <v>-1.5814257860000001</v>
      </c>
      <c r="Y4">
        <v>1.5071613789</v>
      </c>
      <c r="Z4">
        <v>1.3097939490999999</v>
      </c>
      <c r="AA4">
        <v>0.48531413080000002</v>
      </c>
      <c r="AB4">
        <v>-0.90510487559999997</v>
      </c>
      <c r="AC4">
        <v>1.6381716728</v>
      </c>
      <c r="AD4">
        <v>-1.5255627631999999</v>
      </c>
      <c r="AE4">
        <v>-0.47193384170000002</v>
      </c>
      <c r="AF4">
        <v>-0.43815264110000002</v>
      </c>
      <c r="AG4">
        <v>-0.96393060679999998</v>
      </c>
      <c r="AH4">
        <v>-0.44742655749999999</v>
      </c>
      <c r="AI4">
        <v>-0.9199761152</v>
      </c>
      <c r="AJ4">
        <v>0.31455791</v>
      </c>
      <c r="AK4">
        <v>1.9711260000000001E-4</v>
      </c>
      <c r="AL4">
        <v>4.7730281899999998E-2</v>
      </c>
      <c r="AM4">
        <v>0.12697428459999999</v>
      </c>
      <c r="AN4">
        <v>0.24220630530000001</v>
      </c>
      <c r="AO4">
        <v>0.24220630530000001</v>
      </c>
      <c r="AP4">
        <v>0.24220630530000001</v>
      </c>
      <c r="AQ4">
        <v>11.756638645200001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588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564</v>
      </c>
      <c r="K5" t="s">
        <v>565</v>
      </c>
      <c r="L5" t="s">
        <v>566</v>
      </c>
      <c r="M5" t="s">
        <v>567</v>
      </c>
      <c r="N5" t="s">
        <v>568</v>
      </c>
      <c r="O5">
        <v>0</v>
      </c>
      <c r="P5">
        <v>0</v>
      </c>
      <c r="Q5">
        <v>-5.3643999999999998E-6</v>
      </c>
      <c r="R5">
        <v>1.1980352402000001</v>
      </c>
      <c r="S5">
        <v>10.6329956055</v>
      </c>
      <c r="T5">
        <v>0.62749755380000005</v>
      </c>
      <c r="U5">
        <v>8.0532302855999998</v>
      </c>
      <c r="V5">
        <v>-6.6861362457000002</v>
      </c>
      <c r="W5">
        <v>2.0572447776999998</v>
      </c>
      <c r="X5">
        <v>0.79557740690000001</v>
      </c>
      <c r="Y5">
        <v>1.2350963354</v>
      </c>
      <c r="Z5">
        <v>1.2945113182000001</v>
      </c>
      <c r="AA5">
        <v>0.39255201820000002</v>
      </c>
      <c r="AB5">
        <v>-1.8369954824000001</v>
      </c>
      <c r="AC5">
        <v>1.5583838224</v>
      </c>
      <c r="AD5">
        <v>-1.0013046265000001</v>
      </c>
      <c r="AE5">
        <v>-1.3308248519999999</v>
      </c>
      <c r="AF5">
        <v>-7.8842997600000006E-2</v>
      </c>
      <c r="AG5">
        <v>0.60576850179999997</v>
      </c>
      <c r="AH5">
        <v>-4.4821381600000001E-2</v>
      </c>
      <c r="AI5">
        <v>-0.42418962719999997</v>
      </c>
      <c r="AJ5">
        <v>0.10968980189999999</v>
      </c>
      <c r="AK5">
        <v>1.6815220000000001E-4</v>
      </c>
      <c r="AL5">
        <v>4.1463024899999999E-2</v>
      </c>
      <c r="AM5">
        <v>0.10563516620000001</v>
      </c>
      <c r="AN5">
        <v>0.2380584627</v>
      </c>
      <c r="AO5">
        <v>0.2380584627</v>
      </c>
      <c r="AP5">
        <v>0.2380584627</v>
      </c>
      <c r="AQ5">
        <v>10.700274948900001</v>
      </c>
      <c r="AR5" t="s">
        <v>262</v>
      </c>
      <c r="AS5" t="s">
        <v>263</v>
      </c>
      <c r="AT5">
        <v>4</v>
      </c>
      <c r="AU5">
        <v>2.9</v>
      </c>
      <c r="AX5">
        <v>1</v>
      </c>
    </row>
    <row r="6" spans="1:50">
      <c r="A6" t="s">
        <v>589</v>
      </c>
      <c r="B6" t="s">
        <v>590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-2.2649800000000001E-5</v>
      </c>
      <c r="R6">
        <v>4.3794279099000004</v>
      </c>
      <c r="S6">
        <v>-0.48270195719999998</v>
      </c>
      <c r="T6">
        <v>-2.7694571018</v>
      </c>
      <c r="U6">
        <v>5.1770124434999998</v>
      </c>
      <c r="V6">
        <v>-1.2342237234</v>
      </c>
      <c r="W6">
        <v>1.8189054728</v>
      </c>
      <c r="X6">
        <v>4.4830036163000004</v>
      </c>
      <c r="Y6">
        <v>2.3695397376999998</v>
      </c>
      <c r="Z6">
        <v>-1.1212817429999999</v>
      </c>
      <c r="AA6">
        <v>0.3660140932</v>
      </c>
      <c r="AB6">
        <v>-1.1213800907</v>
      </c>
      <c r="AC6">
        <v>0.44108134510000002</v>
      </c>
      <c r="AD6">
        <v>-1.4453314543</v>
      </c>
      <c r="AE6">
        <v>-2.7335419655000002</v>
      </c>
      <c r="AF6">
        <v>-0.42746514079999998</v>
      </c>
      <c r="AG6">
        <v>0.59041613339999999</v>
      </c>
      <c r="AH6">
        <v>0.21745090189999999</v>
      </c>
      <c r="AI6">
        <v>0.40620529649999998</v>
      </c>
      <c r="AJ6">
        <v>0.39741650220000002</v>
      </c>
      <c r="AK6">
        <v>1.5758260000000001E-4</v>
      </c>
      <c r="AL6">
        <v>4.0068812699999998E-2</v>
      </c>
      <c r="AM6">
        <v>7.2324827300000005E-2</v>
      </c>
      <c r="AN6">
        <v>0.10688763110000001</v>
      </c>
      <c r="AO6">
        <v>0.12651643160000001</v>
      </c>
      <c r="AP6">
        <v>0.1450005174</v>
      </c>
      <c r="AQ6">
        <v>4.4059493865999997</v>
      </c>
      <c r="AR6" t="s">
        <v>262</v>
      </c>
      <c r="AS6" t="s">
        <v>263</v>
      </c>
      <c r="AT6">
        <v>4</v>
      </c>
      <c r="AU6">
        <v>2.9</v>
      </c>
      <c r="AX6">
        <v>1</v>
      </c>
    </row>
    <row r="7" spans="1:50">
      <c r="A7" t="s">
        <v>592</v>
      </c>
      <c r="B7" t="s">
        <v>605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-1.19805E-5</v>
      </c>
      <c r="R7">
        <v>0.20869135859999999</v>
      </c>
      <c r="S7">
        <v>4.2822360992000004</v>
      </c>
      <c r="T7">
        <v>2.3915777206</v>
      </c>
      <c r="U7">
        <v>6.9603371620000001</v>
      </c>
      <c r="V7">
        <v>-5.5763936042999998</v>
      </c>
      <c r="W7">
        <v>1.6141415833999999</v>
      </c>
      <c r="X7">
        <v>1.7651097775</v>
      </c>
      <c r="Y7">
        <v>0.2279001474</v>
      </c>
      <c r="Z7">
        <v>0.1950056553</v>
      </c>
      <c r="AA7">
        <v>0.99775207040000002</v>
      </c>
      <c r="AB7">
        <v>-2.0960755348000002</v>
      </c>
      <c r="AC7">
        <v>1.1421915293</v>
      </c>
      <c r="AD7">
        <v>-0.73759824039999999</v>
      </c>
      <c r="AE7">
        <v>-1.5348423718999999</v>
      </c>
      <c r="AF7">
        <v>9.6912697000000006E-2</v>
      </c>
      <c r="AG7">
        <v>-9.6146017299999997E-2</v>
      </c>
      <c r="AH7">
        <v>-0.36009132859999998</v>
      </c>
      <c r="AI7">
        <v>-5.6861639E-3</v>
      </c>
      <c r="AJ7">
        <v>0.24048900600000001</v>
      </c>
      <c r="AK7">
        <v>1.206177E-4</v>
      </c>
      <c r="AL7">
        <v>3.60608548E-2</v>
      </c>
      <c r="AM7">
        <v>8.0397345100000003E-2</v>
      </c>
      <c r="AN7">
        <v>0.1347904056</v>
      </c>
      <c r="AO7">
        <v>0.15686501559999999</v>
      </c>
      <c r="AP7">
        <v>0.15686501559999999</v>
      </c>
      <c r="AQ7">
        <v>4.2873182868999997</v>
      </c>
      <c r="AR7" t="s">
        <v>262</v>
      </c>
      <c r="AS7" t="s">
        <v>263</v>
      </c>
      <c r="AT7">
        <v>4</v>
      </c>
      <c r="AU7">
        <v>2.9</v>
      </c>
      <c r="AX7">
        <v>1</v>
      </c>
    </row>
    <row r="8" spans="1:50">
      <c r="A8" t="s">
        <v>606</v>
      </c>
      <c r="B8" t="s">
        <v>610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3.7670099999999997E-5</v>
      </c>
      <c r="R8">
        <v>5.1700935363999996</v>
      </c>
      <c r="S8">
        <v>5.0206480025999998</v>
      </c>
      <c r="T8">
        <v>1.9907537699</v>
      </c>
      <c r="U8">
        <v>7.7709255218999997</v>
      </c>
      <c r="V8">
        <v>-5.238492012</v>
      </c>
      <c r="W8">
        <v>0.19980561729999999</v>
      </c>
      <c r="X8">
        <v>2.6246383190000002</v>
      </c>
      <c r="Y8">
        <v>0.57643735409999997</v>
      </c>
      <c r="Z8">
        <v>1.4920476675000001</v>
      </c>
      <c r="AA8">
        <v>1.0899727345000001</v>
      </c>
      <c r="AB8">
        <v>-1.7905807494999999</v>
      </c>
      <c r="AC8">
        <v>0.9643200636</v>
      </c>
      <c r="AD8">
        <v>-0.4478414953</v>
      </c>
      <c r="AE8">
        <v>-2.0304899216000001</v>
      </c>
      <c r="AF8">
        <v>-9.7183764000000006E-2</v>
      </c>
      <c r="AG8">
        <v>0.2594862282</v>
      </c>
      <c r="AH8">
        <v>-0.39646047350000002</v>
      </c>
      <c r="AI8">
        <v>-0.68993467090000005</v>
      </c>
      <c r="AJ8">
        <v>-0.50180697439999999</v>
      </c>
      <c r="AK8">
        <v>2.0042850000000001E-4</v>
      </c>
      <c r="AL8">
        <v>4.5319996799999998E-2</v>
      </c>
      <c r="AM8">
        <v>9.8842799699999997E-2</v>
      </c>
      <c r="AN8">
        <v>0.1421726942</v>
      </c>
      <c r="AO8">
        <v>0.20435124639999999</v>
      </c>
      <c r="AP8">
        <v>0.20435124639999999</v>
      </c>
      <c r="AQ8">
        <v>7.2067172513999997</v>
      </c>
      <c r="AR8" t="s">
        <v>262</v>
      </c>
      <c r="AS8" t="s">
        <v>263</v>
      </c>
      <c r="AT8">
        <v>3</v>
      </c>
      <c r="AU8">
        <v>2.9</v>
      </c>
      <c r="AX8">
        <v>1</v>
      </c>
    </row>
    <row r="9" spans="1:50">
      <c r="A9" t="s">
        <v>625</v>
      </c>
      <c r="B9" t="s">
        <v>626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-1.63913E-5</v>
      </c>
      <c r="R9">
        <v>-1.5696102381000001</v>
      </c>
      <c r="S9">
        <v>2.1058583259999999</v>
      </c>
      <c r="T9">
        <v>-0.3760786653</v>
      </c>
      <c r="U9">
        <v>4.4719629288</v>
      </c>
      <c r="V9">
        <v>-1.2063183784</v>
      </c>
      <c r="W9">
        <v>2.4505264758999998</v>
      </c>
      <c r="X9">
        <v>2.438931942</v>
      </c>
      <c r="Y9">
        <v>1.379619956</v>
      </c>
      <c r="Z9">
        <v>0.16636395449999999</v>
      </c>
      <c r="AA9">
        <v>0.45471513270000002</v>
      </c>
      <c r="AB9">
        <v>-0.81315010789999997</v>
      </c>
      <c r="AC9">
        <v>-0.31785258649999998</v>
      </c>
      <c r="AD9">
        <v>-1.2430232763</v>
      </c>
      <c r="AE9">
        <v>-1.6963112354000001</v>
      </c>
      <c r="AF9">
        <v>-0.17309623960000001</v>
      </c>
      <c r="AG9">
        <v>-0.29262256619999999</v>
      </c>
      <c r="AH9">
        <v>-9.0117305499999995E-2</v>
      </c>
      <c r="AI9">
        <v>-0.11078798770000001</v>
      </c>
      <c r="AJ9">
        <v>0.28397971389999999</v>
      </c>
      <c r="AK9">
        <v>1.2652179999999999E-4</v>
      </c>
      <c r="AL9">
        <v>3.6790430499999999E-2</v>
      </c>
      <c r="AM9">
        <v>6.6146589800000002E-2</v>
      </c>
      <c r="AN9">
        <v>4.35676277E-2</v>
      </c>
      <c r="AO9">
        <v>9.7000092299999993E-2</v>
      </c>
      <c r="AP9">
        <v>9.7000092299999993E-2</v>
      </c>
      <c r="AQ9">
        <v>2.6264644654999998</v>
      </c>
      <c r="AR9" t="s">
        <v>262</v>
      </c>
      <c r="AS9" t="s">
        <v>263</v>
      </c>
      <c r="AT9">
        <v>3</v>
      </c>
      <c r="AU9">
        <v>2.9</v>
      </c>
      <c r="AX9">
        <v>1</v>
      </c>
    </row>
    <row r="10" spans="1:50">
      <c r="A10" t="s">
        <v>637</v>
      </c>
      <c r="B10" t="s">
        <v>638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-1.0728999999999999E-6</v>
      </c>
      <c r="R10">
        <v>3.1089417934000001</v>
      </c>
      <c r="S10">
        <v>2.0939433575000002</v>
      </c>
      <c r="T10">
        <v>2.8135395050000001</v>
      </c>
      <c r="U10">
        <v>6.3557009697</v>
      </c>
      <c r="V10">
        <v>-8.2621488570999997</v>
      </c>
      <c r="W10">
        <v>1.2384153604999999</v>
      </c>
      <c r="X10">
        <v>4.7637367249000002</v>
      </c>
      <c r="Y10">
        <v>0.72773063179999997</v>
      </c>
      <c r="Z10">
        <v>-1.3073172569</v>
      </c>
      <c r="AA10">
        <v>1.1926630734999999</v>
      </c>
      <c r="AB10">
        <v>-2.0398812294000002</v>
      </c>
      <c r="AC10">
        <v>2.1759419440999999</v>
      </c>
      <c r="AD10">
        <v>-1.5634326935</v>
      </c>
      <c r="AE10">
        <v>-2.3365275859999999</v>
      </c>
      <c r="AF10">
        <v>-0.25655555730000001</v>
      </c>
      <c r="AG10">
        <v>-0.80846977229999994</v>
      </c>
      <c r="AH10">
        <v>6.0421109200000003E-2</v>
      </c>
      <c r="AI10">
        <v>0.25793552400000003</v>
      </c>
      <c r="AJ10">
        <v>-0.78088426590000004</v>
      </c>
      <c r="AK10">
        <v>1.7900739999999999E-4</v>
      </c>
      <c r="AL10">
        <v>4.2501315499999998E-2</v>
      </c>
      <c r="AM10">
        <v>0.1666671783</v>
      </c>
      <c r="AN10">
        <v>0.1523290873</v>
      </c>
      <c r="AO10">
        <v>0.1666671783</v>
      </c>
      <c r="AP10">
        <v>0.1666671783</v>
      </c>
      <c r="AQ10">
        <v>3.7483486842999998</v>
      </c>
      <c r="AR10" t="s">
        <v>262</v>
      </c>
      <c r="AS10" t="s">
        <v>263</v>
      </c>
      <c r="AT10">
        <v>3</v>
      </c>
      <c r="AU10">
        <v>2.9</v>
      </c>
      <c r="AX10">
        <v>1</v>
      </c>
    </row>
    <row r="11" spans="1:50">
      <c r="A11" t="s">
        <v>644</v>
      </c>
      <c r="B11" t="s">
        <v>645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3.0398000000000001E-6</v>
      </c>
      <c r="R11">
        <v>3.2256741523999999</v>
      </c>
      <c r="S11">
        <v>11.496935844399999</v>
      </c>
      <c r="T11">
        <v>1.9205741882</v>
      </c>
      <c r="U11">
        <v>10.0390872955</v>
      </c>
      <c r="V11">
        <v>-2.1585147381000001</v>
      </c>
      <c r="W11">
        <v>1.6890200377</v>
      </c>
      <c r="X11">
        <v>1.0298923254000001</v>
      </c>
      <c r="Y11">
        <v>1.016866684</v>
      </c>
      <c r="Z11">
        <v>-1.9973989725000001</v>
      </c>
      <c r="AA11">
        <v>0.88344836240000002</v>
      </c>
      <c r="AB11">
        <v>-3.2720673084</v>
      </c>
      <c r="AC11">
        <v>0.67112004759999999</v>
      </c>
      <c r="AD11">
        <v>-1.7041540146</v>
      </c>
      <c r="AE11">
        <v>-1.1851904391999999</v>
      </c>
      <c r="AF11">
        <v>-2.4169743099999998E-2</v>
      </c>
      <c r="AG11">
        <v>0.5133052468</v>
      </c>
      <c r="AH11">
        <v>1.7484426E-3</v>
      </c>
      <c r="AI11">
        <v>1.1154465675</v>
      </c>
      <c r="AJ11">
        <v>-0.1764277816</v>
      </c>
      <c r="AK11">
        <v>2.2920460000000001E-4</v>
      </c>
      <c r="AL11">
        <v>4.9892619300000003E-2</v>
      </c>
      <c r="AM11">
        <v>9.1685965699999997E-2</v>
      </c>
      <c r="AN11">
        <v>0.18669097130000001</v>
      </c>
      <c r="AO11">
        <v>0.26794725660000002</v>
      </c>
      <c r="AP11">
        <v>0.26794725660000002</v>
      </c>
      <c r="AQ11">
        <v>11.9408754934</v>
      </c>
      <c r="AR11" t="s">
        <v>262</v>
      </c>
      <c r="AS11" t="s">
        <v>263</v>
      </c>
      <c r="AT11">
        <v>4</v>
      </c>
      <c r="AU11">
        <v>2.9</v>
      </c>
      <c r="AX11">
        <v>1</v>
      </c>
    </row>
    <row r="12" spans="1:50">
      <c r="A12" t="s">
        <v>654</v>
      </c>
      <c r="B12" t="s">
        <v>655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-3.7193300000000002E-5</v>
      </c>
      <c r="R12">
        <v>4.6333956717999998</v>
      </c>
      <c r="S12">
        <v>6.5541152953999999</v>
      </c>
      <c r="T12">
        <v>2.7716939449</v>
      </c>
      <c r="U12">
        <v>5.8533029556000002</v>
      </c>
      <c r="V12">
        <v>-4.8026971817000002</v>
      </c>
      <c r="W12">
        <v>2.6353769302000001</v>
      </c>
      <c r="X12">
        <v>0.1345105171</v>
      </c>
      <c r="Y12">
        <v>0.78904980420000004</v>
      </c>
      <c r="Z12">
        <v>-0.54253667589999999</v>
      </c>
      <c r="AA12">
        <v>-7.6851606399999994E-2</v>
      </c>
      <c r="AB12">
        <v>-2.2871680259999998</v>
      </c>
      <c r="AC12">
        <v>0.29944914579999998</v>
      </c>
      <c r="AD12">
        <v>-2.2816734313999998</v>
      </c>
      <c r="AE12">
        <v>-1.1331976652</v>
      </c>
      <c r="AF12">
        <v>-0.55907386540000004</v>
      </c>
      <c r="AG12">
        <v>-0.36306560040000002</v>
      </c>
      <c r="AH12">
        <v>-0.44832998509999999</v>
      </c>
      <c r="AI12">
        <v>0.19651347399999999</v>
      </c>
      <c r="AJ12">
        <v>8.4031403099999999E-2</v>
      </c>
      <c r="AK12">
        <v>2.1363320000000001E-4</v>
      </c>
      <c r="AL12">
        <v>4.7814704499999999E-2</v>
      </c>
      <c r="AM12">
        <v>0.1069030985</v>
      </c>
      <c r="AN12">
        <v>0.15535429119999999</v>
      </c>
      <c r="AO12">
        <v>0.18830725549999999</v>
      </c>
      <c r="AP12">
        <v>0.18830725549999999</v>
      </c>
      <c r="AQ12">
        <v>8.0265050150999997</v>
      </c>
      <c r="AR12" t="s">
        <v>262</v>
      </c>
      <c r="AS12" t="s">
        <v>263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2.3842E-6</v>
      </c>
      <c r="R13">
        <v>0.88607096669999996</v>
      </c>
      <c r="S13">
        <v>7.8225102424999999</v>
      </c>
      <c r="T13">
        <v>2.7081403732</v>
      </c>
      <c r="U13">
        <v>5.2564744949</v>
      </c>
      <c r="V13">
        <v>-5.1573758124999998</v>
      </c>
      <c r="W13">
        <v>2.1222951412</v>
      </c>
      <c r="X13">
        <v>1.2363049984000001</v>
      </c>
      <c r="Y13">
        <v>9.1182440500000003E-2</v>
      </c>
      <c r="Z13">
        <v>1.2799007893000001</v>
      </c>
      <c r="AA13">
        <v>1.5604039431000001</v>
      </c>
      <c r="AB13">
        <v>-2.5118093491</v>
      </c>
      <c r="AC13">
        <v>0.77547043559999995</v>
      </c>
      <c r="AD13">
        <v>-1.4175593852999999</v>
      </c>
      <c r="AE13">
        <v>-1.3736810684</v>
      </c>
      <c r="AF13">
        <v>-5.4585099200000001E-2</v>
      </c>
      <c r="AG13">
        <v>-0.28600934150000001</v>
      </c>
      <c r="AH13">
        <v>-0.3787822723</v>
      </c>
      <c r="AI13">
        <v>-0.2084685564</v>
      </c>
      <c r="AJ13">
        <v>-4.7383159399999999E-2</v>
      </c>
      <c r="AK13">
        <v>1.7484590000000001E-4</v>
      </c>
      <c r="AL13">
        <v>4.3512418900000002E-2</v>
      </c>
      <c r="AM13">
        <v>7.7295318200000004E-2</v>
      </c>
      <c r="AN13">
        <v>0.1801384389</v>
      </c>
      <c r="AO13">
        <v>0.1801384389</v>
      </c>
      <c r="AP13">
        <v>0.1801384389</v>
      </c>
      <c r="AQ13">
        <v>7.8725337885000002</v>
      </c>
      <c r="AR13" t="s">
        <v>262</v>
      </c>
      <c r="AS13" t="s">
        <v>263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-8.2111436950000005</v>
      </c>
      <c r="R2">
        <v>-56</v>
      </c>
      <c r="S2">
        <v>91.954470661100004</v>
      </c>
      <c r="T2">
        <v>120.8210001325</v>
      </c>
      <c r="U2">
        <v>3.5503536429999998</v>
      </c>
      <c r="V2">
        <v>3.5957544999999998E-3</v>
      </c>
      <c r="W2">
        <v>-7.8570899999999997E-5</v>
      </c>
      <c r="X2">
        <v>3.3683733224000001</v>
      </c>
      <c r="Y2">
        <v>91.218034081200003</v>
      </c>
      <c r="Z2">
        <v>72.678453954700004</v>
      </c>
      <c r="AA2">
        <v>324.47706374310002</v>
      </c>
      <c r="AB2">
        <v>346.06444558470002</v>
      </c>
      <c r="AC2">
        <v>1</v>
      </c>
      <c r="AF2">
        <v>1</v>
      </c>
    </row>
    <row r="3" spans="1:32">
      <c r="A3" t="s">
        <v>553</v>
      </c>
      <c r="B3" t="s">
        <v>555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-7.0381231672000002</v>
      </c>
      <c r="R3">
        <v>-48</v>
      </c>
      <c r="S3">
        <v>85.753886289700006</v>
      </c>
      <c r="T3">
        <v>111.2808460692</v>
      </c>
      <c r="U3">
        <v>3.6520438382</v>
      </c>
      <c r="V3">
        <v>3.0368716999999998E-3</v>
      </c>
      <c r="W3">
        <v>-7.4985600000000003E-5</v>
      </c>
      <c r="X3">
        <v>3.4310863428</v>
      </c>
      <c r="Y3">
        <v>83.201123617899995</v>
      </c>
      <c r="Z3">
        <v>64.290660273</v>
      </c>
      <c r="AA3">
        <v>334.094590977</v>
      </c>
      <c r="AB3">
        <v>356.10846959380001</v>
      </c>
      <c r="AC3">
        <v>1</v>
      </c>
      <c r="AF3">
        <v>1</v>
      </c>
    </row>
    <row r="4" spans="1:32">
      <c r="A4" t="s">
        <v>556</v>
      </c>
      <c r="B4" t="s">
        <v>557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-9.3841642229000009</v>
      </c>
      <c r="R4">
        <v>-64</v>
      </c>
      <c r="S4">
        <v>84.433420212499996</v>
      </c>
      <c r="T4">
        <v>118.96953101370001</v>
      </c>
      <c r="U4">
        <v>3.7172329372999999</v>
      </c>
      <c r="V4">
        <v>3.1828913999999999E-3</v>
      </c>
      <c r="W4">
        <v>-8.0736399999999995E-5</v>
      </c>
      <c r="X4">
        <v>3.529134564</v>
      </c>
      <c r="Y4">
        <v>84.4146653313</v>
      </c>
      <c r="Z4">
        <v>64.317978954799997</v>
      </c>
      <c r="AA4">
        <v>329.23811833560001</v>
      </c>
      <c r="AB4">
        <v>352.59519743779998</v>
      </c>
      <c r="AC4">
        <v>1</v>
      </c>
      <c r="AF4">
        <v>1</v>
      </c>
    </row>
    <row r="5" spans="1:32">
      <c r="A5" t="s">
        <v>570</v>
      </c>
      <c r="B5" t="s">
        <v>571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564</v>
      </c>
      <c r="K5" t="s">
        <v>565</v>
      </c>
      <c r="L5" t="s">
        <v>566</v>
      </c>
      <c r="M5" t="s">
        <v>567</v>
      </c>
      <c r="N5" t="s">
        <v>568</v>
      </c>
      <c r="O5">
        <v>0</v>
      </c>
      <c r="P5">
        <v>0</v>
      </c>
      <c r="Q5">
        <v>-5.8651026392999999</v>
      </c>
      <c r="R5">
        <v>-40</v>
      </c>
      <c r="S5">
        <v>82.698375302200006</v>
      </c>
      <c r="T5">
        <v>104.09181206860001</v>
      </c>
      <c r="U5">
        <v>3.6692608516999998</v>
      </c>
      <c r="V5">
        <v>3.2503781E-3</v>
      </c>
      <c r="W5">
        <v>-7.6050099999999999E-5</v>
      </c>
      <c r="X5">
        <v>3.4567592459999998</v>
      </c>
      <c r="Y5">
        <v>82.497071244699995</v>
      </c>
      <c r="Z5">
        <v>68.818716364599993</v>
      </c>
      <c r="AA5">
        <v>332.45458947690003</v>
      </c>
      <c r="AB5">
        <v>355.08761444240002</v>
      </c>
      <c r="AC5">
        <v>1</v>
      </c>
      <c r="AF5">
        <v>1</v>
      </c>
    </row>
    <row r="6" spans="1:32">
      <c r="A6" t="s">
        <v>589</v>
      </c>
      <c r="B6" t="s">
        <v>591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-7.0381231672000002</v>
      </c>
      <c r="R6">
        <v>-48</v>
      </c>
      <c r="S6">
        <v>84.287535102600003</v>
      </c>
      <c r="T6">
        <v>109.16296067970001</v>
      </c>
      <c r="U6">
        <v>3.5636463637000002</v>
      </c>
      <c r="V6">
        <v>3.6320708000000001E-3</v>
      </c>
      <c r="W6">
        <v>-7.4694699999999995E-5</v>
      </c>
      <c r="X6">
        <v>3.3848418561</v>
      </c>
      <c r="Y6">
        <v>83.145817841899998</v>
      </c>
      <c r="Z6">
        <v>62.872129638700002</v>
      </c>
      <c r="AA6">
        <v>330.46315873959998</v>
      </c>
      <c r="AB6">
        <v>352.31307200930001</v>
      </c>
      <c r="AC6">
        <v>1</v>
      </c>
      <c r="AF6">
        <v>1</v>
      </c>
    </row>
    <row r="7" spans="1:32">
      <c r="A7" t="s">
        <v>592</v>
      </c>
      <c r="B7" t="s">
        <v>593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-5.8651026392999999</v>
      </c>
      <c r="R7">
        <v>-40</v>
      </c>
      <c r="S7">
        <v>80.165043971900005</v>
      </c>
      <c r="T7">
        <v>101.0084197388</v>
      </c>
      <c r="U7">
        <v>3.5765555131000002</v>
      </c>
      <c r="V7">
        <v>3.4511234000000001E-3</v>
      </c>
      <c r="W7">
        <v>-7.3220700000000002E-5</v>
      </c>
      <c r="X7">
        <v>3.4092032204999998</v>
      </c>
      <c r="Y7">
        <v>80.162803715899997</v>
      </c>
      <c r="Z7">
        <v>67.020661756799996</v>
      </c>
      <c r="AA7">
        <v>321.78488173390002</v>
      </c>
      <c r="AB7">
        <v>344.32324040449998</v>
      </c>
      <c r="AC7">
        <v>1</v>
      </c>
      <c r="AF7">
        <v>1</v>
      </c>
    </row>
    <row r="8" spans="1:32">
      <c r="A8" t="s">
        <v>606</v>
      </c>
      <c r="B8" t="s">
        <v>607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-9.3841642229000009</v>
      </c>
      <c r="R8">
        <v>-64</v>
      </c>
      <c r="S8">
        <v>78.848062345599999</v>
      </c>
      <c r="T8">
        <v>112.4523709468</v>
      </c>
      <c r="U8">
        <v>3.6179302940000002</v>
      </c>
      <c r="V8">
        <v>3.2203214000000001E-3</v>
      </c>
      <c r="W8">
        <v>-7.6662900000000001E-5</v>
      </c>
      <c r="X8">
        <v>3.4331345353999998</v>
      </c>
      <c r="Y8">
        <v>76.979440935200003</v>
      </c>
      <c r="Z8">
        <v>55.953002382999998</v>
      </c>
      <c r="AA8">
        <v>328.75532636610001</v>
      </c>
      <c r="AB8">
        <v>350.9390979584</v>
      </c>
      <c r="AC8">
        <v>1</v>
      </c>
      <c r="AF8">
        <v>1</v>
      </c>
    </row>
    <row r="9" spans="1:32">
      <c r="A9" t="s">
        <v>625</v>
      </c>
      <c r="B9" t="s">
        <v>627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-9.3841642229000009</v>
      </c>
      <c r="R9">
        <v>-64</v>
      </c>
      <c r="S9">
        <v>88.101714777200002</v>
      </c>
      <c r="T9">
        <v>122.6985103568</v>
      </c>
      <c r="U9">
        <v>3.7236712932999998</v>
      </c>
      <c r="V9">
        <v>3.1935576999999999E-3</v>
      </c>
      <c r="W9">
        <v>-7.9277700000000002E-5</v>
      </c>
      <c r="X9">
        <v>3.4889003125000002</v>
      </c>
      <c r="Y9">
        <v>77.453443316399998</v>
      </c>
      <c r="Z9">
        <v>56.475653719900002</v>
      </c>
      <c r="AA9">
        <v>348.00023182460001</v>
      </c>
      <c r="AB9">
        <v>369.78488239360001</v>
      </c>
      <c r="AC9">
        <v>1</v>
      </c>
      <c r="AF9">
        <v>1</v>
      </c>
    </row>
    <row r="10" spans="1:32">
      <c r="A10" t="s">
        <v>637</v>
      </c>
      <c r="B10" t="s">
        <v>639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-7.0381231672000002</v>
      </c>
      <c r="R10">
        <v>-48</v>
      </c>
      <c r="S10">
        <v>78.555158036999998</v>
      </c>
      <c r="T10">
        <v>103.9686884227</v>
      </c>
      <c r="U10">
        <v>3.6377562457999999</v>
      </c>
      <c r="V10">
        <v>3.2933551E-3</v>
      </c>
      <c r="W10">
        <v>-7.54635E-5</v>
      </c>
      <c r="X10">
        <v>3.4636693944000001</v>
      </c>
      <c r="Y10">
        <v>78.254145125500003</v>
      </c>
      <c r="Z10">
        <v>64.220463022999994</v>
      </c>
      <c r="AA10">
        <v>323.88356636229997</v>
      </c>
      <c r="AB10">
        <v>346.31679209700002</v>
      </c>
      <c r="AC10">
        <v>1</v>
      </c>
      <c r="AF10">
        <v>1</v>
      </c>
    </row>
    <row r="11" spans="1:32">
      <c r="A11" t="s">
        <v>644</v>
      </c>
      <c r="B11" t="s">
        <v>646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-7.0381231672000002</v>
      </c>
      <c r="R11">
        <v>-48</v>
      </c>
      <c r="S11">
        <v>79.038127314099995</v>
      </c>
      <c r="T11">
        <v>104.52724716039999</v>
      </c>
      <c r="U11">
        <v>3.6530605308999999</v>
      </c>
      <c r="V11">
        <v>3.9162915000000003E-3</v>
      </c>
      <c r="W11">
        <v>-7.9096899999999998E-5</v>
      </c>
      <c r="X11">
        <v>3.4684918994</v>
      </c>
      <c r="Y11">
        <v>79.034585556400003</v>
      </c>
      <c r="Z11">
        <v>64.019981271299997</v>
      </c>
      <c r="AA11">
        <v>338.48915733839999</v>
      </c>
      <c r="AB11">
        <v>360.73060902190002</v>
      </c>
      <c r="AC11">
        <v>1</v>
      </c>
      <c r="AF11">
        <v>1</v>
      </c>
    </row>
    <row r="12" spans="1:32">
      <c r="A12" t="s">
        <v>654</v>
      </c>
      <c r="B12" t="s">
        <v>656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-8.2111436950000005</v>
      </c>
      <c r="R12">
        <v>-56</v>
      </c>
      <c r="S12">
        <v>82.527884762799999</v>
      </c>
      <c r="T12">
        <v>111.02804205549999</v>
      </c>
      <c r="U12">
        <v>3.5059168392000002</v>
      </c>
      <c r="V12">
        <v>3.6543566999999999E-3</v>
      </c>
      <c r="W12">
        <v>-7.41347E-5</v>
      </c>
      <c r="X12">
        <v>3.3342653133</v>
      </c>
      <c r="Y12">
        <v>81.785104013700007</v>
      </c>
      <c r="Z12">
        <v>64.405915975400006</v>
      </c>
      <c r="AA12">
        <v>329.45754577180003</v>
      </c>
      <c r="AB12">
        <v>351.64653409509998</v>
      </c>
      <c r="AC12">
        <v>1</v>
      </c>
      <c r="AF12">
        <v>1</v>
      </c>
    </row>
    <row r="13" spans="1:32">
      <c r="A13" t="s">
        <v>668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-7.0381231672000002</v>
      </c>
      <c r="R13">
        <v>-48</v>
      </c>
      <c r="S13">
        <v>79.637941291600001</v>
      </c>
      <c r="T13">
        <v>105.8148162765</v>
      </c>
      <c r="U13">
        <v>3.7467601069000001</v>
      </c>
      <c r="V13">
        <v>3.3626721000000002E-3</v>
      </c>
      <c r="W13">
        <v>-7.6623400000000002E-5</v>
      </c>
      <c r="X13">
        <v>3.5515347742999999</v>
      </c>
      <c r="Y13">
        <v>78.309799639800005</v>
      </c>
      <c r="Z13">
        <v>58.218169977400002</v>
      </c>
      <c r="AA13">
        <v>339.20376607859998</v>
      </c>
      <c r="AB13">
        <v>361.41676563530001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</v>
      </c>
      <c r="R2">
        <v>0.40000000079999998</v>
      </c>
      <c r="S2">
        <v>0.40000000079999998</v>
      </c>
      <c r="T2">
        <v>0.50000000010000001</v>
      </c>
      <c r="U2">
        <v>0.50000000010000001</v>
      </c>
      <c r="V2">
        <v>0.50000000010000001</v>
      </c>
      <c r="W2">
        <v>0.50000000010000001</v>
      </c>
      <c r="X2">
        <v>0.59999999940000004</v>
      </c>
      <c r="Y2">
        <v>0.59999999940000004</v>
      </c>
      <c r="Z2">
        <v>0.59999999940000004</v>
      </c>
      <c r="AA2">
        <v>0.59999999940000004</v>
      </c>
      <c r="AB2">
        <v>0.59999999940000004</v>
      </c>
      <c r="AC2">
        <v>0.7000000005</v>
      </c>
      <c r="AD2">
        <v>0.59999999940000004</v>
      </c>
      <c r="AE2">
        <v>0.7000000005</v>
      </c>
      <c r="AF2">
        <v>0.7000000005</v>
      </c>
      <c r="AG2">
        <v>2.7000000008999998</v>
      </c>
      <c r="AH2">
        <v>6.9999999996</v>
      </c>
      <c r="AI2">
        <v>12.700000001099999</v>
      </c>
      <c r="AJ2">
        <v>18.599999999400001</v>
      </c>
      <c r="AK2">
        <v>24.9999999996</v>
      </c>
      <c r="AL2">
        <v>32.100000000400001</v>
      </c>
      <c r="AM2">
        <v>39.3999999997</v>
      </c>
      <c r="AN2">
        <v>47.099999999799998</v>
      </c>
      <c r="AO2">
        <v>53.700000000400003</v>
      </c>
      <c r="AP2">
        <v>60.900000000399999</v>
      </c>
      <c r="AQ2">
        <v>68.699999999799999</v>
      </c>
      <c r="AR2">
        <v>76.6000000003</v>
      </c>
      <c r="AS2">
        <v>84.600000000099996</v>
      </c>
      <c r="AT2">
        <v>92.700000001099994</v>
      </c>
      <c r="AU2">
        <v>100.7000000009</v>
      </c>
      <c r="AV2">
        <v>107.79999999979999</v>
      </c>
      <c r="AW2">
        <v>116</v>
      </c>
      <c r="AX2">
        <v>124.600000001</v>
      </c>
      <c r="AY2">
        <v>132.9999999998</v>
      </c>
      <c r="AZ2">
        <v>141.49999999970001</v>
      </c>
      <c r="BA2">
        <v>149.99999999959999</v>
      </c>
      <c r="BB2">
        <v>157.40000000009999</v>
      </c>
      <c r="BC2">
        <v>165.30000000059999</v>
      </c>
      <c r="BD2">
        <v>173.8999999998</v>
      </c>
      <c r="BE2">
        <v>182.30000000039999</v>
      </c>
      <c r="BF2">
        <v>190.8000000003</v>
      </c>
      <c r="BG2">
        <v>199.39999999950001</v>
      </c>
      <c r="BH2">
        <v>207.00000000029999</v>
      </c>
      <c r="BI2">
        <v>214.5</v>
      </c>
      <c r="BJ2">
        <v>222.9000000007</v>
      </c>
      <c r="BK2">
        <v>230.9000000005</v>
      </c>
      <c r="BL2">
        <v>238.99999999959999</v>
      </c>
      <c r="BM2">
        <v>247.40000000020001</v>
      </c>
      <c r="BN2">
        <v>255.19999999960001</v>
      </c>
      <c r="BO2">
        <v>262.20000000099998</v>
      </c>
      <c r="BP2">
        <v>270.00000000040001</v>
      </c>
      <c r="BQ2">
        <v>277.70000000060003</v>
      </c>
      <c r="BR2">
        <v>285.4000000007</v>
      </c>
      <c r="BS2">
        <v>292.99999999969998</v>
      </c>
      <c r="BT2">
        <v>300.80000000090001</v>
      </c>
      <c r="BU2">
        <v>307.69999999940001</v>
      </c>
      <c r="BV2">
        <v>314.00000000030002</v>
      </c>
      <c r="BW2">
        <v>321.20000000030001</v>
      </c>
      <c r="BX2">
        <v>328.10000000060001</v>
      </c>
      <c r="BY2">
        <v>335.0000000009</v>
      </c>
      <c r="BZ2">
        <v>341.89999999939999</v>
      </c>
      <c r="CA2">
        <v>348.90000000089998</v>
      </c>
      <c r="CB2">
        <v>355.60000000079998</v>
      </c>
      <c r="CC2">
        <v>361.30000000050001</v>
      </c>
      <c r="CD2">
        <v>367.00000000019998</v>
      </c>
      <c r="CE2">
        <v>373.30000000109999</v>
      </c>
      <c r="CF2">
        <v>379.3999999998</v>
      </c>
      <c r="CG2">
        <v>385.29999999990002</v>
      </c>
      <c r="CH2">
        <v>391.30000000109999</v>
      </c>
      <c r="CI2">
        <v>397.5000000009</v>
      </c>
      <c r="CJ2">
        <v>403.7000000008</v>
      </c>
      <c r="CK2">
        <v>409.10000000079998</v>
      </c>
      <c r="CL2">
        <v>414.00000000070003</v>
      </c>
      <c r="CM2">
        <v>419.4000000007</v>
      </c>
      <c r="CN2">
        <v>425.19999999970003</v>
      </c>
      <c r="CO2">
        <v>430.7000000008</v>
      </c>
      <c r="CP2">
        <v>436.10000000079998</v>
      </c>
      <c r="CQ2">
        <v>441.39999999970001</v>
      </c>
      <c r="CR2">
        <v>446.79999999969999</v>
      </c>
      <c r="CS2">
        <v>450.69999999940001</v>
      </c>
      <c r="CT2">
        <v>452.00000000109998</v>
      </c>
      <c r="CU2">
        <v>453.4000000003</v>
      </c>
      <c r="CV2">
        <v>454.49999999980002</v>
      </c>
      <c r="CW2">
        <v>454.70000000020002</v>
      </c>
      <c r="CX2">
        <v>454.70000000020002</v>
      </c>
      <c r="CY2">
        <v>454.70000000020002</v>
      </c>
      <c r="CZ2">
        <v>454.70000000020002</v>
      </c>
      <c r="DA2">
        <v>454.79999999950002</v>
      </c>
      <c r="DB2">
        <v>454.79999999950002</v>
      </c>
      <c r="DC2">
        <v>454.90000000060002</v>
      </c>
      <c r="DD2">
        <v>454.79999999950002</v>
      </c>
      <c r="DE2">
        <v>454.90000000060002</v>
      </c>
      <c r="DF2">
        <v>454.90000000060002</v>
      </c>
      <c r="DG2">
        <v>0.29999999970000002</v>
      </c>
      <c r="DH2">
        <v>1.0000000002</v>
      </c>
      <c r="DI2">
        <v>1.0999999995</v>
      </c>
      <c r="DJ2">
        <v>1.0999999995</v>
      </c>
      <c r="DK2">
        <v>1.2000000006</v>
      </c>
      <c r="DL2">
        <v>1.2999999999</v>
      </c>
      <c r="DM2">
        <v>1.400000001</v>
      </c>
      <c r="DN2">
        <v>1.400000001</v>
      </c>
      <c r="DO2">
        <v>1.5000000003</v>
      </c>
      <c r="DP2">
        <v>1.5999999996000001</v>
      </c>
      <c r="DQ2">
        <v>1.7000000007</v>
      </c>
      <c r="DR2">
        <v>1.5999999996000001</v>
      </c>
      <c r="DS2">
        <v>1.5000000003</v>
      </c>
      <c r="DT2">
        <v>1.5999999996000001</v>
      </c>
      <c r="DU2">
        <v>2.3999999993999999</v>
      </c>
      <c r="DV2">
        <v>5.8000000007999999</v>
      </c>
      <c r="DW2">
        <v>11.300000000100001</v>
      </c>
      <c r="DX2">
        <v>17.400000000599999</v>
      </c>
      <c r="DY2">
        <v>23.9000000001</v>
      </c>
      <c r="DZ2">
        <v>31.000000000899998</v>
      </c>
      <c r="EA2">
        <v>38.300000000200001</v>
      </c>
      <c r="EB2">
        <v>46.000000000299998</v>
      </c>
      <c r="EC2">
        <v>52.700000000199999</v>
      </c>
      <c r="ED2">
        <v>59.499999999400004</v>
      </c>
      <c r="EE2">
        <v>67.199999999499994</v>
      </c>
      <c r="EF2">
        <v>75.000000000699998</v>
      </c>
      <c r="EG2">
        <v>82.700000000800003</v>
      </c>
      <c r="EH2">
        <v>91.000000000300005</v>
      </c>
      <c r="EI2">
        <v>99.0999999995</v>
      </c>
      <c r="EJ2">
        <v>106.20000000020001</v>
      </c>
      <c r="EK2">
        <v>113.9000000003</v>
      </c>
      <c r="EL2">
        <v>122.4000000002</v>
      </c>
      <c r="EM2">
        <v>130.99999999939999</v>
      </c>
      <c r="EN2">
        <v>139.6000000004</v>
      </c>
      <c r="EO2">
        <v>148.30000000070001</v>
      </c>
      <c r="EP2">
        <v>156.0000000009</v>
      </c>
      <c r="EQ2">
        <v>163.59999999990001</v>
      </c>
      <c r="ER2">
        <v>172.09999999979999</v>
      </c>
      <c r="ES2">
        <v>180.40000000110001</v>
      </c>
      <c r="ET2">
        <v>188.7999999999</v>
      </c>
      <c r="EU2">
        <v>197.7000000006</v>
      </c>
      <c r="EV2">
        <v>205.79999999969999</v>
      </c>
      <c r="EW2">
        <v>213.2000000001</v>
      </c>
      <c r="EX2">
        <v>221.60000000080001</v>
      </c>
      <c r="EY2">
        <v>229.800000001</v>
      </c>
      <c r="EZ2">
        <v>238.10000000049999</v>
      </c>
      <c r="FA2">
        <v>246.6000000004</v>
      </c>
      <c r="FB2">
        <v>254.69999999949999</v>
      </c>
      <c r="FC2">
        <v>261.80000000019999</v>
      </c>
      <c r="FD2">
        <v>269.50000000030002</v>
      </c>
      <c r="FE2">
        <v>277.59999999939998</v>
      </c>
      <c r="FF2">
        <v>285.4000000007</v>
      </c>
      <c r="FG2">
        <v>293.29999999939997</v>
      </c>
      <c r="FH2">
        <v>301.300000001</v>
      </c>
      <c r="FI2">
        <v>308.39999999989999</v>
      </c>
      <c r="FJ2">
        <v>314.89999999939999</v>
      </c>
      <c r="FK2">
        <v>322.29999999979998</v>
      </c>
      <c r="FL2">
        <v>329.49999999980002</v>
      </c>
      <c r="FM2">
        <v>336.60000000050002</v>
      </c>
      <c r="FN2">
        <v>343.80000000059999</v>
      </c>
      <c r="FO2">
        <v>351.09999999989998</v>
      </c>
      <c r="FP2">
        <v>357.70000000049998</v>
      </c>
      <c r="FQ2">
        <v>363.49999999950001</v>
      </c>
      <c r="FR2">
        <v>369.89999999970001</v>
      </c>
      <c r="FS2">
        <v>376.59999999960002</v>
      </c>
      <c r="FT2">
        <v>382.90000000049997</v>
      </c>
      <c r="FU2">
        <v>389.10000000029999</v>
      </c>
      <c r="FV2">
        <v>395.2000000008</v>
      </c>
      <c r="FW2">
        <v>401.49999999990001</v>
      </c>
      <c r="FX2">
        <v>407.50000000120002</v>
      </c>
      <c r="FY2">
        <v>412.5999999997</v>
      </c>
      <c r="FZ2">
        <v>417.80000000109999</v>
      </c>
      <c r="GA2">
        <v>423.30000000040002</v>
      </c>
      <c r="GB2">
        <v>428.6000000011</v>
      </c>
      <c r="GC2">
        <v>433.69999999959998</v>
      </c>
      <c r="GD2">
        <v>438.70000000060003</v>
      </c>
      <c r="GE2">
        <v>443.69999999980001</v>
      </c>
      <c r="GF2">
        <v>448.50000000040001</v>
      </c>
      <c r="GG2">
        <v>451.30000000059999</v>
      </c>
      <c r="GH2">
        <v>452.10000000039997</v>
      </c>
      <c r="GI2">
        <v>453.49999999959999</v>
      </c>
      <c r="GJ2">
        <v>454.49999999980002</v>
      </c>
      <c r="GK2">
        <v>454.70000000020002</v>
      </c>
      <c r="GL2">
        <v>454.79999999950002</v>
      </c>
      <c r="GM2">
        <v>454.79999999950002</v>
      </c>
      <c r="GN2">
        <v>454.79999999950002</v>
      </c>
      <c r="GO2">
        <v>454.79999999950002</v>
      </c>
      <c r="GP2">
        <v>454.79999999950002</v>
      </c>
      <c r="GQ2">
        <v>454.79999999950002</v>
      </c>
      <c r="GR2">
        <v>454.79999999950002</v>
      </c>
      <c r="GS2">
        <v>454.79999999950002</v>
      </c>
      <c r="GT2">
        <v>454.90000000060002</v>
      </c>
      <c r="GU2">
        <v>454.90000000060002</v>
      </c>
      <c r="GV2">
        <v>454.79999999950002</v>
      </c>
      <c r="GW2">
        <v>1</v>
      </c>
      <c r="GX2">
        <v>122.6999999999</v>
      </c>
      <c r="GY2">
        <v>116</v>
      </c>
      <c r="GZ2">
        <v>116</v>
      </c>
      <c r="HA2">
        <v>130.99999999939999</v>
      </c>
      <c r="HB2">
        <v>120.07232358740001</v>
      </c>
      <c r="HC2">
        <v>-14.9999999994</v>
      </c>
      <c r="HD2">
        <v>454.80001099089998</v>
      </c>
      <c r="HE2">
        <v>296.35921081679999</v>
      </c>
      <c r="HF2">
        <v>100.7963068809</v>
      </c>
      <c r="HG2">
        <v>454.90000000060002</v>
      </c>
      <c r="HH2">
        <v>454.90000000060002</v>
      </c>
      <c r="HI2">
        <v>454.90000000060002</v>
      </c>
      <c r="HJ2">
        <v>454.90000000060002</v>
      </c>
      <c r="HK2">
        <v>114.9560117302</v>
      </c>
      <c r="HL2">
        <v>3.3683733224000001</v>
      </c>
      <c r="HM2">
        <v>3.2140590225999999</v>
      </c>
      <c r="HN2">
        <v>3.3014596388999999</v>
      </c>
      <c r="HO2">
        <v>3.1117725432999999</v>
      </c>
      <c r="HP2">
        <v>3.5503536429999998</v>
      </c>
      <c r="HQ2">
        <v>2.2350894986999998</v>
      </c>
      <c r="HR2">
        <v>19.276016706499998</v>
      </c>
      <c r="HS2">
        <v>-30.4985337243</v>
      </c>
      <c r="HT2">
        <v>-208</v>
      </c>
      <c r="HU2">
        <v>416.43153440420002</v>
      </c>
      <c r="HV2">
        <v>91.495601172999997</v>
      </c>
      <c r="HW2">
        <v>624</v>
      </c>
      <c r="HX2">
        <v>19.276016706499998</v>
      </c>
      <c r="HY2">
        <v>-30.4985337243</v>
      </c>
      <c r="HZ2">
        <v>-208</v>
      </c>
      <c r="IA2">
        <v>416.43153440420002</v>
      </c>
      <c r="IB2">
        <v>91.495601172999997</v>
      </c>
      <c r="IC2">
        <v>624</v>
      </c>
      <c r="ID2">
        <v>38.468465596400002</v>
      </c>
      <c r="IE2">
        <v>0.73643658000000001</v>
      </c>
      <c r="IF2">
        <v>-39.8826979472</v>
      </c>
      <c r="IG2">
        <v>-272</v>
      </c>
      <c r="IH2">
        <v>438.01891624590002</v>
      </c>
      <c r="II2">
        <v>100.87976539589999</v>
      </c>
      <c r="IJ2">
        <v>688</v>
      </c>
      <c r="IK2">
        <v>397.15551769780001</v>
      </c>
      <c r="IL2">
        <v>121.9941348974</v>
      </c>
      <c r="IM2">
        <v>420.24269070269997</v>
      </c>
      <c r="IN2">
        <v>131.37829912020001</v>
      </c>
      <c r="IO2">
        <v>6.4999999995</v>
      </c>
      <c r="IP2">
        <v>5.5000000011000001</v>
      </c>
      <c r="IQ2">
        <v>8.9000000007000004</v>
      </c>
      <c r="IR2">
        <v>6.1252533241</v>
      </c>
      <c r="IS2">
        <v>6.1252533241</v>
      </c>
      <c r="IT2">
        <v>11.199999998999999</v>
      </c>
      <c r="IU2">
        <v>-32.844574780099997</v>
      </c>
      <c r="IV2">
        <v>16.2</v>
      </c>
      <c r="IW2">
        <v>84.457478005900001</v>
      </c>
      <c r="IX2">
        <v>13.5000000009</v>
      </c>
      <c r="IY2">
        <v>100.87976539589999</v>
      </c>
      <c r="IZ2">
        <v>-36.773956531800003</v>
      </c>
      <c r="JA2">
        <v>0.3412557356</v>
      </c>
      <c r="JB2">
        <v>-3.8318800000000002E-4</v>
      </c>
      <c r="JC2">
        <v>7.2529999999999996E-7</v>
      </c>
      <c r="JD2">
        <v>0.29687920680000002</v>
      </c>
      <c r="JE2">
        <v>0.2346818554</v>
      </c>
      <c r="JF2">
        <v>9.5747621800000002E-2</v>
      </c>
      <c r="JG2">
        <v>120.8210001325</v>
      </c>
      <c r="JH2">
        <v>3.5503536429999998</v>
      </c>
      <c r="JI2">
        <v>3.5957544999999998E-3</v>
      </c>
      <c r="JJ2">
        <v>-7.8570899999999997E-5</v>
      </c>
      <c r="JK2">
        <v>3.3683733224000001</v>
      </c>
      <c r="JL2">
        <v>1.1620270641999999</v>
      </c>
      <c r="JM2">
        <v>0.52827125490000004</v>
      </c>
      <c r="JN2" t="s">
        <v>538</v>
      </c>
      <c r="JQ2">
        <v>1</v>
      </c>
    </row>
    <row r="3" spans="1:277">
      <c r="A3" t="s">
        <v>558</v>
      </c>
      <c r="B3" t="s">
        <v>559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</v>
      </c>
      <c r="R3">
        <v>0.50000000010000001</v>
      </c>
      <c r="S3">
        <v>0.50000000010000001</v>
      </c>
      <c r="T3">
        <v>0.59999999940000004</v>
      </c>
      <c r="U3">
        <v>0.59999999940000004</v>
      </c>
      <c r="V3">
        <v>0.7000000005</v>
      </c>
      <c r="W3">
        <v>0.7000000005</v>
      </c>
      <c r="X3">
        <v>0.59999999940000004</v>
      </c>
      <c r="Y3">
        <v>0.7000000005</v>
      </c>
      <c r="Z3">
        <v>0.7000000005</v>
      </c>
      <c r="AA3">
        <v>0.79999999980000003</v>
      </c>
      <c r="AB3">
        <v>0.7000000005</v>
      </c>
      <c r="AC3">
        <v>0.7000000005</v>
      </c>
      <c r="AD3">
        <v>0.7000000005</v>
      </c>
      <c r="AE3">
        <v>0.7000000005</v>
      </c>
      <c r="AF3">
        <v>0.7000000005</v>
      </c>
      <c r="AG3">
        <v>0.89999999909999995</v>
      </c>
      <c r="AH3">
        <v>2.5000000005</v>
      </c>
      <c r="AI3">
        <v>4.8999999999000003</v>
      </c>
      <c r="AJ3">
        <v>7.9000000005000004</v>
      </c>
      <c r="AK3">
        <v>13.6000000002</v>
      </c>
      <c r="AL3">
        <v>20.599999999800001</v>
      </c>
      <c r="AM3">
        <v>28.299999999899999</v>
      </c>
      <c r="AN3">
        <v>35.700000000400003</v>
      </c>
      <c r="AO3">
        <v>42.999999999700002</v>
      </c>
      <c r="AP3">
        <v>50.100000000400001</v>
      </c>
      <c r="AQ3">
        <v>57.699999999399999</v>
      </c>
      <c r="AR3">
        <v>65.599999999900007</v>
      </c>
      <c r="AS3">
        <v>74.000000000499995</v>
      </c>
      <c r="AT3">
        <v>82.3</v>
      </c>
      <c r="AU3">
        <v>90.399999999100004</v>
      </c>
      <c r="AV3">
        <v>98.200000000399996</v>
      </c>
      <c r="AW3">
        <v>106.20000000020001</v>
      </c>
      <c r="AX3">
        <v>115.09999999910001</v>
      </c>
      <c r="AY3">
        <v>124.3999999988</v>
      </c>
      <c r="AZ3">
        <v>132.9000000005</v>
      </c>
      <c r="BA3">
        <v>141.29999999930001</v>
      </c>
      <c r="BB3">
        <v>149.5999999988</v>
      </c>
      <c r="BC3">
        <v>157.4999999993</v>
      </c>
      <c r="BD3">
        <v>165.69999999960001</v>
      </c>
      <c r="BE3">
        <v>174.60000000030001</v>
      </c>
      <c r="BF3">
        <v>183.19999999949999</v>
      </c>
      <c r="BG3">
        <v>191.49999999900001</v>
      </c>
      <c r="BH3">
        <v>199.8999999996</v>
      </c>
      <c r="BI3">
        <v>207.699999999</v>
      </c>
      <c r="BJ3">
        <v>215.6999999988</v>
      </c>
      <c r="BK3">
        <v>224.39999999919999</v>
      </c>
      <c r="BL3">
        <v>232.8999999991</v>
      </c>
      <c r="BM3">
        <v>240.8999999989</v>
      </c>
      <c r="BN3">
        <v>249.09999999909999</v>
      </c>
      <c r="BO3">
        <v>256.9000000003</v>
      </c>
      <c r="BP3">
        <v>264.39999999999998</v>
      </c>
      <c r="BQ3">
        <v>272.4999999991</v>
      </c>
      <c r="BR3">
        <v>280.69999999930002</v>
      </c>
      <c r="BS3">
        <v>288.09999999979999</v>
      </c>
      <c r="BT3">
        <v>295.59999999950003</v>
      </c>
      <c r="BU3">
        <v>303.09999999920001</v>
      </c>
      <c r="BV3">
        <v>309.99999999950001</v>
      </c>
      <c r="BW3">
        <v>316.80000000050001</v>
      </c>
      <c r="BX3">
        <v>324.30000000019999</v>
      </c>
      <c r="BY3">
        <v>331.79999999990002</v>
      </c>
      <c r="BZ3">
        <v>338.29999999939997</v>
      </c>
      <c r="CA3">
        <v>344.99999999929997</v>
      </c>
      <c r="CB3">
        <v>351.89999999970001</v>
      </c>
      <c r="CC3">
        <v>358.29999999990002</v>
      </c>
      <c r="CD3">
        <v>364.29999999929998</v>
      </c>
      <c r="CE3">
        <v>370.4999999991</v>
      </c>
      <c r="CF3">
        <v>377.50000000049999</v>
      </c>
      <c r="CG3">
        <v>383.8999999989</v>
      </c>
      <c r="CH3">
        <v>389.69999999970003</v>
      </c>
      <c r="CI3">
        <v>395.59999999979999</v>
      </c>
      <c r="CJ3">
        <v>401.70000000030001</v>
      </c>
      <c r="CK3">
        <v>407.49999999929997</v>
      </c>
      <c r="CL3">
        <v>413.00000000049999</v>
      </c>
      <c r="CM3">
        <v>418.70000000020002</v>
      </c>
      <c r="CN3">
        <v>424.19999999949999</v>
      </c>
      <c r="CO3">
        <v>430.00000000030002</v>
      </c>
      <c r="CP3">
        <v>435.4000000003</v>
      </c>
      <c r="CQ3">
        <v>440.59999999989998</v>
      </c>
      <c r="CR3">
        <v>445.79999999950002</v>
      </c>
      <c r="CS3">
        <v>451.19999999949999</v>
      </c>
      <c r="CT3">
        <v>456.09999999939998</v>
      </c>
      <c r="CU3">
        <v>458.99999999890002</v>
      </c>
      <c r="CV3">
        <v>459.60000000010001</v>
      </c>
      <c r="CW3">
        <v>459.60000000010001</v>
      </c>
      <c r="CX3">
        <v>459.60000000010001</v>
      </c>
      <c r="CY3">
        <v>459.60000000010001</v>
      </c>
      <c r="CZ3">
        <v>459.60000000010001</v>
      </c>
      <c r="DA3">
        <v>459.69999999940001</v>
      </c>
      <c r="DB3">
        <v>459.60000000010001</v>
      </c>
      <c r="DC3">
        <v>459.60000000010001</v>
      </c>
      <c r="DD3">
        <v>459.60000000010001</v>
      </c>
      <c r="DE3">
        <v>459.69999999940001</v>
      </c>
      <c r="DF3">
        <v>459.69999999940001</v>
      </c>
      <c r="DG3">
        <v>1.0000000002</v>
      </c>
      <c r="DH3">
        <v>1.6999999989000001</v>
      </c>
      <c r="DI3">
        <v>1.6999999989000001</v>
      </c>
      <c r="DJ3">
        <v>1.6999999989000001</v>
      </c>
      <c r="DK3">
        <v>1.6999999989000001</v>
      </c>
      <c r="DL3">
        <v>1.8</v>
      </c>
      <c r="DM3">
        <v>1.8</v>
      </c>
      <c r="DN3">
        <v>1.8</v>
      </c>
      <c r="DO3">
        <v>1.8</v>
      </c>
      <c r="DP3">
        <v>1.8</v>
      </c>
      <c r="DQ3">
        <v>1.8</v>
      </c>
      <c r="DR3">
        <v>1.8</v>
      </c>
      <c r="DS3">
        <v>1.8</v>
      </c>
      <c r="DT3">
        <v>1.8999999993000001</v>
      </c>
      <c r="DU3">
        <v>1.8999999993000001</v>
      </c>
      <c r="DV3">
        <v>2.5000000005</v>
      </c>
      <c r="DW3">
        <v>4.6999999995000001</v>
      </c>
      <c r="DX3">
        <v>7.4000000004000004</v>
      </c>
      <c r="DY3">
        <v>12.4999999989</v>
      </c>
      <c r="DZ3">
        <v>20.300000000099999</v>
      </c>
      <c r="EA3">
        <v>27.599999999400001</v>
      </c>
      <c r="EB3">
        <v>34.899999998699997</v>
      </c>
      <c r="EC3">
        <v>42.299999999199997</v>
      </c>
      <c r="ED3">
        <v>49.199999999500001</v>
      </c>
      <c r="EE3">
        <v>56.699999999200003</v>
      </c>
      <c r="EF3">
        <v>64.899999999399995</v>
      </c>
      <c r="EG3">
        <v>73.3</v>
      </c>
      <c r="EH3">
        <v>81.099999999399998</v>
      </c>
      <c r="EI3">
        <v>89.099999999199994</v>
      </c>
      <c r="EJ3">
        <v>96.9000000005</v>
      </c>
      <c r="EK3">
        <v>104.4000000002</v>
      </c>
      <c r="EL3">
        <v>113.1000000005</v>
      </c>
      <c r="EM3">
        <v>122.49999999950001</v>
      </c>
      <c r="EN3">
        <v>131.19999999980001</v>
      </c>
      <c r="EO3">
        <v>139.6000000004</v>
      </c>
      <c r="EP3">
        <v>147.99999999920001</v>
      </c>
      <c r="EQ3">
        <v>155.89999999969999</v>
      </c>
      <c r="ER3">
        <v>164.1</v>
      </c>
      <c r="ES3">
        <v>173.19999999929999</v>
      </c>
      <c r="ET3">
        <v>181.8999999996</v>
      </c>
      <c r="EU3">
        <v>190.19999999909999</v>
      </c>
      <c r="EV3">
        <v>198.5999999997</v>
      </c>
      <c r="EW3">
        <v>206.5000000002</v>
      </c>
      <c r="EX3">
        <v>214.5999999993</v>
      </c>
      <c r="EY3">
        <v>223.50000000009999</v>
      </c>
      <c r="EZ3">
        <v>232</v>
      </c>
      <c r="FA3">
        <v>240.20000000019999</v>
      </c>
      <c r="FB3">
        <v>248.29999999930001</v>
      </c>
      <c r="FC3">
        <v>255.79999999899999</v>
      </c>
      <c r="FD3">
        <v>263.4999999991</v>
      </c>
      <c r="FE3">
        <v>272.10000000010001</v>
      </c>
      <c r="FF3">
        <v>280.39999999960003</v>
      </c>
      <c r="FG3">
        <v>288.09999999979999</v>
      </c>
      <c r="FH3">
        <v>295.69999999880002</v>
      </c>
      <c r="FI3">
        <v>303.2999999996</v>
      </c>
      <c r="FJ3">
        <v>310.2999999992</v>
      </c>
      <c r="FK3">
        <v>317.69999999959998</v>
      </c>
      <c r="FL3">
        <v>325.60000000010001</v>
      </c>
      <c r="FM3">
        <v>332.8000000001</v>
      </c>
      <c r="FN3">
        <v>339.5999999993</v>
      </c>
      <c r="FO3">
        <v>346.59999999889999</v>
      </c>
      <c r="FP3">
        <v>353.60000000039997</v>
      </c>
      <c r="FQ3">
        <v>359.80000000019999</v>
      </c>
      <c r="FR3">
        <v>366</v>
      </c>
      <c r="FS3">
        <v>373.09999999889999</v>
      </c>
      <c r="FT3">
        <v>379.99999999919999</v>
      </c>
      <c r="FU3">
        <v>386.3000000001</v>
      </c>
      <c r="FV3">
        <v>392.20000000020002</v>
      </c>
      <c r="FW3">
        <v>398.29999999889998</v>
      </c>
      <c r="FX3">
        <v>404.39999999939999</v>
      </c>
      <c r="FY3">
        <v>410.20000000030001</v>
      </c>
      <c r="FZ3">
        <v>415.39999999989999</v>
      </c>
      <c r="GA3">
        <v>421.19999999890001</v>
      </c>
      <c r="GB3">
        <v>427.09999999899998</v>
      </c>
      <c r="GC3">
        <v>432.49999999900001</v>
      </c>
      <c r="GD3">
        <v>437.5999999993</v>
      </c>
      <c r="GE3">
        <v>442.49999999919999</v>
      </c>
      <c r="GF3">
        <v>447.39999999909998</v>
      </c>
      <c r="GG3">
        <v>452.40000000010002</v>
      </c>
      <c r="GH3">
        <v>456.50000000019998</v>
      </c>
      <c r="GI3">
        <v>458.80000000029997</v>
      </c>
      <c r="GJ3">
        <v>459.39999999970001</v>
      </c>
      <c r="GK3">
        <v>459.39999999970001</v>
      </c>
      <c r="GL3">
        <v>459.39999999970001</v>
      </c>
      <c r="GM3">
        <v>459.49999999900001</v>
      </c>
      <c r="GN3">
        <v>459.49999999900001</v>
      </c>
      <c r="GO3">
        <v>459.49999999900001</v>
      </c>
      <c r="GP3">
        <v>459.49999999900001</v>
      </c>
      <c r="GQ3">
        <v>459.49999999900001</v>
      </c>
      <c r="GR3">
        <v>459.60000000010001</v>
      </c>
      <c r="GS3">
        <v>459.60000000010001</v>
      </c>
      <c r="GT3">
        <v>459.60000000010001</v>
      </c>
      <c r="GU3">
        <v>459.69999999940001</v>
      </c>
      <c r="GV3">
        <v>459.60000000010001</v>
      </c>
      <c r="GW3">
        <v>1</v>
      </c>
      <c r="GX3">
        <v>112.4</v>
      </c>
      <c r="GY3">
        <v>106.20000000020001</v>
      </c>
      <c r="GZ3">
        <v>106.20000000020001</v>
      </c>
      <c r="HA3">
        <v>122.49999999950001</v>
      </c>
      <c r="HB3">
        <v>110.2546117033</v>
      </c>
      <c r="HC3">
        <v>-16.299999999299999</v>
      </c>
      <c r="HD3">
        <v>459.60001087680001</v>
      </c>
      <c r="HE3">
        <v>309.59386556340002</v>
      </c>
      <c r="HF3">
        <v>88.791385686599995</v>
      </c>
      <c r="HG3">
        <v>459.69999999940001</v>
      </c>
      <c r="HH3">
        <v>459.69999999940001</v>
      </c>
      <c r="HI3">
        <v>459.69999999940001</v>
      </c>
      <c r="HJ3">
        <v>459.69999999940001</v>
      </c>
      <c r="HK3">
        <v>112.6099706745</v>
      </c>
      <c r="HL3">
        <v>3.4310863428</v>
      </c>
      <c r="HM3">
        <v>3.2800829364999999</v>
      </c>
      <c r="HN3">
        <v>3.3450176685000002</v>
      </c>
      <c r="HO3">
        <v>3.3454869102</v>
      </c>
      <c r="HP3">
        <v>3.6520438382</v>
      </c>
      <c r="HQ3">
        <v>2.2409869832</v>
      </c>
      <c r="HR3">
        <v>21.463226016699998</v>
      </c>
      <c r="HS3">
        <v>-25.806451612899998</v>
      </c>
      <c r="HT3">
        <v>-176</v>
      </c>
      <c r="HU3">
        <v>419.8484772667</v>
      </c>
      <c r="HV3">
        <v>93.841642228699996</v>
      </c>
      <c r="HW3">
        <v>640</v>
      </c>
      <c r="HX3">
        <v>21.463226016699998</v>
      </c>
      <c r="HY3">
        <v>-25.806451612899998</v>
      </c>
      <c r="HZ3">
        <v>-176</v>
      </c>
      <c r="IA3">
        <v>419.8484772667</v>
      </c>
      <c r="IB3">
        <v>93.841642228699996</v>
      </c>
      <c r="IC3">
        <v>640</v>
      </c>
      <c r="ID3">
        <v>39.851522732699998</v>
      </c>
      <c r="IE3">
        <v>2.5527626718</v>
      </c>
      <c r="IF3">
        <v>-35.190615835800003</v>
      </c>
      <c r="IG3">
        <v>-240</v>
      </c>
      <c r="IH3">
        <v>441.86235588350002</v>
      </c>
      <c r="II3">
        <v>103.22580645159999</v>
      </c>
      <c r="IJ3">
        <v>704</v>
      </c>
      <c r="IK3">
        <v>398.38525125000001</v>
      </c>
      <c r="IL3">
        <v>119.6480938416</v>
      </c>
      <c r="IM3">
        <v>423.1959973882</v>
      </c>
      <c r="IN3">
        <v>129.03225806450001</v>
      </c>
      <c r="IO3">
        <v>7.8000000011999999</v>
      </c>
      <c r="IP3">
        <v>5.9000000001000004</v>
      </c>
      <c r="IQ3">
        <v>9.3999999990000003</v>
      </c>
      <c r="IR3">
        <v>6.5805883650999997</v>
      </c>
      <c r="IS3">
        <v>6.5805883650999997</v>
      </c>
      <c r="IT3">
        <v>13.9999999992</v>
      </c>
      <c r="IU3">
        <v>-28.152492668600001</v>
      </c>
      <c r="IV3">
        <v>16.300000001099999</v>
      </c>
      <c r="IW3">
        <v>30.4985337243</v>
      </c>
      <c r="IX3">
        <v>12.4999999989</v>
      </c>
      <c r="IY3">
        <v>103.22580645159999</v>
      </c>
      <c r="IZ3">
        <v>-32.532186660100002</v>
      </c>
      <c r="JA3">
        <v>0.32307083110000001</v>
      </c>
      <c r="JB3">
        <v>-3.3748950000000002E-4</v>
      </c>
      <c r="JC3">
        <v>6.7629999999999999E-7</v>
      </c>
      <c r="JD3">
        <v>0.29145288110000001</v>
      </c>
      <c r="JE3">
        <v>0.233119093</v>
      </c>
      <c r="JF3">
        <v>0.1008788078</v>
      </c>
      <c r="JG3">
        <v>111.2808460692</v>
      </c>
      <c r="JH3">
        <v>3.6520438382</v>
      </c>
      <c r="JI3">
        <v>3.0368716999999998E-3</v>
      </c>
      <c r="JJ3">
        <v>-7.4985600000000003E-5</v>
      </c>
      <c r="JK3">
        <v>3.4310863428</v>
      </c>
      <c r="JL3">
        <v>1.1920963175999999</v>
      </c>
      <c r="JM3">
        <v>0.57095205770000002</v>
      </c>
      <c r="JN3" t="s">
        <v>538</v>
      </c>
      <c r="JQ3">
        <v>1</v>
      </c>
    </row>
    <row r="4" spans="1:277">
      <c r="A4" t="s">
        <v>560</v>
      </c>
      <c r="B4" t="s">
        <v>561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2.8000000001999998</v>
      </c>
      <c r="R4">
        <v>0.50000000010000001</v>
      </c>
      <c r="S4">
        <v>0.40000000079999998</v>
      </c>
      <c r="T4">
        <v>0.40000000079999998</v>
      </c>
      <c r="U4">
        <v>0.40000000079999998</v>
      </c>
      <c r="V4">
        <v>0.50000000010000001</v>
      </c>
      <c r="W4">
        <v>0.40000000079999998</v>
      </c>
      <c r="X4">
        <v>0.40000000079999998</v>
      </c>
      <c r="Y4">
        <v>0.40000000079999998</v>
      </c>
      <c r="Z4">
        <v>0.29999999970000002</v>
      </c>
      <c r="AA4">
        <v>0.29999999970000002</v>
      </c>
      <c r="AB4">
        <v>0.29999999970000002</v>
      </c>
      <c r="AC4">
        <v>0.29999999970000002</v>
      </c>
      <c r="AD4">
        <v>0.20000000039999999</v>
      </c>
      <c r="AE4">
        <v>0.20000000039999999</v>
      </c>
      <c r="AF4">
        <v>9.9999999300000003E-2</v>
      </c>
      <c r="AG4">
        <v>0</v>
      </c>
      <c r="AH4">
        <v>0.79999999980000003</v>
      </c>
      <c r="AI4">
        <v>5.0000000010000001</v>
      </c>
      <c r="AJ4">
        <v>12.0000000006</v>
      </c>
      <c r="AK4">
        <v>19.399999999199999</v>
      </c>
      <c r="AL4">
        <v>26.100000001000002</v>
      </c>
      <c r="AM4">
        <v>33.400000000299997</v>
      </c>
      <c r="AN4">
        <v>40.999999999300002</v>
      </c>
      <c r="AO4">
        <v>48.800000000499999</v>
      </c>
      <c r="AP4">
        <v>56.800000000300003</v>
      </c>
      <c r="AQ4">
        <v>65.300000000200001</v>
      </c>
      <c r="AR4">
        <v>73.3</v>
      </c>
      <c r="AS4">
        <v>80.900000000800006</v>
      </c>
      <c r="AT4">
        <v>88.999999999899998</v>
      </c>
      <c r="AU4">
        <v>97.100000000899996</v>
      </c>
      <c r="AV4">
        <v>105.7000000001</v>
      </c>
      <c r="AW4">
        <v>114.7999999994</v>
      </c>
      <c r="AX4">
        <v>123.9999999998</v>
      </c>
      <c r="AY4">
        <v>132.40000000040001</v>
      </c>
      <c r="AZ4">
        <v>140.7999999992</v>
      </c>
      <c r="BA4">
        <v>149.30000000090001</v>
      </c>
      <c r="BB4">
        <v>157.90000000020001</v>
      </c>
      <c r="BC4">
        <v>166.90000000020001</v>
      </c>
      <c r="BD4">
        <v>175.60000000049999</v>
      </c>
      <c r="BE4">
        <v>183.50000000099999</v>
      </c>
      <c r="BF4">
        <v>191.80000000050001</v>
      </c>
      <c r="BG4">
        <v>200.19999999929999</v>
      </c>
      <c r="BH4">
        <v>208.8999999996</v>
      </c>
      <c r="BI4">
        <v>217.59999999990001</v>
      </c>
      <c r="BJ4">
        <v>226.20000000100001</v>
      </c>
      <c r="BK4">
        <v>233.89999999930001</v>
      </c>
      <c r="BL4">
        <v>241.90000000090001</v>
      </c>
      <c r="BM4">
        <v>250</v>
      </c>
      <c r="BN4">
        <v>258.20000000020002</v>
      </c>
      <c r="BO4">
        <v>266.49999999969998</v>
      </c>
      <c r="BP4">
        <v>274.6999999999</v>
      </c>
      <c r="BQ4">
        <v>282.19999999959998</v>
      </c>
      <c r="BR4">
        <v>289.50000000080001</v>
      </c>
      <c r="BS4">
        <v>297.09999999979999</v>
      </c>
      <c r="BT4">
        <v>304.70000000060003</v>
      </c>
      <c r="BU4">
        <v>312.2999999996</v>
      </c>
      <c r="BV4">
        <v>319.99999999969998</v>
      </c>
      <c r="BW4">
        <v>327.49999999940002</v>
      </c>
      <c r="BX4">
        <v>334.19999999930002</v>
      </c>
      <c r="BY4">
        <v>340.89999999920002</v>
      </c>
      <c r="BZ4">
        <v>347.9000000007</v>
      </c>
      <c r="CA4">
        <v>354.800000001</v>
      </c>
      <c r="CB4">
        <v>361.69999999949999</v>
      </c>
      <c r="CC4">
        <v>368.59999999979999</v>
      </c>
      <c r="CD4">
        <v>375.59999999939998</v>
      </c>
      <c r="CE4">
        <v>381.99999999959999</v>
      </c>
      <c r="CF4">
        <v>388.00000000080001</v>
      </c>
      <c r="CG4">
        <v>394.20000000060003</v>
      </c>
      <c r="CH4">
        <v>400.29999999929998</v>
      </c>
      <c r="CI4">
        <v>406.3999999998</v>
      </c>
      <c r="CJ4">
        <v>412.7000000008</v>
      </c>
      <c r="CK4">
        <v>418.90000000060002</v>
      </c>
      <c r="CL4">
        <v>424.99999999929997</v>
      </c>
      <c r="CM4">
        <v>430.89999999939999</v>
      </c>
      <c r="CN4">
        <v>436.20000000009998</v>
      </c>
      <c r="CO4">
        <v>441.50000000080001</v>
      </c>
      <c r="CP4">
        <v>445.40000000049997</v>
      </c>
      <c r="CQ4">
        <v>447.09999999939998</v>
      </c>
      <c r="CR4">
        <v>447.70000000060003</v>
      </c>
      <c r="CS4">
        <v>447.79999999990002</v>
      </c>
      <c r="CT4">
        <v>447.79999999990002</v>
      </c>
      <c r="CU4">
        <v>447.90000000100002</v>
      </c>
      <c r="CV4">
        <v>448.00000000030002</v>
      </c>
      <c r="CW4">
        <v>448.00000000030002</v>
      </c>
      <c r="CX4">
        <v>448.00000000030002</v>
      </c>
      <c r="CY4">
        <v>448.00000000030002</v>
      </c>
      <c r="CZ4">
        <v>448.09999999960002</v>
      </c>
      <c r="DA4">
        <v>448.09999999960002</v>
      </c>
      <c r="DB4">
        <v>448.09999999960002</v>
      </c>
      <c r="DC4">
        <v>448.09999999960002</v>
      </c>
      <c r="DD4">
        <v>448.09999999960002</v>
      </c>
      <c r="DE4">
        <v>448.09999999960002</v>
      </c>
      <c r="DF4">
        <v>448.09999999960002</v>
      </c>
      <c r="DG4">
        <v>3.8000000003999999</v>
      </c>
      <c r="DH4">
        <v>1.8</v>
      </c>
      <c r="DI4">
        <v>1.7000000007</v>
      </c>
      <c r="DJ4">
        <v>1.5999999996000001</v>
      </c>
      <c r="DK4">
        <v>1.5999999996000001</v>
      </c>
      <c r="DL4">
        <v>1.5999999996000001</v>
      </c>
      <c r="DM4">
        <v>1.5000000003</v>
      </c>
      <c r="DN4">
        <v>1.5000000003</v>
      </c>
      <c r="DO4">
        <v>1.5000000003</v>
      </c>
      <c r="DP4">
        <v>1.400000001</v>
      </c>
      <c r="DQ4">
        <v>1.400000001</v>
      </c>
      <c r="DR4">
        <v>1.2999999999</v>
      </c>
      <c r="DS4">
        <v>1.2000000006</v>
      </c>
      <c r="DT4">
        <v>1.0999999995</v>
      </c>
      <c r="DU4">
        <v>1.0999999995</v>
      </c>
      <c r="DV4">
        <v>1.2000000006</v>
      </c>
      <c r="DW4">
        <v>4.1000000000999997</v>
      </c>
      <c r="DX4">
        <v>10.8</v>
      </c>
      <c r="DY4">
        <v>18.299999999699999</v>
      </c>
      <c r="DZ4">
        <v>24.9000000003</v>
      </c>
      <c r="EA4">
        <v>31.9</v>
      </c>
      <c r="EB4">
        <v>39.3999999997</v>
      </c>
      <c r="EC4">
        <v>47.000000000500002</v>
      </c>
      <c r="ED4">
        <v>54.799999999900002</v>
      </c>
      <c r="EE4">
        <v>63.000000000100002</v>
      </c>
      <c r="EF4">
        <v>70.999999999899998</v>
      </c>
      <c r="EG4">
        <v>78.499999999600007</v>
      </c>
      <c r="EH4">
        <v>86.400000000099993</v>
      </c>
      <c r="EI4">
        <v>94.600000000400001</v>
      </c>
      <c r="EJ4">
        <v>102.80000000059999</v>
      </c>
      <c r="EK4">
        <v>111.3999999998</v>
      </c>
      <c r="EL4">
        <v>120.3999999998</v>
      </c>
      <c r="EM4">
        <v>129.00000000079999</v>
      </c>
      <c r="EN4">
        <v>137.3999999996</v>
      </c>
      <c r="EO4">
        <v>146.09999999990001</v>
      </c>
      <c r="EP4">
        <v>154.70000000100001</v>
      </c>
      <c r="EQ4">
        <v>163.59999999990001</v>
      </c>
      <c r="ER4">
        <v>172.50000000060001</v>
      </c>
      <c r="ES4">
        <v>180.7000000008</v>
      </c>
      <c r="ET4">
        <v>189.00000000029999</v>
      </c>
      <c r="EU4">
        <v>197.7000000006</v>
      </c>
      <c r="EV4">
        <v>206.40000000090001</v>
      </c>
      <c r="EW4">
        <v>215.2000000006</v>
      </c>
      <c r="EX4">
        <v>224.0999999995</v>
      </c>
      <c r="EY4">
        <v>232.0999999993</v>
      </c>
      <c r="EZ4">
        <v>240.20000000019999</v>
      </c>
      <c r="FA4">
        <v>248.7000000001</v>
      </c>
      <c r="FB4">
        <v>256.9000000003</v>
      </c>
      <c r="FC4">
        <v>265.40000000020001</v>
      </c>
      <c r="FD4">
        <v>273.99999999940002</v>
      </c>
      <c r="FE4">
        <v>281.89999999999998</v>
      </c>
      <c r="FF4">
        <v>289.39999999970001</v>
      </c>
      <c r="FG4">
        <v>297.39999999949998</v>
      </c>
      <c r="FH4">
        <v>305.20000000070002</v>
      </c>
      <c r="FI4">
        <v>313.00000000009999</v>
      </c>
      <c r="FJ4">
        <v>320.90000000060002</v>
      </c>
      <c r="FK4">
        <v>328.49999999959999</v>
      </c>
      <c r="FL4">
        <v>335.60000000029999</v>
      </c>
      <c r="FM4">
        <v>342.59999999989998</v>
      </c>
      <c r="FN4">
        <v>349.8</v>
      </c>
      <c r="FO4">
        <v>356.7999999996</v>
      </c>
      <c r="FP4">
        <v>363.9000000003</v>
      </c>
      <c r="FQ4">
        <v>370.89999999989999</v>
      </c>
      <c r="FR4">
        <v>377.89999999949998</v>
      </c>
      <c r="FS4">
        <v>384.2000000004</v>
      </c>
      <c r="FT4">
        <v>390.19999999980001</v>
      </c>
      <c r="FU4">
        <v>396.69999999930002</v>
      </c>
      <c r="FV4">
        <v>403.00000000019998</v>
      </c>
      <c r="FW4">
        <v>408.99999999969998</v>
      </c>
      <c r="FX4">
        <v>415.0000000009</v>
      </c>
      <c r="FY4">
        <v>421.20000000070002</v>
      </c>
      <c r="FZ4">
        <v>427.10000000079998</v>
      </c>
      <c r="GA4">
        <v>432.69999999940001</v>
      </c>
      <c r="GB4">
        <v>437.5</v>
      </c>
      <c r="GC4">
        <v>442.19999999949999</v>
      </c>
      <c r="GD4">
        <v>445.49999999980002</v>
      </c>
      <c r="GE4">
        <v>447.09999999939998</v>
      </c>
      <c r="GF4">
        <v>447.70000000060003</v>
      </c>
      <c r="GG4">
        <v>447.70000000060003</v>
      </c>
      <c r="GH4">
        <v>447.79999999990002</v>
      </c>
      <c r="GI4">
        <v>447.79999999990002</v>
      </c>
      <c r="GJ4">
        <v>447.79999999990002</v>
      </c>
      <c r="GK4">
        <v>447.90000000100002</v>
      </c>
      <c r="GL4">
        <v>447.79999999990002</v>
      </c>
      <c r="GM4">
        <v>447.90000000100002</v>
      </c>
      <c r="GN4">
        <v>447.90000000100002</v>
      </c>
      <c r="GO4">
        <v>448.00000000030002</v>
      </c>
      <c r="GP4">
        <v>448.00000000030002</v>
      </c>
      <c r="GQ4">
        <v>448.00000000030002</v>
      </c>
      <c r="GR4">
        <v>448.09999999960002</v>
      </c>
      <c r="GS4">
        <v>448.09999999960002</v>
      </c>
      <c r="GT4">
        <v>448.09999999960002</v>
      </c>
      <c r="GU4">
        <v>448.20000000070002</v>
      </c>
      <c r="GV4">
        <v>448.20000000070002</v>
      </c>
      <c r="GW4">
        <v>1</v>
      </c>
      <c r="GX4">
        <v>118.8999999995</v>
      </c>
      <c r="GY4">
        <v>114.7999999994</v>
      </c>
      <c r="GZ4">
        <v>114.7999999994</v>
      </c>
      <c r="HA4">
        <v>129.00000000079999</v>
      </c>
      <c r="HB4">
        <v>118.6625013944</v>
      </c>
      <c r="HC4">
        <v>-14.200000001399999</v>
      </c>
      <c r="HD4">
        <v>448.20000000070002</v>
      </c>
      <c r="HE4">
        <v>295.00903715369998</v>
      </c>
      <c r="HF4">
        <v>98.547060136599995</v>
      </c>
      <c r="HG4">
        <v>448.20000000070002</v>
      </c>
      <c r="HH4">
        <v>448.20000000070002</v>
      </c>
      <c r="HI4">
        <v>448.09999999960002</v>
      </c>
      <c r="HJ4">
        <v>448.20000000070002</v>
      </c>
      <c r="HK4">
        <v>105.57184750730001</v>
      </c>
      <c r="HL4">
        <v>3.529134564</v>
      </c>
      <c r="HM4">
        <v>3.3672134636000002</v>
      </c>
      <c r="HN4">
        <v>3.4303936225</v>
      </c>
      <c r="HO4">
        <v>3.3460542069999999</v>
      </c>
      <c r="HP4">
        <v>3.7172329372999999</v>
      </c>
      <c r="HQ4">
        <v>2.4447944372000001</v>
      </c>
      <c r="HR4">
        <v>20.115441257800001</v>
      </c>
      <c r="HS4">
        <v>-28.152492668600001</v>
      </c>
      <c r="HT4">
        <v>-192</v>
      </c>
      <c r="HU4">
        <v>413.67153854809999</v>
      </c>
      <c r="HV4">
        <v>86.803519061599999</v>
      </c>
      <c r="HW4">
        <v>592</v>
      </c>
      <c r="HX4">
        <v>20.115441257800001</v>
      </c>
      <c r="HY4">
        <v>-28.152492668600001</v>
      </c>
      <c r="HZ4">
        <v>-192</v>
      </c>
      <c r="IA4">
        <v>413.67153854809999</v>
      </c>
      <c r="IB4">
        <v>86.803519061599999</v>
      </c>
      <c r="IC4">
        <v>592</v>
      </c>
      <c r="ID4">
        <v>34.528461452599998</v>
      </c>
      <c r="IE4">
        <v>1.87548812E-2</v>
      </c>
      <c r="IF4">
        <v>-37.536656891500002</v>
      </c>
      <c r="IG4">
        <v>-256</v>
      </c>
      <c r="IH4">
        <v>437.02861765030002</v>
      </c>
      <c r="II4">
        <v>96.187683284499997</v>
      </c>
      <c r="IJ4">
        <v>656</v>
      </c>
      <c r="IK4">
        <v>393.55609729029999</v>
      </c>
      <c r="IL4">
        <v>114.9560117302</v>
      </c>
      <c r="IM4">
        <v>420.846524601</v>
      </c>
      <c r="IN4">
        <v>124.3401759531</v>
      </c>
      <c r="IO4">
        <v>7.4999999997</v>
      </c>
      <c r="IP4">
        <v>5.9000000001000004</v>
      </c>
      <c r="IQ4">
        <v>9.2000000003999993</v>
      </c>
      <c r="IR4">
        <v>5.2622902082999996</v>
      </c>
      <c r="IS4">
        <v>5.2622902082999996</v>
      </c>
      <c r="IT4">
        <v>13.299999998700001</v>
      </c>
      <c r="IU4">
        <v>-32.844574780099997</v>
      </c>
      <c r="IV4">
        <v>16.2</v>
      </c>
      <c r="IW4">
        <v>53.958944281500003</v>
      </c>
      <c r="IX4">
        <v>12.5000000007</v>
      </c>
      <c r="IY4">
        <v>96.187683284499997</v>
      </c>
      <c r="IZ4">
        <v>-34.137591282000002</v>
      </c>
      <c r="JA4">
        <v>0.31665309879999998</v>
      </c>
      <c r="JB4">
        <v>-3.150572E-4</v>
      </c>
      <c r="JC4">
        <v>6.1790000000000005E-7</v>
      </c>
      <c r="JD4">
        <v>0.2833555881</v>
      </c>
      <c r="JE4">
        <v>0.26206573080000001</v>
      </c>
      <c r="JF4">
        <v>9.4599893099999999E-2</v>
      </c>
      <c r="JG4">
        <v>118.96953101370001</v>
      </c>
      <c r="JH4">
        <v>3.7172329372999999</v>
      </c>
      <c r="JI4">
        <v>3.1828913999999999E-3</v>
      </c>
      <c r="JJ4">
        <v>-8.0736399999999995E-5</v>
      </c>
      <c r="JK4">
        <v>3.529134564</v>
      </c>
      <c r="JL4">
        <v>1.4712006200000001</v>
      </c>
      <c r="JM4">
        <v>0.49005574860000001</v>
      </c>
      <c r="JN4" t="s">
        <v>538</v>
      </c>
      <c r="JQ4">
        <v>1</v>
      </c>
    </row>
    <row r="5" spans="1:277">
      <c r="A5" t="s">
        <v>572</v>
      </c>
      <c r="B5" t="s">
        <v>573</v>
      </c>
      <c r="C5" t="s">
        <v>212</v>
      </c>
      <c r="D5">
        <v>3</v>
      </c>
      <c r="E5" t="s">
        <v>213</v>
      </c>
      <c r="F5" t="s">
        <v>214</v>
      </c>
      <c r="G5" t="s">
        <v>537</v>
      </c>
      <c r="H5" t="s">
        <v>216</v>
      </c>
      <c r="J5" t="s">
        <v>564</v>
      </c>
      <c r="K5" t="s">
        <v>565</v>
      </c>
      <c r="L5" t="s">
        <v>566</v>
      </c>
      <c r="M5" t="s">
        <v>567</v>
      </c>
      <c r="N5" t="s">
        <v>568</v>
      </c>
      <c r="O5">
        <v>0</v>
      </c>
      <c r="P5">
        <v>0</v>
      </c>
      <c r="Q5">
        <v>9.9999999300000003E-2</v>
      </c>
      <c r="R5">
        <v>0.20000000039999999</v>
      </c>
      <c r="S5">
        <v>0.20000000039999999</v>
      </c>
      <c r="T5">
        <v>0.20000000039999999</v>
      </c>
      <c r="U5">
        <v>0.20000000039999999</v>
      </c>
      <c r="V5">
        <v>9.9999999300000003E-2</v>
      </c>
      <c r="W5">
        <v>9.9999999300000003E-2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9.9999999300000003E-2</v>
      </c>
      <c r="AF5">
        <v>9.9999999300000003E-2</v>
      </c>
      <c r="AG5">
        <v>0.20000000039999999</v>
      </c>
      <c r="AH5">
        <v>0.20000000039999999</v>
      </c>
      <c r="AI5">
        <v>0.20000000039999999</v>
      </c>
      <c r="AJ5">
        <v>1.3999999992000001</v>
      </c>
      <c r="AK5">
        <v>6.1999999998000002</v>
      </c>
      <c r="AL5">
        <v>13.299999998700001</v>
      </c>
      <c r="AM5">
        <v>20.699999999100001</v>
      </c>
      <c r="AN5">
        <v>28.399999999199999</v>
      </c>
      <c r="AO5">
        <v>36.099999999399998</v>
      </c>
      <c r="AP5">
        <v>43.399999998699997</v>
      </c>
      <c r="AQ5">
        <v>50.699999999799999</v>
      </c>
      <c r="AR5">
        <v>58.699999999600003</v>
      </c>
      <c r="AS5">
        <v>66.999999999099998</v>
      </c>
      <c r="AT5">
        <v>75.300000000400004</v>
      </c>
      <c r="AU5">
        <v>83.599999999900007</v>
      </c>
      <c r="AV5">
        <v>91.800000000099999</v>
      </c>
      <c r="AW5">
        <v>99.8</v>
      </c>
      <c r="AX5">
        <v>108.1999999988</v>
      </c>
      <c r="AY5">
        <v>117.0000000002</v>
      </c>
      <c r="AZ5">
        <v>125.79999999979999</v>
      </c>
      <c r="BA5">
        <v>134.39999999899999</v>
      </c>
      <c r="BB5">
        <v>142.70000000030001</v>
      </c>
      <c r="BC5">
        <v>150.8999999987</v>
      </c>
      <c r="BD5">
        <v>159.29999999930001</v>
      </c>
      <c r="BE5">
        <v>167.90000000040001</v>
      </c>
      <c r="BF5">
        <v>176.59999999889999</v>
      </c>
      <c r="BG5">
        <v>185.4000000003</v>
      </c>
      <c r="BH5">
        <v>193.69999999980001</v>
      </c>
      <c r="BI5">
        <v>201.69999999960001</v>
      </c>
      <c r="BJ5">
        <v>209.8999999998</v>
      </c>
      <c r="BK5">
        <v>218.39999999969999</v>
      </c>
      <c r="BL5">
        <v>226.99999999900001</v>
      </c>
      <c r="BM5">
        <v>235.3999999996</v>
      </c>
      <c r="BN5">
        <v>243.39999999939999</v>
      </c>
      <c r="BO5">
        <v>251.1999999988</v>
      </c>
      <c r="BP5">
        <v>258.8999999989</v>
      </c>
      <c r="BQ5">
        <v>266.89999999870003</v>
      </c>
      <c r="BR5">
        <v>274.9000000003</v>
      </c>
      <c r="BS5">
        <v>282.90000000020001</v>
      </c>
      <c r="BT5">
        <v>290.69999999959998</v>
      </c>
      <c r="BU5">
        <v>297.80000000029997</v>
      </c>
      <c r="BV5">
        <v>304.89999999920002</v>
      </c>
      <c r="BW5">
        <v>312.09999999920001</v>
      </c>
      <c r="BX5">
        <v>319.4000000003</v>
      </c>
      <c r="BY5">
        <v>326.69999999959998</v>
      </c>
      <c r="BZ5">
        <v>333.80000000029997</v>
      </c>
      <c r="CA5">
        <v>340.89999999920002</v>
      </c>
      <c r="CB5">
        <v>347.59999999910002</v>
      </c>
      <c r="CC5">
        <v>353.90000000010002</v>
      </c>
      <c r="CD5">
        <v>360.30000000029997</v>
      </c>
      <c r="CE5">
        <v>366.89999999909998</v>
      </c>
      <c r="CF5">
        <v>373.49999999969998</v>
      </c>
      <c r="CG5">
        <v>379.89999999989999</v>
      </c>
      <c r="CH5">
        <v>386.3000000001</v>
      </c>
      <c r="CI5">
        <v>392.39999999880001</v>
      </c>
      <c r="CJ5">
        <v>398.29999999889998</v>
      </c>
      <c r="CK5">
        <v>404.00000000049999</v>
      </c>
      <c r="CL5">
        <v>409.59999999899998</v>
      </c>
      <c r="CM5">
        <v>415.1000000002</v>
      </c>
      <c r="CN5">
        <v>421.00000000030002</v>
      </c>
      <c r="CO5">
        <v>426.7</v>
      </c>
      <c r="CP5">
        <v>432.39999999970001</v>
      </c>
      <c r="CQ5">
        <v>437.89999999899999</v>
      </c>
      <c r="CR5">
        <v>443.29999999900002</v>
      </c>
      <c r="CS5">
        <v>447.09999999939998</v>
      </c>
      <c r="CT5">
        <v>448.19999999890001</v>
      </c>
      <c r="CU5">
        <v>448.3</v>
      </c>
      <c r="CV5">
        <v>448.39999999930001</v>
      </c>
      <c r="CW5">
        <v>448.50000000040001</v>
      </c>
      <c r="CX5">
        <v>448.39999999930001</v>
      </c>
      <c r="CY5">
        <v>448.50000000040001</v>
      </c>
      <c r="CZ5">
        <v>448.50000000040001</v>
      </c>
      <c r="DA5">
        <v>448.50000000040001</v>
      </c>
      <c r="DB5">
        <v>448.50000000040001</v>
      </c>
      <c r="DC5">
        <v>448.50000000040001</v>
      </c>
      <c r="DD5">
        <v>448.5999999997</v>
      </c>
      <c r="DE5">
        <v>448.5999999997</v>
      </c>
      <c r="DF5">
        <v>448.50000000040001</v>
      </c>
      <c r="DG5">
        <v>1.1999999988000001</v>
      </c>
      <c r="DH5">
        <v>1.3999999992000001</v>
      </c>
      <c r="DI5">
        <v>1.3999999992000001</v>
      </c>
      <c r="DJ5">
        <v>1.3999999992000001</v>
      </c>
      <c r="DK5">
        <v>1.3999999992000001</v>
      </c>
      <c r="DL5">
        <v>1.2999999999</v>
      </c>
      <c r="DM5">
        <v>1.1999999988000001</v>
      </c>
      <c r="DN5">
        <v>1.1999999988000001</v>
      </c>
      <c r="DO5">
        <v>1.0999999995</v>
      </c>
      <c r="DP5">
        <v>1.0999999995</v>
      </c>
      <c r="DQ5">
        <v>1.0999999995</v>
      </c>
      <c r="DR5">
        <v>1.0000000002</v>
      </c>
      <c r="DS5">
        <v>1.0000000002</v>
      </c>
      <c r="DT5">
        <v>0.89999999909999995</v>
      </c>
      <c r="DU5">
        <v>0.89999999909999995</v>
      </c>
      <c r="DV5">
        <v>0.89999999909999995</v>
      </c>
      <c r="DW5">
        <v>0.79999999980000003</v>
      </c>
      <c r="DX5">
        <v>1.0999999995</v>
      </c>
      <c r="DY5">
        <v>4.1999999994000001</v>
      </c>
      <c r="DZ5">
        <v>11.300000000100001</v>
      </c>
      <c r="EA5">
        <v>18.8999999991</v>
      </c>
      <c r="EB5">
        <v>26.399999998799998</v>
      </c>
      <c r="EC5">
        <v>34.099999998900003</v>
      </c>
      <c r="ED5">
        <v>41.699999999799999</v>
      </c>
      <c r="EE5">
        <v>48.999999999099998</v>
      </c>
      <c r="EF5">
        <v>56.4999999988</v>
      </c>
      <c r="EG5">
        <v>64.899999999399995</v>
      </c>
      <c r="EH5">
        <v>73.199999998899997</v>
      </c>
      <c r="EI5">
        <v>81.399999999100004</v>
      </c>
      <c r="EJ5">
        <v>89.599999999299996</v>
      </c>
      <c r="EK5">
        <v>97.399999998699997</v>
      </c>
      <c r="EL5">
        <v>105.4000000004</v>
      </c>
      <c r="EM5">
        <v>114.2</v>
      </c>
      <c r="EN5">
        <v>123.2</v>
      </c>
      <c r="EO5">
        <v>131.9000000003</v>
      </c>
      <c r="EP5">
        <v>140.49999999950001</v>
      </c>
      <c r="EQ5">
        <v>148.4999999993</v>
      </c>
      <c r="ER5">
        <v>156.69999999949999</v>
      </c>
      <c r="ES5">
        <v>165.60000000030001</v>
      </c>
      <c r="ET5">
        <v>174.29999999879999</v>
      </c>
      <c r="EU5">
        <v>183.1000000002</v>
      </c>
      <c r="EV5">
        <v>191.69999999940001</v>
      </c>
      <c r="EW5">
        <v>199.8000000003</v>
      </c>
      <c r="EX5">
        <v>207.8000000001</v>
      </c>
      <c r="EY5">
        <v>216.19999999890001</v>
      </c>
      <c r="EZ5">
        <v>225.00000000040001</v>
      </c>
      <c r="FA5">
        <v>233.59999999959999</v>
      </c>
      <c r="FB5">
        <v>241.69999999870001</v>
      </c>
      <c r="FC5">
        <v>249.49999999990001</v>
      </c>
      <c r="FD5">
        <v>257.49999999969998</v>
      </c>
      <c r="FE5">
        <v>265.49999999950001</v>
      </c>
      <c r="FF5">
        <v>273.60000000039997</v>
      </c>
      <c r="FG5">
        <v>281.60000000029999</v>
      </c>
      <c r="FH5">
        <v>289.60000000010001</v>
      </c>
      <c r="FI5">
        <v>297.19999999909999</v>
      </c>
      <c r="FJ5">
        <v>304.29999999979998</v>
      </c>
      <c r="FK5">
        <v>311.39999999870003</v>
      </c>
      <c r="FL5">
        <v>318.90000000020001</v>
      </c>
      <c r="FM5">
        <v>326.49999999919999</v>
      </c>
      <c r="FN5">
        <v>333.80000000029997</v>
      </c>
      <c r="FO5">
        <v>340.79999999990002</v>
      </c>
      <c r="FP5">
        <v>347.7999999996</v>
      </c>
      <c r="FQ5">
        <v>354.29999999910001</v>
      </c>
      <c r="FR5">
        <v>360.89999999970001</v>
      </c>
      <c r="FS5">
        <v>367.29999999990002</v>
      </c>
      <c r="FT5">
        <v>374.20000000020002</v>
      </c>
      <c r="FU5">
        <v>380.79999999900002</v>
      </c>
      <c r="FV5">
        <v>387.09999999989998</v>
      </c>
      <c r="FW5">
        <v>393.29999999969999</v>
      </c>
      <c r="FX5">
        <v>399.29999999910001</v>
      </c>
      <c r="FY5">
        <v>404.89999999949998</v>
      </c>
      <c r="FZ5">
        <v>410.59999999920001</v>
      </c>
      <c r="GA5">
        <v>416.19999999970003</v>
      </c>
      <c r="GB5">
        <v>421.8000000001</v>
      </c>
      <c r="GC5">
        <v>427.59999999910002</v>
      </c>
      <c r="GD5">
        <v>433.1000000002</v>
      </c>
      <c r="GE5">
        <v>438.19999999869998</v>
      </c>
      <c r="GF5">
        <v>443.19999999970003</v>
      </c>
      <c r="GG5">
        <v>446.89999999899999</v>
      </c>
      <c r="GH5">
        <v>448.19999999890001</v>
      </c>
      <c r="GI5">
        <v>448.19999999890001</v>
      </c>
      <c r="GJ5">
        <v>448.3</v>
      </c>
      <c r="GK5">
        <v>448.3</v>
      </c>
      <c r="GL5">
        <v>448.39999999930001</v>
      </c>
      <c r="GM5">
        <v>448.39999999930001</v>
      </c>
      <c r="GN5">
        <v>448.39999999930001</v>
      </c>
      <c r="GO5">
        <v>448.50000000040001</v>
      </c>
      <c r="GP5">
        <v>448.50000000040001</v>
      </c>
      <c r="GQ5">
        <v>448.50000000040001</v>
      </c>
      <c r="GR5">
        <v>448.50000000040001</v>
      </c>
      <c r="GS5">
        <v>448.50000000040001</v>
      </c>
      <c r="GT5">
        <v>448.5999999997</v>
      </c>
      <c r="GU5">
        <v>448.5999999997</v>
      </c>
      <c r="GV5">
        <v>448.5999999997</v>
      </c>
      <c r="GW5">
        <v>1</v>
      </c>
      <c r="GX5">
        <v>105.7000000001</v>
      </c>
      <c r="GY5">
        <v>99.8</v>
      </c>
      <c r="GZ5">
        <v>99.8</v>
      </c>
      <c r="HA5">
        <v>114.2</v>
      </c>
      <c r="HB5">
        <v>103.2346856888</v>
      </c>
      <c r="HC5">
        <v>-14.4</v>
      </c>
      <c r="HD5">
        <v>448.59998885390002</v>
      </c>
      <c r="HE5">
        <v>311.91827909030002</v>
      </c>
      <c r="HF5">
        <v>89.3550267512</v>
      </c>
      <c r="HG5">
        <v>448.5999999997</v>
      </c>
      <c r="HH5">
        <v>448.5999999997</v>
      </c>
      <c r="HI5">
        <v>448.5999999997</v>
      </c>
      <c r="HJ5">
        <v>448.5999999997</v>
      </c>
      <c r="HK5">
        <v>110.26392961880001</v>
      </c>
      <c r="HL5">
        <v>3.4567592459999998</v>
      </c>
      <c r="HM5">
        <v>3.3139522816999998</v>
      </c>
      <c r="HN5">
        <v>3.3557821823</v>
      </c>
      <c r="HO5">
        <v>3.3495573746999998</v>
      </c>
      <c r="HP5">
        <v>3.6692608516999998</v>
      </c>
      <c r="HQ5">
        <v>2.270151754</v>
      </c>
      <c r="HR5">
        <v>13.8796589376</v>
      </c>
      <c r="HS5">
        <v>-25.806451612899998</v>
      </c>
      <c r="HT5">
        <v>-176</v>
      </c>
      <c r="HU5">
        <v>415.15296477909999</v>
      </c>
      <c r="HV5">
        <v>93.841642228699996</v>
      </c>
      <c r="HW5">
        <v>640</v>
      </c>
      <c r="HX5">
        <v>13.8796589376</v>
      </c>
      <c r="HY5">
        <v>-25.806451612899998</v>
      </c>
      <c r="HZ5">
        <v>-176</v>
      </c>
      <c r="IA5">
        <v>415.15296477909999</v>
      </c>
      <c r="IB5">
        <v>93.841642228699996</v>
      </c>
      <c r="IC5">
        <v>640</v>
      </c>
      <c r="ID5">
        <v>33.447035220700002</v>
      </c>
      <c r="IE5">
        <v>0.20130405749999999</v>
      </c>
      <c r="IF5">
        <v>-35.190615835800003</v>
      </c>
      <c r="IG5">
        <v>-240</v>
      </c>
      <c r="IH5">
        <v>437.78598974459999</v>
      </c>
      <c r="II5">
        <v>103.22580645159999</v>
      </c>
      <c r="IJ5">
        <v>704</v>
      </c>
      <c r="IK5">
        <v>401.27330584150002</v>
      </c>
      <c r="IL5">
        <v>119.6480938416</v>
      </c>
      <c r="IM5">
        <v>425.3005572893</v>
      </c>
      <c r="IN5">
        <v>129.03225806450001</v>
      </c>
      <c r="IO5">
        <v>7.5999999989999996</v>
      </c>
      <c r="IP5">
        <v>5.7999999989999997</v>
      </c>
      <c r="IQ5">
        <v>9</v>
      </c>
      <c r="IR5">
        <v>6.7693028035999996</v>
      </c>
      <c r="IS5">
        <v>6.7693028035999996</v>
      </c>
      <c r="IT5">
        <v>12.699999999299999</v>
      </c>
      <c r="IU5">
        <v>-28.152492668600001</v>
      </c>
      <c r="IV5">
        <v>15.199999999799999</v>
      </c>
      <c r="IW5">
        <v>18.7683284457</v>
      </c>
      <c r="IX5">
        <v>11.4999999987</v>
      </c>
      <c r="IY5">
        <v>103.22580645159999</v>
      </c>
      <c r="IZ5">
        <v>-30.1104659513</v>
      </c>
      <c r="JA5">
        <v>0.31699397499999998</v>
      </c>
      <c r="JB5">
        <v>-3.1964009999999998E-4</v>
      </c>
      <c r="JC5">
        <v>6.6010000000000004E-7</v>
      </c>
      <c r="JD5">
        <v>0.28928829830000002</v>
      </c>
      <c r="JE5">
        <v>0.2086098925</v>
      </c>
      <c r="JF5">
        <v>7.9420787800000003E-2</v>
      </c>
      <c r="JG5">
        <v>104.09181206860001</v>
      </c>
      <c r="JH5">
        <v>3.6692608516999998</v>
      </c>
      <c r="JI5">
        <v>3.2503781E-3</v>
      </c>
      <c r="JJ5">
        <v>-7.6050099999999999E-5</v>
      </c>
      <c r="JK5">
        <v>3.4567592459999998</v>
      </c>
      <c r="JL5">
        <v>1.0253092956000001</v>
      </c>
      <c r="JM5">
        <v>0.53289599600000004</v>
      </c>
      <c r="JN5" t="s">
        <v>538</v>
      </c>
      <c r="JQ5">
        <v>1</v>
      </c>
    </row>
    <row r="6" spans="1:277">
      <c r="A6" t="s">
        <v>594</v>
      </c>
      <c r="B6" t="s">
        <v>595</v>
      </c>
      <c r="C6" t="s">
        <v>212</v>
      </c>
      <c r="D6">
        <v>3</v>
      </c>
      <c r="E6" t="s">
        <v>213</v>
      </c>
      <c r="F6" t="s">
        <v>214</v>
      </c>
      <c r="G6" t="s">
        <v>537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0</v>
      </c>
      <c r="R6">
        <v>0.60000000119999997</v>
      </c>
      <c r="S6">
        <v>0.7000000005</v>
      </c>
      <c r="T6">
        <v>0.7000000005</v>
      </c>
      <c r="U6">
        <v>0.7000000005</v>
      </c>
      <c r="V6">
        <v>0.79999999980000003</v>
      </c>
      <c r="W6">
        <v>0.90000000089999999</v>
      </c>
      <c r="X6">
        <v>0.79999999980000003</v>
      </c>
      <c r="Y6">
        <v>0.90000000089999999</v>
      </c>
      <c r="Z6">
        <v>1.0000000002</v>
      </c>
      <c r="AA6">
        <v>1.0000000002</v>
      </c>
      <c r="AB6">
        <v>1.0000000002</v>
      </c>
      <c r="AC6">
        <v>1.1000000013</v>
      </c>
      <c r="AD6">
        <v>1.1000000013</v>
      </c>
      <c r="AE6">
        <v>1.1000000013</v>
      </c>
      <c r="AF6">
        <v>1.1000000013</v>
      </c>
      <c r="AG6">
        <v>1.0000000002</v>
      </c>
      <c r="AH6">
        <v>1.1000000013</v>
      </c>
      <c r="AI6">
        <v>3.3000000002999998</v>
      </c>
      <c r="AJ6">
        <v>7.4000000004000004</v>
      </c>
      <c r="AK6">
        <v>13.3999999998</v>
      </c>
      <c r="AL6">
        <v>20.599999999800001</v>
      </c>
      <c r="AM6">
        <v>27.900000000999999</v>
      </c>
      <c r="AN6">
        <v>35.400000000699997</v>
      </c>
      <c r="AO6">
        <v>42.900000000399999</v>
      </c>
      <c r="AP6">
        <v>50.600000000500003</v>
      </c>
      <c r="AQ6">
        <v>57.5000000008</v>
      </c>
      <c r="AR6">
        <v>65.000000000499995</v>
      </c>
      <c r="AS6">
        <v>73.200000000700001</v>
      </c>
      <c r="AT6">
        <v>81.200000000499998</v>
      </c>
      <c r="AU6">
        <v>89.299999999600004</v>
      </c>
      <c r="AV6">
        <v>97.600000000999998</v>
      </c>
      <c r="AW6">
        <v>105.4000000004</v>
      </c>
      <c r="AX6">
        <v>112.90000000009999</v>
      </c>
      <c r="AY6">
        <v>121.3000000007</v>
      </c>
      <c r="AZ6">
        <v>129.6000000002</v>
      </c>
      <c r="BA6">
        <v>138.00000000079999</v>
      </c>
      <c r="BB6">
        <v>146.3000000003</v>
      </c>
      <c r="BC6">
        <v>154.59999999979999</v>
      </c>
      <c r="BD6">
        <v>162.30000000000001</v>
      </c>
      <c r="BE6">
        <v>170.5000000002</v>
      </c>
      <c r="BF6">
        <v>179.20000000050001</v>
      </c>
      <c r="BG6">
        <v>187.6000000011</v>
      </c>
      <c r="BH6">
        <v>195.99999999990001</v>
      </c>
      <c r="BI6">
        <v>204.3000000012</v>
      </c>
      <c r="BJ6">
        <v>212.0000000014</v>
      </c>
      <c r="BK6">
        <v>219.8000000008</v>
      </c>
      <c r="BL6">
        <v>228.19999999960001</v>
      </c>
      <c r="BM6">
        <v>236.3999999998</v>
      </c>
      <c r="BN6">
        <v>244.3999999996</v>
      </c>
      <c r="BO6">
        <v>252.4000000012</v>
      </c>
      <c r="BP6">
        <v>260.00000000019998</v>
      </c>
      <c r="BQ6">
        <v>267.20000000020002</v>
      </c>
      <c r="BR6">
        <v>274.9000000003</v>
      </c>
      <c r="BS6">
        <v>282.90000000020001</v>
      </c>
      <c r="BT6">
        <v>290.60000000029999</v>
      </c>
      <c r="BU6">
        <v>297.80000000029997</v>
      </c>
      <c r="BV6">
        <v>305.09999999960002</v>
      </c>
      <c r="BW6">
        <v>312.10000000100001</v>
      </c>
      <c r="BX6">
        <v>318.69999999980001</v>
      </c>
      <c r="BY6">
        <v>325.50000000080001</v>
      </c>
      <c r="BZ6">
        <v>332.7000000008</v>
      </c>
      <c r="CA6">
        <v>339.90000000089998</v>
      </c>
      <c r="CB6">
        <v>346.40000000039998</v>
      </c>
      <c r="CC6">
        <v>352.80000000059999</v>
      </c>
      <c r="CD6">
        <v>359.0999999997</v>
      </c>
      <c r="CE6">
        <v>365.30000000130002</v>
      </c>
      <c r="CF6">
        <v>371.30000000069998</v>
      </c>
      <c r="CG6">
        <v>377.70000000089999</v>
      </c>
      <c r="CH6">
        <v>384.1000000011</v>
      </c>
      <c r="CI6">
        <v>390.30000000090001</v>
      </c>
      <c r="CJ6">
        <v>396.20000000099998</v>
      </c>
      <c r="CK6">
        <v>401.7999999996</v>
      </c>
      <c r="CL6">
        <v>407.40000000010002</v>
      </c>
      <c r="CM6">
        <v>413.00000000049999</v>
      </c>
      <c r="CN6">
        <v>418.40000000049997</v>
      </c>
      <c r="CO6">
        <v>423.8999999998</v>
      </c>
      <c r="CP6">
        <v>429.70000000060003</v>
      </c>
      <c r="CQ6">
        <v>435.300000001</v>
      </c>
      <c r="CR6">
        <v>440.70000000099998</v>
      </c>
      <c r="CS6">
        <v>445.90000000060002</v>
      </c>
      <c r="CT6">
        <v>450.80000000050001</v>
      </c>
      <c r="CU6">
        <v>455.7000000004</v>
      </c>
      <c r="CV6">
        <v>459.50000000080001</v>
      </c>
      <c r="CW6">
        <v>460.80000000069998</v>
      </c>
      <c r="CX6">
        <v>460.80000000069998</v>
      </c>
      <c r="CY6">
        <v>460.9</v>
      </c>
      <c r="CZ6">
        <v>460.9</v>
      </c>
      <c r="DA6">
        <v>461.00000000109998</v>
      </c>
      <c r="DB6">
        <v>461.00000000109998</v>
      </c>
      <c r="DC6">
        <v>461.10000000039997</v>
      </c>
      <c r="DD6">
        <v>461.10000000039997</v>
      </c>
      <c r="DE6">
        <v>461.19999999970003</v>
      </c>
      <c r="DF6">
        <v>461.19999999970003</v>
      </c>
      <c r="DG6">
        <v>0.90000000089999999</v>
      </c>
      <c r="DH6">
        <v>1.8</v>
      </c>
      <c r="DI6">
        <v>1.9000000011</v>
      </c>
      <c r="DJ6">
        <v>1.9000000011</v>
      </c>
      <c r="DK6">
        <v>1.9000000011</v>
      </c>
      <c r="DL6">
        <v>2.0000000004</v>
      </c>
      <c r="DM6">
        <v>2.0999999997000001</v>
      </c>
      <c r="DN6">
        <v>2.0000000004</v>
      </c>
      <c r="DO6">
        <v>2.0999999997000001</v>
      </c>
      <c r="DP6">
        <v>2.2000000007999998</v>
      </c>
      <c r="DQ6">
        <v>2.2000000007999998</v>
      </c>
      <c r="DR6">
        <v>2.2000000007999998</v>
      </c>
      <c r="DS6">
        <v>2.2000000007999998</v>
      </c>
      <c r="DT6">
        <v>2.0999999997000001</v>
      </c>
      <c r="DU6">
        <v>2.0000000004</v>
      </c>
      <c r="DV6">
        <v>1.9000000011</v>
      </c>
      <c r="DW6">
        <v>2.9000000013</v>
      </c>
      <c r="DX6">
        <v>6.3000000008999999</v>
      </c>
      <c r="DY6">
        <v>12.300000000300001</v>
      </c>
      <c r="DZ6">
        <v>19.599999999600001</v>
      </c>
      <c r="EA6">
        <v>26.900000000799999</v>
      </c>
      <c r="EB6">
        <v>34.300000001199997</v>
      </c>
      <c r="EC6">
        <v>41.800000000899999</v>
      </c>
      <c r="ED6">
        <v>49.300000000600001</v>
      </c>
      <c r="EE6">
        <v>56.4000000013</v>
      </c>
      <c r="EF6">
        <v>63.600000001300003</v>
      </c>
      <c r="EG6">
        <v>71.700000000399996</v>
      </c>
      <c r="EH6">
        <v>79.600000000899996</v>
      </c>
      <c r="EI6">
        <v>87.7</v>
      </c>
      <c r="EJ6">
        <v>95.800000001000001</v>
      </c>
      <c r="EK6">
        <v>103.8000000008</v>
      </c>
      <c r="EL6">
        <v>111.30000000050001</v>
      </c>
      <c r="EM6">
        <v>119.5000000007</v>
      </c>
      <c r="EN6">
        <v>128.00000000060001</v>
      </c>
      <c r="EO6">
        <v>136.3000000001</v>
      </c>
      <c r="EP6">
        <v>144.90000000110001</v>
      </c>
      <c r="EQ6">
        <v>153.20000000069999</v>
      </c>
      <c r="ER6">
        <v>161.20000000050001</v>
      </c>
      <c r="ES6">
        <v>169.10000000100001</v>
      </c>
      <c r="ET6">
        <v>177.90000000059999</v>
      </c>
      <c r="EU6">
        <v>186.3000000012</v>
      </c>
      <c r="EV6">
        <v>194.80000000109999</v>
      </c>
      <c r="EW6">
        <v>203.1999999999</v>
      </c>
      <c r="EX6">
        <v>211.1999999997</v>
      </c>
      <c r="EY6">
        <v>219.10000000030001</v>
      </c>
      <c r="EZ6">
        <v>227.5000000009</v>
      </c>
      <c r="FA6">
        <v>235.80000000039999</v>
      </c>
      <c r="FB6">
        <v>244.09999999990001</v>
      </c>
      <c r="FC6">
        <v>252.0999999997</v>
      </c>
      <c r="FD6">
        <v>260.00000000019998</v>
      </c>
      <c r="FE6">
        <v>267.49999999990001</v>
      </c>
      <c r="FF6">
        <v>275.30000000119998</v>
      </c>
      <c r="FG6">
        <v>283.300000001</v>
      </c>
      <c r="FH6">
        <v>291.30000000080003</v>
      </c>
      <c r="FI6">
        <v>298.70000000120001</v>
      </c>
      <c r="FJ6">
        <v>306.20000000089999</v>
      </c>
      <c r="FK6">
        <v>313.29999999979998</v>
      </c>
      <c r="FL6">
        <v>320.20000000009998</v>
      </c>
      <c r="FM6">
        <v>327.50000000120002</v>
      </c>
      <c r="FN6">
        <v>334.8999999998</v>
      </c>
      <c r="FO6">
        <v>341.90000000129999</v>
      </c>
      <c r="FP6">
        <v>348.60000000119999</v>
      </c>
      <c r="FQ6">
        <v>355.49999999969998</v>
      </c>
      <c r="FR6">
        <v>361.89999999989999</v>
      </c>
      <c r="FS6">
        <v>368.0999999997</v>
      </c>
      <c r="FT6">
        <v>374.30000000130002</v>
      </c>
      <c r="FU6">
        <v>381.10000000050002</v>
      </c>
      <c r="FV6">
        <v>387.6</v>
      </c>
      <c r="FW6">
        <v>393.60000000119999</v>
      </c>
      <c r="FX6">
        <v>399.40000000020001</v>
      </c>
      <c r="FY6">
        <v>405.30000000040002</v>
      </c>
      <c r="FZ6">
        <v>410.90000000079999</v>
      </c>
      <c r="GA6">
        <v>416.40000000010002</v>
      </c>
      <c r="GB6">
        <v>421.50000000040001</v>
      </c>
      <c r="GC6">
        <v>426.99999999969998</v>
      </c>
      <c r="GD6">
        <v>432.50000000080001</v>
      </c>
      <c r="GE6">
        <v>437.5</v>
      </c>
      <c r="GF6">
        <v>442.30000000059999</v>
      </c>
      <c r="GG6">
        <v>446.7000000004</v>
      </c>
      <c r="GH6">
        <v>451.2000000013</v>
      </c>
      <c r="GI6">
        <v>455.6000000011</v>
      </c>
      <c r="GJ6">
        <v>459.20000000110002</v>
      </c>
      <c r="GK6">
        <v>460.69999999959998</v>
      </c>
      <c r="GL6">
        <v>460.80000000069998</v>
      </c>
      <c r="GM6">
        <v>460.80000000069998</v>
      </c>
      <c r="GN6">
        <v>460.80000000069998</v>
      </c>
      <c r="GO6">
        <v>460.9</v>
      </c>
      <c r="GP6">
        <v>460.9</v>
      </c>
      <c r="GQ6">
        <v>461.00000000109998</v>
      </c>
      <c r="GR6">
        <v>461.00000000109998</v>
      </c>
      <c r="GS6">
        <v>461.10000000039997</v>
      </c>
      <c r="GT6">
        <v>461.10000000039997</v>
      </c>
      <c r="GU6">
        <v>461.19999999970003</v>
      </c>
      <c r="GV6">
        <v>461.19999999970003</v>
      </c>
      <c r="GW6">
        <v>1</v>
      </c>
      <c r="GX6">
        <v>110.7999999986</v>
      </c>
      <c r="GY6">
        <v>105.4000000004</v>
      </c>
      <c r="GZ6">
        <v>105.4000000004</v>
      </c>
      <c r="HA6">
        <v>119.5000000007</v>
      </c>
      <c r="HB6">
        <v>108.8378686041</v>
      </c>
      <c r="HC6">
        <v>-14.1000000003</v>
      </c>
      <c r="HD6">
        <v>461.19999999970003</v>
      </c>
      <c r="HE6">
        <v>305.91282523810003</v>
      </c>
      <c r="HF6">
        <v>87.422463140199994</v>
      </c>
      <c r="HG6">
        <v>461.19999999970003</v>
      </c>
      <c r="HH6">
        <v>461.19999999970003</v>
      </c>
      <c r="HI6">
        <v>461.19999999970003</v>
      </c>
      <c r="HJ6">
        <v>461.19999999970003</v>
      </c>
      <c r="HK6">
        <v>117.3020527859</v>
      </c>
      <c r="HL6">
        <v>3.3848418561</v>
      </c>
      <c r="HM6">
        <v>3.2166535243999999</v>
      </c>
      <c r="HN6">
        <v>3.3055065413000002</v>
      </c>
      <c r="HO6">
        <v>3.2269505984000002</v>
      </c>
      <c r="HP6">
        <v>3.5636463637000002</v>
      </c>
      <c r="HQ6">
        <v>2.2719826164999999</v>
      </c>
      <c r="HR6">
        <v>21.415405463900001</v>
      </c>
      <c r="HS6">
        <v>-25.806451612899998</v>
      </c>
      <c r="HT6">
        <v>-176</v>
      </c>
      <c r="HU6">
        <v>414.75069384220001</v>
      </c>
      <c r="HV6">
        <v>93.841642228699996</v>
      </c>
      <c r="HW6">
        <v>640</v>
      </c>
      <c r="HX6">
        <v>21.415405463900001</v>
      </c>
      <c r="HY6">
        <v>-25.806451612899998</v>
      </c>
      <c r="HZ6">
        <v>-176</v>
      </c>
      <c r="IA6">
        <v>414.75069384220001</v>
      </c>
      <c r="IB6">
        <v>93.841642228699996</v>
      </c>
      <c r="IC6">
        <v>640</v>
      </c>
      <c r="ID6">
        <v>46.449306157599999</v>
      </c>
      <c r="IE6">
        <v>1.1417172605999999</v>
      </c>
      <c r="IF6">
        <v>-35.190615835800003</v>
      </c>
      <c r="IG6">
        <v>-240</v>
      </c>
      <c r="IH6">
        <v>436.60060711189999</v>
      </c>
      <c r="II6">
        <v>103.22580645159999</v>
      </c>
      <c r="IJ6">
        <v>704</v>
      </c>
      <c r="IK6">
        <v>393.3352883782</v>
      </c>
      <c r="IL6">
        <v>119.6480938416</v>
      </c>
      <c r="IM6">
        <v>417.9922376403</v>
      </c>
      <c r="IN6">
        <v>129.03225806450001</v>
      </c>
      <c r="IO6">
        <v>7.2999999992999998</v>
      </c>
      <c r="IP6">
        <v>5.6000000003999997</v>
      </c>
      <c r="IQ6">
        <v>8.7999999996000007</v>
      </c>
      <c r="IR6">
        <v>6.0984396966999999</v>
      </c>
      <c r="IS6">
        <v>6.0984396966999999</v>
      </c>
      <c r="IT6">
        <v>13.5000000009</v>
      </c>
      <c r="IU6">
        <v>-28.152492668600001</v>
      </c>
      <c r="IV6">
        <v>16.400000000399999</v>
      </c>
      <c r="IW6">
        <v>49.266862170099998</v>
      </c>
      <c r="IX6">
        <v>12.6</v>
      </c>
      <c r="IY6">
        <v>105.57184750730001</v>
      </c>
      <c r="IZ6">
        <v>-32.835810422000002</v>
      </c>
      <c r="JA6">
        <v>0.33227760719999999</v>
      </c>
      <c r="JB6">
        <v>-3.5100160000000002E-4</v>
      </c>
      <c r="JC6">
        <v>6.878E-7</v>
      </c>
      <c r="JD6">
        <v>0.29543477730000001</v>
      </c>
      <c r="JE6">
        <v>0.1730607324</v>
      </c>
      <c r="JF6">
        <v>6.4999702300000003E-2</v>
      </c>
      <c r="JG6">
        <v>109.16296067970001</v>
      </c>
      <c r="JH6">
        <v>3.5636463637000002</v>
      </c>
      <c r="JI6">
        <v>3.6320708000000001E-3</v>
      </c>
      <c r="JJ6">
        <v>-7.4694699999999995E-5</v>
      </c>
      <c r="JK6">
        <v>3.3848418561</v>
      </c>
      <c r="JL6">
        <v>0.98158497560000002</v>
      </c>
      <c r="JM6">
        <v>0.42779418740000003</v>
      </c>
      <c r="JN6" t="s">
        <v>538</v>
      </c>
      <c r="JQ6">
        <v>1</v>
      </c>
    </row>
    <row r="7" spans="1:277">
      <c r="A7" t="s">
        <v>596</v>
      </c>
      <c r="B7" t="s">
        <v>597</v>
      </c>
      <c r="C7" t="s">
        <v>212</v>
      </c>
      <c r="D7">
        <v>3</v>
      </c>
      <c r="E7" t="s">
        <v>213</v>
      </c>
      <c r="F7" t="s">
        <v>214</v>
      </c>
      <c r="G7" t="s">
        <v>537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3.0000000006</v>
      </c>
      <c r="R7">
        <v>2.7000000008999998</v>
      </c>
      <c r="S7">
        <v>2.7000000008999998</v>
      </c>
      <c r="T7">
        <v>2.7000000008999998</v>
      </c>
      <c r="U7">
        <v>2.7000000008999998</v>
      </c>
      <c r="V7">
        <v>2.7000000008999998</v>
      </c>
      <c r="W7">
        <v>2.7000000008999998</v>
      </c>
      <c r="X7">
        <v>2.7000000008999998</v>
      </c>
      <c r="Y7">
        <v>2.8000000001999998</v>
      </c>
      <c r="Z7">
        <v>2.7000000008999998</v>
      </c>
      <c r="AA7">
        <v>2.5999999998000001</v>
      </c>
      <c r="AB7">
        <v>2.5999999998000001</v>
      </c>
      <c r="AC7">
        <v>2.5000000005</v>
      </c>
      <c r="AD7">
        <v>2.4000000012</v>
      </c>
      <c r="AE7">
        <v>2.0000000004</v>
      </c>
      <c r="AF7">
        <v>1.2000000006</v>
      </c>
      <c r="AG7">
        <v>0.50000000010000001</v>
      </c>
      <c r="AH7">
        <v>0</v>
      </c>
      <c r="AI7">
        <v>0.1000000011</v>
      </c>
      <c r="AJ7">
        <v>1.400000001</v>
      </c>
      <c r="AK7">
        <v>5.6000000003999997</v>
      </c>
      <c r="AL7">
        <v>12.6</v>
      </c>
      <c r="AM7">
        <v>19.8</v>
      </c>
      <c r="AN7">
        <v>26.799999999600001</v>
      </c>
      <c r="AO7">
        <v>33.900000000399999</v>
      </c>
      <c r="AP7">
        <v>41.699999999799999</v>
      </c>
      <c r="AQ7">
        <v>49.800000000700003</v>
      </c>
      <c r="AR7">
        <v>57.600000000100003</v>
      </c>
      <c r="AS7">
        <v>65.599999999900007</v>
      </c>
      <c r="AT7">
        <v>73.500000000399993</v>
      </c>
      <c r="AU7">
        <v>80.900000000800006</v>
      </c>
      <c r="AV7">
        <v>88.900000000600002</v>
      </c>
      <c r="AW7">
        <v>97.499999999899998</v>
      </c>
      <c r="AX7">
        <v>105.9999999998</v>
      </c>
      <c r="AY7">
        <v>114.10000000070001</v>
      </c>
      <c r="AZ7">
        <v>122.49999999950001</v>
      </c>
      <c r="BA7">
        <v>130.30000000070001</v>
      </c>
      <c r="BB7">
        <v>138.19999999940001</v>
      </c>
      <c r="BC7">
        <v>147.00000000079999</v>
      </c>
      <c r="BD7">
        <v>155.70000000120001</v>
      </c>
      <c r="BE7">
        <v>163.8999999996</v>
      </c>
      <c r="BF7">
        <v>172.30000000019999</v>
      </c>
      <c r="BG7">
        <v>180.3</v>
      </c>
      <c r="BH7">
        <v>188.10000000119999</v>
      </c>
      <c r="BI7">
        <v>196.2999999996</v>
      </c>
      <c r="BJ7">
        <v>204.90000000059999</v>
      </c>
      <c r="BK7">
        <v>212.99999999970001</v>
      </c>
      <c r="BL7">
        <v>221.10000000069999</v>
      </c>
      <c r="BM7">
        <v>229.19999999980001</v>
      </c>
      <c r="BN7">
        <v>236.6000000002</v>
      </c>
      <c r="BO7">
        <v>244.3000000003</v>
      </c>
      <c r="BP7">
        <v>252.59999999979999</v>
      </c>
      <c r="BQ7">
        <v>260.59999999960002</v>
      </c>
      <c r="BR7">
        <v>268</v>
      </c>
      <c r="BS7">
        <v>275.70000000009998</v>
      </c>
      <c r="BT7">
        <v>282.80000000090001</v>
      </c>
      <c r="BU7">
        <v>289.80000000050001</v>
      </c>
      <c r="BV7">
        <v>297.20000000089999</v>
      </c>
      <c r="BW7">
        <v>304.79999999990002</v>
      </c>
      <c r="BX7">
        <v>312.20000000030001</v>
      </c>
      <c r="BY7">
        <v>318.90000000020001</v>
      </c>
      <c r="BZ7">
        <v>326.0000000009</v>
      </c>
      <c r="CA7">
        <v>332.7000000008</v>
      </c>
      <c r="CB7">
        <v>338.90000000060002</v>
      </c>
      <c r="CC7">
        <v>345.49999999940002</v>
      </c>
      <c r="CD7">
        <v>352.30000000050001</v>
      </c>
      <c r="CE7">
        <v>359.0999999997</v>
      </c>
      <c r="CF7">
        <v>365.20000000020002</v>
      </c>
      <c r="CG7">
        <v>371.4</v>
      </c>
      <c r="CH7">
        <v>377.70000000089999</v>
      </c>
      <c r="CI7">
        <v>383.70000000030001</v>
      </c>
      <c r="CJ7">
        <v>389.00000000099999</v>
      </c>
      <c r="CK7">
        <v>394.8</v>
      </c>
      <c r="CL7">
        <v>400.70000000009998</v>
      </c>
      <c r="CM7">
        <v>406.9</v>
      </c>
      <c r="CN7">
        <v>412.9000000012</v>
      </c>
      <c r="CO7">
        <v>418.30000000119998</v>
      </c>
      <c r="CP7">
        <v>423.70000000120001</v>
      </c>
      <c r="CQ7">
        <v>429.40000000089998</v>
      </c>
      <c r="CR7">
        <v>433.80000000069998</v>
      </c>
      <c r="CS7">
        <v>435.80000000109999</v>
      </c>
      <c r="CT7">
        <v>436.70000000020002</v>
      </c>
      <c r="CU7">
        <v>437.10000000100001</v>
      </c>
      <c r="CV7">
        <v>437.20000000030001</v>
      </c>
      <c r="CW7">
        <v>437.20000000030001</v>
      </c>
      <c r="CX7">
        <v>437.20000000030001</v>
      </c>
      <c r="CY7">
        <v>437.2999999996</v>
      </c>
      <c r="CZ7">
        <v>437.2999999996</v>
      </c>
      <c r="DA7">
        <v>437.2999999996</v>
      </c>
      <c r="DB7">
        <v>437.4000000007</v>
      </c>
      <c r="DC7">
        <v>437.4000000007</v>
      </c>
      <c r="DD7">
        <v>437.4000000007</v>
      </c>
      <c r="DE7">
        <v>437.4000000007</v>
      </c>
      <c r="DF7">
        <v>437.5</v>
      </c>
      <c r="DG7">
        <v>4.1000000000999997</v>
      </c>
      <c r="DH7">
        <v>3.6</v>
      </c>
      <c r="DI7">
        <v>3.7000000010999998</v>
      </c>
      <c r="DJ7">
        <v>3.6</v>
      </c>
      <c r="DK7">
        <v>3.6</v>
      </c>
      <c r="DL7">
        <v>3.6</v>
      </c>
      <c r="DM7">
        <v>3.6</v>
      </c>
      <c r="DN7">
        <v>3.6</v>
      </c>
      <c r="DO7">
        <v>3.6</v>
      </c>
      <c r="DP7">
        <v>3.5000000007000001</v>
      </c>
      <c r="DQ7">
        <v>3.5000000007000001</v>
      </c>
      <c r="DR7">
        <v>3.3999999995999999</v>
      </c>
      <c r="DS7">
        <v>3.0999999999000001</v>
      </c>
      <c r="DT7">
        <v>2.5999999998000001</v>
      </c>
      <c r="DU7">
        <v>1.9000000011</v>
      </c>
      <c r="DV7">
        <v>1.2999999999</v>
      </c>
      <c r="DW7">
        <v>0.79999999980000003</v>
      </c>
      <c r="DX7">
        <v>1.400000001</v>
      </c>
      <c r="DY7">
        <v>4.5000000009000001</v>
      </c>
      <c r="DZ7">
        <v>10.9000000011</v>
      </c>
      <c r="EA7">
        <v>18.200000000399999</v>
      </c>
      <c r="EB7">
        <v>25.2</v>
      </c>
      <c r="EC7">
        <v>32.100000000400001</v>
      </c>
      <c r="ED7">
        <v>39.600000000100003</v>
      </c>
      <c r="EE7">
        <v>47.500000000599996</v>
      </c>
      <c r="EF7">
        <v>55.5000000004</v>
      </c>
      <c r="EG7">
        <v>63.000000000100002</v>
      </c>
      <c r="EH7">
        <v>70.999999999899998</v>
      </c>
      <c r="EI7">
        <v>78.499999999600007</v>
      </c>
      <c r="EJ7">
        <v>86.000000001100005</v>
      </c>
      <c r="EK7">
        <v>94.4</v>
      </c>
      <c r="EL7">
        <v>102.8999999999</v>
      </c>
      <c r="EM7">
        <v>111.2000000012</v>
      </c>
      <c r="EN7">
        <v>119.3000000003</v>
      </c>
      <c r="EO7">
        <v>127.4000000012</v>
      </c>
      <c r="EP7">
        <v>135.2000000006</v>
      </c>
      <c r="EQ7">
        <v>143.50000000009999</v>
      </c>
      <c r="ER7">
        <v>152.29999999969999</v>
      </c>
      <c r="ES7">
        <v>160.90000000079999</v>
      </c>
      <c r="ET7">
        <v>169.20000000030001</v>
      </c>
      <c r="EU7">
        <v>177.6000000009</v>
      </c>
      <c r="EV7">
        <v>185.4000000003</v>
      </c>
      <c r="EW7">
        <v>193.60000000049999</v>
      </c>
      <c r="EX7">
        <v>202.1999999997</v>
      </c>
      <c r="EY7">
        <v>210.69999999960001</v>
      </c>
      <c r="EZ7">
        <v>218.80000000059999</v>
      </c>
      <c r="FA7">
        <v>227.20000000120001</v>
      </c>
      <c r="FB7">
        <v>234.89999999950001</v>
      </c>
      <c r="FC7">
        <v>242.8</v>
      </c>
      <c r="FD7">
        <v>251.0999999995</v>
      </c>
      <c r="FE7">
        <v>259.40000000079999</v>
      </c>
      <c r="FF7">
        <v>267.10000000090002</v>
      </c>
      <c r="FG7">
        <v>274.9000000003</v>
      </c>
      <c r="FH7">
        <v>282.40000000010002</v>
      </c>
      <c r="FI7">
        <v>289.50000000080001</v>
      </c>
      <c r="FJ7">
        <v>297.09999999979999</v>
      </c>
      <c r="FK7">
        <v>304.79999999990002</v>
      </c>
      <c r="FL7">
        <v>312.2999999996</v>
      </c>
      <c r="FM7">
        <v>319.4000000003</v>
      </c>
      <c r="FN7">
        <v>326.60000000029999</v>
      </c>
      <c r="FO7">
        <v>333.50000000059998</v>
      </c>
      <c r="FP7">
        <v>340.00000000009999</v>
      </c>
      <c r="FQ7">
        <v>346.80000000119998</v>
      </c>
      <c r="FR7">
        <v>353.80000000080003</v>
      </c>
      <c r="FS7">
        <v>360.70000000110002</v>
      </c>
      <c r="FT7">
        <v>367.00000000019998</v>
      </c>
      <c r="FU7">
        <v>373.30000000109999</v>
      </c>
      <c r="FV7">
        <v>379.69999999949999</v>
      </c>
      <c r="FW7">
        <v>385.50000000030002</v>
      </c>
      <c r="FX7">
        <v>391.2</v>
      </c>
      <c r="FY7">
        <v>397.10000000010001</v>
      </c>
      <c r="FZ7">
        <v>403.29999999990002</v>
      </c>
      <c r="GA7">
        <v>409.20000000009998</v>
      </c>
      <c r="GB7">
        <v>414.60000000010001</v>
      </c>
      <c r="GC7">
        <v>419.7000000004</v>
      </c>
      <c r="GD7">
        <v>425.00000000109998</v>
      </c>
      <c r="GE7">
        <v>430.20000000070002</v>
      </c>
      <c r="GF7">
        <v>434.00000000109998</v>
      </c>
      <c r="GG7">
        <v>435.7</v>
      </c>
      <c r="GH7">
        <v>436.60000000090002</v>
      </c>
      <c r="GI7">
        <v>437.10000000100001</v>
      </c>
      <c r="GJ7">
        <v>437.10000000100001</v>
      </c>
      <c r="GK7">
        <v>437.20000000030001</v>
      </c>
      <c r="GL7">
        <v>437.20000000030001</v>
      </c>
      <c r="GM7">
        <v>437.2999999996</v>
      </c>
      <c r="GN7">
        <v>437.2999999996</v>
      </c>
      <c r="GO7">
        <v>437.2999999996</v>
      </c>
      <c r="GP7">
        <v>437.2999999996</v>
      </c>
      <c r="GQ7">
        <v>437.4000000007</v>
      </c>
      <c r="GR7">
        <v>437.4000000007</v>
      </c>
      <c r="GS7">
        <v>437.4000000007</v>
      </c>
      <c r="GT7">
        <v>437.4000000007</v>
      </c>
      <c r="GU7">
        <v>437.4000000007</v>
      </c>
      <c r="GV7">
        <v>437.4000000007</v>
      </c>
      <c r="GW7">
        <v>1</v>
      </c>
      <c r="GX7">
        <v>100.4999999986</v>
      </c>
      <c r="GY7">
        <v>97.499999999899998</v>
      </c>
      <c r="GZ7">
        <v>97.499999999899998</v>
      </c>
      <c r="HA7">
        <v>111.2000000012</v>
      </c>
      <c r="HB7">
        <v>100.7680192024</v>
      </c>
      <c r="HC7">
        <v>-13.700000001299999</v>
      </c>
      <c r="HD7">
        <v>437.4000000007</v>
      </c>
      <c r="HE7">
        <v>301.18190650349999</v>
      </c>
      <c r="HF7">
        <v>87.623636987200001</v>
      </c>
      <c r="HG7">
        <v>437.5</v>
      </c>
      <c r="HH7">
        <v>437.4000000007</v>
      </c>
      <c r="HI7">
        <v>437.5</v>
      </c>
      <c r="HJ7">
        <v>437.4000000007</v>
      </c>
      <c r="HK7">
        <v>110.26392961880001</v>
      </c>
      <c r="HL7">
        <v>3.4092032204999998</v>
      </c>
      <c r="HM7">
        <v>3.2582348532999998</v>
      </c>
      <c r="HN7">
        <v>3.3275775225999999</v>
      </c>
      <c r="HO7">
        <v>3.2521439171000002</v>
      </c>
      <c r="HP7">
        <v>3.5765555131000002</v>
      </c>
      <c r="HQ7">
        <v>2.3691905431000002</v>
      </c>
      <c r="HR7">
        <v>13.1443822151</v>
      </c>
      <c r="HS7">
        <v>-25.806451612899998</v>
      </c>
      <c r="HT7">
        <v>-176</v>
      </c>
      <c r="HU7">
        <v>401.94992570580001</v>
      </c>
      <c r="HV7">
        <v>91.495601172999997</v>
      </c>
      <c r="HW7">
        <v>624</v>
      </c>
      <c r="HX7">
        <v>13.1443822151</v>
      </c>
      <c r="HY7">
        <v>-25.806451612899998</v>
      </c>
      <c r="HZ7">
        <v>-176</v>
      </c>
      <c r="IA7">
        <v>401.94992570580001</v>
      </c>
      <c r="IB7">
        <v>91.495601172999997</v>
      </c>
      <c r="IC7">
        <v>624</v>
      </c>
      <c r="ID7">
        <v>35.450074294899999</v>
      </c>
      <c r="IE7">
        <v>2.2402559999999999E-3</v>
      </c>
      <c r="IF7">
        <v>-35.190615835800003</v>
      </c>
      <c r="IG7">
        <v>-240</v>
      </c>
      <c r="IH7">
        <v>424.48828437650002</v>
      </c>
      <c r="II7">
        <v>100.87976539589999</v>
      </c>
      <c r="IJ7">
        <v>688</v>
      </c>
      <c r="IK7">
        <v>388.80554349070002</v>
      </c>
      <c r="IL7">
        <v>117.3020527859</v>
      </c>
      <c r="IM7">
        <v>412.11954508989999</v>
      </c>
      <c r="IN7">
        <v>126.6862170088</v>
      </c>
      <c r="IO7">
        <v>7.2999999992999998</v>
      </c>
      <c r="IP7">
        <v>5.9000000001000004</v>
      </c>
      <c r="IQ7">
        <v>8.8000000014000008</v>
      </c>
      <c r="IR7">
        <v>5.5690570998000002</v>
      </c>
      <c r="IS7">
        <v>5.5690570998000002</v>
      </c>
      <c r="IT7">
        <v>12.6</v>
      </c>
      <c r="IU7">
        <v>-28.152492668600001</v>
      </c>
      <c r="IV7">
        <v>15.200000001599999</v>
      </c>
      <c r="IW7">
        <v>75.073313783000003</v>
      </c>
      <c r="IX7">
        <v>12.0999999999</v>
      </c>
      <c r="IY7">
        <v>100.87976539589999</v>
      </c>
      <c r="IZ7">
        <v>-29.9006905418</v>
      </c>
      <c r="JA7">
        <v>0.3219119352</v>
      </c>
      <c r="JB7">
        <v>-3.0932529999999999E-4</v>
      </c>
      <c r="JC7">
        <v>6.4489999999999996E-7</v>
      </c>
      <c r="JD7">
        <v>0.29332366989999997</v>
      </c>
      <c r="JE7">
        <v>0.1666909083</v>
      </c>
      <c r="JF7">
        <v>7.6928627099999994E-2</v>
      </c>
      <c r="JG7">
        <v>101.0084197388</v>
      </c>
      <c r="JH7">
        <v>3.5765555131000002</v>
      </c>
      <c r="JI7">
        <v>3.4511234000000001E-3</v>
      </c>
      <c r="JJ7">
        <v>-7.3220700000000002E-5</v>
      </c>
      <c r="JK7">
        <v>3.4092032204999998</v>
      </c>
      <c r="JL7">
        <v>0.89497366550000002</v>
      </c>
      <c r="JM7">
        <v>0.36532632100000001</v>
      </c>
      <c r="JN7" t="s">
        <v>538</v>
      </c>
      <c r="JQ7">
        <v>1</v>
      </c>
    </row>
    <row r="8" spans="1:277">
      <c r="A8" t="s">
        <v>608</v>
      </c>
      <c r="B8" t="s">
        <v>609</v>
      </c>
      <c r="C8" t="s">
        <v>212</v>
      </c>
      <c r="D8">
        <v>3</v>
      </c>
      <c r="E8" t="s">
        <v>213</v>
      </c>
      <c r="F8" t="s">
        <v>214</v>
      </c>
      <c r="G8" t="s">
        <v>537</v>
      </c>
      <c r="H8" t="s">
        <v>216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0.59999999940000004</v>
      </c>
      <c r="R8">
        <v>9.9999999300000003E-2</v>
      </c>
      <c r="S8">
        <v>9.9999999300000003E-2</v>
      </c>
      <c r="T8">
        <v>9.9999999300000003E-2</v>
      </c>
      <c r="U8">
        <v>0</v>
      </c>
      <c r="V8">
        <v>0</v>
      </c>
      <c r="W8">
        <v>0</v>
      </c>
      <c r="X8">
        <v>9.9999999300000003E-2</v>
      </c>
      <c r="Y8">
        <v>0</v>
      </c>
      <c r="Z8">
        <v>0</v>
      </c>
      <c r="AA8">
        <v>9.9999999300000003E-2</v>
      </c>
      <c r="AB8">
        <v>9.9999999300000003E-2</v>
      </c>
      <c r="AC8">
        <v>9.9999999300000003E-2</v>
      </c>
      <c r="AD8">
        <v>9.9999999300000003E-2</v>
      </c>
      <c r="AE8">
        <v>9.9999999300000003E-2</v>
      </c>
      <c r="AF8">
        <v>9.9999999300000003E-2</v>
      </c>
      <c r="AG8">
        <v>0.20000000039999999</v>
      </c>
      <c r="AH8">
        <v>1.8</v>
      </c>
      <c r="AI8">
        <v>5.1000000002999997</v>
      </c>
      <c r="AJ8">
        <v>9.8999999991000003</v>
      </c>
      <c r="AK8">
        <v>15.699999999899999</v>
      </c>
      <c r="AL8">
        <v>22.1000000001</v>
      </c>
      <c r="AM8">
        <v>29.699999999100001</v>
      </c>
      <c r="AN8">
        <v>37.099999999600001</v>
      </c>
      <c r="AO8">
        <v>44.599999999300003</v>
      </c>
      <c r="AP8">
        <v>52.999999999899998</v>
      </c>
      <c r="AQ8">
        <v>60.900000000399999</v>
      </c>
      <c r="AR8">
        <v>68.100000000400001</v>
      </c>
      <c r="AS8">
        <v>75.699999999400006</v>
      </c>
      <c r="AT8">
        <v>83.999999998899995</v>
      </c>
      <c r="AU8">
        <v>91.599999999700003</v>
      </c>
      <c r="AV8">
        <v>100.0999999997</v>
      </c>
      <c r="AW8">
        <v>109.0999999997</v>
      </c>
      <c r="AX8">
        <v>117.0999999995</v>
      </c>
      <c r="AY8">
        <v>124.8999999989</v>
      </c>
      <c r="AZ8">
        <v>133.49999999990001</v>
      </c>
      <c r="BA8">
        <v>141.49999999970001</v>
      </c>
      <c r="BB8">
        <v>149.99999999959999</v>
      </c>
      <c r="BC8">
        <v>159.2000000001</v>
      </c>
      <c r="BD8">
        <v>167.2999999992</v>
      </c>
      <c r="BE8">
        <v>174.9</v>
      </c>
      <c r="BF8">
        <v>183.39999999989999</v>
      </c>
      <c r="BG8">
        <v>191.60000000010001</v>
      </c>
      <c r="BH8">
        <v>200.1</v>
      </c>
      <c r="BI8">
        <v>209.1</v>
      </c>
      <c r="BJ8">
        <v>217.19999999909999</v>
      </c>
      <c r="BK8">
        <v>224.8</v>
      </c>
      <c r="BL8">
        <v>232.8999999991</v>
      </c>
      <c r="BM8">
        <v>240.8999999989</v>
      </c>
      <c r="BN8">
        <v>248.7000000001</v>
      </c>
      <c r="BO8">
        <v>257.29999999929998</v>
      </c>
      <c r="BP8">
        <v>265.7999999992</v>
      </c>
      <c r="BQ8">
        <v>272.89999999989999</v>
      </c>
      <c r="BR8">
        <v>280.19999999919997</v>
      </c>
      <c r="BS8">
        <v>287.69999999890001</v>
      </c>
      <c r="BT8">
        <v>295.00000000009999</v>
      </c>
      <c r="BU8">
        <v>302.40000000049997</v>
      </c>
      <c r="BV8">
        <v>310.1999999999</v>
      </c>
      <c r="BW8">
        <v>317.89999999999998</v>
      </c>
      <c r="BX8">
        <v>324.39999999949998</v>
      </c>
      <c r="BY8">
        <v>331.00000000009999</v>
      </c>
      <c r="BZ8">
        <v>338.20000000009998</v>
      </c>
      <c r="CA8">
        <v>344.60000000039997</v>
      </c>
      <c r="CB8">
        <v>351.19999999919997</v>
      </c>
      <c r="CC8">
        <v>358.39999999920002</v>
      </c>
      <c r="CD8">
        <v>365.40000000060002</v>
      </c>
      <c r="CE8">
        <v>371.60000000039997</v>
      </c>
      <c r="CF8">
        <v>377.3000000001</v>
      </c>
      <c r="CG8">
        <v>383.39999999880001</v>
      </c>
      <c r="CH8">
        <v>389.49999999929997</v>
      </c>
      <c r="CI8">
        <v>395.3000000001</v>
      </c>
      <c r="CJ8">
        <v>401.09999999910002</v>
      </c>
      <c r="CK8">
        <v>407.60000000050002</v>
      </c>
      <c r="CL8">
        <v>413.80000000029997</v>
      </c>
      <c r="CM8">
        <v>419.5</v>
      </c>
      <c r="CN8">
        <v>424.60000000029999</v>
      </c>
      <c r="CO8">
        <v>429.70000000060003</v>
      </c>
      <c r="CP8">
        <v>435.1999999999</v>
      </c>
      <c r="CQ8">
        <v>440.49999999879998</v>
      </c>
      <c r="CR8">
        <v>445.09999999899998</v>
      </c>
      <c r="CS8">
        <v>449.09999999979999</v>
      </c>
      <c r="CT8">
        <v>452.29999999900002</v>
      </c>
      <c r="CU8">
        <v>453.99999999969998</v>
      </c>
      <c r="CV8">
        <v>454.40000000049997</v>
      </c>
      <c r="CW8">
        <v>454.40000000049997</v>
      </c>
      <c r="CX8">
        <v>454.40000000049997</v>
      </c>
      <c r="CY8">
        <v>454.40000000049997</v>
      </c>
      <c r="CZ8">
        <v>454.40000000049997</v>
      </c>
      <c r="DA8">
        <v>454.40000000049997</v>
      </c>
      <c r="DB8">
        <v>454.40000000049997</v>
      </c>
      <c r="DC8">
        <v>454.40000000049997</v>
      </c>
      <c r="DD8">
        <v>454.49999999980002</v>
      </c>
      <c r="DE8">
        <v>454.40000000049997</v>
      </c>
      <c r="DF8">
        <v>454.40000000049997</v>
      </c>
      <c r="DG8">
        <v>1.8</v>
      </c>
      <c r="DH8">
        <v>1.3999999992000001</v>
      </c>
      <c r="DI8">
        <v>1.2999999999</v>
      </c>
      <c r="DJ8">
        <v>1.1999999988000001</v>
      </c>
      <c r="DK8">
        <v>1.2999999999</v>
      </c>
      <c r="DL8">
        <v>1.1999999988000001</v>
      </c>
      <c r="DM8">
        <v>1.1999999988000001</v>
      </c>
      <c r="DN8">
        <v>1.0999999995</v>
      </c>
      <c r="DO8">
        <v>1.0999999995</v>
      </c>
      <c r="DP8">
        <v>1.0999999995</v>
      </c>
      <c r="DQ8">
        <v>1.0000000002</v>
      </c>
      <c r="DR8">
        <v>1.0000000002</v>
      </c>
      <c r="DS8">
        <v>1.0999999995</v>
      </c>
      <c r="DT8">
        <v>1.0999999995</v>
      </c>
      <c r="DU8">
        <v>1.0999999995</v>
      </c>
      <c r="DV8">
        <v>1.5999999996000001</v>
      </c>
      <c r="DW8">
        <v>3.9999999989999999</v>
      </c>
      <c r="DX8">
        <v>8.0999999990999996</v>
      </c>
      <c r="DY8">
        <v>13.699999999499999</v>
      </c>
      <c r="DZ8">
        <v>20.300000000099999</v>
      </c>
      <c r="EA8">
        <v>27.799999999800001</v>
      </c>
      <c r="EB8">
        <v>34.799999999400001</v>
      </c>
      <c r="EC8">
        <v>42.7</v>
      </c>
      <c r="ED8">
        <v>50.799999999100002</v>
      </c>
      <c r="EE8">
        <v>58.799999998899999</v>
      </c>
      <c r="EF8">
        <v>66.099999999999994</v>
      </c>
      <c r="EG8">
        <v>73.3</v>
      </c>
      <c r="EH8">
        <v>81.299999999799994</v>
      </c>
      <c r="EI8">
        <v>88.999999999899998</v>
      </c>
      <c r="EJ8">
        <v>97.599999999100007</v>
      </c>
      <c r="EK8">
        <v>106.4000000006</v>
      </c>
      <c r="EL8">
        <v>114.7000000001</v>
      </c>
      <c r="EM8">
        <v>122.2999999991</v>
      </c>
      <c r="EN8">
        <v>130.6000000004</v>
      </c>
      <c r="EO8">
        <v>138.69999999949999</v>
      </c>
      <c r="EP8">
        <v>147.4999999991</v>
      </c>
      <c r="EQ8">
        <v>156.4999999991</v>
      </c>
      <c r="ER8">
        <v>164.9999999991</v>
      </c>
      <c r="ES8">
        <v>172.6999999992</v>
      </c>
      <c r="ET8">
        <v>181.00000000049999</v>
      </c>
      <c r="EU8">
        <v>189.3</v>
      </c>
      <c r="EV8">
        <v>197.89999999919999</v>
      </c>
      <c r="EW8">
        <v>207.00000000029999</v>
      </c>
      <c r="EX8">
        <v>215.5000000002</v>
      </c>
      <c r="EY8">
        <v>222.89999999880001</v>
      </c>
      <c r="EZ8">
        <v>231.09999999909999</v>
      </c>
      <c r="FA8">
        <v>239.2</v>
      </c>
      <c r="FB8">
        <v>247.40000000020001</v>
      </c>
      <c r="FC8">
        <v>256.19999999980001</v>
      </c>
      <c r="FD8">
        <v>264.49999999929997</v>
      </c>
      <c r="FE8">
        <v>271.89999999970001</v>
      </c>
      <c r="FF8">
        <v>279.199999999</v>
      </c>
      <c r="FG8">
        <v>286.89999999920002</v>
      </c>
      <c r="FH8">
        <v>294.20000000030001</v>
      </c>
      <c r="FI8">
        <v>302.29999999939997</v>
      </c>
      <c r="FJ8">
        <v>310.2999999992</v>
      </c>
      <c r="FK8">
        <v>317.69999999959998</v>
      </c>
      <c r="FL8">
        <v>324.30000000019999</v>
      </c>
      <c r="FM8">
        <v>331.20000000049998</v>
      </c>
      <c r="FN8">
        <v>338.29999999939997</v>
      </c>
      <c r="FO8">
        <v>344.90000000010002</v>
      </c>
      <c r="FP8">
        <v>352.10000000010001</v>
      </c>
      <c r="FQ8">
        <v>359.39999999939999</v>
      </c>
      <c r="FR8">
        <v>366.2000000004</v>
      </c>
      <c r="FS8">
        <v>372.40000000020001</v>
      </c>
      <c r="FT8">
        <v>378.30000000029997</v>
      </c>
      <c r="FU8">
        <v>384.59999999939998</v>
      </c>
      <c r="FV8">
        <v>390.5999999988</v>
      </c>
      <c r="FW8">
        <v>396.30000000029997</v>
      </c>
      <c r="FX8">
        <v>402.79999999979998</v>
      </c>
      <c r="FY8">
        <v>409.20000000009998</v>
      </c>
      <c r="FZ8">
        <v>415.19999999949999</v>
      </c>
      <c r="GA8">
        <v>420.70000000060003</v>
      </c>
      <c r="GB8">
        <v>425.69999999980001</v>
      </c>
      <c r="GC8">
        <v>430.50000000040001</v>
      </c>
      <c r="GD8">
        <v>435.90000000039998</v>
      </c>
      <c r="GE8">
        <v>440.69999999919997</v>
      </c>
      <c r="GF8">
        <v>444.7</v>
      </c>
      <c r="GG8">
        <v>448.39999999930001</v>
      </c>
      <c r="GH8">
        <v>451.49999999919999</v>
      </c>
      <c r="GI8">
        <v>453.4000000003</v>
      </c>
      <c r="GJ8">
        <v>454.29999999939997</v>
      </c>
      <c r="GK8">
        <v>454.29999999939997</v>
      </c>
      <c r="GL8">
        <v>454.29999999939997</v>
      </c>
      <c r="GM8">
        <v>454.29999999939997</v>
      </c>
      <c r="GN8">
        <v>454.29999999939997</v>
      </c>
      <c r="GO8">
        <v>454.29999999939997</v>
      </c>
      <c r="GP8">
        <v>454.40000000049997</v>
      </c>
      <c r="GQ8">
        <v>454.40000000049997</v>
      </c>
      <c r="GR8">
        <v>454.40000000049997</v>
      </c>
      <c r="GS8">
        <v>454.40000000049997</v>
      </c>
      <c r="GT8">
        <v>454.40000000049997</v>
      </c>
      <c r="GU8">
        <v>454.40000000049997</v>
      </c>
      <c r="GV8">
        <v>454.40000000049997</v>
      </c>
      <c r="GW8">
        <v>1</v>
      </c>
      <c r="GX8">
        <v>114.8000000012</v>
      </c>
      <c r="GY8">
        <v>109.0999999997</v>
      </c>
      <c r="GZ8">
        <v>109.0999999997</v>
      </c>
      <c r="HA8">
        <v>122.2999999991</v>
      </c>
      <c r="HB8">
        <v>112.4606337326</v>
      </c>
      <c r="HC8">
        <v>-13.199999999399999</v>
      </c>
      <c r="HD8">
        <v>454.40000000049997</v>
      </c>
      <c r="HE8">
        <v>295.1427549791</v>
      </c>
      <c r="HF8">
        <v>89.565573769899999</v>
      </c>
      <c r="HG8">
        <v>454.49999999980002</v>
      </c>
      <c r="HH8">
        <v>454.40000000049997</v>
      </c>
      <c r="HI8">
        <v>454.49999999980002</v>
      </c>
      <c r="HJ8">
        <v>454.40000000049997</v>
      </c>
      <c r="HK8">
        <v>114.9560117302</v>
      </c>
      <c r="HL8">
        <v>3.4331345353999998</v>
      </c>
      <c r="HM8">
        <v>3.3043181667999999</v>
      </c>
      <c r="HN8">
        <v>3.3530097963999999</v>
      </c>
      <c r="HO8">
        <v>3.2985538068000002</v>
      </c>
      <c r="HP8">
        <v>3.6179302940000002</v>
      </c>
      <c r="HQ8">
        <v>2.3642412509000001</v>
      </c>
      <c r="HR8">
        <v>22.8950599627</v>
      </c>
      <c r="HS8">
        <v>-25.806451612899998</v>
      </c>
      <c r="HT8">
        <v>-176</v>
      </c>
      <c r="HU8">
        <v>407.60338871170001</v>
      </c>
      <c r="HV8">
        <v>89.149560117299998</v>
      </c>
      <c r="HW8">
        <v>608</v>
      </c>
      <c r="HX8">
        <v>22.8950599627</v>
      </c>
      <c r="HY8">
        <v>-25.806451612899998</v>
      </c>
      <c r="HZ8">
        <v>-176</v>
      </c>
      <c r="IA8">
        <v>407.60338871170001</v>
      </c>
      <c r="IB8">
        <v>89.149560117299998</v>
      </c>
      <c r="IC8">
        <v>608</v>
      </c>
      <c r="ID8">
        <v>46.796611288800001</v>
      </c>
      <c r="IE8">
        <v>1.8686214105000001</v>
      </c>
      <c r="IF8">
        <v>-35.190615835800003</v>
      </c>
      <c r="IG8">
        <v>-240</v>
      </c>
      <c r="IH8">
        <v>429.787160304</v>
      </c>
      <c r="II8">
        <v>98.533724340199996</v>
      </c>
      <c r="IJ8">
        <v>672</v>
      </c>
      <c r="IK8">
        <v>384.70832874899997</v>
      </c>
      <c r="IL8">
        <v>114.9560117302</v>
      </c>
      <c r="IM8">
        <v>409.29274947879998</v>
      </c>
      <c r="IN8">
        <v>124.3401759531</v>
      </c>
      <c r="IO8">
        <v>6.6000000005999997</v>
      </c>
      <c r="IP8">
        <v>5.9999999994</v>
      </c>
      <c r="IQ8">
        <v>9.2000000003999993</v>
      </c>
      <c r="IR8">
        <v>5.9575478141999998</v>
      </c>
      <c r="IS8">
        <v>5.9575478141999998</v>
      </c>
      <c r="IT8">
        <v>12.0999999999</v>
      </c>
      <c r="IU8">
        <v>-28.152492668600001</v>
      </c>
      <c r="IV8">
        <v>15.799999999200001</v>
      </c>
      <c r="IW8">
        <v>39.8826979472</v>
      </c>
      <c r="IX8">
        <v>11.8999999995</v>
      </c>
      <c r="IY8">
        <v>96.187683284499997</v>
      </c>
      <c r="IZ8">
        <v>-33.176194857399999</v>
      </c>
      <c r="JA8">
        <v>0.32499608200000002</v>
      </c>
      <c r="JB8">
        <v>-3.310966E-4</v>
      </c>
      <c r="JC8">
        <v>6.6339999999999997E-7</v>
      </c>
      <c r="JD8">
        <v>0.29127900159999998</v>
      </c>
      <c r="JE8">
        <v>0.23364422970000001</v>
      </c>
      <c r="JF8">
        <v>8.6328316799999999E-2</v>
      </c>
      <c r="JG8">
        <v>112.4523709468</v>
      </c>
      <c r="JH8">
        <v>3.6179302940000002</v>
      </c>
      <c r="JI8">
        <v>3.2203214000000001E-3</v>
      </c>
      <c r="JJ8">
        <v>-7.6662900000000001E-5</v>
      </c>
      <c r="JK8">
        <v>3.4331345353999998</v>
      </c>
      <c r="JL8">
        <v>1.3380763746</v>
      </c>
      <c r="JM8">
        <v>0.43061643389999998</v>
      </c>
      <c r="JN8" t="s">
        <v>538</v>
      </c>
      <c r="JQ8">
        <v>1</v>
      </c>
    </row>
    <row r="9" spans="1:277">
      <c r="A9" t="s">
        <v>628</v>
      </c>
      <c r="B9" t="s">
        <v>629</v>
      </c>
      <c r="C9" t="s">
        <v>212</v>
      </c>
      <c r="D9">
        <v>3</v>
      </c>
      <c r="E9" t="s">
        <v>213</v>
      </c>
      <c r="F9" t="s">
        <v>214</v>
      </c>
      <c r="G9" t="s">
        <v>537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0</v>
      </c>
      <c r="R9">
        <v>1.0999999995</v>
      </c>
      <c r="S9">
        <v>1.0999999995</v>
      </c>
      <c r="T9">
        <v>1.0999999995</v>
      </c>
      <c r="U9">
        <v>1.0999999995</v>
      </c>
      <c r="V9">
        <v>1.2000000006</v>
      </c>
      <c r="W9">
        <v>1.2999999999</v>
      </c>
      <c r="X9">
        <v>1.2999999999</v>
      </c>
      <c r="Y9">
        <v>1.3999999992000001</v>
      </c>
      <c r="Z9">
        <v>1.3999999992000001</v>
      </c>
      <c r="AA9">
        <v>1.5999999996000001</v>
      </c>
      <c r="AB9">
        <v>2.0999999997000001</v>
      </c>
      <c r="AC9">
        <v>2.8000000001999998</v>
      </c>
      <c r="AD9">
        <v>3.6999999993000001</v>
      </c>
      <c r="AE9">
        <v>4.8999999999000003</v>
      </c>
      <c r="AF9">
        <v>6.6000000005999997</v>
      </c>
      <c r="AG9">
        <v>8.5999999991999996</v>
      </c>
      <c r="AH9">
        <v>10.5000000003</v>
      </c>
      <c r="AI9">
        <v>13.0000000008</v>
      </c>
      <c r="AJ9">
        <v>17.0999999991</v>
      </c>
      <c r="AK9">
        <v>23.800000000800001</v>
      </c>
      <c r="AL9">
        <v>30.6</v>
      </c>
      <c r="AM9">
        <v>37.700000000800003</v>
      </c>
      <c r="AN9">
        <v>45.200000000499998</v>
      </c>
      <c r="AO9">
        <v>52.5999999991</v>
      </c>
      <c r="AP9">
        <v>60.100000000599998</v>
      </c>
      <c r="AQ9">
        <v>68.600000000500003</v>
      </c>
      <c r="AR9">
        <v>76.699999999599996</v>
      </c>
      <c r="AS9">
        <v>84.5000000008</v>
      </c>
      <c r="AT9">
        <v>92.699999999200003</v>
      </c>
      <c r="AU9">
        <v>100.8999999995</v>
      </c>
      <c r="AV9">
        <v>109.0999999997</v>
      </c>
      <c r="AW9">
        <v>118.0999999997</v>
      </c>
      <c r="AX9">
        <v>127.2000000008</v>
      </c>
      <c r="AY9">
        <v>135.70000000069999</v>
      </c>
      <c r="AZ9">
        <v>144.2000000006</v>
      </c>
      <c r="BA9">
        <v>152.79999999980001</v>
      </c>
      <c r="BB9">
        <v>161.09999999940001</v>
      </c>
      <c r="BC9">
        <v>170.09999999940001</v>
      </c>
      <c r="BD9">
        <v>178.7000000004</v>
      </c>
      <c r="BE9">
        <v>187.09999999920001</v>
      </c>
      <c r="BF9">
        <v>195.70000000019999</v>
      </c>
      <c r="BG9">
        <v>204.2000000001</v>
      </c>
      <c r="BH9">
        <v>212.60000000069999</v>
      </c>
      <c r="BI9">
        <v>221.40000000040001</v>
      </c>
      <c r="BJ9">
        <v>229.99999999959999</v>
      </c>
      <c r="BK9">
        <v>238.10000000049999</v>
      </c>
      <c r="BL9">
        <v>246.4999999993</v>
      </c>
      <c r="BM9">
        <v>254.69999999949999</v>
      </c>
      <c r="BN9">
        <v>262.80000000040002</v>
      </c>
      <c r="BO9">
        <v>271.09999999989998</v>
      </c>
      <c r="BP9">
        <v>279.3000000001</v>
      </c>
      <c r="BQ9">
        <v>287.09999999960002</v>
      </c>
      <c r="BR9">
        <v>295.00000000009999</v>
      </c>
      <c r="BS9">
        <v>302.59999999910002</v>
      </c>
      <c r="BT9">
        <v>310.2999999992</v>
      </c>
      <c r="BU9">
        <v>317.69999999959998</v>
      </c>
      <c r="BV9">
        <v>325.50000000080001</v>
      </c>
      <c r="BW9">
        <v>332.8000000001</v>
      </c>
      <c r="BX9">
        <v>339.90000000089998</v>
      </c>
      <c r="BY9">
        <v>347.09999999899998</v>
      </c>
      <c r="BZ9">
        <v>353.99999999940002</v>
      </c>
      <c r="CA9">
        <v>360.80000000040002</v>
      </c>
      <c r="CB9">
        <v>367.59999999960002</v>
      </c>
      <c r="CC9">
        <v>374.20000000020002</v>
      </c>
      <c r="CD9">
        <v>380.90000000010002</v>
      </c>
      <c r="CE9">
        <v>387.6</v>
      </c>
      <c r="CF9">
        <v>394.00000000019998</v>
      </c>
      <c r="CG9">
        <v>400.2</v>
      </c>
      <c r="CH9">
        <v>406.19999999940001</v>
      </c>
      <c r="CI9">
        <v>412.3</v>
      </c>
      <c r="CJ9">
        <v>418.20000000009998</v>
      </c>
      <c r="CK9">
        <v>424.1000000002</v>
      </c>
      <c r="CL9">
        <v>429.89999999920002</v>
      </c>
      <c r="CM9">
        <v>435.7</v>
      </c>
      <c r="CN9">
        <v>441.50000000080001</v>
      </c>
      <c r="CO9">
        <v>447.09999999939998</v>
      </c>
      <c r="CP9">
        <v>452.49999999940002</v>
      </c>
      <c r="CQ9">
        <v>457.8000000001</v>
      </c>
      <c r="CR9">
        <v>463.10000000079998</v>
      </c>
      <c r="CS9">
        <v>467.50000000070003</v>
      </c>
      <c r="CT9">
        <v>469.60000000039997</v>
      </c>
      <c r="CU9">
        <v>469.90000000010002</v>
      </c>
      <c r="CV9">
        <v>469.90000000010002</v>
      </c>
      <c r="CW9">
        <v>469.99999999929997</v>
      </c>
      <c r="CX9">
        <v>469.99999999929997</v>
      </c>
      <c r="CY9">
        <v>469.99999999929997</v>
      </c>
      <c r="CZ9">
        <v>469.99999999929997</v>
      </c>
      <c r="DA9">
        <v>469.99999999929997</v>
      </c>
      <c r="DB9">
        <v>470.10000000050002</v>
      </c>
      <c r="DC9">
        <v>470.10000000050002</v>
      </c>
      <c r="DD9">
        <v>470.10000000050002</v>
      </c>
      <c r="DE9">
        <v>470.10000000050002</v>
      </c>
      <c r="DF9">
        <v>470.10000000050002</v>
      </c>
      <c r="DG9">
        <v>1.0999999995</v>
      </c>
      <c r="DH9">
        <v>2.6999999991000001</v>
      </c>
      <c r="DI9">
        <v>2.6999999991000001</v>
      </c>
      <c r="DJ9">
        <v>2.8000000001999998</v>
      </c>
      <c r="DK9">
        <v>2.8000000001999998</v>
      </c>
      <c r="DL9">
        <v>2.8000000001999998</v>
      </c>
      <c r="DM9">
        <v>2.8999999994999999</v>
      </c>
      <c r="DN9">
        <v>3.0000000006</v>
      </c>
      <c r="DO9">
        <v>3.0999999999000001</v>
      </c>
      <c r="DP9">
        <v>3.3000000002999998</v>
      </c>
      <c r="DQ9">
        <v>3.6</v>
      </c>
      <c r="DR9">
        <v>4.3000000004999999</v>
      </c>
      <c r="DS9">
        <v>5.4</v>
      </c>
      <c r="DT9">
        <v>6.7999999991999998</v>
      </c>
      <c r="DU9">
        <v>8.4999999999</v>
      </c>
      <c r="DV9">
        <v>10.5000000003</v>
      </c>
      <c r="DW9">
        <v>12.5000000007</v>
      </c>
      <c r="DX9">
        <v>15.799999999200001</v>
      </c>
      <c r="DY9">
        <v>22.0000000008</v>
      </c>
      <c r="DZ9">
        <v>28.8999999993</v>
      </c>
      <c r="EA9">
        <v>36.099999999399998</v>
      </c>
      <c r="EB9">
        <v>43.5999999991</v>
      </c>
      <c r="EC9">
        <v>50.900000000200002</v>
      </c>
      <c r="ED9">
        <v>58.399999999899997</v>
      </c>
      <c r="EE9">
        <v>66.600000000099996</v>
      </c>
      <c r="EF9">
        <v>74.899999999599999</v>
      </c>
      <c r="EG9">
        <v>82.599999999700003</v>
      </c>
      <c r="EH9">
        <v>90.799999999899995</v>
      </c>
      <c r="EI9">
        <v>98.899999999000002</v>
      </c>
      <c r="EJ9">
        <v>107</v>
      </c>
      <c r="EK9">
        <v>115.4999999999</v>
      </c>
      <c r="EL9">
        <v>124.59999999919999</v>
      </c>
      <c r="EM9">
        <v>133.20000000019999</v>
      </c>
      <c r="EN9">
        <v>141.9000000005</v>
      </c>
      <c r="EO9">
        <v>150.40000000040001</v>
      </c>
      <c r="EP9">
        <v>158.90000000040001</v>
      </c>
      <c r="EQ9">
        <v>167.60000000069999</v>
      </c>
      <c r="ER9">
        <v>176.49999999959999</v>
      </c>
      <c r="ES9">
        <v>184.99999999950001</v>
      </c>
      <c r="ET9">
        <v>193.69999999980001</v>
      </c>
      <c r="EU9">
        <v>202.3000000008</v>
      </c>
      <c r="EV9">
        <v>210.9</v>
      </c>
      <c r="EW9">
        <v>219.6000000004</v>
      </c>
      <c r="EX9">
        <v>228.4</v>
      </c>
      <c r="EY9">
        <v>236.69999999949999</v>
      </c>
      <c r="EZ9">
        <v>245.10000000010001</v>
      </c>
      <c r="FA9">
        <v>253.3999999996</v>
      </c>
      <c r="FB9">
        <v>261.59999999979999</v>
      </c>
      <c r="FC9">
        <v>269.89999999930001</v>
      </c>
      <c r="FD9">
        <v>278.39999999920002</v>
      </c>
      <c r="FE9">
        <v>286.20000000049998</v>
      </c>
      <c r="FF9">
        <v>294.2999999996</v>
      </c>
      <c r="FG9">
        <v>302.20000000009998</v>
      </c>
      <c r="FH9">
        <v>310.10000000060001</v>
      </c>
      <c r="FI9">
        <v>317.60000000029999</v>
      </c>
      <c r="FJ9">
        <v>325.39999999970001</v>
      </c>
      <c r="FK9">
        <v>333.09999999979999</v>
      </c>
      <c r="FL9">
        <v>340.29999999979998</v>
      </c>
      <c r="FM9">
        <v>347.29999999939997</v>
      </c>
      <c r="FN9">
        <v>354.60000000060001</v>
      </c>
      <c r="FO9">
        <v>361.69999999949999</v>
      </c>
      <c r="FP9">
        <v>368.69999999909999</v>
      </c>
      <c r="FQ9">
        <v>375.70000000049998</v>
      </c>
      <c r="FR9">
        <v>382.40000000039998</v>
      </c>
      <c r="FS9">
        <v>388.69999999949999</v>
      </c>
      <c r="FT9">
        <v>395.2000000008</v>
      </c>
      <c r="FU9">
        <v>401.59999999920001</v>
      </c>
      <c r="FV9">
        <v>407.69999999970003</v>
      </c>
      <c r="FW9">
        <v>413.89999999960003</v>
      </c>
      <c r="FX9">
        <v>419.79999999969999</v>
      </c>
      <c r="FY9">
        <v>425.49999999940002</v>
      </c>
      <c r="FZ9">
        <v>431.39999999949998</v>
      </c>
      <c r="GA9">
        <v>437.20000000030001</v>
      </c>
      <c r="GB9">
        <v>442.80000000069998</v>
      </c>
      <c r="GC9">
        <v>448.20000000070002</v>
      </c>
      <c r="GD9">
        <v>453.4000000003</v>
      </c>
      <c r="GE9">
        <v>458.30000000019999</v>
      </c>
      <c r="GF9">
        <v>463.10000000079998</v>
      </c>
      <c r="GG9">
        <v>467.09999999979999</v>
      </c>
      <c r="GH9">
        <v>469.4</v>
      </c>
      <c r="GI9">
        <v>469.99999999929997</v>
      </c>
      <c r="GJ9">
        <v>469.99999999929997</v>
      </c>
      <c r="GK9">
        <v>469.99999999929997</v>
      </c>
      <c r="GL9">
        <v>469.99999999929997</v>
      </c>
      <c r="GM9">
        <v>469.99999999929997</v>
      </c>
      <c r="GN9">
        <v>469.90000000010002</v>
      </c>
      <c r="GO9">
        <v>469.90000000010002</v>
      </c>
      <c r="GP9">
        <v>469.90000000010002</v>
      </c>
      <c r="GQ9">
        <v>469.90000000010002</v>
      </c>
      <c r="GR9">
        <v>469.90000000010002</v>
      </c>
      <c r="GS9">
        <v>469.90000000010002</v>
      </c>
      <c r="GT9">
        <v>469.99999999929997</v>
      </c>
      <c r="GU9">
        <v>469.99999999929997</v>
      </c>
      <c r="GV9">
        <v>469.99999999929997</v>
      </c>
      <c r="GW9">
        <v>1</v>
      </c>
      <c r="GX9">
        <v>125.1000000011</v>
      </c>
      <c r="GY9">
        <v>118.0999999997</v>
      </c>
      <c r="GZ9">
        <v>118.0999999997</v>
      </c>
      <c r="HA9">
        <v>133.20000000019999</v>
      </c>
      <c r="HB9">
        <v>122.1364110199</v>
      </c>
      <c r="HC9">
        <v>-15.1000000005</v>
      </c>
      <c r="HD9">
        <v>469.99999999929997</v>
      </c>
      <c r="HE9">
        <v>313.9655355818</v>
      </c>
      <c r="HF9">
        <v>90.510349962600003</v>
      </c>
      <c r="HG9">
        <v>470.10000000050002</v>
      </c>
      <c r="HH9">
        <v>469.99999999929997</v>
      </c>
      <c r="HI9">
        <v>470.10000000050002</v>
      </c>
      <c r="HJ9">
        <v>469.99999999929997</v>
      </c>
      <c r="HK9">
        <v>110.26392961880001</v>
      </c>
      <c r="HL9">
        <v>3.4889003125000002</v>
      </c>
      <c r="HM9">
        <v>3.3580311320999998</v>
      </c>
      <c r="HN9">
        <v>3.4087283301000002</v>
      </c>
      <c r="HO9">
        <v>3.4004521231</v>
      </c>
      <c r="HP9">
        <v>3.7236712932999998</v>
      </c>
      <c r="HQ9">
        <v>2.2286303700999999</v>
      </c>
      <c r="HR9">
        <v>31.626061057299999</v>
      </c>
      <c r="HS9">
        <v>-25.806451612899998</v>
      </c>
      <c r="HT9">
        <v>-176</v>
      </c>
      <c r="HU9">
        <v>436.10194660169998</v>
      </c>
      <c r="HV9">
        <v>93.841642228699996</v>
      </c>
      <c r="HW9">
        <v>640</v>
      </c>
      <c r="HX9">
        <v>31.626061057299999</v>
      </c>
      <c r="HY9">
        <v>-25.806451612899998</v>
      </c>
      <c r="HZ9">
        <v>-176</v>
      </c>
      <c r="IA9">
        <v>436.10194660169998</v>
      </c>
      <c r="IB9">
        <v>93.841642228699996</v>
      </c>
      <c r="IC9">
        <v>640</v>
      </c>
      <c r="ID9">
        <v>33.898053397600002</v>
      </c>
      <c r="IE9">
        <v>10.6482714608</v>
      </c>
      <c r="IF9">
        <v>-35.190615835800003</v>
      </c>
      <c r="IG9">
        <v>-240</v>
      </c>
      <c r="IH9">
        <v>457.88659717069999</v>
      </c>
      <c r="II9">
        <v>103.22580645159999</v>
      </c>
      <c r="IJ9">
        <v>704</v>
      </c>
      <c r="IK9">
        <v>404.4758855444</v>
      </c>
      <c r="IL9">
        <v>119.6480938416</v>
      </c>
      <c r="IM9">
        <v>429.77535368740001</v>
      </c>
      <c r="IN9">
        <v>129.03225806450001</v>
      </c>
      <c r="IO9">
        <v>6.8999999985000002</v>
      </c>
      <c r="IP9">
        <v>5.6000000003999997</v>
      </c>
      <c r="IQ9">
        <v>9.1000000010999997</v>
      </c>
      <c r="IR9">
        <v>6.3190114328</v>
      </c>
      <c r="IS9">
        <v>6.3190114328</v>
      </c>
      <c r="IT9">
        <v>12.299999998500001</v>
      </c>
      <c r="IU9">
        <v>-28.152492668600001</v>
      </c>
      <c r="IV9">
        <v>15.799999999200001</v>
      </c>
      <c r="IW9">
        <v>25.806451612899998</v>
      </c>
      <c r="IX9">
        <v>11.8999999995</v>
      </c>
      <c r="IY9">
        <v>100.87976539589999</v>
      </c>
      <c r="IZ9">
        <v>-35.622580167999999</v>
      </c>
      <c r="JA9">
        <v>0.32610192370000002</v>
      </c>
      <c r="JB9">
        <v>-3.6197289999999999E-4</v>
      </c>
      <c r="JC9">
        <v>6.7489999999999999E-7</v>
      </c>
      <c r="JD9">
        <v>0.28662326529999999</v>
      </c>
      <c r="JE9">
        <v>0.16468169029999999</v>
      </c>
      <c r="JF9">
        <v>7.9615094799999994E-2</v>
      </c>
      <c r="JG9">
        <v>122.6985103568</v>
      </c>
      <c r="JH9">
        <v>3.7236712932999998</v>
      </c>
      <c r="JI9">
        <v>3.1935576999999999E-3</v>
      </c>
      <c r="JJ9">
        <v>-7.9277700000000002E-5</v>
      </c>
      <c r="JK9">
        <v>3.4889003125000002</v>
      </c>
      <c r="JL9">
        <v>1.5329727853999999</v>
      </c>
      <c r="JM9">
        <v>0.54711459399999995</v>
      </c>
      <c r="JN9" t="s">
        <v>538</v>
      </c>
      <c r="JQ9">
        <v>1</v>
      </c>
    </row>
    <row r="10" spans="1:277">
      <c r="A10" t="s">
        <v>640</v>
      </c>
      <c r="B10" t="s">
        <v>641</v>
      </c>
      <c r="C10" t="s">
        <v>212</v>
      </c>
      <c r="D10">
        <v>3</v>
      </c>
      <c r="E10" t="s">
        <v>213</v>
      </c>
      <c r="F10" t="s">
        <v>214</v>
      </c>
      <c r="G10" t="s">
        <v>537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0.7000000005</v>
      </c>
      <c r="R10">
        <v>0.20000000039999999</v>
      </c>
      <c r="S10">
        <v>0</v>
      </c>
      <c r="T10">
        <v>0.20000000039999999</v>
      </c>
      <c r="U10">
        <v>0.29999999970000002</v>
      </c>
      <c r="V10">
        <v>0.20000000039999999</v>
      </c>
      <c r="W10">
        <v>0.20000000039999999</v>
      </c>
      <c r="X10">
        <v>9.9999999300000003E-2</v>
      </c>
      <c r="Y10">
        <v>0.20000000039999999</v>
      </c>
      <c r="Z10">
        <v>0.20000000039999999</v>
      </c>
      <c r="AA10">
        <v>0.39999999899999999</v>
      </c>
      <c r="AB10">
        <v>0.29999999970000002</v>
      </c>
      <c r="AC10">
        <v>0.39999999899999999</v>
      </c>
      <c r="AD10">
        <v>0.50000000010000001</v>
      </c>
      <c r="AE10">
        <v>0.50000000010000001</v>
      </c>
      <c r="AF10">
        <v>0.50000000010000001</v>
      </c>
      <c r="AG10">
        <v>0.39999999899999999</v>
      </c>
      <c r="AH10">
        <v>0.29999999970000002</v>
      </c>
      <c r="AI10">
        <v>0.39999999899999999</v>
      </c>
      <c r="AJ10">
        <v>2.1999999990000001</v>
      </c>
      <c r="AK10">
        <v>7.1000000006999997</v>
      </c>
      <c r="AL10">
        <v>13.800000000600001</v>
      </c>
      <c r="AM10">
        <v>21.0000000006</v>
      </c>
      <c r="AN10">
        <v>28.599999999600001</v>
      </c>
      <c r="AO10">
        <v>36.299999999800001</v>
      </c>
      <c r="AP10">
        <v>44.5</v>
      </c>
      <c r="AQ10">
        <v>52.200000000099998</v>
      </c>
      <c r="AR10">
        <v>59.600000000500003</v>
      </c>
      <c r="AS10">
        <v>67.199999999499994</v>
      </c>
      <c r="AT10">
        <v>75.099999999999994</v>
      </c>
      <c r="AU10">
        <v>83.300000000200001</v>
      </c>
      <c r="AV10">
        <v>92.099999999800005</v>
      </c>
      <c r="AW10">
        <v>101.0000000006</v>
      </c>
      <c r="AX10">
        <v>109.0999999997</v>
      </c>
      <c r="AY10">
        <v>117.2999999999</v>
      </c>
      <c r="AZ10">
        <v>125.5000000001</v>
      </c>
      <c r="BA10">
        <v>134</v>
      </c>
      <c r="BB10">
        <v>142.7999999996</v>
      </c>
      <c r="BC10">
        <v>151.70000000030001</v>
      </c>
      <c r="BD10">
        <v>159.4999999998</v>
      </c>
      <c r="BE10">
        <v>167.49999999959999</v>
      </c>
      <c r="BF10">
        <v>175.69999999980001</v>
      </c>
      <c r="BG10">
        <v>184.29999999899999</v>
      </c>
      <c r="BH10">
        <v>193.1999999997</v>
      </c>
      <c r="BI10">
        <v>201.9999999993</v>
      </c>
      <c r="BJ10">
        <v>209.80000000050001</v>
      </c>
      <c r="BK10">
        <v>217.80000000039999</v>
      </c>
      <c r="BL10">
        <v>225.89999999950001</v>
      </c>
      <c r="BM10">
        <v>233.8</v>
      </c>
      <c r="BN10">
        <v>242.39999999919999</v>
      </c>
      <c r="BO10">
        <v>250.8999999991</v>
      </c>
      <c r="BP10">
        <v>258.49999999990001</v>
      </c>
      <c r="BQ10">
        <v>265.9000000003</v>
      </c>
      <c r="BR10">
        <v>273.49999999929997</v>
      </c>
      <c r="BS10">
        <v>280.99999999900001</v>
      </c>
      <c r="BT10">
        <v>288.69999999919997</v>
      </c>
      <c r="BU10">
        <v>296.699999999</v>
      </c>
      <c r="BV10">
        <v>304.50000000019998</v>
      </c>
      <c r="BW10">
        <v>311.29999999939997</v>
      </c>
      <c r="BX10">
        <v>318.19999999970003</v>
      </c>
      <c r="BY10">
        <v>325.10000000000002</v>
      </c>
      <c r="BZ10">
        <v>331.70000000060003</v>
      </c>
      <c r="CA10">
        <v>338.70000000020002</v>
      </c>
      <c r="CB10">
        <v>346.10000000069999</v>
      </c>
      <c r="CC10">
        <v>353.19999999959998</v>
      </c>
      <c r="CD10">
        <v>359.69999999909999</v>
      </c>
      <c r="CE10">
        <v>365.59999999920001</v>
      </c>
      <c r="CF10">
        <v>372.10000000050002</v>
      </c>
      <c r="CG10">
        <v>378.09999999989998</v>
      </c>
      <c r="CH10">
        <v>384</v>
      </c>
      <c r="CI10">
        <v>390.49999999950001</v>
      </c>
      <c r="CJ10">
        <v>397.10000000010001</v>
      </c>
      <c r="CK10">
        <v>403.50000000030002</v>
      </c>
      <c r="CL10">
        <v>409.20000000009998</v>
      </c>
      <c r="CM10">
        <v>414.39999999970001</v>
      </c>
      <c r="CN10">
        <v>419.89999999899999</v>
      </c>
      <c r="CO10">
        <v>425.69999999980001</v>
      </c>
      <c r="CP10">
        <v>430.8000000001</v>
      </c>
      <c r="CQ10">
        <v>435.99999999969998</v>
      </c>
      <c r="CR10">
        <v>440.80000000029997</v>
      </c>
      <c r="CS10">
        <v>445.40000000049997</v>
      </c>
      <c r="CT10">
        <v>448.39999999930001</v>
      </c>
      <c r="CU10">
        <v>449.00000000049999</v>
      </c>
      <c r="CV10">
        <v>449.00000000049999</v>
      </c>
      <c r="CW10">
        <v>449.00000000049999</v>
      </c>
      <c r="CX10">
        <v>449.09999999979999</v>
      </c>
      <c r="CY10">
        <v>449.00000000049999</v>
      </c>
      <c r="CZ10">
        <v>449.00000000049999</v>
      </c>
      <c r="DA10">
        <v>449.00000000049999</v>
      </c>
      <c r="DB10">
        <v>449.19999999909999</v>
      </c>
      <c r="DC10">
        <v>449.09999999979999</v>
      </c>
      <c r="DD10">
        <v>449.19999999909999</v>
      </c>
      <c r="DE10">
        <v>449.19999999909999</v>
      </c>
      <c r="DF10">
        <v>449.19999999909999</v>
      </c>
      <c r="DG10">
        <v>1.0000000002</v>
      </c>
      <c r="DH10">
        <v>1.5000000003</v>
      </c>
      <c r="DI10">
        <v>1.3999999992000001</v>
      </c>
      <c r="DJ10">
        <v>1.3999999992000001</v>
      </c>
      <c r="DK10">
        <v>1.3999999992000001</v>
      </c>
      <c r="DL10">
        <v>1.2999999999</v>
      </c>
      <c r="DM10">
        <v>1.2000000006</v>
      </c>
      <c r="DN10">
        <v>1.2000000006</v>
      </c>
      <c r="DO10">
        <v>1.0000000002</v>
      </c>
      <c r="DP10">
        <v>1.0000000002</v>
      </c>
      <c r="DQ10">
        <v>0.89999999909999995</v>
      </c>
      <c r="DR10">
        <v>0.89999999909999995</v>
      </c>
      <c r="DS10">
        <v>0.89999999909999995</v>
      </c>
      <c r="DT10">
        <v>0.79999999980000003</v>
      </c>
      <c r="DU10">
        <v>0.7000000005</v>
      </c>
      <c r="DV10">
        <v>0.7000000005</v>
      </c>
      <c r="DW10">
        <v>0.59999999940000004</v>
      </c>
      <c r="DX10">
        <v>1.0000000002</v>
      </c>
      <c r="DY10">
        <v>4.6999999995000001</v>
      </c>
      <c r="DZ10">
        <v>11.300000000100001</v>
      </c>
      <c r="EA10">
        <v>18.500000000099998</v>
      </c>
      <c r="EB10">
        <v>25.9000000005</v>
      </c>
      <c r="EC10">
        <v>33.400000000299997</v>
      </c>
      <c r="ED10">
        <v>41.499999999400004</v>
      </c>
      <c r="EE10">
        <v>49.6000000003</v>
      </c>
      <c r="EF10">
        <v>56.5999999999</v>
      </c>
      <c r="EG10">
        <v>64.000000000300005</v>
      </c>
      <c r="EH10">
        <v>71.799999999700006</v>
      </c>
      <c r="EI10">
        <v>79.900000000600002</v>
      </c>
      <c r="EJ10">
        <v>88.299999999400001</v>
      </c>
      <c r="EK10">
        <v>96.999999999799996</v>
      </c>
      <c r="EL10">
        <v>105.2</v>
      </c>
      <c r="EM10">
        <v>113.4000000002</v>
      </c>
      <c r="EN10">
        <v>121.90000000009999</v>
      </c>
      <c r="EO10">
        <v>130.30000000070001</v>
      </c>
      <c r="EP10">
        <v>138.89999999989999</v>
      </c>
      <c r="EQ10">
        <v>148.10000000030001</v>
      </c>
      <c r="ER10">
        <v>156.30000000059999</v>
      </c>
      <c r="ES10">
        <v>164.0000000007</v>
      </c>
      <c r="ET10">
        <v>172.30000000019999</v>
      </c>
      <c r="EU10">
        <v>181.00000000049999</v>
      </c>
      <c r="EV10">
        <v>189.89999999939999</v>
      </c>
      <c r="EW10">
        <v>198.89999999939999</v>
      </c>
      <c r="EX10">
        <v>207.00000000029999</v>
      </c>
      <c r="EY10">
        <v>214.7000000004</v>
      </c>
      <c r="EZ10">
        <v>222.70000000030001</v>
      </c>
      <c r="FA10">
        <v>231.09999999909999</v>
      </c>
      <c r="FB10">
        <v>239.7000000001</v>
      </c>
      <c r="FC10">
        <v>248.49999999970001</v>
      </c>
      <c r="FD10">
        <v>256.49999999950001</v>
      </c>
      <c r="FE10">
        <v>263.89999999989999</v>
      </c>
      <c r="FF10">
        <v>271.50000000070003</v>
      </c>
      <c r="FG10">
        <v>279.00000000049999</v>
      </c>
      <c r="FH10">
        <v>287.00000000030002</v>
      </c>
      <c r="FI10">
        <v>295.20000000049998</v>
      </c>
      <c r="FJ10">
        <v>303.2999999996</v>
      </c>
      <c r="FK10">
        <v>310.4000000003</v>
      </c>
      <c r="FL10">
        <v>317.39999999989999</v>
      </c>
      <c r="FM10">
        <v>324.39999999949998</v>
      </c>
      <c r="FN10">
        <v>331.29999999979998</v>
      </c>
      <c r="FO10">
        <v>338.49999999980002</v>
      </c>
      <c r="FP10">
        <v>345.99999999950001</v>
      </c>
      <c r="FQ10">
        <v>353.19999999959998</v>
      </c>
      <c r="FR10">
        <v>359.80000000019999</v>
      </c>
      <c r="FS10">
        <v>366</v>
      </c>
      <c r="FT10">
        <v>372.19999999980001</v>
      </c>
      <c r="FU10">
        <v>378.39999999960003</v>
      </c>
      <c r="FV10">
        <v>384.59999999939998</v>
      </c>
      <c r="FW10">
        <v>390.99999999959999</v>
      </c>
      <c r="FX10">
        <v>397.6000000002</v>
      </c>
      <c r="FY10">
        <v>404.00000000049999</v>
      </c>
      <c r="FZ10">
        <v>409.79999999939997</v>
      </c>
      <c r="GA10">
        <v>415.1000000002</v>
      </c>
      <c r="GB10">
        <v>420.39999999909998</v>
      </c>
      <c r="GC10">
        <v>425.60000000050002</v>
      </c>
      <c r="GD10">
        <v>430.50000000040001</v>
      </c>
      <c r="GE10">
        <v>435.1999999999</v>
      </c>
      <c r="GF10">
        <v>439.8000000001</v>
      </c>
      <c r="GG10">
        <v>444.1999999999</v>
      </c>
      <c r="GH10">
        <v>447.89999999920002</v>
      </c>
      <c r="GI10">
        <v>448.8000000001</v>
      </c>
      <c r="GJ10">
        <v>449.19999999909999</v>
      </c>
      <c r="GK10">
        <v>449.09999999979999</v>
      </c>
      <c r="GL10">
        <v>449.19999999909999</v>
      </c>
      <c r="GM10">
        <v>449.09999999979999</v>
      </c>
      <c r="GN10">
        <v>449.09999999979999</v>
      </c>
      <c r="GO10">
        <v>449.00000000049999</v>
      </c>
      <c r="GP10">
        <v>449.09999999979999</v>
      </c>
      <c r="GQ10">
        <v>449.00000000049999</v>
      </c>
      <c r="GR10">
        <v>449.00000000049999</v>
      </c>
      <c r="GS10">
        <v>449.09999999979999</v>
      </c>
      <c r="GT10">
        <v>449.09999999979999</v>
      </c>
      <c r="GU10">
        <v>449.19999999909999</v>
      </c>
      <c r="GV10">
        <v>449.19999999909999</v>
      </c>
      <c r="GW10">
        <v>1</v>
      </c>
      <c r="GX10">
        <v>106.09999999910001</v>
      </c>
      <c r="GY10">
        <v>101.0000000006</v>
      </c>
      <c r="GZ10">
        <v>101.0000000006</v>
      </c>
      <c r="HA10">
        <v>113.4000000002</v>
      </c>
      <c r="HB10">
        <v>103.95921638519999</v>
      </c>
      <c r="HC10">
        <v>-12.3999999996</v>
      </c>
      <c r="HD10">
        <v>449.19999999909999</v>
      </c>
      <c r="HE10">
        <v>298.47950801410002</v>
      </c>
      <c r="HF10">
        <v>89.624521371200004</v>
      </c>
      <c r="HG10">
        <v>449.19999999909999</v>
      </c>
      <c r="HH10">
        <v>449.19999999909999</v>
      </c>
      <c r="HI10">
        <v>449.19999999909999</v>
      </c>
      <c r="HJ10">
        <v>449.19999999909999</v>
      </c>
      <c r="HK10">
        <v>112.6099706745</v>
      </c>
      <c r="HL10">
        <v>3.4636693944000001</v>
      </c>
      <c r="HM10">
        <v>3.3207469692</v>
      </c>
      <c r="HN10">
        <v>3.3850861224000002</v>
      </c>
      <c r="HO10">
        <v>3.3170066647000001</v>
      </c>
      <c r="HP10">
        <v>3.6377562457999999</v>
      </c>
      <c r="HQ10">
        <v>2.4256872348999998</v>
      </c>
      <c r="HR10">
        <v>14.334695013999999</v>
      </c>
      <c r="HS10">
        <v>-25.806451612899998</v>
      </c>
      <c r="HT10">
        <v>-176</v>
      </c>
      <c r="HU10">
        <v>402.43872439929999</v>
      </c>
      <c r="HV10">
        <v>89.149560117299998</v>
      </c>
      <c r="HW10">
        <v>608</v>
      </c>
      <c r="HX10">
        <v>14.334695013999999</v>
      </c>
      <c r="HY10">
        <v>-25.806451612899998</v>
      </c>
      <c r="HZ10">
        <v>-176</v>
      </c>
      <c r="IA10">
        <v>402.43872439929999</v>
      </c>
      <c r="IB10">
        <v>89.149560117299998</v>
      </c>
      <c r="IC10">
        <v>608</v>
      </c>
      <c r="ID10">
        <v>46.761275599800001</v>
      </c>
      <c r="IE10">
        <v>0.30101291149999998</v>
      </c>
      <c r="IF10">
        <v>-35.190615835800003</v>
      </c>
      <c r="IG10">
        <v>-240</v>
      </c>
      <c r="IH10">
        <v>424.87195013399997</v>
      </c>
      <c r="II10">
        <v>98.533724340199996</v>
      </c>
      <c r="IJ10">
        <v>672</v>
      </c>
      <c r="IK10">
        <v>388.10402938530001</v>
      </c>
      <c r="IL10">
        <v>114.9560117302</v>
      </c>
      <c r="IM10">
        <v>411.73289180889998</v>
      </c>
      <c r="IN10">
        <v>124.3401759531</v>
      </c>
      <c r="IO10">
        <v>7.2</v>
      </c>
      <c r="IP10">
        <v>5.8000000007999999</v>
      </c>
      <c r="IQ10">
        <v>9.2000000003999993</v>
      </c>
      <c r="IR10">
        <v>5.7321676159999999</v>
      </c>
      <c r="IS10">
        <v>5.7321676159999999</v>
      </c>
      <c r="IT10">
        <v>12.0999999999</v>
      </c>
      <c r="IU10">
        <v>-25.806451612899998</v>
      </c>
      <c r="IV10">
        <v>14.699999999699999</v>
      </c>
      <c r="IW10">
        <v>37.536656891500002</v>
      </c>
      <c r="IX10">
        <v>11.200000000799999</v>
      </c>
      <c r="IY10">
        <v>98.533724340199996</v>
      </c>
      <c r="IZ10">
        <v>-30.2343704299</v>
      </c>
      <c r="JA10">
        <v>0.31630225870000001</v>
      </c>
      <c r="JB10">
        <v>-2.9927079999999997E-4</v>
      </c>
      <c r="JC10">
        <v>6.2440000000000001E-7</v>
      </c>
      <c r="JD10">
        <v>0.28871115749999998</v>
      </c>
      <c r="JE10">
        <v>0.1894657256</v>
      </c>
      <c r="JF10">
        <v>9.4774131499999997E-2</v>
      </c>
      <c r="JG10">
        <v>103.9686884227</v>
      </c>
      <c r="JH10">
        <v>3.6377562457999999</v>
      </c>
      <c r="JI10">
        <v>3.2933551E-3</v>
      </c>
      <c r="JJ10">
        <v>-7.54635E-5</v>
      </c>
      <c r="JK10">
        <v>3.4636693944000001</v>
      </c>
      <c r="JL10">
        <v>1.4593353016999999</v>
      </c>
      <c r="JM10">
        <v>0.49013898319999999</v>
      </c>
      <c r="JN10" t="s">
        <v>538</v>
      </c>
      <c r="JQ10">
        <v>1</v>
      </c>
    </row>
    <row r="11" spans="1:277">
      <c r="A11" t="s">
        <v>642</v>
      </c>
      <c r="B11" t="s">
        <v>643</v>
      </c>
      <c r="C11" t="s">
        <v>212</v>
      </c>
      <c r="D11">
        <v>3</v>
      </c>
      <c r="E11" t="s">
        <v>213</v>
      </c>
      <c r="F11" t="s">
        <v>214</v>
      </c>
      <c r="G11" t="s">
        <v>537</v>
      </c>
      <c r="H11" t="s">
        <v>216</v>
      </c>
      <c r="J11" t="s">
        <v>632</v>
      </c>
      <c r="K11" t="s">
        <v>633</v>
      </c>
      <c r="L11" t="s">
        <v>634</v>
      </c>
      <c r="M11" t="s">
        <v>635</v>
      </c>
      <c r="N11" t="s">
        <v>636</v>
      </c>
      <c r="O11">
        <v>0</v>
      </c>
      <c r="P11">
        <v>0</v>
      </c>
      <c r="Q11">
        <v>1.5999999996000001</v>
      </c>
      <c r="R11">
        <v>0.40000000079999998</v>
      </c>
      <c r="S11">
        <v>0.29999999970000002</v>
      </c>
      <c r="T11">
        <v>0.29999999970000002</v>
      </c>
      <c r="U11">
        <v>0.20000000039999999</v>
      </c>
      <c r="V11">
        <v>0.20000000039999999</v>
      </c>
      <c r="W11">
        <v>0.20000000039999999</v>
      </c>
      <c r="X11">
        <v>0.20000000039999999</v>
      </c>
      <c r="Y11">
        <v>9.9999999300000003E-2</v>
      </c>
      <c r="Z11">
        <v>9.9999999300000003E-2</v>
      </c>
      <c r="AA11">
        <v>9.9999999300000003E-2</v>
      </c>
      <c r="AB11">
        <v>9.9999999300000003E-2</v>
      </c>
      <c r="AC11">
        <v>9.9999999300000003E-2</v>
      </c>
      <c r="AD11">
        <v>9.9999999300000003E-2</v>
      </c>
      <c r="AE11">
        <v>0</v>
      </c>
      <c r="AF11">
        <v>9.9999999300000003E-2</v>
      </c>
      <c r="AG11">
        <v>0</v>
      </c>
      <c r="AH11">
        <v>0</v>
      </c>
      <c r="AI11">
        <v>0.20000000039999999</v>
      </c>
      <c r="AJ11">
        <v>2.2000000007999998</v>
      </c>
      <c r="AK11">
        <v>7.2999999992999998</v>
      </c>
      <c r="AL11">
        <v>14.4</v>
      </c>
      <c r="AM11">
        <v>21.8999999997</v>
      </c>
      <c r="AN11">
        <v>29.300000000099999</v>
      </c>
      <c r="AO11">
        <v>36.799999999900002</v>
      </c>
      <c r="AP11">
        <v>44.400000000699997</v>
      </c>
      <c r="AQ11">
        <v>51.6000000007</v>
      </c>
      <c r="AR11">
        <v>59.4000000001</v>
      </c>
      <c r="AS11">
        <v>67.999999999300002</v>
      </c>
      <c r="AT11">
        <v>76.199999999499994</v>
      </c>
      <c r="AU11">
        <v>84.1</v>
      </c>
      <c r="AV11">
        <v>92.399999999499997</v>
      </c>
      <c r="AW11">
        <v>100.39999999939999</v>
      </c>
      <c r="AX11">
        <v>108.50000000030001</v>
      </c>
      <c r="AY11">
        <v>117.39999999920001</v>
      </c>
      <c r="AZ11">
        <v>126.2000000006</v>
      </c>
      <c r="BA11">
        <v>134.50000000009999</v>
      </c>
      <c r="BB11">
        <v>142.9000000007</v>
      </c>
      <c r="BC11">
        <v>151.29999999949999</v>
      </c>
      <c r="BD11">
        <v>159.4000000005</v>
      </c>
      <c r="BE11">
        <v>168.10000000080001</v>
      </c>
      <c r="BF11">
        <v>176.90000000040001</v>
      </c>
      <c r="BG11">
        <v>185.4000000003</v>
      </c>
      <c r="BH11">
        <v>193.99999999950001</v>
      </c>
      <c r="BI11">
        <v>202.1999999997</v>
      </c>
      <c r="BJ11">
        <v>210.30000000059999</v>
      </c>
      <c r="BK11">
        <v>218.69999999940001</v>
      </c>
      <c r="BL11">
        <v>227.4999999991</v>
      </c>
      <c r="BM11">
        <v>235.80000000039999</v>
      </c>
      <c r="BN11">
        <v>244.00000000060001</v>
      </c>
      <c r="BO11">
        <v>252.0999999997</v>
      </c>
      <c r="BP11">
        <v>259.89999999909998</v>
      </c>
      <c r="BQ11">
        <v>267.70000000030001</v>
      </c>
      <c r="BR11">
        <v>275.99999999980002</v>
      </c>
      <c r="BS11">
        <v>283.90000000039998</v>
      </c>
      <c r="BT11">
        <v>291.60000000050002</v>
      </c>
      <c r="BU11">
        <v>299.19999999949999</v>
      </c>
      <c r="BV11">
        <v>306.59999999989998</v>
      </c>
      <c r="BW11">
        <v>313.79999999990002</v>
      </c>
      <c r="BX11">
        <v>321.20000000030001</v>
      </c>
      <c r="BY11">
        <v>328.60000000069999</v>
      </c>
      <c r="BZ11">
        <v>335.69999999959998</v>
      </c>
      <c r="CA11">
        <v>342.69999999919997</v>
      </c>
      <c r="CB11">
        <v>349.59999999960002</v>
      </c>
      <c r="CC11">
        <v>356.20000000020002</v>
      </c>
      <c r="CD11">
        <v>362.69999999970003</v>
      </c>
      <c r="CE11">
        <v>369.19999999919997</v>
      </c>
      <c r="CF11">
        <v>375.70000000049998</v>
      </c>
      <c r="CG11">
        <v>382.2</v>
      </c>
      <c r="CH11">
        <v>388.3999999998</v>
      </c>
      <c r="CI11">
        <v>394.70000000070002</v>
      </c>
      <c r="CJ11">
        <v>400.79999999939997</v>
      </c>
      <c r="CK11">
        <v>406.69999999949999</v>
      </c>
      <c r="CL11">
        <v>412.50000000040001</v>
      </c>
      <c r="CM11">
        <v>418.10000000079998</v>
      </c>
      <c r="CN11">
        <v>423.69999999940001</v>
      </c>
      <c r="CO11">
        <v>429.50000000019998</v>
      </c>
      <c r="CP11">
        <v>434.90000000020001</v>
      </c>
      <c r="CQ11">
        <v>440.39999999949998</v>
      </c>
      <c r="CR11">
        <v>445.49999999980002</v>
      </c>
      <c r="CS11">
        <v>450.30000000040002</v>
      </c>
      <c r="CT11">
        <v>454.79999999950002</v>
      </c>
      <c r="CU11">
        <v>457.20000000070002</v>
      </c>
      <c r="CV11">
        <v>457.3</v>
      </c>
      <c r="CW11">
        <v>457.20000000070002</v>
      </c>
      <c r="CX11">
        <v>457.3</v>
      </c>
      <c r="CY11">
        <v>457.3</v>
      </c>
      <c r="CZ11">
        <v>457.3</v>
      </c>
      <c r="DA11">
        <v>457.3</v>
      </c>
      <c r="DB11">
        <v>457.3</v>
      </c>
      <c r="DC11">
        <v>457.39999999930001</v>
      </c>
      <c r="DD11">
        <v>457.3</v>
      </c>
      <c r="DE11">
        <v>457.3</v>
      </c>
      <c r="DF11">
        <v>457.39999999930001</v>
      </c>
      <c r="DG11">
        <v>2.3999999993999999</v>
      </c>
      <c r="DH11">
        <v>1.2999999999</v>
      </c>
      <c r="DI11">
        <v>1.2999999999</v>
      </c>
      <c r="DJ11">
        <v>1.2999999999</v>
      </c>
      <c r="DK11">
        <v>1.2999999999</v>
      </c>
      <c r="DL11">
        <v>1.2000000006</v>
      </c>
      <c r="DM11">
        <v>1.2000000006</v>
      </c>
      <c r="DN11">
        <v>1.2000000006</v>
      </c>
      <c r="DO11">
        <v>1.2000000006</v>
      </c>
      <c r="DP11">
        <v>1.0999999995</v>
      </c>
      <c r="DQ11">
        <v>1.0999999995</v>
      </c>
      <c r="DR11">
        <v>1.0000000002</v>
      </c>
      <c r="DS11">
        <v>1.0000000002</v>
      </c>
      <c r="DT11">
        <v>1.0000000002</v>
      </c>
      <c r="DU11">
        <v>0.89999999909999995</v>
      </c>
      <c r="DV11">
        <v>0.89999999909999995</v>
      </c>
      <c r="DW11">
        <v>0.89999999909999995</v>
      </c>
      <c r="DX11">
        <v>1.8</v>
      </c>
      <c r="DY11">
        <v>5.9999999994</v>
      </c>
      <c r="DZ11">
        <v>12.800000000400001</v>
      </c>
      <c r="EA11">
        <v>20.300000000099999</v>
      </c>
      <c r="EB11">
        <v>27.799999999800001</v>
      </c>
      <c r="EC11">
        <v>35.400000000699997</v>
      </c>
      <c r="ED11">
        <v>42.999999999700002</v>
      </c>
      <c r="EE11">
        <v>50.199999999699997</v>
      </c>
      <c r="EF11">
        <v>57.699999999399999</v>
      </c>
      <c r="EG11">
        <v>66.099999999999994</v>
      </c>
      <c r="EH11">
        <v>74.599999999900007</v>
      </c>
      <c r="EI11">
        <v>82.3</v>
      </c>
      <c r="EJ11">
        <v>90.299999999799994</v>
      </c>
      <c r="EK11">
        <v>98.400000000800006</v>
      </c>
      <c r="EL11">
        <v>106.4000000006</v>
      </c>
      <c r="EM11">
        <v>114.9999999998</v>
      </c>
      <c r="EN11">
        <v>123.9999999998</v>
      </c>
      <c r="EO11">
        <v>132.49999999970001</v>
      </c>
      <c r="EP11">
        <v>140.7999999992</v>
      </c>
      <c r="EQ11">
        <v>149.29999999910001</v>
      </c>
      <c r="ER11">
        <v>157.4999999993</v>
      </c>
      <c r="ES11">
        <v>165.9</v>
      </c>
      <c r="ET11">
        <v>174.80000000070001</v>
      </c>
      <c r="EU11">
        <v>183.49999999920001</v>
      </c>
      <c r="EV11">
        <v>191.8999999998</v>
      </c>
      <c r="EW11">
        <v>200.50000000079999</v>
      </c>
      <c r="EX11">
        <v>208.59999999990001</v>
      </c>
      <c r="EY11">
        <v>217.00000000060001</v>
      </c>
      <c r="EZ11">
        <v>225.69999999909999</v>
      </c>
      <c r="FA11">
        <v>234.2000000008</v>
      </c>
      <c r="FB11">
        <v>242.39999999919999</v>
      </c>
      <c r="FC11">
        <v>250.59999999940001</v>
      </c>
      <c r="FD11">
        <v>258.49999999990001</v>
      </c>
      <c r="FE11">
        <v>266.40000000039998</v>
      </c>
      <c r="FF11">
        <v>274.7999999992</v>
      </c>
      <c r="FG11">
        <v>282.90000000020001</v>
      </c>
      <c r="FH11">
        <v>290.39999999989999</v>
      </c>
      <c r="FI11">
        <v>298.19999999930002</v>
      </c>
      <c r="FJ11">
        <v>305.5999999997</v>
      </c>
      <c r="FK11">
        <v>312.79999999969999</v>
      </c>
      <c r="FL11">
        <v>320.20000000009998</v>
      </c>
      <c r="FM11">
        <v>327.79999999910001</v>
      </c>
      <c r="FN11">
        <v>335.1000000002</v>
      </c>
      <c r="FO11">
        <v>342.09999999979999</v>
      </c>
      <c r="FP11">
        <v>349.20000000060003</v>
      </c>
      <c r="FQ11">
        <v>356.09999999910002</v>
      </c>
      <c r="FR11">
        <v>362.80000000080003</v>
      </c>
      <c r="FS11">
        <v>369.30000000029997</v>
      </c>
      <c r="FT11">
        <v>376.09999999950003</v>
      </c>
      <c r="FU11">
        <v>382.70000000009998</v>
      </c>
      <c r="FV11">
        <v>388.89999999989999</v>
      </c>
      <c r="FW11">
        <v>395.2000000008</v>
      </c>
      <c r="FX11">
        <v>401.20000000020002</v>
      </c>
      <c r="FY11">
        <v>407.19999999959998</v>
      </c>
      <c r="FZ11">
        <v>413.00000000049999</v>
      </c>
      <c r="GA11">
        <v>418.70000000020002</v>
      </c>
      <c r="GB11">
        <v>424.19999999949999</v>
      </c>
      <c r="GC11">
        <v>429.70000000060003</v>
      </c>
      <c r="GD11">
        <v>435.10000000060001</v>
      </c>
      <c r="GE11">
        <v>440.30000000019999</v>
      </c>
      <c r="GF11">
        <v>444.99999999969998</v>
      </c>
      <c r="GG11">
        <v>449.30000000019999</v>
      </c>
      <c r="GH11">
        <v>453.79999999929998</v>
      </c>
      <c r="GI11">
        <v>456.70000000060003</v>
      </c>
      <c r="GJ11">
        <v>457.20000000070002</v>
      </c>
      <c r="GK11">
        <v>457.20000000070002</v>
      </c>
      <c r="GL11">
        <v>457.20000000070002</v>
      </c>
      <c r="GM11">
        <v>457.20000000070002</v>
      </c>
      <c r="GN11">
        <v>457.3</v>
      </c>
      <c r="GO11">
        <v>457.3</v>
      </c>
      <c r="GP11">
        <v>457.3</v>
      </c>
      <c r="GQ11">
        <v>457.39999999930001</v>
      </c>
      <c r="GR11">
        <v>457.39999999930001</v>
      </c>
      <c r="GS11">
        <v>457.39999999930001</v>
      </c>
      <c r="GT11">
        <v>457.39999999930001</v>
      </c>
      <c r="GU11">
        <v>457.39999999930001</v>
      </c>
      <c r="GV11">
        <v>457.39999999930001</v>
      </c>
      <c r="GW11">
        <v>1</v>
      </c>
      <c r="GX11">
        <v>104.6999999999</v>
      </c>
      <c r="GY11">
        <v>100.39999999939999</v>
      </c>
      <c r="GZ11">
        <v>100.39999999939999</v>
      </c>
      <c r="HA11">
        <v>114.9999999998</v>
      </c>
      <c r="HB11">
        <v>103.8377350235</v>
      </c>
      <c r="HC11">
        <v>-14.6000000004</v>
      </c>
      <c r="HD11">
        <v>457.39999999930001</v>
      </c>
      <c r="HE11">
        <v>313.689549629</v>
      </c>
      <c r="HF11">
        <v>88.819588980600003</v>
      </c>
      <c r="HG11">
        <v>457.39999999930001</v>
      </c>
      <c r="HH11">
        <v>457.39999999930001</v>
      </c>
      <c r="HI11">
        <v>457.39999999930001</v>
      </c>
      <c r="HJ11">
        <v>457.39999999930001</v>
      </c>
      <c r="HK11">
        <v>112.6099706745</v>
      </c>
      <c r="HL11">
        <v>3.4684918994</v>
      </c>
      <c r="HM11">
        <v>3.3318787697999999</v>
      </c>
      <c r="HN11">
        <v>3.3649038360999999</v>
      </c>
      <c r="HO11">
        <v>3.2929002266</v>
      </c>
      <c r="HP11">
        <v>3.6530605308999999</v>
      </c>
      <c r="HQ11">
        <v>2.2984415781999998</v>
      </c>
      <c r="HR11">
        <v>15.0181460429</v>
      </c>
      <c r="HS11">
        <v>-25.806451612899998</v>
      </c>
      <c r="HT11">
        <v>-176</v>
      </c>
      <c r="HU11">
        <v>417.52728465249999</v>
      </c>
      <c r="HV11">
        <v>93.841642228699996</v>
      </c>
      <c r="HW11">
        <v>640</v>
      </c>
      <c r="HX11">
        <v>15.0181460429</v>
      </c>
      <c r="HY11">
        <v>-25.806451612899998</v>
      </c>
      <c r="HZ11">
        <v>-176</v>
      </c>
      <c r="IA11">
        <v>417.52728465249999</v>
      </c>
      <c r="IB11">
        <v>93.841642228699996</v>
      </c>
      <c r="IC11">
        <v>640</v>
      </c>
      <c r="ID11">
        <v>39.8727153468</v>
      </c>
      <c r="IE11">
        <v>3.5417577999999998E-3</v>
      </c>
      <c r="IF11">
        <v>-35.190615835800003</v>
      </c>
      <c r="IG11">
        <v>-240</v>
      </c>
      <c r="IH11">
        <v>439.76873633600002</v>
      </c>
      <c r="II11">
        <v>103.22580645159999</v>
      </c>
      <c r="IJ11">
        <v>704</v>
      </c>
      <c r="IK11">
        <v>402.50913860959997</v>
      </c>
      <c r="IL11">
        <v>119.6480938416</v>
      </c>
      <c r="IM11">
        <v>426.47660690840002</v>
      </c>
      <c r="IN11">
        <v>129.03225806450001</v>
      </c>
      <c r="IO11">
        <v>7.4999999997</v>
      </c>
      <c r="IP11">
        <v>5.5000000011000001</v>
      </c>
      <c r="IQ11">
        <v>9</v>
      </c>
      <c r="IR11">
        <v>6.4016194258999999</v>
      </c>
      <c r="IS11">
        <v>6.4016194258999999</v>
      </c>
      <c r="IT11">
        <v>13.0000000008</v>
      </c>
      <c r="IU11">
        <v>-28.152492668600001</v>
      </c>
      <c r="IV11">
        <v>15.5000000013</v>
      </c>
      <c r="IW11">
        <v>32.844574780099997</v>
      </c>
      <c r="IX11">
        <v>10.8</v>
      </c>
      <c r="IY11">
        <v>103.22580645159999</v>
      </c>
      <c r="IZ11">
        <v>-30.556323887400001</v>
      </c>
      <c r="JA11">
        <v>0.32148724369999998</v>
      </c>
      <c r="JB11">
        <v>-3.3387469999999998E-4</v>
      </c>
      <c r="JC11">
        <v>6.6250000000000001E-7</v>
      </c>
      <c r="JD11">
        <v>0.28830974069999998</v>
      </c>
      <c r="JE11">
        <v>0.1481152083</v>
      </c>
      <c r="JF11">
        <v>5.7518748500000001E-2</v>
      </c>
      <c r="JG11">
        <v>104.52724716039999</v>
      </c>
      <c r="JH11">
        <v>3.6530605308999999</v>
      </c>
      <c r="JI11">
        <v>3.9162915000000003E-3</v>
      </c>
      <c r="JJ11">
        <v>-7.9096899999999998E-5</v>
      </c>
      <c r="JK11">
        <v>3.4684918994</v>
      </c>
      <c r="JL11">
        <v>1.0681082044000001</v>
      </c>
      <c r="JM11">
        <v>0.4721647578</v>
      </c>
      <c r="JN11" t="s">
        <v>538</v>
      </c>
      <c r="JQ11">
        <v>1</v>
      </c>
    </row>
    <row r="12" spans="1:277">
      <c r="A12" t="s">
        <v>657</v>
      </c>
      <c r="B12" t="s">
        <v>658</v>
      </c>
      <c r="C12" t="s">
        <v>212</v>
      </c>
      <c r="D12">
        <v>3</v>
      </c>
      <c r="E12" t="s">
        <v>213</v>
      </c>
      <c r="F12" t="s">
        <v>214</v>
      </c>
      <c r="G12" t="s">
        <v>537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1.2999999999</v>
      </c>
      <c r="R12">
        <v>0.29999999970000002</v>
      </c>
      <c r="S12">
        <v>0.29999999970000002</v>
      </c>
      <c r="T12">
        <v>0.29999999970000002</v>
      </c>
      <c r="U12">
        <v>0.29999999970000002</v>
      </c>
      <c r="V12">
        <v>0.29999999970000002</v>
      </c>
      <c r="W12">
        <v>0.20000000039999999</v>
      </c>
      <c r="X12">
        <v>0.29999999970000002</v>
      </c>
      <c r="Y12">
        <v>0.20000000039999999</v>
      </c>
      <c r="Z12">
        <v>0.20000000039999999</v>
      </c>
      <c r="AA12">
        <v>9.9999999300000003E-2</v>
      </c>
      <c r="AB12">
        <v>0.20000000039999999</v>
      </c>
      <c r="AC12">
        <v>9.9999999300000003E-2</v>
      </c>
      <c r="AD12">
        <v>9.9999999300000003E-2</v>
      </c>
      <c r="AE12">
        <v>0</v>
      </c>
      <c r="AF12">
        <v>0.20000000039999999</v>
      </c>
      <c r="AG12">
        <v>0.7000000005</v>
      </c>
      <c r="AH12">
        <v>3.1999999992000001</v>
      </c>
      <c r="AI12">
        <v>6.9000000003000004</v>
      </c>
      <c r="AJ12">
        <v>11.3999999994</v>
      </c>
      <c r="AK12">
        <v>17.499999999900002</v>
      </c>
      <c r="AL12">
        <v>24.299999999099999</v>
      </c>
      <c r="AM12">
        <v>30.8999999997</v>
      </c>
      <c r="AN12">
        <v>37.699999998899997</v>
      </c>
      <c r="AO12">
        <v>45.000000000100002</v>
      </c>
      <c r="AP12">
        <v>52.299999999400001</v>
      </c>
      <c r="AQ12">
        <v>60.299999999199997</v>
      </c>
      <c r="AR12">
        <v>68.299999998999994</v>
      </c>
      <c r="AS12">
        <v>75.999999999099998</v>
      </c>
      <c r="AT12">
        <v>83.399999999499997</v>
      </c>
      <c r="AU12">
        <v>91.000000000300005</v>
      </c>
      <c r="AV12">
        <v>98.700000000499998</v>
      </c>
      <c r="AW12">
        <v>106.70000000029999</v>
      </c>
      <c r="AX12">
        <v>115.3999999988</v>
      </c>
      <c r="AY12">
        <v>123.7999999994</v>
      </c>
      <c r="AZ12">
        <v>131.6999999999</v>
      </c>
      <c r="BA12">
        <v>139.4999999993</v>
      </c>
      <c r="BB12">
        <v>147.19999999940001</v>
      </c>
      <c r="BC12">
        <v>155.49999999889999</v>
      </c>
      <c r="BD12">
        <v>164.19999999929999</v>
      </c>
      <c r="BE12">
        <v>172.8000000003</v>
      </c>
      <c r="BF12">
        <v>180.8000000001</v>
      </c>
      <c r="BG12">
        <v>188.5000000002</v>
      </c>
      <c r="BH12">
        <v>196.5</v>
      </c>
      <c r="BI12">
        <v>204.2000000001</v>
      </c>
      <c r="BJ12">
        <v>212.49999999959999</v>
      </c>
      <c r="BK12">
        <v>220.9000000003</v>
      </c>
      <c r="BL12">
        <v>228.99999999939999</v>
      </c>
      <c r="BM12">
        <v>236.79999999879999</v>
      </c>
      <c r="BN12">
        <v>244.1999999992</v>
      </c>
      <c r="BO12">
        <v>251.59999999959999</v>
      </c>
      <c r="BP12">
        <v>259.39999999899999</v>
      </c>
      <c r="BQ12">
        <v>267.39999999880001</v>
      </c>
      <c r="BR12">
        <v>275.29999999929998</v>
      </c>
      <c r="BS12">
        <v>282.79999999900002</v>
      </c>
      <c r="BT12">
        <v>289.9999999991</v>
      </c>
      <c r="BU12">
        <v>296.89999999939999</v>
      </c>
      <c r="BV12">
        <v>303.7000000004</v>
      </c>
      <c r="BW12">
        <v>310.79999999929998</v>
      </c>
      <c r="BX12">
        <v>318.10000000039997</v>
      </c>
      <c r="BY12">
        <v>325.39999999970001</v>
      </c>
      <c r="BZ12">
        <v>332.19999999890001</v>
      </c>
      <c r="CA12">
        <v>338.79999999950002</v>
      </c>
      <c r="CB12">
        <v>345.29999999900002</v>
      </c>
      <c r="CC12">
        <v>351.19999999919997</v>
      </c>
      <c r="CD12">
        <v>357.29999999969999</v>
      </c>
      <c r="CE12">
        <v>363.9000000003</v>
      </c>
      <c r="CF12">
        <v>370.3999999998</v>
      </c>
      <c r="CG12">
        <v>376.8</v>
      </c>
      <c r="CH12">
        <v>382.90000000049997</v>
      </c>
      <c r="CI12">
        <v>388.79999999879999</v>
      </c>
      <c r="CJ12">
        <v>394.50000000030002</v>
      </c>
      <c r="CK12">
        <v>399.99999999959999</v>
      </c>
      <c r="CL12">
        <v>405.09999999989998</v>
      </c>
      <c r="CM12">
        <v>410.5</v>
      </c>
      <c r="CN12">
        <v>416.40000000010002</v>
      </c>
      <c r="CO12">
        <v>422.19999999909999</v>
      </c>
      <c r="CP12">
        <v>427.70000000020002</v>
      </c>
      <c r="CQ12">
        <v>433.19999999949999</v>
      </c>
      <c r="CR12">
        <v>438.50000000019998</v>
      </c>
      <c r="CS12">
        <v>443.60000000050002</v>
      </c>
      <c r="CT12">
        <v>448.89999999939999</v>
      </c>
      <c r="CU12">
        <v>453.4000000003</v>
      </c>
      <c r="CV12">
        <v>456.50000000019998</v>
      </c>
      <c r="CW12">
        <v>457.99999999869999</v>
      </c>
      <c r="CX12">
        <v>458.09999999979999</v>
      </c>
      <c r="CY12">
        <v>458.19999999909999</v>
      </c>
      <c r="CZ12">
        <v>458.09999999979999</v>
      </c>
      <c r="DA12">
        <v>458.19999999909999</v>
      </c>
      <c r="DB12">
        <v>458.09999999979999</v>
      </c>
      <c r="DC12">
        <v>458.19999999909999</v>
      </c>
      <c r="DD12">
        <v>458.19999999909999</v>
      </c>
      <c r="DE12">
        <v>458.19999999909999</v>
      </c>
      <c r="DF12">
        <v>458.09999999979999</v>
      </c>
      <c r="DG12">
        <v>2.1999999990000001</v>
      </c>
      <c r="DH12">
        <v>1.3999999992000001</v>
      </c>
      <c r="DI12">
        <v>1.2999999999</v>
      </c>
      <c r="DJ12">
        <v>1.1999999988000001</v>
      </c>
      <c r="DK12">
        <v>1.1999999988000001</v>
      </c>
      <c r="DL12">
        <v>1.1999999988000001</v>
      </c>
      <c r="DM12">
        <v>1.1999999988000001</v>
      </c>
      <c r="DN12">
        <v>1.1999999988000001</v>
      </c>
      <c r="DO12">
        <v>1.1999999988000001</v>
      </c>
      <c r="DP12">
        <v>1.0999999995</v>
      </c>
      <c r="DQ12">
        <v>1.1999999988000001</v>
      </c>
      <c r="DR12">
        <v>1.0999999995</v>
      </c>
      <c r="DS12">
        <v>1.0000000002</v>
      </c>
      <c r="DT12">
        <v>1.0000000002</v>
      </c>
      <c r="DU12">
        <v>1.0000000002</v>
      </c>
      <c r="DV12">
        <v>2.3999999993999999</v>
      </c>
      <c r="DW12">
        <v>6.2999999990999997</v>
      </c>
      <c r="DX12">
        <v>10.5000000003</v>
      </c>
      <c r="DY12">
        <v>15.9999999996</v>
      </c>
      <c r="DZ12">
        <v>22.9999999992</v>
      </c>
      <c r="EA12">
        <v>29.599999999800001</v>
      </c>
      <c r="EB12">
        <v>36.399999999000002</v>
      </c>
      <c r="EC12">
        <v>43.4000000005</v>
      </c>
      <c r="ED12">
        <v>50.900000000200002</v>
      </c>
      <c r="EE12">
        <v>58.9</v>
      </c>
      <c r="EF12">
        <v>66.499999998999996</v>
      </c>
      <c r="EG12">
        <v>74.199999999100001</v>
      </c>
      <c r="EH12">
        <v>81.5999999995</v>
      </c>
      <c r="EI12">
        <v>89.099999999199994</v>
      </c>
      <c r="EJ12">
        <v>96.599999998900003</v>
      </c>
      <c r="EK12">
        <v>104.9000000003</v>
      </c>
      <c r="EL12">
        <v>113.4000000002</v>
      </c>
      <c r="EM12">
        <v>121.6000000004</v>
      </c>
      <c r="EN12">
        <v>129.69999999949999</v>
      </c>
      <c r="EO12">
        <v>137.49999999889999</v>
      </c>
      <c r="EP12">
        <v>145.0999999997</v>
      </c>
      <c r="EQ12">
        <v>153.0999999995</v>
      </c>
      <c r="ER12">
        <v>162.09999999959999</v>
      </c>
      <c r="ES12">
        <v>170.5999999995</v>
      </c>
      <c r="ET12">
        <v>178.79999999969999</v>
      </c>
      <c r="EU12">
        <v>186.59999999909999</v>
      </c>
      <c r="EV12">
        <v>194.59999999889999</v>
      </c>
      <c r="EW12">
        <v>202.49999999939999</v>
      </c>
      <c r="EX12">
        <v>210.9999999993</v>
      </c>
      <c r="EY12">
        <v>219.29999999879999</v>
      </c>
      <c r="EZ12">
        <v>227.4999999991</v>
      </c>
      <c r="FA12">
        <v>235.49999999889999</v>
      </c>
      <c r="FB12">
        <v>243.0999999997</v>
      </c>
      <c r="FC12">
        <v>250.70000000050001</v>
      </c>
      <c r="FD12">
        <v>258.70000000030001</v>
      </c>
      <c r="FE12">
        <v>266.99999999980002</v>
      </c>
      <c r="FF12">
        <v>274.7999999992</v>
      </c>
      <c r="FG12">
        <v>282.29999999889998</v>
      </c>
      <c r="FH12">
        <v>289.69999999940001</v>
      </c>
      <c r="FI12">
        <v>296.5999999997</v>
      </c>
      <c r="FJ12">
        <v>303.5999999993</v>
      </c>
      <c r="FK12">
        <v>311.40000000049997</v>
      </c>
      <c r="FL12">
        <v>318.99999999950001</v>
      </c>
      <c r="FM12">
        <v>326.19999999949999</v>
      </c>
      <c r="FN12">
        <v>333.09999999979999</v>
      </c>
      <c r="FO12">
        <v>339.79999999969999</v>
      </c>
      <c r="FP12">
        <v>346.40000000039998</v>
      </c>
      <c r="FQ12">
        <v>352.69999999949999</v>
      </c>
      <c r="FR12">
        <v>359.00000000040001</v>
      </c>
      <c r="FS12">
        <v>365.8999999989</v>
      </c>
      <c r="FT12">
        <v>372.6999999999</v>
      </c>
      <c r="FU12">
        <v>378.99999999900001</v>
      </c>
      <c r="FV12">
        <v>385.09999999950003</v>
      </c>
      <c r="FW12">
        <v>390.99999999959999</v>
      </c>
      <c r="FX12">
        <v>396.69999999930002</v>
      </c>
      <c r="FY12">
        <v>402</v>
      </c>
      <c r="FZ12">
        <v>407.49999999929997</v>
      </c>
      <c r="GA12">
        <v>413.49999999869999</v>
      </c>
      <c r="GB12">
        <v>419.3999999989</v>
      </c>
      <c r="GC12">
        <v>424.60000000029999</v>
      </c>
      <c r="GD12">
        <v>430.00000000030002</v>
      </c>
      <c r="GE12">
        <v>434.99999999950001</v>
      </c>
      <c r="GF12">
        <v>440.00000000049999</v>
      </c>
      <c r="GG12">
        <v>444.7</v>
      </c>
      <c r="GH12">
        <v>448.8000000001</v>
      </c>
      <c r="GI12">
        <v>452.69999999980001</v>
      </c>
      <c r="GJ12">
        <v>456.09999999939998</v>
      </c>
      <c r="GK12">
        <v>457.699999999</v>
      </c>
      <c r="GL12">
        <v>457.99999999869999</v>
      </c>
      <c r="GM12">
        <v>457.99999999869999</v>
      </c>
      <c r="GN12">
        <v>457.99999999869999</v>
      </c>
      <c r="GO12">
        <v>458.09999999979999</v>
      </c>
      <c r="GP12">
        <v>458.09999999979999</v>
      </c>
      <c r="GQ12">
        <v>458.09999999979999</v>
      </c>
      <c r="GR12">
        <v>458.09999999979999</v>
      </c>
      <c r="GS12">
        <v>458.09999999979999</v>
      </c>
      <c r="GT12">
        <v>458.09999999979999</v>
      </c>
      <c r="GU12">
        <v>458.09999999979999</v>
      </c>
      <c r="GV12">
        <v>458.19999999909999</v>
      </c>
      <c r="GW12">
        <v>1</v>
      </c>
      <c r="GX12">
        <v>112.1999999996</v>
      </c>
      <c r="GY12">
        <v>106.70000000029999</v>
      </c>
      <c r="GZ12">
        <v>106.70000000029999</v>
      </c>
      <c r="HA12">
        <v>121.6000000004</v>
      </c>
      <c r="HB12">
        <v>110.4123976867</v>
      </c>
      <c r="HC12">
        <v>-14.9000000001</v>
      </c>
      <c r="HD12">
        <v>458.19999999909999</v>
      </c>
      <c r="HE12">
        <v>301.57303284800003</v>
      </c>
      <c r="HF12">
        <v>92.290428899199995</v>
      </c>
      <c r="HG12">
        <v>458.19999999909999</v>
      </c>
      <c r="HH12">
        <v>458.19999999909999</v>
      </c>
      <c r="HI12">
        <v>458.19999999909999</v>
      </c>
      <c r="HJ12">
        <v>458.19999999909999</v>
      </c>
      <c r="HK12">
        <v>117.3020527859</v>
      </c>
      <c r="HL12">
        <v>3.3342653133</v>
      </c>
      <c r="HM12">
        <v>3.1760403196000002</v>
      </c>
      <c r="HN12">
        <v>3.2562722948</v>
      </c>
      <c r="HO12">
        <v>3.1238890153000001</v>
      </c>
      <c r="HP12">
        <v>3.5059168392000002</v>
      </c>
      <c r="HQ12">
        <v>2.2332305063</v>
      </c>
      <c r="HR12">
        <v>18.1219687874</v>
      </c>
      <c r="HS12">
        <v>-28.152492668600001</v>
      </c>
      <c r="HT12">
        <v>-192</v>
      </c>
      <c r="HU12">
        <v>411.98543053470001</v>
      </c>
      <c r="HV12">
        <v>93.841642228699996</v>
      </c>
      <c r="HW12">
        <v>640</v>
      </c>
      <c r="HX12">
        <v>18.1219687874</v>
      </c>
      <c r="HY12">
        <v>-28.152492668600001</v>
      </c>
      <c r="HZ12">
        <v>-192</v>
      </c>
      <c r="IA12">
        <v>411.98543053470001</v>
      </c>
      <c r="IB12">
        <v>93.841642228699996</v>
      </c>
      <c r="IC12">
        <v>640</v>
      </c>
      <c r="ID12">
        <v>46.2145694644</v>
      </c>
      <c r="IE12">
        <v>0.74278074920000003</v>
      </c>
      <c r="IF12">
        <v>-37.536656891500002</v>
      </c>
      <c r="IG12">
        <v>-256</v>
      </c>
      <c r="IH12">
        <v>434.17441885789998</v>
      </c>
      <c r="II12">
        <v>103.22580645159999</v>
      </c>
      <c r="IJ12">
        <v>704</v>
      </c>
      <c r="IK12">
        <v>393.86346174729999</v>
      </c>
      <c r="IL12">
        <v>121.9941348974</v>
      </c>
      <c r="IM12">
        <v>416.22307104660001</v>
      </c>
      <c r="IN12">
        <v>131.37829912020001</v>
      </c>
      <c r="IO12">
        <v>6.9999999996</v>
      </c>
      <c r="IP12">
        <v>5.9000000001000004</v>
      </c>
      <c r="IQ12">
        <v>9</v>
      </c>
      <c r="IR12">
        <v>5.7581348590000001</v>
      </c>
      <c r="IS12">
        <v>5.7581348590000001</v>
      </c>
      <c r="IT12">
        <v>12.0999999999</v>
      </c>
      <c r="IU12">
        <v>-28.152492668600001</v>
      </c>
      <c r="IV12">
        <v>15.4000000002</v>
      </c>
      <c r="IW12">
        <v>42.228739002899999</v>
      </c>
      <c r="IX12">
        <v>12.300000000300001</v>
      </c>
      <c r="IY12">
        <v>105.57184750730001</v>
      </c>
      <c r="IZ12">
        <v>-33.999078461899998</v>
      </c>
      <c r="JA12">
        <v>0.33937571170000003</v>
      </c>
      <c r="JB12">
        <v>-3.6628939999999998E-4</v>
      </c>
      <c r="JC12">
        <v>7.159E-7</v>
      </c>
      <c r="JD12">
        <v>0.29991614529999999</v>
      </c>
      <c r="JE12">
        <v>0.2254469674</v>
      </c>
      <c r="JF12">
        <v>9.9120527700000002E-2</v>
      </c>
      <c r="JG12">
        <v>111.02804205549999</v>
      </c>
      <c r="JH12">
        <v>3.5059168392000002</v>
      </c>
      <c r="JI12">
        <v>3.6543566999999999E-3</v>
      </c>
      <c r="JJ12">
        <v>-7.41347E-5</v>
      </c>
      <c r="JK12">
        <v>3.3342653133</v>
      </c>
      <c r="JL12">
        <v>1.243777216</v>
      </c>
      <c r="JM12">
        <v>0.46912579139999999</v>
      </c>
      <c r="JN12" t="s">
        <v>538</v>
      </c>
      <c r="JQ12">
        <v>1</v>
      </c>
    </row>
    <row r="13" spans="1:277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537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</v>
      </c>
      <c r="R13">
        <v>0.69999999869999996</v>
      </c>
      <c r="S13">
        <v>0.79999999980000003</v>
      </c>
      <c r="T13">
        <v>0.69999999869999996</v>
      </c>
      <c r="U13">
        <v>0.69999999869999996</v>
      </c>
      <c r="V13">
        <v>0.69999999869999996</v>
      </c>
      <c r="W13">
        <v>0.69999999869999996</v>
      </c>
      <c r="X13">
        <v>0.69999999869999996</v>
      </c>
      <c r="Y13">
        <v>0.79999999980000003</v>
      </c>
      <c r="Z13">
        <v>0.79999999980000003</v>
      </c>
      <c r="AA13">
        <v>0.89999999909999995</v>
      </c>
      <c r="AB13">
        <v>0.99999999839999998</v>
      </c>
      <c r="AC13">
        <v>1.0999999995</v>
      </c>
      <c r="AD13">
        <v>1.1999999988000001</v>
      </c>
      <c r="AE13">
        <v>1.1999999988000001</v>
      </c>
      <c r="AF13">
        <v>1.2999999999</v>
      </c>
      <c r="AG13">
        <v>1.2999999999</v>
      </c>
      <c r="AH13">
        <v>1.3999999992000001</v>
      </c>
      <c r="AI13">
        <v>1.2999999999</v>
      </c>
      <c r="AJ13">
        <v>2.3999999993999999</v>
      </c>
      <c r="AK13">
        <v>6.7999999991999998</v>
      </c>
      <c r="AL13">
        <v>13.4999999991</v>
      </c>
      <c r="AM13">
        <v>20.599999999800001</v>
      </c>
      <c r="AN13">
        <v>28.399999999199999</v>
      </c>
      <c r="AO13">
        <v>36.199999998599999</v>
      </c>
      <c r="AP13">
        <v>44.599999999300003</v>
      </c>
      <c r="AQ13">
        <v>52.699999998400003</v>
      </c>
      <c r="AR13">
        <v>60.199999999900001</v>
      </c>
      <c r="AS13">
        <v>67.900000000000006</v>
      </c>
      <c r="AT13">
        <v>75.799999998700002</v>
      </c>
      <c r="AU13">
        <v>84.199999999300005</v>
      </c>
      <c r="AV13">
        <v>92.799999998499999</v>
      </c>
      <c r="AW13">
        <v>102.1000000001</v>
      </c>
      <c r="AX13">
        <v>111.1000000001</v>
      </c>
      <c r="AY13">
        <v>119.49999999889999</v>
      </c>
      <c r="AZ13">
        <v>127.99999999880001</v>
      </c>
      <c r="BA13">
        <v>136.69999999909999</v>
      </c>
      <c r="BB13">
        <v>145.39999999939999</v>
      </c>
      <c r="BC13">
        <v>154.39999999939999</v>
      </c>
      <c r="BD13">
        <v>162.9999999986</v>
      </c>
      <c r="BE13">
        <v>171.3</v>
      </c>
      <c r="BF13">
        <v>179.7999999999</v>
      </c>
      <c r="BG13">
        <v>188.5999999995</v>
      </c>
      <c r="BH13">
        <v>197.3999999991</v>
      </c>
      <c r="BI13">
        <v>206.3999999991</v>
      </c>
      <c r="BJ13">
        <v>214.79999999969999</v>
      </c>
      <c r="BK13">
        <v>222.59999999909999</v>
      </c>
      <c r="BL13">
        <v>230.9999999998</v>
      </c>
      <c r="BM13">
        <v>239.49999999970001</v>
      </c>
      <c r="BN13">
        <v>247.6999999999</v>
      </c>
      <c r="BO13">
        <v>255.99999999939999</v>
      </c>
      <c r="BP13">
        <v>263.79999999879999</v>
      </c>
      <c r="BQ13">
        <v>271.79999999860001</v>
      </c>
      <c r="BR13">
        <v>279.89999999949998</v>
      </c>
      <c r="BS13">
        <v>287.9999999986</v>
      </c>
      <c r="BT13">
        <v>295.99999999850002</v>
      </c>
      <c r="BU13">
        <v>303.79999999969999</v>
      </c>
      <c r="BV13">
        <v>311.29999999939997</v>
      </c>
      <c r="BW13">
        <v>318.49999999940002</v>
      </c>
      <c r="BX13">
        <v>325.8999999998</v>
      </c>
      <c r="BY13">
        <v>333.19999999909999</v>
      </c>
      <c r="BZ13">
        <v>340.59999999950003</v>
      </c>
      <c r="CA13">
        <v>347.7999999996</v>
      </c>
      <c r="CB13">
        <v>354.89999999849999</v>
      </c>
      <c r="CC13">
        <v>361.69999999949999</v>
      </c>
      <c r="CD13">
        <v>368.199999999</v>
      </c>
      <c r="CE13">
        <v>374.6999999985</v>
      </c>
      <c r="CF13">
        <v>381.39999999840001</v>
      </c>
      <c r="CG13">
        <v>387.99999999900001</v>
      </c>
      <c r="CH13">
        <v>394.49999999850002</v>
      </c>
      <c r="CI13">
        <v>400.79999999939997</v>
      </c>
      <c r="CJ13">
        <v>406.99999999919999</v>
      </c>
      <c r="CK13">
        <v>413.19999999909999</v>
      </c>
      <c r="CL13">
        <v>418.89999999880001</v>
      </c>
      <c r="CM13">
        <v>424.69999999959998</v>
      </c>
      <c r="CN13">
        <v>430.5999999997</v>
      </c>
      <c r="CO13">
        <v>436.49999999980002</v>
      </c>
      <c r="CP13">
        <v>441.7999999987</v>
      </c>
      <c r="CQ13">
        <v>446.5</v>
      </c>
      <c r="CR13">
        <v>449.49999999879998</v>
      </c>
      <c r="CS13">
        <v>450.1</v>
      </c>
      <c r="CT13">
        <v>450.19999999930002</v>
      </c>
      <c r="CU13">
        <v>450.29999999860001</v>
      </c>
      <c r="CV13">
        <v>450.39999999970001</v>
      </c>
      <c r="CW13">
        <v>450.39999999970001</v>
      </c>
      <c r="CX13">
        <v>450.39999999970001</v>
      </c>
      <c r="CY13">
        <v>450.39999999970001</v>
      </c>
      <c r="CZ13">
        <v>450.39999999970001</v>
      </c>
      <c r="DA13">
        <v>450.39999999970001</v>
      </c>
      <c r="DB13">
        <v>450.39999999970001</v>
      </c>
      <c r="DC13">
        <v>450.39999999970001</v>
      </c>
      <c r="DD13">
        <v>450.39999999970001</v>
      </c>
      <c r="DE13">
        <v>450.39999999970001</v>
      </c>
      <c r="DF13">
        <v>450.39999999970001</v>
      </c>
      <c r="DG13">
        <v>0.99999999839999998</v>
      </c>
      <c r="DH13">
        <v>1.8</v>
      </c>
      <c r="DI13">
        <v>1.6999999989000001</v>
      </c>
      <c r="DJ13">
        <v>1.8</v>
      </c>
      <c r="DK13">
        <v>1.8</v>
      </c>
      <c r="DL13">
        <v>1.8</v>
      </c>
      <c r="DM13">
        <v>1.8999999993000001</v>
      </c>
      <c r="DN13">
        <v>1.9999999986000001</v>
      </c>
      <c r="DO13">
        <v>1.9999999986000001</v>
      </c>
      <c r="DP13">
        <v>1.9999999986000001</v>
      </c>
      <c r="DQ13">
        <v>2.0999999997000001</v>
      </c>
      <c r="DR13">
        <v>2.0999999997000001</v>
      </c>
      <c r="DS13">
        <v>2.0999999997000001</v>
      </c>
      <c r="DT13">
        <v>2.0999999997000001</v>
      </c>
      <c r="DU13">
        <v>2.1999999990000001</v>
      </c>
      <c r="DV13">
        <v>2.1999999990000001</v>
      </c>
      <c r="DW13">
        <v>2.0999999997000001</v>
      </c>
      <c r="DX13">
        <v>2.1999999990000001</v>
      </c>
      <c r="DY13">
        <v>5.1999999996000001</v>
      </c>
      <c r="DZ13">
        <v>11.699999999099999</v>
      </c>
      <c r="EA13">
        <v>18.799999999800001</v>
      </c>
      <c r="EB13">
        <v>26.299999999499999</v>
      </c>
      <c r="EC13">
        <v>34.099999998900003</v>
      </c>
      <c r="ED13">
        <v>42.3999999985</v>
      </c>
      <c r="EE13">
        <v>50.5999999987</v>
      </c>
      <c r="EF13">
        <v>57.699999999399999</v>
      </c>
      <c r="EG13">
        <v>64.999999998700005</v>
      </c>
      <c r="EH13">
        <v>73.199999998899997</v>
      </c>
      <c r="EI13">
        <v>81.4999999984</v>
      </c>
      <c r="EJ13">
        <v>90.199999998699994</v>
      </c>
      <c r="EK13">
        <v>99.199999998699994</v>
      </c>
      <c r="EL13">
        <v>107.5999999994</v>
      </c>
      <c r="EM13">
        <v>115.6999999985</v>
      </c>
      <c r="EN13">
        <v>124.4999999999</v>
      </c>
      <c r="EO13">
        <v>133.39999999880001</v>
      </c>
      <c r="EP13">
        <v>142.09999999909999</v>
      </c>
      <c r="EQ13">
        <v>151.29999999949999</v>
      </c>
      <c r="ER13">
        <v>159.599999999</v>
      </c>
      <c r="ES13">
        <v>167.49999999959999</v>
      </c>
      <c r="ET13">
        <v>176.49999999959999</v>
      </c>
      <c r="EU13">
        <v>185.39999999849999</v>
      </c>
      <c r="EV13">
        <v>194.2999999992</v>
      </c>
      <c r="EW13">
        <v>203.49999999959999</v>
      </c>
      <c r="EX13">
        <v>211.59999999870001</v>
      </c>
      <c r="EY13">
        <v>219.69999999960001</v>
      </c>
      <c r="EZ13">
        <v>228.4999999993</v>
      </c>
      <c r="FA13">
        <v>237.29999999890001</v>
      </c>
      <c r="FB13">
        <v>245.79999999879999</v>
      </c>
      <c r="FC13">
        <v>254.10000000010001</v>
      </c>
      <c r="FD13">
        <v>262.39999999960003</v>
      </c>
      <c r="FE13">
        <v>270.39999999939999</v>
      </c>
      <c r="FF13">
        <v>278.59999999960002</v>
      </c>
      <c r="FG13">
        <v>286.89999999920002</v>
      </c>
      <c r="FH13">
        <v>295.09999999939998</v>
      </c>
      <c r="FI13">
        <v>302.99999999990001</v>
      </c>
      <c r="FJ13">
        <v>310.7</v>
      </c>
      <c r="FK13">
        <v>318.09999999860003</v>
      </c>
      <c r="FL13">
        <v>325.60000000010001</v>
      </c>
      <c r="FM13">
        <v>333.09999999979999</v>
      </c>
      <c r="FN13">
        <v>340.69999999880002</v>
      </c>
      <c r="FO13">
        <v>348.09999999920001</v>
      </c>
      <c r="FP13">
        <v>355.2</v>
      </c>
      <c r="FQ13">
        <v>362.19999999959998</v>
      </c>
      <c r="FR13">
        <v>368.89999999949998</v>
      </c>
      <c r="FS13">
        <v>375.50000000009999</v>
      </c>
      <c r="FT13">
        <v>382.29999999929998</v>
      </c>
      <c r="FU13">
        <v>389.09999999849998</v>
      </c>
      <c r="FV13">
        <v>395.59999999979999</v>
      </c>
      <c r="FW13">
        <v>401.8999999989</v>
      </c>
      <c r="FX13">
        <v>407.99999999940002</v>
      </c>
      <c r="FY13">
        <v>414.1</v>
      </c>
      <c r="FZ13">
        <v>419.89999999899999</v>
      </c>
      <c r="GA13">
        <v>425.49999999940002</v>
      </c>
      <c r="GB13">
        <v>431.09999999979999</v>
      </c>
      <c r="GC13">
        <v>436.69999999840002</v>
      </c>
      <c r="GD13">
        <v>441.39999999970001</v>
      </c>
      <c r="GE13">
        <v>445.59999999910002</v>
      </c>
      <c r="GF13">
        <v>448.8000000001</v>
      </c>
      <c r="GG13">
        <v>450.1</v>
      </c>
      <c r="GH13">
        <v>450.1</v>
      </c>
      <c r="GI13">
        <v>450.1</v>
      </c>
      <c r="GJ13">
        <v>450.19999999930002</v>
      </c>
      <c r="GK13">
        <v>450.1</v>
      </c>
      <c r="GL13">
        <v>450.1</v>
      </c>
      <c r="GM13">
        <v>450.1</v>
      </c>
      <c r="GN13">
        <v>450.19999999930002</v>
      </c>
      <c r="GO13">
        <v>450.19999999930002</v>
      </c>
      <c r="GP13">
        <v>450.19999999930002</v>
      </c>
      <c r="GQ13">
        <v>450.29999999860001</v>
      </c>
      <c r="GR13">
        <v>450.29999999860001</v>
      </c>
      <c r="GS13">
        <v>450.29999999860001</v>
      </c>
      <c r="GT13">
        <v>450.39999999970001</v>
      </c>
      <c r="GU13">
        <v>450.39999999970001</v>
      </c>
      <c r="GV13">
        <v>450.39999999970001</v>
      </c>
      <c r="GW13">
        <v>1</v>
      </c>
      <c r="GX13">
        <v>108.2000000006</v>
      </c>
      <c r="GY13">
        <v>102.1000000001</v>
      </c>
      <c r="GZ13">
        <v>102.1000000001</v>
      </c>
      <c r="HA13">
        <v>115.6999999985</v>
      </c>
      <c r="HB13">
        <v>105.3882770867</v>
      </c>
      <c r="HC13">
        <v>-13.5999999984</v>
      </c>
      <c r="HD13">
        <v>450.39999999970001</v>
      </c>
      <c r="HE13">
        <v>313.45343028349998</v>
      </c>
      <c r="HF13">
        <v>83.968505772499995</v>
      </c>
      <c r="HG13">
        <v>450.39999999970001</v>
      </c>
      <c r="HH13">
        <v>450.39999999970001</v>
      </c>
      <c r="HI13">
        <v>450.39999999970001</v>
      </c>
      <c r="HJ13">
        <v>450.39999999970001</v>
      </c>
      <c r="HK13">
        <v>107.91788856300001</v>
      </c>
      <c r="HL13">
        <v>3.5515347742999999</v>
      </c>
      <c r="HM13">
        <v>3.4147053808000001</v>
      </c>
      <c r="HN13">
        <v>3.4676498303000001</v>
      </c>
      <c r="HO13">
        <v>3.4624623587999999</v>
      </c>
      <c r="HP13">
        <v>3.7467601069000001</v>
      </c>
      <c r="HQ13">
        <v>2.4377544766999999</v>
      </c>
      <c r="HR13">
        <v>21.4197713141</v>
      </c>
      <c r="HS13">
        <v>-23.460410557199999</v>
      </c>
      <c r="HT13">
        <v>-160</v>
      </c>
      <c r="HU13">
        <v>418.84170737020003</v>
      </c>
      <c r="HV13">
        <v>91.495601172999997</v>
      </c>
      <c r="HW13">
        <v>624</v>
      </c>
      <c r="HX13">
        <v>21.4197713141</v>
      </c>
      <c r="HY13">
        <v>-23.460410557199999</v>
      </c>
      <c r="HZ13">
        <v>-160</v>
      </c>
      <c r="IA13">
        <v>418.84170737020003</v>
      </c>
      <c r="IB13">
        <v>91.495601172999997</v>
      </c>
      <c r="IC13">
        <v>624</v>
      </c>
      <c r="ID13">
        <v>31.558292629499999</v>
      </c>
      <c r="IE13">
        <v>1.3281416518</v>
      </c>
      <c r="IF13">
        <v>-32.844574780099997</v>
      </c>
      <c r="IG13">
        <v>-224</v>
      </c>
      <c r="IH13">
        <v>441.0547069269</v>
      </c>
      <c r="II13">
        <v>100.87976539589999</v>
      </c>
      <c r="IJ13">
        <v>688</v>
      </c>
      <c r="IK13">
        <v>397.42193605599999</v>
      </c>
      <c r="IL13">
        <v>114.9560117302</v>
      </c>
      <c r="IM13">
        <v>423.27095914789999</v>
      </c>
      <c r="IN13">
        <v>124.3401759531</v>
      </c>
      <c r="IO13">
        <v>7.1000000006999997</v>
      </c>
      <c r="IP13">
        <v>5.9000000001000004</v>
      </c>
      <c r="IQ13">
        <v>9.3000000015000008</v>
      </c>
      <c r="IR13">
        <v>5.9650467548000004</v>
      </c>
      <c r="IS13">
        <v>5.9650467548000004</v>
      </c>
      <c r="IT13">
        <v>12.800000000400001</v>
      </c>
      <c r="IU13">
        <v>-25.806451612899998</v>
      </c>
      <c r="IV13">
        <v>15.199999999799999</v>
      </c>
      <c r="IW13">
        <v>49.266862170099998</v>
      </c>
      <c r="IX13">
        <v>11.9999999988</v>
      </c>
      <c r="IY13">
        <v>98.533724340199996</v>
      </c>
      <c r="IZ13">
        <v>-29.968948986600001</v>
      </c>
      <c r="JA13">
        <v>0.30885899220000002</v>
      </c>
      <c r="JB13">
        <v>-2.924022E-4</v>
      </c>
      <c r="JC13">
        <v>5.8820000000000004E-7</v>
      </c>
      <c r="JD13">
        <v>0.28156841020000001</v>
      </c>
      <c r="JE13">
        <v>0.2154109296</v>
      </c>
      <c r="JF13">
        <v>8.3225161500000006E-2</v>
      </c>
      <c r="JG13">
        <v>105.8148162765</v>
      </c>
      <c r="JH13">
        <v>3.7467601069000001</v>
      </c>
      <c r="JI13">
        <v>3.3626721000000002E-3</v>
      </c>
      <c r="JJ13">
        <v>-7.6623400000000002E-5</v>
      </c>
      <c r="JK13">
        <v>3.5515347742999999</v>
      </c>
      <c r="JL13">
        <v>1.1843000851000001</v>
      </c>
      <c r="JM13">
        <v>0.4457762139</v>
      </c>
      <c r="JN13" t="s">
        <v>538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78.678453954700004</v>
      </c>
      <c r="D16" s="9">
        <f>AVERAGE(C18:C20)</f>
        <v>71.336274986033331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70.290660273</v>
      </c>
      <c r="D17" s="9">
        <f>AVERAGE(C21:C23)</f>
        <v>65.816439286566677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70.317978954799997</v>
      </c>
      <c r="D18" s="11">
        <f>AVERAGE(C24:C26)</f>
        <v>70.215453423233342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74.818716364599993</v>
      </c>
      <c r="D19" s="6">
        <f>AVERAGE('Summary(3pcs)'!E34:E35)</f>
        <v>143.78272176998792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68.872129638700002</v>
      </c>
      <c r="D20" s="9">
        <f>AVERAGE('Summary(3pcs)'!E36:E38)</f>
        <v>145.21551659397122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73.020661756799996</v>
      </c>
      <c r="D21" s="9">
        <f>AVERAGE('Summary(3pcs)'!E39:E41)</f>
        <v>147.34370771810458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61.953002382999998</v>
      </c>
      <c r="D22" s="11">
        <f>AVERAGE('Summary(3pcs)'!E42:E44)</f>
        <v>145.10698423413791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62.475653719900002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70.220463022999994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70.019981271299997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70.405915975400006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-0.51317514490000005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-5.4919905480000004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4.5514644758999996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1.7533994706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-1.3003408404000001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1.9105610436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-4.9276620228999999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-2.7014955218000001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7.4924563399999811E-2</v>
      </c>
      <c r="C39" s="5">
        <f>'Summary(3pcs)'!M34</f>
        <v>-0.51317514490000005</v>
      </c>
      <c r="D39" s="11">
        <f t="shared" si="0"/>
        <v>2.8182967755999999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-5.4919905480000004</v>
      </c>
      <c r="D40" s="6">
        <f t="shared" si="0"/>
        <v>-6.5296739909000001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4.5514644758999996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1.7533994706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-1.754734335375</v>
      </c>
      <c r="C43" s="8">
        <f>'Summary(3pcs)'!M39</f>
        <v>-1.3003408404000001</v>
      </c>
      <c r="D43" s="6">
        <f t="shared" ref="D43:D54" si="2">C55</f>
        <v>0.81091066400000011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1.9105610436</v>
      </c>
      <c r="D44" s="9">
        <f t="shared" si="2"/>
        <v>0.96179245569999994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-4.9276620228999999</v>
      </c>
      <c r="D45" s="11">
        <f t="shared" si="2"/>
        <v>-1.0753302657999999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-2.7014955218000001</v>
      </c>
      <c r="D46" s="6">
        <f t="shared" si="2"/>
        <v>-0.50164832669999981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2.8182967755999999</v>
      </c>
      <c r="D47" s="9">
        <f t="shared" si="2"/>
        <v>1.6932162541000002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-6.5296739909000001</v>
      </c>
      <c r="D48" s="11">
        <f t="shared" si="2"/>
        <v>6.6516116940999996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5.3422617988000001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-2.8099362508999999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-2.4672385182000003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1.0099464630999999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4.8931131800000083E-2</v>
      </c>
      <c r="C55" s="5">
        <f>'Summary(3pcs)'!N34</f>
        <v>0.81091066400000011</v>
      </c>
      <c r="D55" s="6">
        <f>AVERAGE(D31:D33)</f>
        <v>-0.48456707233333357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0.96179245569999994</v>
      </c>
      <c r="D56" s="9">
        <f>AVERAGE(D34:D36)</f>
        <v>0.78787322459999987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-1.0753302657999999</v>
      </c>
      <c r="D57" s="9">
        <f>AVERAGE(D37:D39)</f>
        <v>-1.6036202563666666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-0.50164832669999981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2.7192883740249996</v>
      </c>
      <c r="C59" s="8">
        <f>'Summary(3pcs)'!N39</f>
        <v>1.6932162541000002</v>
      </c>
      <c r="D59" s="9">
        <f>AVERAGE(D43:D45)</f>
        <v>0.23245761796666672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6.6516116940999996</v>
      </c>
      <c r="D60" s="9">
        <f>AVERAGE(D46:D48)</f>
        <v>2.6143932071666667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5.3422617988000001</v>
      </c>
      <c r="D61" s="9">
        <f>AVERAGE(D49:D51)</f>
        <v>2.1695676566666638E-2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-2.8099362508999999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-2.4672385182000003</v>
      </c>
      <c r="D63" s="6">
        <f>AVERAGE(C71:C73)</f>
        <v>-2.4552572568333333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1.0099464630999999</v>
      </c>
      <c r="D64" s="9">
        <f>AVERAGE(C74:C76)</f>
        <v>-5.0712818304333327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-4.7635249694333339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-4.0849530697000001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4.0831481615666663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1.8108432491666668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7.3483228699999945E-2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5.6245204607666652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-6.2068791388999998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-0.4065537453000001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-0.75233888629999957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-5.8019647597999997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-2.6205720900999996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-6.7913086414000006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-1.8299064636000004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-8.569610238100001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-3.8910582065999999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-3.7743258476000001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-2.3666043282000002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-6.1139290332999998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4.4994616507999998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0.79080200199999995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6.9591808318999995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7.6329956054999997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-3.4827019571999998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1.2822360992000004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2.0206480025999998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-0.89414167400000011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-0.90605664249999984</v>
      </c>
    </row>
    <row r="96" spans="1:7">
      <c r="A96" s="1" t="s">
        <v>87</v>
      </c>
      <c r="C96" s="5">
        <f>'Summary(3pcs)'!W43</f>
        <v>8.4969358443999994</v>
      </c>
    </row>
    <row r="97" spans="1:3">
      <c r="A97" s="1" t="s">
        <v>87</v>
      </c>
      <c r="C97" s="8">
        <f>'Summary(3pcs)'!W44</f>
        <v>3.5541152953999999</v>
      </c>
    </row>
    <row r="98" spans="1:3" ht="17.25" thickBot="1">
      <c r="A98" s="1" t="s">
        <v>87</v>
      </c>
      <c r="C98" s="10">
        <f>'Summary(3pcs)'!W45</f>
        <v>4.8225102424999999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2022-09-23T03:29:29Z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