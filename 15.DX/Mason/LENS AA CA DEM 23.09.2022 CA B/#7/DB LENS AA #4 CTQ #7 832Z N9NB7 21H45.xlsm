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<sst xmlns="http://schemas.openxmlformats.org/spreadsheetml/2006/main" count="1473" uniqueCount="710">
  <si>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</si>
  <si>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</si>
  <si>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</si>
  <si>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</si>
  <si>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</si>
  <si>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</si>
  <si>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</si>
  <si>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</si>
  <si>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</si>
  <si>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</si>
  <si>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</si>
  <si>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</si>
  <si>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</si>
  <si>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</si>
  <si>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</si>
  <si>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</si>
  <si>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</si>
  <si>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</si>
  <si>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</si>
  <si>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</si>
  <si>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</si>
  <si>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</si>
  <si>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</si>
  <si>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</si>
  <si>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</si>
  <si>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</si>
  <si>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</si>
  <si>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</si>
  <si>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</si>
  <si>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</si>
  <si>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</si>
  <si>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</si>
  <si>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</si>
  <si>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</si>
  <si>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</si>
  <si>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</si>
  <si>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</si>
  <si>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</si>
  <si>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</si>
  <si>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</si>
  <si>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</si>
  <si>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</si>
  <si>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</si>
  <si>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</si>
  <si>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</si>
  <si>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</si>
  <si>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</si>
  <si>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</si>
  <si>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</si>
  <si>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</si>
  <si>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</si>
  <si>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</si>
  <si>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</si>
  <si>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</si>
  <si>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</si>
  <si>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</si>
  <si>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</si>
  <si>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</si>
  <si>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</si>
  <si>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</si>
  <si>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</si>
  <si>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</si>
  <si>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</si>
  <si>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</si>
  <si>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</si>
  <si>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</si>
  <si>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</si>
  <si>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</si>
  <si>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</si>
  <si>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</si>
  <si>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</si>
  <si>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</si>
  <si>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</si>
  <si>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</si>
  <si>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</si>
  <si>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</si>
  <si>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</si>
  <si>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</si>
  <si>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</si>
  <si>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</si>
  <si>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</si>
  <si>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</si>
  <si>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</si>
  <si>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</si>
  <si>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</si>
  <si>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</si>
  <si>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</si>
  <si>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</si>
  <si>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</si>
  <si>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</si>
  <si>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</si>
  <si>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</si>
  <si>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</si>
  <si>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</si>
  <si>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</si>
  <si>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</si>
  <si>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</si>
  <si>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</si>
  <si>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</si>
  <si>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</si>
  <si>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</si>
  <si>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</si>
  <si>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</si>
  <si>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</si>
  <si>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</si>
  <si>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</si>
  <si>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</si>
  <si>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</si>
  <si>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</si>
  <si>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</si>
  <si>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</si>
  <si>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</si>
  <si>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</si>
  <si>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</si>
  <si>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</si>
  <si>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</si>
  <si>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</si>
  <si>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</si>
  <si>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</si>
  <si>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</si>
  <si>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</si>
  <si>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</si>
  <si>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</si>
  <si>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</si>
  <si>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</si>
  <si>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</si>
  <si>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</si>
  <si>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</si>
  <si>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</si>
  <si>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</si>
  <si>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</si>
  <si>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</si>
  <si>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</si>
  <si>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</si>
  <si>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</si>
  <si>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</si>
  <si>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</si>
  <si>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</si>
  <si>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</si>
  <si>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</si>
  <si>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</si>
  <si>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</si>
  <si>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</si>
  <si>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</si>
  <si>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</si>
  <si>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</si>
  <si>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</si>
  <si>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</si>
  <si>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</si>
  <si>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</si>
  <si>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</si>
  <si>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</si>
  <si>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</si>
  <si>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</si>
  <si>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</si>
  <si>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</si>
  <si>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</si>
  <si>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</si>
  <si>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</si>
  <si>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</si>
  <si>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</si>
  <si>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</si>
  <si>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</si>
  <si>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</si>
  <si>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</si>
  <si>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</si>
  <si>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</si>
  <si>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</si>
  <si>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</si>
  <si>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</si>
  <si>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</si>
  <si>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D:\EVMS\TP\ELOG\VSY832XN9NB7_2022092321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</si>
  <si>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</si>
  <si>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</si>
  <si>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</si>
  <si>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</si>
  <si>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</si>
  <si>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</si>
  <si>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</si>
  <si>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</si>
  <si>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</si>
  <si>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</si>
  <si>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</si>
  <si>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</si>
  <si>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</si>
  <si>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</si>
  <si>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</si>
  <si>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</si>
  <si>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</si>
  <si>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</si>
  <si>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</si>
  <si>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</si>
  <si>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</si>
  <si>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</si>
  <si>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</si>
  <si>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</si>
  <si>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</si>
  <si>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</si>
  <si>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</si>
  <si>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</si>
  <si>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</si>
  <si>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</si>
  <si>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</si>
  <si>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</si>
  <si>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</si>
  <si>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</si>
  <si>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</si>
  <si>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</si>
  <si>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</si>
  <si>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T220923213111754VCMLEBC040</t>
  </si>
  <si>
    <t>'20220923213113</t>
  </si>
  <si>
    <t>'2022-09-23 21:31:20:914</t>
  </si>
  <si>
    <t>VCMLEBC040A</t>
  </si>
  <si>
    <t>DB_M_C2001</t>
  </si>
  <si>
    <t>220217A</t>
  </si>
  <si>
    <t>EPSSWEXCEPTION_POR_R22A_OC_MFG_C20_22051701_5d43eac</t>
  </si>
  <si>
    <t>VSY832XN9NB7</t>
  </si>
  <si>
    <t>22cd48180485</t>
  </si>
  <si>
    <t>0x5240f5627d2f6a01</t>
  </si>
  <si>
    <t>AS4C3371A56HA7B2B333021012</t>
  </si>
  <si>
    <t>AJ7C3472D076B2B3A641</t>
  </si>
  <si>
    <t>DNA22232070870H07A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</si>
  <si>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</si>
  <si>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</si>
  <si>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</si>
  <si>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</si>
  <si>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</si>
  <si>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</si>
  <si>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T220923213222269VCMLEBC040</t>
  </si>
  <si>
    <t>'20220923213223</t>
  </si>
  <si>
    <t>'2022-09-23 21:32:31:218</t>
  </si>
  <si>
    <t>22cd48190068</t>
  </si>
  <si>
    <t>0x5240fc627cbe0a01</t>
  </si>
  <si>
    <t>AS4C3461655FA1B2A349031130</t>
  </si>
  <si>
    <t>AJ7C3472C0DCB1B3A627</t>
  </si>
  <si>
    <t>DNA22232072080B03A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</si>
  <si>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</si>
  <si>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</si>
  <si>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</si>
  <si>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</si>
  <si>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</si>
  <si>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</si>
  <si>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</si>
  <si>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</si>
  <si>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</si>
  <si>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</si>
  <si>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</si>
  <si>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</si>
  <si>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</si>
  <si>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</si>
  <si>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</si>
  <si>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</si>
  <si>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</si>
  <si>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</si>
  <si>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</si>
  <si>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</si>
  <si>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</si>
  <si>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</si>
  <si>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</si>
  <si>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</si>
  <si>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</si>
  <si>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</si>
  <si>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</si>
  <si>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</si>
  <si>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</si>
  <si>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</si>
  <si>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</si>
  <si>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T220923213138498VCMLEBC040</t>
  </si>
  <si>
    <t>'20220923213140</t>
  </si>
  <si>
    <t>'2022-09-23 21:32:08:513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</si>
  <si>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</si>
  <si>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</si>
  <si>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</si>
  <si>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</si>
  <si>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</si>
  <si>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</si>
  <si>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</si>
  <si>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</si>
  <si>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</si>
  <si>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</si>
  <si>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</si>
  <si>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</si>
  <si>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</si>
  <si>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</si>
  <si>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</si>
  <si>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</si>
  <si>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21:31:58:487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</si>
  <si>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</si>
  <si>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</si>
  <si>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</si>
  <si>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</si>
  <si>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</si>
  <si>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</si>
  <si>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</si>
  <si>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</si>
  <si>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</si>
  <si>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</si>
  <si>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</si>
  <si>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</si>
  <si>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</si>
  <si>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</si>
  <si>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</si>
  <si>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</si>
  <si>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</si>
  <si>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</si>
  <si>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</si>
  <si>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</si>
  <si>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</si>
  <si>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</si>
  <si>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</si>
  <si>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</si>
  <si>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</si>
  <si>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</si>
  <si>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</si>
  <si>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</si>
  <si>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</si>
  <si>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</si>
  <si>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</si>
  <si>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</si>
  <si>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</si>
  <si>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</si>
  <si>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</si>
  <si>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</si>
  <si>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</si>
  <si>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</si>
  <si>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</si>
  <si>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</si>
  <si>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</si>
  <si>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</si>
  <si>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</si>
  <si>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</si>
  <si>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</si>
  <si>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</si>
  <si>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</si>
  <si>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</si>
  <si>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</si>
  <si>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</si>
  <si>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</si>
  <si>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</si>
  <si>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</si>
  <si>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</si>
  <si>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</si>
  <si>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</si>
  <si>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</si>
  <si>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</si>
  <si>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</si>
  <si>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</si>
  <si>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</si>
  <si>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</si>
  <si>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</si>
  <si>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</si>
  <si>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</si>
  <si>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</si>
  <si>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</si>
  <si>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</si>
  <si>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</si>
  <si>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</si>
  <si>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</si>
  <si>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</si>
  <si>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</si>
  <si>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</si>
  <si>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</si>
  <si>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</si>
  <si>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</si>
  <si>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</si>
  <si>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</si>
  <si>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</si>
  <si>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</si>
  <si>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</si>
  <si>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</si>
  <si>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</si>
  <si>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</si>
  <si>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</si>
  <si>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</si>
  <si>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</si>
  <si>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</si>
  <si>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</si>
  <si>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</si>
  <si>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</si>
  <si>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</si>
  <si>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</si>
  <si>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</si>
  <si>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</si>
  <si>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</si>
  <si>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</si>
  <si>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</si>
  <si>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</si>
  <si>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</si>
  <si>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</si>
  <si>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</si>
  <si>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</si>
  <si>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</si>
  <si>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</si>
  <si>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</si>
  <si>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</si>
  <si>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</si>
  <si>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</si>
  <si>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</si>
  <si>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</si>
  <si>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</si>
  <si>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</si>
  <si>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</si>
  <si>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</si>
  <si>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</si>
  <si>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</si>
  <si>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</si>
  <si>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</si>
  <si>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</si>
  <si>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</si>
  <si>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</si>
  <si>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</si>
  <si>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</si>
  <si>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</si>
  <si>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</si>
  <si>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</si>
  <si>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</si>
  <si>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</si>
  <si>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</si>
  <si>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</si>
  <si>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</si>
  <si>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</si>
  <si>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</si>
  <si>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</si>
  <si>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</si>
  <si>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</si>
  <si>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</si>
  <si>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</si>
  <si>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</si>
  <si>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</si>
  <si>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</si>
  <si>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</si>
  <si>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</si>
  <si>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</si>
  <si>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</si>
  <si>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</si>
  <si>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</si>
  <si>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</si>
  <si>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</si>
  <si>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</si>
  <si>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</si>
  <si>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</si>
  <si>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</si>
  <si>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</si>
  <si>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</si>
  <si>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</si>
  <si>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</si>
  <si>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</si>
  <si>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</si>
  <si>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</si>
  <si>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</si>
  <si>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</si>
  <si>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</si>
  <si>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</si>
  <si>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</si>
  <si>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</si>
  <si>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</si>
  <si>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</si>
  <si>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</si>
  <si>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</si>
  <si>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</si>
  <si>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</si>
  <si>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</si>
  <si>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</si>
  <si>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</si>
  <si>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</si>
  <si>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</si>
  <si>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</si>
  <si>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</si>
  <si>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</si>
  <si>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</si>
  <si>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</si>
  <si>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</si>
  <si>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</si>
  <si>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</si>
  <si>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</si>
  <si>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</si>
  <si>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</si>
  <si>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</si>
  <si>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</si>
  <si>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</si>
  <si>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</si>
  <si>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</si>
  <si>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</si>
  <si>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</si>
  <si>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</si>
  <si>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</si>
  <si>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</si>
  <si>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</si>
  <si>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</si>
  <si>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</si>
  <si>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</si>
  <si>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</si>
  <si>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</si>
  <si>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</si>
  <si>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</si>
  <si>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</si>
  <si>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</si>
  <si>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</si>
  <si>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</si>
  <si>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</si>
  <si>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</si>
  <si>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</si>
  <si>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</si>
  <si>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</si>
  <si>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</si>
  <si>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</si>
  <si>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</si>
  <si>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</si>
  <si>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</si>
  <si>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</si>
  <si>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</si>
  <si>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</si>
  <si>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</si>
  <si>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</si>
  <si>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</si>
  <si>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</si>
  <si>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</si>
  <si>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</si>
  <si>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</si>
  <si>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</si>
  <si>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</si>
  <si>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</si>
  <si>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</si>
  <si>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</si>
  <si>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</si>
  <si>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</si>
  <si>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</si>
  <si>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</si>
  <si>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</si>
  <si>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</si>
  <si>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</si>
  <si>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</si>
  <si>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</si>
  <si>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</si>
  <si>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</si>
  <si>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</si>
  <si>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</si>
  <si>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</si>
  <si>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</si>
  <si>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</si>
  <si>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</si>
  <si>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</si>
  <si>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</si>
  <si>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</si>
  <si>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</si>
  <si>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</si>
  <si>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</si>
  <si>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T220923213123695VCMLEBC040</t>
  </si>
  <si>
    <t>'20220923213125</t>
  </si>
  <si>
    <t>'2022-09-23 21:31:36:255</t>
  </si>
  <si>
    <t>EPSSWEXCEPTION_POR_R22A_IPQC_MFG_Laser_C20_22051701_5d43eac</t>
  </si>
  <si>
    <t>v9p402</t>
  </si>
  <si>
    <t>T220923213233997VCMLEBC040</t>
  </si>
  <si>
    <t>'20220923213235</t>
  </si>
  <si>
    <t>'2022-09-23 21:32:46:551</t>
  </si>
  <si>
    <t>AG</t>
  </si>
  <si>
    <t>T220923213248810VCMLEBC040</t>
  </si>
  <si>
    <t>'20220923213250</t>
  </si>
  <si>
    <t>'2022-09-23 21:33:18:926</t>
  </si>
  <si>
    <t>'2022-09-23 21:33:08:897</t>
  </si>
  <si>
    <t>T220923213343505VCMLEBC040</t>
  </si>
  <si>
    <t>'20220923213345</t>
  </si>
  <si>
    <t>'2022-09-23 21:33:52:440</t>
  </si>
  <si>
    <t>22cd48190034</t>
  </si>
  <si>
    <t>0x5240f5627d2f5901</t>
  </si>
  <si>
    <t>AS4C3461655KA1B2A242114121</t>
  </si>
  <si>
    <t>AJ7C3472C0DFB3B3A628</t>
  </si>
  <si>
    <t>DNA22232072080I05A</t>
  </si>
  <si>
    <t>T220923213409958VCMLEBC040</t>
  </si>
  <si>
    <t>'20220923213411</t>
  </si>
  <si>
    <t>'2022-09-23 21:34:39:648</t>
  </si>
  <si>
    <t>'2022-09-23 21:34:29:620</t>
  </si>
  <si>
    <t>T220923213355220VCMLEBC040</t>
  </si>
  <si>
    <t>'20220923213356</t>
  </si>
  <si>
    <t>'2022-09-23 21:34:07:775</t>
  </si>
  <si>
    <t>T220923213553405VCMLEBC040</t>
  </si>
  <si>
    <t>'20220923213555</t>
  </si>
  <si>
    <t>'2022-09-23 21:36:02:628</t>
  </si>
  <si>
    <t>22cd48190156</t>
  </si>
  <si>
    <t>0x5240f5627d2fab01</t>
  </si>
  <si>
    <t>AS4C3461753CA1B2A440106005</t>
  </si>
  <si>
    <t>AJ7C3472C07AB4B3A644</t>
  </si>
  <si>
    <t>DNA22232070870E01A</t>
  </si>
  <si>
    <t>T220923213702878VCMLEBC040</t>
  </si>
  <si>
    <t>'20220923213704</t>
  </si>
  <si>
    <t>'2022-09-23 21:37:11:782</t>
  </si>
  <si>
    <t>22cd48190161</t>
  </si>
  <si>
    <t>0x5240fc627cbdfb01</t>
  </si>
  <si>
    <t>AS4C3461655JA1B2A444030118</t>
  </si>
  <si>
    <t>AJ7C3472B0F3B3B3A640</t>
  </si>
  <si>
    <t>DNA22232072080H11A</t>
  </si>
  <si>
    <t>T220923213840449VCMLEBC040</t>
  </si>
  <si>
    <t>'20220923213842</t>
  </si>
  <si>
    <t>'2022-09-23 21:38:49:764</t>
  </si>
  <si>
    <t>22cd48190020</t>
  </si>
  <si>
    <t>0x5240f5627d2f6705</t>
  </si>
  <si>
    <t>AS4C3461753GA1B2A534030113</t>
  </si>
  <si>
    <t>AJ7C3472D077B1B3A642</t>
  </si>
  <si>
    <t>DNA22232071870L09A</t>
  </si>
  <si>
    <t>T220923214044597VCMLEBC040</t>
  </si>
  <si>
    <t>'20220923214046</t>
  </si>
  <si>
    <t>'2022-09-23 21:40:53:862</t>
  </si>
  <si>
    <t>22cd48180806</t>
  </si>
  <si>
    <t>0x5240f5627d2f4801</t>
  </si>
  <si>
    <t>AS4C35316213A7B2A530137032</t>
  </si>
  <si>
    <t>AJ7C3472B079B3B3A646</t>
  </si>
  <si>
    <t>DNA22232070870G08A</t>
  </si>
  <si>
    <t>T220923214155215VCMLEBC040</t>
  </si>
  <si>
    <t>'20220923214156</t>
  </si>
  <si>
    <t>'2022-09-23 21:42:04:147</t>
  </si>
  <si>
    <t>22cd48190159</t>
  </si>
  <si>
    <t>0x5240fc627cbdfb03</t>
  </si>
  <si>
    <t>AS4C3461655AA1B29739116014</t>
  </si>
  <si>
    <t>AJ7C3472B07AB2B3A636</t>
  </si>
  <si>
    <t>DNA22232071870L10A</t>
  </si>
  <si>
    <t>T220923214305634VCMLEBC040</t>
  </si>
  <si>
    <t>'20220923214307</t>
  </si>
  <si>
    <t>'2022-09-23 21:43:14:501</t>
  </si>
  <si>
    <t>22cd48190137</t>
  </si>
  <si>
    <t>0x5240fc627cbdf001</t>
  </si>
  <si>
    <t>AS4C3461655EA1B2A241006120</t>
  </si>
  <si>
    <t>AJ7C3472C0DEB1B3A627</t>
  </si>
  <si>
    <t>DNA22232071220E07A</t>
  </si>
  <si>
    <t>T220923213620192VCMLEBC040</t>
  </si>
  <si>
    <t>'20220923213621</t>
  </si>
  <si>
    <t>'2022-09-23 21:36:51:046</t>
  </si>
  <si>
    <t>T220923213729350VCMLEBC040</t>
  </si>
  <si>
    <t>'20220923213730</t>
  </si>
  <si>
    <t>'2022-09-23 21:37:59:264</t>
  </si>
  <si>
    <t>T220923213907348VCMLEBC040</t>
  </si>
  <si>
    <t>'20220923213908</t>
  </si>
  <si>
    <t>'2022-09-23 21:39:36:979</t>
  </si>
  <si>
    <t>T220923214111485VCMLEBC040</t>
  </si>
  <si>
    <t>'20220923214113</t>
  </si>
  <si>
    <t>'2022-09-23 21:41:41:925</t>
  </si>
  <si>
    <t>T220923214221653VCMLEBC040</t>
  </si>
  <si>
    <t>'20220923214223</t>
  </si>
  <si>
    <t>'2022-09-23 21:42:52:320</t>
  </si>
  <si>
    <t>'2022-09-23 21:36:41:021</t>
  </si>
  <si>
    <t>'2022-09-23 21:37:49:237</t>
  </si>
  <si>
    <t>'2022-09-23 21:39:26:958</t>
  </si>
  <si>
    <t>'2022-09-23 21:41:31:898</t>
  </si>
  <si>
    <t>'2022-09-23 21:42:42:294</t>
  </si>
  <si>
    <t>T220923213605389VCMLEBC040</t>
  </si>
  <si>
    <t>'20220923213607</t>
  </si>
  <si>
    <t>'2022-09-23 21:36:17:943</t>
  </si>
  <si>
    <t>T220923213714545VCMLEBC040</t>
  </si>
  <si>
    <t>'20220923213716</t>
  </si>
  <si>
    <t>'2022-09-23 21:37:27:103</t>
  </si>
  <si>
    <t>T220923213852543VCMLEBC040</t>
  </si>
  <si>
    <t>'20220923213854</t>
  </si>
  <si>
    <t>'2022-09-23 21:39:05:104</t>
  </si>
  <si>
    <t>T220923214056681VCMLEBC040</t>
  </si>
  <si>
    <t>'20220923214058</t>
  </si>
  <si>
    <t>'2022-09-23 21:41:09:235</t>
  </si>
  <si>
    <t>T220923214206937VCMLEBC040</t>
  </si>
  <si>
    <t>'20220923214208</t>
  </si>
  <si>
    <t>'2022-09-23 21:42:19:489</t>
  </si>
  <si>
    <t>T220923214317331VCMLEBC040</t>
  </si>
  <si>
    <t>'20220923214318</t>
  </si>
  <si>
    <t>'2022-09-23 21:43:29:888</t>
  </si>
  <si>
    <t>T220923214448641VCMLEBC040</t>
  </si>
  <si>
    <t>'20220923214450</t>
  </si>
  <si>
    <t>'2022-09-23 21:44:57:626</t>
  </si>
  <si>
    <t>22cd48180193</t>
  </si>
  <si>
    <t>0x5240f5627d2f6501</t>
  </si>
  <si>
    <t>AS4C3371A56EA7B2B229021010</t>
  </si>
  <si>
    <t>AJ7C3472C079B1B3A639</t>
  </si>
  <si>
    <t>DNA22232070870H06A</t>
  </si>
  <si>
    <t>T220923214332134VCMLEBC040</t>
  </si>
  <si>
    <t>'20220923214333</t>
  </si>
  <si>
    <t>'2022-09-23 21:44:03:008</t>
  </si>
  <si>
    <t>'2022-09-23 21:43:52:983</t>
  </si>
  <si>
    <t>T220923214500396VCMLEBC040</t>
  </si>
  <si>
    <t>'20220923214502</t>
  </si>
  <si>
    <t>'2022-09-23 21:45:12:952</t>
  </si>
  <si>
    <t>T220923214554427VCMLEBC040</t>
  </si>
  <si>
    <t>'20220923214556</t>
  </si>
  <si>
    <t>'2022-09-23 21:46:03:373</t>
  </si>
  <si>
    <t>22cd48190184</t>
  </si>
  <si>
    <t>0x5240fc627cbdfd05</t>
  </si>
  <si>
    <t>AS4C3461753KA1B2A645101148</t>
  </si>
  <si>
    <t>AJ7C3472D0EGB3B3A623</t>
  </si>
  <si>
    <t>DNA22232070340M01A</t>
  </si>
  <si>
    <t>T220923214515201VCMLEBC040</t>
  </si>
  <si>
    <t>'20220923214516</t>
  </si>
  <si>
    <t>'2022-09-23 21:45:44:834</t>
  </si>
  <si>
    <t>T220923214620875VCMLEBC040</t>
  </si>
  <si>
    <t>'20220923214622</t>
  </si>
  <si>
    <t>'2022-09-23 21:46:51:748</t>
  </si>
  <si>
    <t>'2022-09-23 21:45:34:808</t>
  </si>
  <si>
    <t>'2022-09-23 21:46:41:724</t>
  </si>
  <si>
    <t>T220923214606153VCMLEBC040</t>
  </si>
  <si>
    <t>'20220923214607</t>
  </si>
  <si>
    <t>'2022-09-23 21:46:18:708</t>
  </si>
  <si>
    <t>T220923214700825VCMLEBC040</t>
  </si>
  <si>
    <t>'20220923214702</t>
  </si>
  <si>
    <t>'2022-09-23 21:47:09:703</t>
  </si>
  <si>
    <t>22cd48190828</t>
  </si>
  <si>
    <t>0x5240fc627c9df907</t>
  </si>
  <si>
    <t>AS4C33719592A7B2A731037008</t>
  </si>
  <si>
    <t>AJ7C3472C07CB2B3A632</t>
  </si>
  <si>
    <t>DNA22232074480E10A</t>
  </si>
  <si>
    <t>T220923214727192VCMLEBC040</t>
  </si>
  <si>
    <t>'20220923214728</t>
  </si>
  <si>
    <t>'2022-09-23 21:47:57:957</t>
  </si>
  <si>
    <t>'2022-09-23 21:47:47:933</t>
  </si>
  <si>
    <t>T220923214712481VCMLEBC040</t>
  </si>
  <si>
    <t>'20220923214714</t>
  </si>
  <si>
    <t>'2022-09-23 21:47:25:034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</si>
</sst>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-5.4210539462999998</c:v>
                </c:pt>
                <c:pt idx="1">
                  <c:v>-3.7465922774</c:v>
                </c:pt>
                <c:pt idx="2">
                  <c:v>5.0179119268000001</c:v>
                </c:pt>
                <c:pt idx="3">
                  <c:v>4.4259233211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-1.4660483797000001</c:v>
                </c:pt>
                <c:pt idx="1">
                  <c:v>4.1693496463999997</c:v>
                </c:pt>
                <c:pt idx="2">
                  <c:v>0.25797677250000017</c:v>
                </c:pt>
                <c:pt idx="3">
                  <c:v>4.8760065982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-1.3832447656333333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0.98709267973333326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3216"/>
        <c:axId val="49471872"/>
      </c:scatterChart>
      <c:valAx>
        <c:axId val="494332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71872"/>
        <c:crosses val="autoZero"/>
        <c:crossBetween val="midCat"/>
        <c:majorUnit val="10"/>
      </c:valAx>
      <c:valAx>
        <c:axId val="494718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3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10.238319648299999</c:v>
                </c:pt>
                <c:pt idx="1">
                  <c:v>5.7662845566999996</c:v>
                </c:pt>
                <c:pt idx="2">
                  <c:v>6.5750532036999996</c:v>
                </c:pt>
                <c:pt idx="3">
                  <c:v>-2.4569663006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7.6501563478999994</c:v>
                </c:pt>
                <c:pt idx="1">
                  <c:v>1.1782848030999999</c:v>
                </c:pt>
                <c:pt idx="2">
                  <c:v>2.3272035684999999</c:v>
                </c:pt>
                <c:pt idx="3">
                  <c:v>-0.35294699439999988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6.8101758420333338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4.5681492497333336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104"/>
        <c:axId val="48928640"/>
      </c:scatterChart>
      <c:valAx>
        <c:axId val="489271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928640"/>
        <c:crosses val="autoZero"/>
        <c:crossBetween val="midCat"/>
        <c:majorUnit val="10"/>
      </c:valAx>
      <c:valAx>
        <c:axId val="489286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92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10.902357611199999</c:v>
                </c:pt>
                <c:pt idx="1">
                  <c:v>-0.71442404260000003</c:v>
                </c:pt>
                <c:pt idx="2">
                  <c:v>-2.868150907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6.0996234543999996</c:v>
                </c:pt>
                <c:pt idx="1">
                  <c:v>-6.1784045784000003</c:v>
                </c:pt>
                <c:pt idx="2">
                  <c:v>-2.0601920725999996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5.0068148380999995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2.6912933428333332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3216"/>
        <c:axId val="48954752"/>
      </c:scatterChart>
      <c:valAx>
        <c:axId val="489532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954752"/>
        <c:crosses val="autoZero"/>
        <c:crossBetween val="midCat"/>
        <c:majorUnit val="10"/>
      </c:valAx>
      <c:valAx>
        <c:axId val="489547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95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1.3153520332999999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2.1819610914999998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-0.75574097210000002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-2.0188785198333332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7312"/>
        <c:axId val="49927296"/>
      </c:scatterChart>
      <c:valAx>
        <c:axId val="499173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27296"/>
        <c:crosses val="autoZero"/>
        <c:crossBetween val="midCat"/>
        <c:majorUnit val="10"/>
      </c:valAx>
      <c:valAx>
        <c:axId val="499272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91.222858155400004</c:v>
                </c:pt>
                <c:pt idx="1">
                  <c:v>82.623260661200007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87.558051781766665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70176"/>
        <c:axId val="49976064"/>
      </c:scatterChart>
      <c:valAx>
        <c:axId val="499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976064"/>
        <c:crosses val="autoZero"/>
        <c:crossBetween val="midCat"/>
      </c:valAx>
      <c:valAx>
        <c:axId val="499760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97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88.828036528699997</c:v>
                </c:pt>
                <c:pt idx="1">
                  <c:v>100.64121247280001</c:v>
                </c:pt>
                <c:pt idx="2">
                  <c:v>88.834682018600006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91.030790004433342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97408"/>
        <c:axId val="61298944"/>
      </c:scatterChart>
      <c:valAx>
        <c:axId val="612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298944"/>
        <c:crosses val="autoZero"/>
        <c:crossBetween val="midCat"/>
      </c:valAx>
      <c:valAx>
        <c:axId val="612989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297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83.6164755219</c:v>
                </c:pt>
                <c:pt idx="1">
                  <c:v>104.2322228994</c:v>
                </c:pt>
                <c:pt idx="2">
                  <c:v>95.185077094799993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96.367328782499996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9904"/>
        <c:axId val="61349888"/>
      </c:scatterChart>
      <c:valAx>
        <c:axId val="6133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49888"/>
        <c:crosses val="autoZero"/>
        <c:crossBetween val="midCat"/>
      </c:valAx>
      <c:valAx>
        <c:axId val="6134988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3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89.684686353299995</c:v>
                </c:pt>
                <c:pt idx="1">
                  <c:v>96.825352434699994</c:v>
                </c:pt>
                <c:pt idx="2">
                  <c:v>90.705702179699998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94.079676610333323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0480"/>
        <c:axId val="61382016"/>
      </c:scatterChart>
      <c:valAx>
        <c:axId val="6138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82016"/>
        <c:crosses val="autoZero"/>
        <c:crossBetween val="midCat"/>
      </c:valAx>
      <c:valAx>
        <c:axId val="613820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8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2.0663132667999999</c:v>
                </c:pt>
                <c:pt idx="1">
                  <c:v>-8.4290771484000011</c:v>
                </c:pt>
                <c:pt idx="2">
                  <c:v>-3.6855077744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2.1228804588000001</c:v>
                </c:pt>
                <c:pt idx="1">
                  <c:v>2.9440841674999998</c:v>
                </c:pt>
                <c:pt idx="2">
                  <c:v>-1.4104924202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-3.3494238853333336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1.2188240687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26688"/>
        <c:axId val="61436672"/>
      </c:scatterChart>
      <c:valAx>
        <c:axId val="614266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436672"/>
        <c:crosses val="autoZero"/>
        <c:crossBetween val="midCat"/>
        <c:majorUnit val="10"/>
      </c:valAx>
      <c:valAx>
        <c:axId val="614366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4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-6.9033565521</c:v>
                </c:pt>
                <c:pt idx="1">
                  <c:v>-10.1761827469</c:v>
                </c:pt>
                <c:pt idx="2">
                  <c:v>0.60142421719999994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4.2113676070999997</c:v>
                </c:pt>
                <c:pt idx="1">
                  <c:v>7.9820804596000006</c:v>
                </c:pt>
                <c:pt idx="2">
                  <c:v>5.8301334381000007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-5.4927050272666662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6.0078605015999997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82368"/>
        <c:axId val="131483904"/>
      </c:scatterChart>
      <c:valAx>
        <c:axId val="131482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83904"/>
        <c:crosses val="autoZero"/>
        <c:crossBetween val="midCat"/>
        <c:majorUnit val="10"/>
      </c:valAx>
      <c:valAx>
        <c:axId val="1314839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8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1.5670042037999998</c:v>
                </c:pt>
                <c:pt idx="1">
                  <c:v>5.8562946320000009</c:v>
                </c:pt>
                <c:pt idx="2">
                  <c:v>3.9389562607000004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-11.320150375400001</c:v>
                </c:pt>
                <c:pt idx="1">
                  <c:v>4.7209630013000004</c:v>
                </c:pt>
                <c:pt idx="2">
                  <c:v>2.2831292151999998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3.7874183655000002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-1.438686052966667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28960"/>
        <c:axId val="92930048"/>
      </c:scatterChart>
      <c:valAx>
        <c:axId val="1315289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2930048"/>
        <c:crosses val="autoZero"/>
        <c:crossBetween val="midCat"/>
        <c:majorUnit val="10"/>
      </c:valAx>
      <c:valAx>
        <c:axId val="929300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52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-3.0134618282000001</c:v>
                </c:pt>
                <c:pt idx="1">
                  <c:v>-0.33016586299999995</c:v>
                </c:pt>
                <c:pt idx="2">
                  <c:v>-1.3935976027999999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-7.089427948</c:v>
                </c:pt>
                <c:pt idx="1">
                  <c:v>6.1531839370999997</c:v>
                </c:pt>
                <c:pt idx="2">
                  <c:v>-2.0982062221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-1.5790750979999999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-1.0114834110000002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7392"/>
        <c:axId val="92988928"/>
      </c:scatterChart>
      <c:valAx>
        <c:axId val="92987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2988928"/>
        <c:crosses val="autoZero"/>
        <c:crossBetween val="midCat"/>
        <c:majorUnit val="10"/>
      </c:valAx>
      <c:valAx>
        <c:axId val="929889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298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157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159</v>
      </c>
      <c r="C3" s="40">
        <v>0.2</v>
      </c>
      <c r="D3" s="40" t="s">
        <v>160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D:\EVMS\TP\ELOG\VSY832XN9NB7_2022092321_D50_ON_OC.csv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D:\EVMS\TP\ELOG\VSY832XN9NB7_2022092321_FPDC_INFD_normal.csv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D:\EVMS\TP\ELOG\VSY832XN9NB7_2022092321_INFDMargin_IPQC.csv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D:\EVMS\TP\ELOG\VSY832XN9NB7_2022092321_VCM_MEASURE.csv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171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555</v>
      </c>
      <c r="S32" s="83" t="s">
        <v>158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22cd48180485</v>
      </c>
      <c r="C35" s="50">
        <f>IPQC!T2+VLOOKUP($R$32,$AD$39:$AK$43,6,FALSE)+VLOOKUP('File location'!$B$1,'Tester offset'!$A$2:$D$4,2,FALSE)</f>
        <v>91.222858155400004</v>
      </c>
      <c r="D35" s="50">
        <f>IPQC!AA2+VLOOKUP($R$32,$AD$39:$AK$43,6,FALSE)</f>
        <v>75.923836802899999</v>
      </c>
      <c r="E35" s="50">
        <f>VCM!HV2-'Summary(3pcs)'!C35-'Summary(3pcs)'!$D$33</f>
        <v>150.2657288695379</v>
      </c>
      <c r="F35" s="86">
        <f>AVERAGEIF($A$35:$A$46,1,$C$35:$C$46)</f>
        <v>87.558051781766665</v>
      </c>
      <c r="G35" s="90">
        <f>AVERAGEIF($A$35:$A$46,1,$D$35:$D$46)</f>
        <v>71.099666330800005</v>
      </c>
      <c r="H35" s="90">
        <f>AVERAGEIF($A$35:$A$46,1,$E$35:$E$46)</f>
        <v>153.97899311020458</v>
      </c>
      <c r="I35" s="90">
        <f>85-F35</f>
        <v>-2.5580517817666646</v>
      </c>
      <c r="K35" s="78">
        <f>T35</f>
        <v>1</v>
      </c>
      <c r="L35" s="79" t="str">
        <f>OC!K2</f>
        <v>22cd48180485</v>
      </c>
      <c r="M35" s="50">
        <f>OC!T2+VLOOKUP($R$32,$AD$39:$AK$43,4,FALSE)</f>
        <v>-5.4210539462999998</v>
      </c>
      <c r="N35" s="50">
        <f>OC!U2+VLOOKUP($R$32,$AD$39:$AK$43,5,FALSE)</f>
        <v>-1.4660483797000001</v>
      </c>
      <c r="O35" s="85">
        <f>AVERAGEIF($K$35:$K$46,1,$M$35:$M$46)</f>
        <v>-1.3832447656333333</v>
      </c>
      <c r="P35" s="85">
        <f>AVERAGEIF($K$35:$K$46,1,$N$35:$N$46)</f>
        <v>0.98709267973333326</v>
      </c>
      <c r="Q35" s="86">
        <f>P35*0.001</f>
        <v>9.8709267973333338E-4</v>
      </c>
      <c r="R35" s="86">
        <f>O35*0.001</f>
        <v>-1.3832447656333333E-3</v>
      </c>
      <c r="S35" s="34"/>
      <c r="T35" s="78">
        <v>1</v>
      </c>
      <c r="U35" s="79" t="str">
        <f>FPDC!K2</f>
        <v>22cd48180485</v>
      </c>
      <c r="V35" s="76">
        <f>FPDC!S2+VLOOKUP($R$32,$AD$39:$AK$43,2,FALSE)+VLOOKUP($R$32,$AD$39:$AK$43,7,FALSE)+VLOOKUP('File location'!$B$1,'Tester offset'!$A$2:$D$4,3,FALSE)</f>
        <v>-3.0134618282000001</v>
      </c>
      <c r="W35" s="77">
        <f>FPDC!T2+VLOOKUP($R$32,$AD$39:$AK$43,3,FALSE)+VLOOKUP($R$32,$AD$39:$AK$43,8,FALSE)+VLOOKUP('File location'!$B$1,'Tester offset'!$A$2:$D$4,4,FALSE)</f>
        <v>-7.089427948</v>
      </c>
      <c r="X35" s="85">
        <f>AVERAGEIF($T$35:$T$46,1,$V$35:$V$46)</f>
        <v>-1.5790750979999999</v>
      </c>
      <c r="Y35" s="85">
        <f>AVERAGEIF($T$35:$T$46,1,$W$35:$W$46)</f>
        <v>-1.0114834110000002</v>
      </c>
      <c r="Z35" s="86">
        <f>(X35*-0.01)/4</f>
        <v>3.9476877450000001E-3</v>
      </c>
      <c r="AA35" s="86">
        <f>(Y35*-0.01)/4</f>
        <v>2.5287085275000004E-3</v>
      </c>
    </row>
    <row r="36" spans="1:37" ht="17.100000000000001" customHeight="1">
      <c r="A36" s="78">
        <f t="shared" ref="A36:A46" si="0">T36</f>
        <v>1</v>
      </c>
      <c r="B36" s="79" t="str">
        <f>IPQC!K3</f>
        <v>22cd48190068</v>
      </c>
      <c r="C36" s="50">
        <f>IPQC!T3+VLOOKUP($R$32,$AD$39:$AK$43,6,FALSE)+VLOOKUP('File location'!$B$1,'Tester offset'!$A$2:$D$4,2,FALSE)</f>
        <v>82.623260661200007</v>
      </c>
      <c r="D36" s="50">
        <f>IPQC!AA3+VLOOKUP($R$32,$AD$39:$AK$43,6,FALSE)</f>
        <v>62.113479127799998</v>
      </c>
      <c r="E36" s="50">
        <f>VCM!HV3-'Summary(3pcs)'!C36-'Summary(3pcs)'!$D$33</f>
        <v>166.43751562323791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22cd48190068</v>
      </c>
      <c r="M36" s="50">
        <f>OC!T3+VLOOKUP($R$32,$AD$39:$AK$43,4,FALSE)</f>
        <v>-3.7465922774</v>
      </c>
      <c r="N36" s="50">
        <f>OC!U3+VLOOKUP($R$32,$AD$39:$AK$43,5,FALSE)</f>
        <v>4.1693496463999997</v>
      </c>
      <c r="O36" s="85"/>
      <c r="P36" s="85"/>
      <c r="Q36" s="86"/>
      <c r="R36" s="86"/>
      <c r="S36" s="34"/>
      <c r="T36" s="78">
        <v>1</v>
      </c>
      <c r="U36" s="79" t="str">
        <f>FPDC!K3</f>
        <v>22cd48190068</v>
      </c>
      <c r="V36" s="76">
        <f>FPDC!S3+VLOOKUP($R$32,$AD$39:$AK$43,2,FALSE)+VLOOKUP($R$32,$AD$39:$AK$43,7,FALSE)+VLOOKUP('File location'!$B$1,'Tester offset'!$A$2:$D$4,3,FALSE)</f>
        <v>-0.33016586299999995</v>
      </c>
      <c r="W36" s="77">
        <f>FPDC!T3+VLOOKUP($R$32,$AD$39:$AK$43,3,FALSE)+VLOOKUP($R$32,$AD$39:$AK$43,8,FALSE)+VLOOKUP('File location'!$B$1,'Tester offset'!$A$2:$D$4,4,FALSE)</f>
        <v>6.1531839370999997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22cd48190034</v>
      </c>
      <c r="C37" s="50">
        <f>IPQC!T4+VLOOKUP($R$32,$AD$39:$AK$43,6,FALSE)+VLOOKUP('File location'!$B$1,'Tester offset'!$A$2:$D$4,2,FALSE)</f>
        <v>88.828036528699997</v>
      </c>
      <c r="D37" s="50">
        <f>IPQC!AA4+VLOOKUP($R$32,$AD$39:$AK$43,6,FALSE)</f>
        <v>75.261683061699998</v>
      </c>
      <c r="E37" s="50">
        <f>VCM!HV4-'Summary(3pcs)'!C37-'Summary(3pcs)'!$D$33</f>
        <v>145.23373483783791</v>
      </c>
      <c r="F37" s="86"/>
      <c r="G37" s="90"/>
      <c r="H37" s="90"/>
      <c r="I37" s="90"/>
      <c r="K37" s="78">
        <f t="shared" si="1"/>
        <v>1</v>
      </c>
      <c r="L37" s="79" t="str">
        <f>OC!K4</f>
        <v>22cd48190034</v>
      </c>
      <c r="M37" s="50">
        <f>OC!T4+VLOOKUP($R$32,$AD$39:$AK$43,4,FALSE)</f>
        <v>5.0179119268000001</v>
      </c>
      <c r="N37" s="50">
        <f>OC!U4+VLOOKUP($R$32,$AD$39:$AK$43,5,FALSE)</f>
        <v>0.25797677250000017</v>
      </c>
      <c r="O37" s="85"/>
      <c r="P37" s="85"/>
      <c r="Q37" s="86"/>
      <c r="R37" s="86"/>
      <c r="S37" s="34"/>
      <c r="T37" s="78">
        <v>1</v>
      </c>
      <c r="U37" s="79" t="str">
        <f>FPDC!K4</f>
        <v>22cd48190034</v>
      </c>
      <c r="V37" s="76">
        <f>FPDC!S4+VLOOKUP($R$32,$AD$39:$AK$43,2,FALSE)+VLOOKUP($R$32,$AD$39:$AK$43,7,FALSE)+VLOOKUP('File location'!$B$1,'Tester offset'!$A$2:$D$4,3,FALSE)</f>
        <v>-1.3935976027999999</v>
      </c>
      <c r="W37" s="77">
        <f>FPDC!T4+VLOOKUP($R$32,$AD$39:$AK$43,3,FALSE)+VLOOKUP($R$32,$AD$39:$AK$43,8,FALSE)+VLOOKUP('File location'!$B$1,'Tester offset'!$A$2:$D$4,4,FALSE)</f>
        <v>-2.0982062221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22cd48190156</v>
      </c>
      <c r="C38" s="50">
        <f>IPQC!T5+VLOOKUP($R$32,$AD$39:$AK$43,6,FALSE)+VLOOKUP('File location'!$B$1,'Tester offset'!$A$2:$D$4,2,FALSE)</f>
        <v>100.64121247280001</v>
      </c>
      <c r="D38" s="50">
        <f>IPQC!AA5+VLOOKUP($R$32,$AD$39:$AK$43,6,FALSE)</f>
        <v>81.520201310100006</v>
      </c>
      <c r="E38" s="50">
        <f>VCM!HV5-'Summary(3pcs)'!C38-'Summary(3pcs)'!$D$33</f>
        <v>151.61171170343789</v>
      </c>
      <c r="F38" s="86">
        <f>AVERAGEIF($A$35:$A$46,2,$C$35:$C$46)</f>
        <v>91.030790004433342</v>
      </c>
      <c r="G38" s="90">
        <f>AVERAGEIF($A$35:$A$46,2,$D$35:$D$46)</f>
        <v>73.689445608300005</v>
      </c>
      <c r="H38" s="90">
        <f>AVERAGEIF($A$35:$A$46,2,$E$35:$E$46)</f>
        <v>160.34762982227124</v>
      </c>
      <c r="I38" s="90">
        <f>85-F38</f>
        <v>-6.0307900044333422</v>
      </c>
      <c r="K38" s="78">
        <f t="shared" si="1"/>
        <v>2</v>
      </c>
      <c r="L38" s="79" t="str">
        <f>OC!K5</f>
        <v>22cd48190156</v>
      </c>
      <c r="M38" s="50">
        <f>OC!T5+VLOOKUP($R$32,$AD$39:$AK$43,4,FALSE)</f>
        <v>4.4259233211</v>
      </c>
      <c r="N38" s="50">
        <f>OC!U5+VLOOKUP($R$32,$AD$39:$AK$43,5,FALSE)</f>
        <v>4.8760065982</v>
      </c>
      <c r="O38" s="85">
        <f>AVERAGEIF($K$35:$K$46,2,$M$35:$M$46)</f>
        <v>6.8101758420333338</v>
      </c>
      <c r="P38" s="85">
        <f>AVERAGEIF($K$35:$K$46,2,$N$35:$N$46)</f>
        <v>4.5681492497333336</v>
      </c>
      <c r="Q38" s="86">
        <f>P38*0.001</f>
        <v>4.5681492497333335E-3</v>
      </c>
      <c r="R38" s="86">
        <f>O38*0.001</f>
        <v>6.8101758420333336E-3</v>
      </c>
      <c r="S38" s="34"/>
      <c r="T38" s="78">
        <v>2</v>
      </c>
      <c r="U38" s="79" t="str">
        <f>FPDC!K5</f>
        <v>22cd48190156</v>
      </c>
      <c r="V38" s="76">
        <f>FPDC!S5+VLOOKUP($R$32,$AD$39:$AK$43,2,FALSE)+VLOOKUP($R$32,$AD$39:$AK$43,7,FALSE)+VLOOKUP('File location'!$B$1,'Tester offset'!$A$2:$D$4,3,FALSE)</f>
        <v>2.0663132667999999</v>
      </c>
      <c r="W38" s="77">
        <f>FPDC!T5+VLOOKUP($R$32,$AD$39:$AK$43,3,FALSE)+VLOOKUP($R$32,$AD$39:$AK$43,8,FALSE)+VLOOKUP('File location'!$B$1,'Tester offset'!$A$2:$D$4,4,FALSE)</f>
        <v>2.1228804588000001</v>
      </c>
      <c r="X38" s="85">
        <f>AVERAGEIF($T$35:$T$46,2,$V$35:$V$46)</f>
        <v>-3.3494238853333336</v>
      </c>
      <c r="Y38" s="85">
        <f>AVERAGEIF($T$35:$T$46,2,$W$35:$W$46)</f>
        <v>1.2188240687</v>
      </c>
      <c r="Z38" s="86">
        <f>(X38*-0.01)/4</f>
        <v>8.3735597133333343E-3</v>
      </c>
      <c r="AA38" s="86">
        <f>(Y38*-0.01)/4</f>
        <v>-3.0470601717500004E-3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22cd48190161</v>
      </c>
      <c r="C39" s="50">
        <f>IPQC!T6+VLOOKUP($R$32,$AD$39:$AK$43,6,FALSE)+VLOOKUP('File location'!$B$1,'Tester offset'!$A$2:$D$4,2,FALSE)</f>
        <v>88.834682018600006</v>
      </c>
      <c r="D39" s="50">
        <f>IPQC!AA6+VLOOKUP($R$32,$AD$39:$AK$43,6,FALSE)</f>
        <v>70.591546872199999</v>
      </c>
      <c r="E39" s="50">
        <f>VCM!HV6-'Summary(3pcs)'!C39-'Summary(3pcs)'!$D$33</f>
        <v>171.76811498143792</v>
      </c>
      <c r="F39" s="86"/>
      <c r="G39" s="90"/>
      <c r="H39" s="90"/>
      <c r="I39" s="90"/>
      <c r="K39" s="78">
        <f t="shared" si="1"/>
        <v>2</v>
      </c>
      <c r="L39" s="79" t="str">
        <f>OC!K6</f>
        <v>22cd48190161</v>
      </c>
      <c r="M39" s="50">
        <f>OC!T6+VLOOKUP($R$32,$AD$39:$AK$43,4,FALSE)</f>
        <v>10.238319648299999</v>
      </c>
      <c r="N39" s="50">
        <f>OC!U6+VLOOKUP($R$32,$AD$39:$AK$43,5,FALSE)</f>
        <v>7.6501563478999994</v>
      </c>
      <c r="O39" s="85"/>
      <c r="P39" s="85"/>
      <c r="Q39" s="86"/>
      <c r="R39" s="86"/>
      <c r="S39" s="34"/>
      <c r="T39" s="78">
        <v>2</v>
      </c>
      <c r="U39" s="79" t="str">
        <f>FPDC!K6</f>
        <v>22cd48190161</v>
      </c>
      <c r="V39" s="76">
        <f>FPDC!S6+VLOOKUP($R$32,$AD$39:$AK$43,2,FALSE)+VLOOKUP($R$32,$AD$39:$AK$43,7,FALSE)+VLOOKUP('File location'!$B$1,'Tester offset'!$A$2:$D$4,3,FALSE)</f>
        <v>-8.4290771484000011</v>
      </c>
      <c r="W39" s="77">
        <f>FPDC!T6+VLOOKUP($R$32,$AD$39:$AK$43,3,FALSE)+VLOOKUP($R$32,$AD$39:$AK$43,8,FALSE)+VLOOKUP('File location'!$B$1,'Tester offset'!$A$2:$D$4,4,FALSE)</f>
        <v>2.9440841674999998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22cd48190020</v>
      </c>
      <c r="C40" s="50">
        <f>IPQC!T7+VLOOKUP($R$32,$AD$39:$AK$43,6,FALSE)+VLOOKUP('File location'!$B$1,'Tester offset'!$A$2:$D$4,2,FALSE)</f>
        <v>83.6164755219</v>
      </c>
      <c r="D40" s="50">
        <f>IPQC!AA7+VLOOKUP($R$32,$AD$39:$AK$43,6,FALSE)</f>
        <v>68.956588642599996</v>
      </c>
      <c r="E40" s="50">
        <f>VCM!HV7-'Summary(3pcs)'!C40-'Summary(3pcs)'!$D$33</f>
        <v>157.66306278193792</v>
      </c>
      <c r="F40" s="86"/>
      <c r="G40" s="90"/>
      <c r="H40" s="90"/>
      <c r="I40" s="90"/>
      <c r="K40" s="78">
        <f t="shared" si="1"/>
        <v>2</v>
      </c>
      <c r="L40" s="79" t="str">
        <f>OC!K7</f>
        <v>22cd48190020</v>
      </c>
      <c r="M40" s="50">
        <f>OC!T7+VLOOKUP($R$32,$AD$39:$AK$43,4,FALSE)</f>
        <v>5.7662845566999996</v>
      </c>
      <c r="N40" s="50">
        <f>OC!U7+VLOOKUP($R$32,$AD$39:$AK$43,5,FALSE)</f>
        <v>1.1782848030999999</v>
      </c>
      <c r="O40" s="85"/>
      <c r="P40" s="85"/>
      <c r="Q40" s="86"/>
      <c r="R40" s="86"/>
      <c r="S40" s="34"/>
      <c r="T40" s="78">
        <v>2</v>
      </c>
      <c r="U40" s="79" t="str">
        <f>FPDC!K7</f>
        <v>22cd48190020</v>
      </c>
      <c r="V40" s="76">
        <f>FPDC!S7+VLOOKUP($R$32,$AD$39:$AK$43,2,FALSE)+VLOOKUP($R$32,$AD$39:$AK$43,7,FALSE)+VLOOKUP('File location'!$B$1,'Tester offset'!$A$2:$D$4,3,FALSE)</f>
        <v>-3.6855077744</v>
      </c>
      <c r="W40" s="77">
        <f>FPDC!T7+VLOOKUP($R$32,$AD$39:$AK$43,3,FALSE)+VLOOKUP($R$32,$AD$39:$AK$43,8,FALSE)+VLOOKUP('File location'!$B$1,'Tester offset'!$A$2:$D$4,4,FALSE)</f>
        <v>-1.4104924202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22cd48180806</v>
      </c>
      <c r="C41" s="50">
        <f>IPQC!T8+VLOOKUP($R$32,$AD$39:$AK$43,6,FALSE)+VLOOKUP('File location'!$B$1,'Tester offset'!$A$2:$D$4,2,FALSE)</f>
        <v>104.2322228994</v>
      </c>
      <c r="D41" s="50">
        <f>IPQC!AA8+VLOOKUP($R$32,$AD$39:$AK$43,6,FALSE)</f>
        <v>75.600268702400001</v>
      </c>
      <c r="E41" s="50">
        <f>VCM!HV8-'Summary(3pcs)'!C41-'Summary(3pcs)'!$D$33</f>
        <v>151.73145340503788</v>
      </c>
      <c r="F41" s="86">
        <f>AVERAGEIF($A$35:$A$46,3,$C$35:$C$46)</f>
        <v>96.367328782499996</v>
      </c>
      <c r="G41" s="90">
        <f>AVERAGEIF($A$35:$A$46,3,$D$35:$D$46)</f>
        <v>76.736427203199995</v>
      </c>
      <c r="H41" s="90">
        <f>AVERAGEIF($A$35:$A$46,3,$E$35:$E$46)</f>
        <v>157.8546281380379</v>
      </c>
      <c r="I41" s="90">
        <f>85-F41</f>
        <v>-11.367328782499996</v>
      </c>
      <c r="K41" s="78">
        <f t="shared" si="1"/>
        <v>3</v>
      </c>
      <c r="L41" s="79" t="str">
        <f>OC!K8</f>
        <v>22cd48180806</v>
      </c>
      <c r="M41" s="50">
        <f>OC!T8+VLOOKUP($R$32,$AD$39:$AK$43,4,FALSE)</f>
        <v>6.5750532036999996</v>
      </c>
      <c r="N41" s="50">
        <f>OC!U8+VLOOKUP($R$32,$AD$39:$AK$43,5,FALSE)</f>
        <v>2.3272035684999999</v>
      </c>
      <c r="O41" s="85">
        <f>AVERAGEIF($K$35:$K$46,3,$M$35:$M$46)</f>
        <v>5.0068148380999995</v>
      </c>
      <c r="P41" s="85">
        <f>AVERAGEIF($K$35:$K$46,3,$N$35:$N$46)</f>
        <v>2.6912933428333332</v>
      </c>
      <c r="Q41" s="86">
        <f>P41*0.001</f>
        <v>2.6912933428333333E-3</v>
      </c>
      <c r="R41" s="86">
        <f>O41*0.001</f>
        <v>5.0068148380999992E-3</v>
      </c>
      <c r="S41" s="34"/>
      <c r="T41" s="78">
        <v>3</v>
      </c>
      <c r="U41" s="79" t="str">
        <f>FPDC!K8</f>
        <v>22cd48180806</v>
      </c>
      <c r="V41" s="76">
        <f>FPDC!S8+VLOOKUP($R$32,$AD$39:$AK$43,2,FALSE)+VLOOKUP($R$32,$AD$39:$AK$43,7,FALSE)+VLOOKUP('File location'!$B$1,'Tester offset'!$A$2:$D$4,3,FALSE)</f>
        <v>-6.9033565521</v>
      </c>
      <c r="W41" s="77">
        <f>FPDC!T8+VLOOKUP($R$32,$AD$39:$AK$43,3,FALSE)+VLOOKUP($R$32,$AD$39:$AK$43,8,FALSE)+VLOOKUP('File location'!$B$1,'Tester offset'!$A$2:$D$4,4,FALSE)</f>
        <v>4.2113676070999997</v>
      </c>
      <c r="X41" s="85">
        <f>AVERAGEIF($T$35:$T$46,3,$V$35:$V$46)</f>
        <v>-5.4927050272666662</v>
      </c>
      <c r="Y41" s="85">
        <f>AVERAGEIF($T$35:$T$46,3,$W$35:$W$46)</f>
        <v>6.0078605015999997</v>
      </c>
      <c r="Z41" s="86">
        <f>(X41*-0.01)/4</f>
        <v>1.3731762568166666E-2</v>
      </c>
      <c r="AA41" s="86">
        <f>(Y41*-0.01)/4</f>
        <v>-1.5019651254E-2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22cd48190159</v>
      </c>
      <c r="C42" s="50">
        <f>IPQC!T9+VLOOKUP($R$32,$AD$39:$AK$43,6,FALSE)+VLOOKUP('File location'!$B$1,'Tester offset'!$A$2:$D$4,2,FALSE)</f>
        <v>95.185077094799993</v>
      </c>
      <c r="D42" s="50">
        <f>IPQC!AA9+VLOOKUP($R$32,$AD$39:$AK$43,6,FALSE)</f>
        <v>78.755704409499998</v>
      </c>
      <c r="E42" s="50">
        <f>VCM!HV9-'Summary(3pcs)'!C42-'Summary(3pcs)'!$D$33</f>
        <v>155.43040803633789</v>
      </c>
      <c r="F42" s="86"/>
      <c r="G42" s="90"/>
      <c r="H42" s="90"/>
      <c r="I42" s="90"/>
      <c r="K42" s="78">
        <f t="shared" si="1"/>
        <v>3</v>
      </c>
      <c r="L42" s="79" t="str">
        <f>OC!K9</f>
        <v>22cd48190159</v>
      </c>
      <c r="M42" s="50">
        <f>OC!T9+VLOOKUP($R$32,$AD$39:$AK$43,4,FALSE)</f>
        <v>-2.4569663006</v>
      </c>
      <c r="N42" s="50">
        <f>OC!U9+VLOOKUP($R$32,$AD$39:$AK$43,5,FALSE)</f>
        <v>-0.35294699439999988</v>
      </c>
      <c r="O42" s="85"/>
      <c r="P42" s="85"/>
      <c r="Q42" s="86"/>
      <c r="R42" s="86"/>
      <c r="S42" s="34"/>
      <c r="T42" s="78">
        <v>3</v>
      </c>
      <c r="U42" s="79" t="str">
        <f>FPDC!K9</f>
        <v>22cd48190159</v>
      </c>
      <c r="V42" s="76">
        <f>FPDC!S9+VLOOKUP($R$32,$AD$39:$AK$43,2,FALSE)+VLOOKUP($R$32,$AD$39:$AK$43,7,FALSE)+VLOOKUP('File location'!$B$1,'Tester offset'!$A$2:$D$4,3,FALSE)</f>
        <v>-10.1761827469</v>
      </c>
      <c r="W42" s="77">
        <f>FPDC!T9+VLOOKUP($R$32,$AD$39:$AK$43,3,FALSE)+VLOOKUP($R$32,$AD$39:$AK$43,8,FALSE)+VLOOKUP('File location'!$B$1,'Tester offset'!$A$2:$D$4,4,FALSE)</f>
        <v>7.9820804596000006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22cd48190137</v>
      </c>
      <c r="C43" s="50">
        <f>IPQC!T10+VLOOKUP($R$32,$AD$39:$AK$43,6,FALSE)+VLOOKUP('File location'!$B$1,'Tester offset'!$A$2:$D$4,2,FALSE)</f>
        <v>89.684686353299995</v>
      </c>
      <c r="D43" s="50">
        <f>IPQC!AA10+VLOOKUP($R$32,$AD$39:$AK$43,6,FALSE)</f>
        <v>75.853308497699999</v>
      </c>
      <c r="E43" s="50">
        <f>VCM!HV10-'Summary(3pcs)'!C43-'Summary(3pcs)'!$D$33</f>
        <v>166.40202297273794</v>
      </c>
      <c r="F43" s="86"/>
      <c r="G43" s="90"/>
      <c r="H43" s="90"/>
      <c r="I43" s="90"/>
      <c r="K43" s="78">
        <f t="shared" si="1"/>
        <v>3</v>
      </c>
      <c r="L43" s="79" t="str">
        <f>OC!K10</f>
        <v>22cd48190137</v>
      </c>
      <c r="M43" s="50">
        <f>OC!T10+VLOOKUP($R$32,$AD$39:$AK$43,4,FALSE)</f>
        <v>10.902357611199999</v>
      </c>
      <c r="N43" s="50">
        <f>OC!U10+VLOOKUP($R$32,$AD$39:$AK$43,5,FALSE)</f>
        <v>6.0996234543999996</v>
      </c>
      <c r="O43" s="85"/>
      <c r="P43" s="85"/>
      <c r="Q43" s="86"/>
      <c r="R43" s="86"/>
      <c r="S43" s="34"/>
      <c r="T43" s="78">
        <v>3</v>
      </c>
      <c r="U43" s="79" t="str">
        <f>FPDC!K10</f>
        <v>22cd48190137</v>
      </c>
      <c r="V43" s="76">
        <f>FPDC!S10+VLOOKUP($R$32,$AD$39:$AK$43,2,FALSE)+VLOOKUP($R$32,$AD$39:$AK$43,7,FALSE)+VLOOKUP('File location'!$B$1,'Tester offset'!$A$2:$D$4,3,FALSE)</f>
        <v>0.60142421719999994</v>
      </c>
      <c r="W43" s="77">
        <f>FPDC!T10+VLOOKUP($R$32,$AD$39:$AK$43,3,FALSE)+VLOOKUP($R$32,$AD$39:$AK$43,8,FALSE)+VLOOKUP('File location'!$B$1,'Tester offset'!$A$2:$D$4,4,FALSE)</f>
        <v>5.8301334381000007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22cd48180193</v>
      </c>
      <c r="C44" s="50">
        <f>IPQC!T11+VLOOKUP($R$32,$AD$39:$AK$43,6,FALSE)+VLOOKUP('File location'!$B$1,'Tester offset'!$A$2:$D$4,2,FALSE)</f>
        <v>96.825352434699994</v>
      </c>
      <c r="D44" s="50">
        <f>IPQC!AA11+VLOOKUP($R$32,$AD$39:$AK$43,6,FALSE)</f>
        <v>78.389920581300004</v>
      </c>
      <c r="E44" s="50">
        <f>VCM!HV11-'Summary(3pcs)'!C44-'Summary(3pcs)'!$D$33</f>
        <v>144.38125039203794</v>
      </c>
      <c r="F44" s="86">
        <f>AVERAGEIF($A$35:$A$46,4,$C$35:$C$46)</f>
        <v>94.079676610333323</v>
      </c>
      <c r="G44" s="90">
        <f>AVERAGEIF($A$35:$A$46,4,$D$35:$D$46)</f>
        <v>77.098356496566666</v>
      </c>
      <c r="H44" s="90">
        <f>AVERAGEIF($A$35:$A$46,4,$E$35:$E$46)</f>
        <v>152.06419120440458</v>
      </c>
      <c r="I44" s="90">
        <f>85-F44</f>
        <v>-9.0796766103333226</v>
      </c>
      <c r="K44" s="78">
        <f t="shared" si="1"/>
        <v>4</v>
      </c>
      <c r="L44" s="79" t="str">
        <f>OC!K11</f>
        <v>22cd48180193</v>
      </c>
      <c r="M44" s="50">
        <f>OC!T11+VLOOKUP($R$32,$AD$39:$AK$43,4,FALSE)</f>
        <v>-0.71442404260000003</v>
      </c>
      <c r="N44" s="50">
        <f>OC!U11+VLOOKUP($R$32,$AD$39:$AK$43,5,FALSE)</f>
        <v>-6.1784045784000003</v>
      </c>
      <c r="O44" s="85">
        <f>AVERAGEIF($K$35:$K$46,4,$M$35:$M$46)</f>
        <v>-0.75574097210000002</v>
      </c>
      <c r="P44" s="85">
        <f>AVERAGEIF($K$35:$K$46,4,$N$35:$N$46)</f>
        <v>-2.0188785198333332</v>
      </c>
      <c r="Q44" s="86">
        <f>P44*0.001</f>
        <v>-2.0188785198333331E-3</v>
      </c>
      <c r="R44" s="86">
        <f>O44*0.001</f>
        <v>-7.5574097210000008E-4</v>
      </c>
      <c r="S44" s="34"/>
      <c r="T44" s="78">
        <v>4</v>
      </c>
      <c r="U44" s="79" t="str">
        <f>FPDC!K11</f>
        <v>22cd48180193</v>
      </c>
      <c r="V44" s="76">
        <f>FPDC!S11+VLOOKUP($R$32,$AD$39:$AK$43,2,FALSE)+VLOOKUP($R$32,$AD$39:$AK$43,7,FALSE)+VLOOKUP('File location'!$B$1,'Tester offset'!$A$2:$D$4,3,FALSE)</f>
        <v>1.5670042037999998</v>
      </c>
      <c r="W44" s="77">
        <f>FPDC!T11+VLOOKUP($R$32,$AD$39:$AK$43,3,FALSE)+VLOOKUP($R$32,$AD$39:$AK$43,8,FALSE)+VLOOKUP('File location'!$B$1,'Tester offset'!$A$2:$D$4,4,FALSE)</f>
        <v>-11.320150375400001</v>
      </c>
      <c r="X44" s="85">
        <f>AVERAGEIF($T$35:$T$46,4,$V$35:$V$46)</f>
        <v>3.7874183655000002</v>
      </c>
      <c r="Y44" s="85">
        <f>AVERAGEIF($T$35:$T$46,4,$W$35:$W$46)</f>
        <v>-1.438686052966667</v>
      </c>
      <c r="Z44" s="86">
        <f>(X44*-0.01)/4</f>
        <v>-9.4685459137500011E-3</v>
      </c>
      <c r="AA44" s="86">
        <f>(Y44*-0.01)/4</f>
        <v>3.5967151324166674E-3</v>
      </c>
    </row>
    <row r="45" spans="1:37" ht="17.100000000000001" customHeight="1">
      <c r="A45" s="78">
        <f t="shared" si="0"/>
        <v>4</v>
      </c>
      <c r="B45" s="79" t="str">
        <f>IPQC!K12</f>
        <v>22cd48190184</v>
      </c>
      <c r="C45" s="50">
        <f>IPQC!T12+VLOOKUP($R$32,$AD$39:$AK$43,6,FALSE)+VLOOKUP('File location'!$B$1,'Tester offset'!$A$2:$D$4,2,FALSE)</f>
        <v>90.705702179699998</v>
      </c>
      <c r="D45" s="50">
        <f>IPQC!AA12+VLOOKUP($R$32,$AD$39:$AK$43,6,FALSE)</f>
        <v>75.949888227299994</v>
      </c>
      <c r="E45" s="50">
        <f>VCM!HV12-'Summary(3pcs)'!C45-'Summary(3pcs)'!$D$33</f>
        <v>155.5037415929379</v>
      </c>
      <c r="F45" s="86"/>
      <c r="G45" s="90"/>
      <c r="H45" s="90"/>
      <c r="I45" s="90"/>
      <c r="K45" s="78">
        <f t="shared" si="1"/>
        <v>4</v>
      </c>
      <c r="L45" s="79" t="str">
        <f>OC!K12</f>
        <v>22cd48190184</v>
      </c>
      <c r="M45" s="50">
        <f>OC!T12+VLOOKUP($R$32,$AD$39:$AK$43,4,FALSE)</f>
        <v>-2.868150907</v>
      </c>
      <c r="N45" s="50">
        <f>OC!U12+VLOOKUP($R$32,$AD$39:$AK$43,5,FALSE)</f>
        <v>-2.0601920725999996</v>
      </c>
      <c r="O45" s="85"/>
      <c r="P45" s="85"/>
      <c r="Q45" s="86"/>
      <c r="R45" s="86"/>
      <c r="S45" s="34"/>
      <c r="T45" s="78">
        <v>4</v>
      </c>
      <c r="U45" s="79" t="str">
        <f>FPDC!K12</f>
        <v>22cd48190184</v>
      </c>
      <c r="V45" s="76">
        <f>FPDC!S12+VLOOKUP($R$32,$AD$39:$AK$43,2,FALSE)+VLOOKUP($R$32,$AD$39:$AK$43,7,FALSE)+VLOOKUP('File location'!$B$1,'Tester offset'!$A$2:$D$4,3,FALSE)</f>
        <v>5.8562946320000009</v>
      </c>
      <c r="W45" s="77">
        <f>FPDC!T12+VLOOKUP($R$32,$AD$39:$AK$43,3,FALSE)+VLOOKUP($R$32,$AD$39:$AK$43,8,FALSE)+VLOOKUP('File location'!$B$1,'Tester offset'!$A$2:$D$4,4,FALSE)</f>
        <v>4.7209630013000004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22cd48190828</v>
      </c>
      <c r="C46" s="50">
        <f>IPQC!T13+VLOOKUP($R$32,$AD$39:$AK$43,6,FALSE)+VLOOKUP('File location'!$B$1,'Tester offset'!$A$2:$D$4,2,FALSE)</f>
        <v>94.707975216600005</v>
      </c>
      <c r="D46" s="50">
        <f>IPQC!AA13+VLOOKUP($R$32,$AD$39:$AK$43,6,FALSE)</f>
        <v>76.9552606811</v>
      </c>
      <c r="E46" s="50">
        <f>VCM!HV13-'Summary(3pcs)'!C46-'Summary(3pcs)'!$D$33</f>
        <v>156.30758162823793</v>
      </c>
      <c r="F46" s="86"/>
      <c r="G46" s="90"/>
      <c r="H46" s="90"/>
      <c r="I46" s="90"/>
      <c r="K46" s="78">
        <f t="shared" si="1"/>
        <v>4</v>
      </c>
      <c r="L46" s="79" t="str">
        <f>OC!K13</f>
        <v>22cd48190828</v>
      </c>
      <c r="M46" s="50">
        <f>OC!T13+VLOOKUP($R$32,$AD$39:$AK$43,4,FALSE)</f>
        <v>1.3153520332999999</v>
      </c>
      <c r="N46" s="50">
        <f>OC!U13+VLOOKUP($R$32,$AD$39:$AK$43,5,FALSE)</f>
        <v>2.1819610914999998</v>
      </c>
      <c r="O46" s="85"/>
      <c r="P46" s="85"/>
      <c r="Q46" s="86"/>
      <c r="R46" s="86"/>
      <c r="S46" s="34"/>
      <c r="T46" s="78">
        <v>4</v>
      </c>
      <c r="U46" s="79" t="str">
        <f>FPDC!K13</f>
        <v>22cd48190828</v>
      </c>
      <c r="V46" s="76">
        <f>FPDC!S13+VLOOKUP($R$32,$AD$39:$AK$43,2,FALSE)+VLOOKUP($R$32,$AD$39:$AK$43,7,FALSE)+VLOOKUP('File location'!$B$1,'Tester offset'!$A$2:$D$4,3,FALSE)</f>
        <v>3.9389562607000004</v>
      </c>
      <c r="W46" s="77">
        <f>FPDC!T13+VLOOKUP($R$32,$AD$39:$AK$43,3,FALSE)+VLOOKUP($R$32,$AD$39:$AK$43,8,FALSE)+VLOOKUP('File location'!$B$1,'Tester offset'!$A$2:$D$4,4,FALSE)</f>
        <v>2.2831292151999998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162</v>
      </c>
      <c r="G49" s="91"/>
      <c r="H49" s="49" t="s">
        <v>148</v>
      </c>
      <c r="O49" s="93" t="s">
        <v>164</v>
      </c>
      <c r="P49" s="91"/>
      <c r="Q49" s="49" t="s">
        <v>161</v>
      </c>
      <c r="Y49" s="93" t="s">
        <v>164</v>
      </c>
      <c r="Z49" s="91"/>
      <c r="AA49" s="49" t="s">
        <v>104</v>
      </c>
    </row>
    <row r="50" spans="6:27" ht="17.25">
      <c r="F50" s="91" t="s">
        <v>163</v>
      </c>
      <c r="G50" s="91"/>
      <c r="H50" s="49" t="s">
        <v>107</v>
      </c>
      <c r="O50" s="93" t="s">
        <v>170</v>
      </c>
      <c r="P50" s="91"/>
      <c r="Q50" s="49" t="s">
        <v>168</v>
      </c>
      <c r="Y50" s="93" t="s">
        <v>166</v>
      </c>
      <c r="Z50" s="91"/>
      <c r="AA50" s="49" t="s">
        <v>167</v>
      </c>
    </row>
    <row r="51" spans="6:27" ht="17.25">
      <c r="F51" s="91" t="s">
        <v>16</v>
      </c>
      <c r="G51" s="91"/>
      <c r="H51" s="49" t="s">
        <v>106</v>
      </c>
      <c r="O51" s="93" t="s">
        <v>170</v>
      </c>
      <c r="P51" s="91"/>
      <c r="Q51" s="79" t="s">
        <v>169</v>
      </c>
      <c r="Y51" s="93" t="s">
        <v>165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91.222858155400004</v>
      </c>
      <c r="L55" s="52">
        <f t="shared" ref="L55:L66" si="4">D35</f>
        <v>75.923836802899999</v>
      </c>
      <c r="M55" s="52">
        <f t="shared" ref="M55:M66" si="5">E35</f>
        <v>150.2657288695379</v>
      </c>
      <c r="N55" s="52">
        <f t="shared" ref="N55:O66" si="6">M35</f>
        <v>-5.4210539462999998</v>
      </c>
      <c r="O55" s="52">
        <f t="shared" si="6"/>
        <v>-1.4660483797000001</v>
      </c>
      <c r="P55" s="52">
        <f t="shared" ref="P55:P66" si="7">V35</f>
        <v>-3.0134618282000001</v>
      </c>
      <c r="Q55" s="53">
        <f t="shared" ref="Q55:Q66" si="8">W35</f>
        <v>-7.089427948</v>
      </c>
    </row>
    <row r="56" spans="6:27" ht="19.5">
      <c r="I56" s="43">
        <f t="shared" si="2"/>
        <v>1</v>
      </c>
      <c r="J56" s="44"/>
      <c r="K56" s="54">
        <f t="shared" si="3"/>
        <v>82.623260661200007</v>
      </c>
      <c r="L56" s="55">
        <f t="shared" si="4"/>
        <v>62.113479127799998</v>
      </c>
      <c r="M56" s="55">
        <f t="shared" si="5"/>
        <v>166.43751562323791</v>
      </c>
      <c r="N56" s="55">
        <f t="shared" si="6"/>
        <v>-3.7465922774</v>
      </c>
      <c r="O56" s="55">
        <f t="shared" si="6"/>
        <v>4.1693496463999997</v>
      </c>
      <c r="P56" s="55">
        <f t="shared" si="7"/>
        <v>-0.33016586299999995</v>
      </c>
      <c r="Q56" s="56">
        <f t="shared" si="8"/>
        <v>6.1531839370999997</v>
      </c>
    </row>
    <row r="57" spans="6:27" ht="19.5">
      <c r="I57" s="43">
        <f t="shared" si="2"/>
        <v>1</v>
      </c>
      <c r="J57" s="44"/>
      <c r="K57" s="57">
        <f t="shared" si="3"/>
        <v>88.828036528699997</v>
      </c>
      <c r="L57" s="58">
        <f t="shared" si="4"/>
        <v>75.261683061699998</v>
      </c>
      <c r="M57" s="58">
        <f t="shared" si="5"/>
        <v>145.23373483783791</v>
      </c>
      <c r="N57" s="58">
        <f t="shared" si="6"/>
        <v>5.0179119268000001</v>
      </c>
      <c r="O57" s="58">
        <f t="shared" si="6"/>
        <v>0.25797677250000017</v>
      </c>
      <c r="P57" s="58">
        <f t="shared" si="7"/>
        <v>-1.3935976027999999</v>
      </c>
      <c r="Q57" s="59">
        <f t="shared" si="8"/>
        <v>-2.0982062221</v>
      </c>
    </row>
    <row r="58" spans="6:27" ht="19.5">
      <c r="I58" s="43">
        <f t="shared" si="2"/>
        <v>2</v>
      </c>
      <c r="J58" s="44"/>
      <c r="K58" s="60">
        <f t="shared" si="3"/>
        <v>100.64121247280001</v>
      </c>
      <c r="L58" s="61">
        <f t="shared" si="4"/>
        <v>81.520201310100006</v>
      </c>
      <c r="M58" s="61">
        <f t="shared" si="5"/>
        <v>151.61171170343789</v>
      </c>
      <c r="N58" s="61">
        <f t="shared" si="6"/>
        <v>4.4259233211</v>
      </c>
      <c r="O58" s="61">
        <f t="shared" si="6"/>
        <v>4.8760065982</v>
      </c>
      <c r="P58" s="61">
        <f t="shared" si="7"/>
        <v>2.0663132667999999</v>
      </c>
      <c r="Q58" s="62">
        <f t="shared" si="8"/>
        <v>2.1228804588000001</v>
      </c>
    </row>
    <row r="59" spans="6:27" ht="19.5">
      <c r="I59" s="43">
        <f t="shared" si="2"/>
        <v>2</v>
      </c>
      <c r="J59" s="44"/>
      <c r="K59" s="60">
        <f t="shared" si="3"/>
        <v>88.834682018600006</v>
      </c>
      <c r="L59" s="61">
        <f t="shared" si="4"/>
        <v>70.591546872199999</v>
      </c>
      <c r="M59" s="61">
        <f t="shared" si="5"/>
        <v>171.76811498143792</v>
      </c>
      <c r="N59" s="61">
        <f t="shared" si="6"/>
        <v>10.238319648299999</v>
      </c>
      <c r="O59" s="61">
        <f t="shared" si="6"/>
        <v>7.6501563478999994</v>
      </c>
      <c r="P59" s="61">
        <f t="shared" si="7"/>
        <v>-8.4290771484000011</v>
      </c>
      <c r="Q59" s="62">
        <f t="shared" si="8"/>
        <v>2.9440841674999998</v>
      </c>
    </row>
    <row r="60" spans="6:27" ht="19.5">
      <c r="I60" s="43">
        <f t="shared" si="2"/>
        <v>2</v>
      </c>
      <c r="J60" s="44"/>
      <c r="K60" s="60">
        <f t="shared" si="3"/>
        <v>83.6164755219</v>
      </c>
      <c r="L60" s="61">
        <f t="shared" si="4"/>
        <v>68.956588642599996</v>
      </c>
      <c r="M60" s="61">
        <f t="shared" si="5"/>
        <v>157.66306278193792</v>
      </c>
      <c r="N60" s="61">
        <f t="shared" si="6"/>
        <v>5.7662845566999996</v>
      </c>
      <c r="O60" s="61">
        <f t="shared" si="6"/>
        <v>1.1782848030999999</v>
      </c>
      <c r="P60" s="61">
        <f t="shared" si="7"/>
        <v>-3.6855077744</v>
      </c>
      <c r="Q60" s="62">
        <f t="shared" si="8"/>
        <v>-1.4104924202</v>
      </c>
    </row>
    <row r="61" spans="6:27" ht="19.5">
      <c r="I61" s="43">
        <f t="shared" si="2"/>
        <v>3</v>
      </c>
      <c r="J61" s="44"/>
      <c r="K61" s="66">
        <f t="shared" si="3"/>
        <v>104.2322228994</v>
      </c>
      <c r="L61" s="67">
        <f t="shared" si="4"/>
        <v>75.600268702400001</v>
      </c>
      <c r="M61" s="67">
        <f t="shared" si="5"/>
        <v>151.73145340503788</v>
      </c>
      <c r="N61" s="67">
        <f t="shared" si="6"/>
        <v>6.5750532036999996</v>
      </c>
      <c r="O61" s="67">
        <f t="shared" si="6"/>
        <v>2.3272035684999999</v>
      </c>
      <c r="P61" s="67">
        <f t="shared" si="7"/>
        <v>-6.9033565521</v>
      </c>
      <c r="Q61" s="68">
        <f t="shared" si="8"/>
        <v>4.2113676070999997</v>
      </c>
    </row>
    <row r="62" spans="6:27" ht="19.5">
      <c r="I62" s="43">
        <f t="shared" si="2"/>
        <v>3</v>
      </c>
      <c r="J62" s="44"/>
      <c r="K62" s="69">
        <f t="shared" si="3"/>
        <v>95.185077094799993</v>
      </c>
      <c r="L62" s="70">
        <f t="shared" si="4"/>
        <v>78.755704409499998</v>
      </c>
      <c r="M62" s="70">
        <f t="shared" si="5"/>
        <v>155.43040803633789</v>
      </c>
      <c r="N62" s="70">
        <f t="shared" si="6"/>
        <v>-2.4569663006</v>
      </c>
      <c r="O62" s="70">
        <f t="shared" si="6"/>
        <v>-0.35294699439999988</v>
      </c>
      <c r="P62" s="70">
        <f t="shared" si="7"/>
        <v>-10.1761827469</v>
      </c>
      <c r="Q62" s="71">
        <f t="shared" si="8"/>
        <v>7.9820804596000006</v>
      </c>
    </row>
    <row r="63" spans="6:27" ht="19.5">
      <c r="I63" s="43">
        <f t="shared" si="2"/>
        <v>3</v>
      </c>
      <c r="J63" s="44"/>
      <c r="K63" s="72">
        <f t="shared" si="3"/>
        <v>89.684686353299995</v>
      </c>
      <c r="L63" s="73">
        <f t="shared" si="4"/>
        <v>75.853308497699999</v>
      </c>
      <c r="M63" s="73">
        <f t="shared" si="5"/>
        <v>166.40202297273794</v>
      </c>
      <c r="N63" s="73">
        <f t="shared" si="6"/>
        <v>10.902357611199999</v>
      </c>
      <c r="O63" s="73">
        <f t="shared" si="6"/>
        <v>6.0996234543999996</v>
      </c>
      <c r="P63" s="73">
        <f t="shared" si="7"/>
        <v>0.60142421719999994</v>
      </c>
      <c r="Q63" s="74">
        <f t="shared" si="8"/>
        <v>5.8301334381000007</v>
      </c>
    </row>
    <row r="64" spans="6:27" ht="19.5">
      <c r="I64" s="43">
        <f t="shared" si="2"/>
        <v>4</v>
      </c>
      <c r="J64" s="44"/>
      <c r="K64" s="60">
        <f t="shared" si="3"/>
        <v>96.825352434699994</v>
      </c>
      <c r="L64" s="61">
        <f t="shared" si="4"/>
        <v>78.389920581300004</v>
      </c>
      <c r="M64" s="61">
        <f t="shared" si="5"/>
        <v>144.38125039203794</v>
      </c>
      <c r="N64" s="61">
        <f t="shared" si="6"/>
        <v>-0.71442404260000003</v>
      </c>
      <c r="O64" s="61">
        <f t="shared" si="6"/>
        <v>-6.1784045784000003</v>
      </c>
      <c r="P64" s="61">
        <f t="shared" si="7"/>
        <v>1.5670042037999998</v>
      </c>
      <c r="Q64" s="62">
        <f t="shared" si="8"/>
        <v>-11.320150375400001</v>
      </c>
    </row>
    <row r="65" spans="9:17" ht="19.5">
      <c r="I65" s="43">
        <f t="shared" si="2"/>
        <v>4</v>
      </c>
      <c r="J65" s="44"/>
      <c r="K65" s="60">
        <f t="shared" si="3"/>
        <v>90.705702179699998</v>
      </c>
      <c r="L65" s="61">
        <f t="shared" si="4"/>
        <v>75.949888227299994</v>
      </c>
      <c r="M65" s="61">
        <f t="shared" si="5"/>
        <v>155.5037415929379</v>
      </c>
      <c r="N65" s="61">
        <f t="shared" si="6"/>
        <v>-2.868150907</v>
      </c>
      <c r="O65" s="61">
        <f t="shared" si="6"/>
        <v>-2.0601920725999996</v>
      </c>
      <c r="P65" s="61">
        <f t="shared" si="7"/>
        <v>5.8562946320000009</v>
      </c>
      <c r="Q65" s="62">
        <f t="shared" si="8"/>
        <v>4.7209630013000004</v>
      </c>
    </row>
    <row r="66" spans="9:17" ht="20.25" thickBot="1">
      <c r="I66" s="43">
        <f t="shared" si="2"/>
        <v>4</v>
      </c>
      <c r="J66" s="44"/>
      <c r="K66" s="63">
        <f t="shared" si="3"/>
        <v>94.707975216600005</v>
      </c>
      <c r="L66" s="64">
        <f t="shared" si="4"/>
        <v>76.9552606811</v>
      </c>
      <c r="M66" s="64">
        <f t="shared" si="5"/>
        <v>156.30758162823793</v>
      </c>
      <c r="N66" s="64">
        <f t="shared" si="6"/>
        <v>1.3153520332999999</v>
      </c>
      <c r="O66" s="64">
        <f t="shared" si="6"/>
        <v>2.1819610914999998</v>
      </c>
      <c r="P66" s="64">
        <f t="shared" si="7"/>
        <v>3.9389562607000004</v>
      </c>
      <c r="Q66" s="65">
        <f t="shared" si="8"/>
        <v>2.2831292151999998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s="17" t="s">
        <v>208</v>
      </c>
    </row>
    <row r="2" spans="1:37">
      <c r="A2" t="s">
        <v>209</v>
      </c>
      <c r="B2" t="s">
        <v>210</v>
      </c>
      <c r="C2" t="s">
        <v>211</v>
      </c>
      <c r="D2" t="s">
        <v>212</v>
      </c>
      <c r="E2">
        <v>3</v>
      </c>
      <c r="F2" t="s">
        <v>213</v>
      </c>
      <c r="G2" t="s">
        <v>214</v>
      </c>
      <c r="H2" t="s">
        <v>215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2107.0789460536998</v>
      </c>
      <c r="S2">
        <v>1517.9660483796999</v>
      </c>
      <c r="T2">
        <v>-5.4210539462999998</v>
      </c>
      <c r="U2">
        <v>-5.4660483797000001</v>
      </c>
      <c r="V2">
        <v>7.6984096266000002</v>
      </c>
      <c r="W2">
        <v>736.31460000000004</v>
      </c>
      <c r="X2">
        <v>387.46260000000001</v>
      </c>
      <c r="Y2">
        <v>389.59870000000001</v>
      </c>
      <c r="Z2">
        <v>386.80489999999998</v>
      </c>
      <c r="AA2">
        <v>384.71120000000002</v>
      </c>
      <c r="AB2">
        <v>561.72947499999998</v>
      </c>
      <c r="AC2" t="s">
        <v>222</v>
      </c>
      <c r="AD2" t="s">
        <v>223</v>
      </c>
      <c r="AE2" t="s">
        <v>224</v>
      </c>
      <c r="AF2" t="s">
        <v>225</v>
      </c>
      <c r="AG2" t="s">
        <v>226</v>
      </c>
      <c r="AH2">
        <v>8</v>
      </c>
      <c r="AI2" t="s">
        <v>227</v>
      </c>
      <c r="AK2" s="17">
        <v>1</v>
      </c>
    </row>
    <row r="3" spans="1:37">
      <c r="A3" t="s">
        <v>228</v>
      </c>
      <c r="B3" t="s">
        <v>229</v>
      </c>
      <c r="C3" t="s">
        <v>230</v>
      </c>
      <c r="D3" t="s">
        <v>212</v>
      </c>
      <c r="E3">
        <v>3</v>
      </c>
      <c r="F3" t="s">
        <v>213</v>
      </c>
      <c r="G3" t="s">
        <v>214</v>
      </c>
      <c r="H3" t="s">
        <v>215</v>
      </c>
      <c r="I3" t="s">
        <v>216</v>
      </c>
      <c r="K3" t="s">
        <v>231</v>
      </c>
      <c r="L3" t="s">
        <v>232</v>
      </c>
      <c r="M3" t="s">
        <v>233</v>
      </c>
      <c r="N3" t="s">
        <v>234</v>
      </c>
      <c r="O3" t="s">
        <v>235</v>
      </c>
      <c r="P3">
        <v>0</v>
      </c>
      <c r="Q3">
        <v>0</v>
      </c>
      <c r="R3">
        <v>2108.7534077226001</v>
      </c>
      <c r="S3">
        <v>1512.3306503536</v>
      </c>
      <c r="T3">
        <v>-3.7465922774</v>
      </c>
      <c r="U3">
        <v>0.1693496464</v>
      </c>
      <c r="V3">
        <v>3.7504177095000002</v>
      </c>
      <c r="W3">
        <v>740.89850000000001</v>
      </c>
      <c r="X3">
        <v>391.71530000000001</v>
      </c>
      <c r="Y3">
        <v>390.05070000000001</v>
      </c>
      <c r="Z3">
        <v>388.51190000000003</v>
      </c>
      <c r="AA3">
        <v>389.10939999999999</v>
      </c>
      <c r="AB3">
        <v>565.37266250000005</v>
      </c>
      <c r="AC3" t="s">
        <v>222</v>
      </c>
      <c r="AD3" t="s">
        <v>223</v>
      </c>
      <c r="AE3" t="s">
        <v>224</v>
      </c>
      <c r="AF3" t="s">
        <v>225</v>
      </c>
      <c r="AG3" t="s">
        <v>226</v>
      </c>
      <c r="AH3">
        <v>8</v>
      </c>
      <c r="AI3" t="s">
        <v>227</v>
      </c>
      <c r="AK3" s="17">
        <v>1</v>
      </c>
    </row>
    <row r="4" spans="1:37">
      <c r="A4" t="s">
        <v>560</v>
      </c>
      <c r="B4" t="s">
        <v>561</v>
      </c>
      <c r="C4" t="s">
        <v>562</v>
      </c>
      <c r="D4" t="s">
        <v>212</v>
      </c>
      <c r="E4">
        <v>3</v>
      </c>
      <c r="F4" t="s">
        <v>213</v>
      </c>
      <c r="G4" t="s">
        <v>214</v>
      </c>
      <c r="H4" t="s">
        <v>215</v>
      </c>
      <c r="I4" t="s">
        <v>216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2117.5179119268</v>
      </c>
      <c r="S4">
        <v>1516.2420232275001</v>
      </c>
      <c r="T4">
        <v>5.0179119268000001</v>
      </c>
      <c r="U4">
        <v>-3.7420232274999998</v>
      </c>
      <c r="V4">
        <v>6.2595669130999996</v>
      </c>
      <c r="W4">
        <v>737.79489999999998</v>
      </c>
      <c r="X4">
        <v>385.58109999999999</v>
      </c>
      <c r="Y4">
        <v>388.70890000000003</v>
      </c>
      <c r="Z4">
        <v>384.94229999999999</v>
      </c>
      <c r="AA4">
        <v>387.14269999999999</v>
      </c>
      <c r="AB4">
        <v>562.19432500000005</v>
      </c>
      <c r="AC4" t="s">
        <v>222</v>
      </c>
      <c r="AD4" t="s">
        <v>223</v>
      </c>
      <c r="AE4" t="s">
        <v>224</v>
      </c>
      <c r="AF4" t="s">
        <v>225</v>
      </c>
      <c r="AG4" t="s">
        <v>226</v>
      </c>
      <c r="AH4">
        <v>8</v>
      </c>
      <c r="AI4" t="s">
        <v>227</v>
      </c>
      <c r="AK4" s="17">
        <v>1</v>
      </c>
    </row>
    <row r="5" spans="1:37">
      <c r="A5" t="s">
        <v>575</v>
      </c>
      <c r="B5" t="s">
        <v>576</v>
      </c>
      <c r="C5" t="s">
        <v>577</v>
      </c>
      <c r="D5" t="s">
        <v>212</v>
      </c>
      <c r="E5">
        <v>3</v>
      </c>
      <c r="F5" t="s">
        <v>213</v>
      </c>
      <c r="G5" t="s">
        <v>214</v>
      </c>
      <c r="H5" t="s">
        <v>215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2116.9259233211001</v>
      </c>
      <c r="S5">
        <v>1511.6239934017999</v>
      </c>
      <c r="T5">
        <v>4.4259233211</v>
      </c>
      <c r="U5">
        <v>0.87600659820000004</v>
      </c>
      <c r="V5">
        <v>4.5117828852999997</v>
      </c>
      <c r="W5">
        <v>734.0625</v>
      </c>
      <c r="X5">
        <v>386.69080000000002</v>
      </c>
      <c r="Y5">
        <v>381.47660000000002</v>
      </c>
      <c r="Z5">
        <v>379.61619999999999</v>
      </c>
      <c r="AA5">
        <v>385.18060000000003</v>
      </c>
      <c r="AB5">
        <v>558.65177500000004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>
        <v>8</v>
      </c>
      <c r="AI5" t="s">
        <v>227</v>
      </c>
      <c r="AK5" s="17">
        <v>1</v>
      </c>
    </row>
    <row r="6" spans="1:37">
      <c r="A6" t="s">
        <v>583</v>
      </c>
      <c r="B6" t="s">
        <v>584</v>
      </c>
      <c r="C6" t="s">
        <v>585</v>
      </c>
      <c r="D6" t="s">
        <v>212</v>
      </c>
      <c r="E6">
        <v>3</v>
      </c>
      <c r="F6" t="s">
        <v>213</v>
      </c>
      <c r="G6" t="s">
        <v>214</v>
      </c>
      <c r="H6" t="s">
        <v>215</v>
      </c>
      <c r="I6" t="s">
        <v>216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2122.7383196483001</v>
      </c>
      <c r="S6">
        <v>1508.8498436520999</v>
      </c>
      <c r="T6">
        <v>10.238319648299999</v>
      </c>
      <c r="U6">
        <v>3.6501563478999999</v>
      </c>
      <c r="V6">
        <v>10.8695368155</v>
      </c>
      <c r="W6">
        <v>717.35649999999998</v>
      </c>
      <c r="X6">
        <v>379.05340000000001</v>
      </c>
      <c r="Y6">
        <v>376.82170000000002</v>
      </c>
      <c r="Z6">
        <v>373.89550000000003</v>
      </c>
      <c r="AA6">
        <v>377.41399999999999</v>
      </c>
      <c r="AB6">
        <v>547.076325</v>
      </c>
      <c r="AC6" t="s">
        <v>222</v>
      </c>
      <c r="AD6" t="s">
        <v>223</v>
      </c>
      <c r="AE6" t="s">
        <v>224</v>
      </c>
      <c r="AF6" t="s">
        <v>225</v>
      </c>
      <c r="AG6" t="s">
        <v>226</v>
      </c>
      <c r="AH6">
        <v>8</v>
      </c>
      <c r="AI6" t="s">
        <v>227</v>
      </c>
      <c r="AK6" s="17">
        <v>1</v>
      </c>
    </row>
    <row r="7" spans="1:37">
      <c r="A7" t="s">
        <v>591</v>
      </c>
      <c r="B7" t="s">
        <v>592</v>
      </c>
      <c r="C7" t="s">
        <v>593</v>
      </c>
      <c r="D7" t="s">
        <v>212</v>
      </c>
      <c r="E7">
        <v>3</v>
      </c>
      <c r="F7" t="s">
        <v>213</v>
      </c>
      <c r="G7" t="s">
        <v>214</v>
      </c>
      <c r="H7" t="s">
        <v>215</v>
      </c>
      <c r="I7" t="s">
        <v>216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2118.2662845567002</v>
      </c>
      <c r="S7">
        <v>1515.3217151969</v>
      </c>
      <c r="T7">
        <v>5.7662845566999996</v>
      </c>
      <c r="U7">
        <v>-2.8217151969000001</v>
      </c>
      <c r="V7">
        <v>6.4196662094999999</v>
      </c>
      <c r="W7">
        <v>733.66020000000003</v>
      </c>
      <c r="X7">
        <v>385.50510000000003</v>
      </c>
      <c r="Y7">
        <v>387.50900000000001</v>
      </c>
      <c r="Z7">
        <v>381.30410000000001</v>
      </c>
      <c r="AA7">
        <v>385.78960000000001</v>
      </c>
      <c r="AB7">
        <v>559.34357499999999</v>
      </c>
      <c r="AC7" t="s">
        <v>222</v>
      </c>
      <c r="AD7" t="s">
        <v>223</v>
      </c>
      <c r="AE7" t="s">
        <v>224</v>
      </c>
      <c r="AF7" t="s">
        <v>225</v>
      </c>
      <c r="AG7" t="s">
        <v>226</v>
      </c>
      <c r="AH7">
        <v>8</v>
      </c>
      <c r="AI7" t="s">
        <v>227</v>
      </c>
      <c r="AK7" s="17">
        <v>1</v>
      </c>
    </row>
    <row r="8" spans="1:37">
      <c r="A8" t="s">
        <v>599</v>
      </c>
      <c r="B8" t="s">
        <v>600</v>
      </c>
      <c r="C8" t="s">
        <v>601</v>
      </c>
      <c r="D8" t="s">
        <v>212</v>
      </c>
      <c r="E8">
        <v>3</v>
      </c>
      <c r="F8" t="s">
        <v>213</v>
      </c>
      <c r="G8" t="s">
        <v>214</v>
      </c>
      <c r="H8" t="s">
        <v>215</v>
      </c>
      <c r="I8" t="s">
        <v>216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2119.0750532037</v>
      </c>
      <c r="S8">
        <v>1514.1727964315</v>
      </c>
      <c r="T8">
        <v>6.5750532036999996</v>
      </c>
      <c r="U8">
        <v>-1.6727964314999999</v>
      </c>
      <c r="V8">
        <v>6.7845097488999997</v>
      </c>
      <c r="W8">
        <v>735.72770000000003</v>
      </c>
      <c r="X8">
        <v>384.43079999999998</v>
      </c>
      <c r="Y8">
        <v>388.42110000000002</v>
      </c>
      <c r="Z8">
        <v>384.6114</v>
      </c>
      <c r="AA8">
        <v>386.70620000000002</v>
      </c>
      <c r="AB8">
        <v>560.88503749999995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>
        <v>8</v>
      </c>
      <c r="AI8" t="s">
        <v>227</v>
      </c>
      <c r="AK8" s="17">
        <v>1</v>
      </c>
    </row>
    <row r="9" spans="1:37">
      <c r="A9" t="s">
        <v>607</v>
      </c>
      <c r="B9" t="s">
        <v>608</v>
      </c>
      <c r="C9" t="s">
        <v>609</v>
      </c>
      <c r="D9" t="s">
        <v>212</v>
      </c>
      <c r="E9">
        <v>3</v>
      </c>
      <c r="F9" t="s">
        <v>213</v>
      </c>
      <c r="G9" t="s">
        <v>214</v>
      </c>
      <c r="H9" t="s">
        <v>215</v>
      </c>
      <c r="I9" t="s">
        <v>216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2110.0430336994</v>
      </c>
      <c r="S9">
        <v>1516.8529469944001</v>
      </c>
      <c r="T9">
        <v>-2.4569663006</v>
      </c>
      <c r="U9">
        <v>-4.3529469943999999</v>
      </c>
      <c r="V9">
        <v>4.9984828636999996</v>
      </c>
      <c r="W9">
        <v>741.09839999999997</v>
      </c>
      <c r="X9">
        <v>389.58330000000001</v>
      </c>
      <c r="Y9">
        <v>386.6497</v>
      </c>
      <c r="Z9">
        <v>387.21280000000002</v>
      </c>
      <c r="AA9">
        <v>385.69420000000002</v>
      </c>
      <c r="AB9">
        <v>564.19169999999997</v>
      </c>
      <c r="AC9" t="s">
        <v>222</v>
      </c>
      <c r="AD9" t="s">
        <v>223</v>
      </c>
      <c r="AE9" t="s">
        <v>224</v>
      </c>
      <c r="AF9" t="s">
        <v>225</v>
      </c>
      <c r="AG9" t="s">
        <v>226</v>
      </c>
      <c r="AH9">
        <v>8</v>
      </c>
      <c r="AI9" t="s">
        <v>227</v>
      </c>
      <c r="AK9" s="17">
        <v>1</v>
      </c>
    </row>
    <row r="10" spans="1:37">
      <c r="A10" t="s">
        <v>615</v>
      </c>
      <c r="B10" t="s">
        <v>616</v>
      </c>
      <c r="C10" t="s">
        <v>617</v>
      </c>
      <c r="D10" t="s">
        <v>212</v>
      </c>
      <c r="E10">
        <v>3</v>
      </c>
      <c r="F10" t="s">
        <v>213</v>
      </c>
      <c r="G10" t="s">
        <v>214</v>
      </c>
      <c r="H10" t="s">
        <v>215</v>
      </c>
      <c r="I10" t="s">
        <v>216</v>
      </c>
      <c r="K10" t="s">
        <v>618</v>
      </c>
      <c r="L10" t="s">
        <v>619</v>
      </c>
      <c r="M10" t="s">
        <v>620</v>
      </c>
      <c r="N10" t="s">
        <v>621</v>
      </c>
      <c r="O10" t="s">
        <v>622</v>
      </c>
      <c r="P10">
        <v>0</v>
      </c>
      <c r="Q10">
        <v>0</v>
      </c>
      <c r="R10">
        <v>2123.4023576111999</v>
      </c>
      <c r="S10">
        <v>1510.4003765456</v>
      </c>
      <c r="T10">
        <v>10.902357611199999</v>
      </c>
      <c r="U10">
        <v>2.0996234544000001</v>
      </c>
      <c r="V10">
        <v>11.102694273599999</v>
      </c>
      <c r="W10">
        <v>719.58550000000002</v>
      </c>
      <c r="X10">
        <v>379.09789999999998</v>
      </c>
      <c r="Y10">
        <v>377.4624</v>
      </c>
      <c r="Z10">
        <v>374.50830000000002</v>
      </c>
      <c r="AA10">
        <v>376.59010000000001</v>
      </c>
      <c r="AB10">
        <v>548.25008749999995</v>
      </c>
      <c r="AC10" t="s">
        <v>222</v>
      </c>
      <c r="AD10" t="s">
        <v>223</v>
      </c>
      <c r="AE10" t="s">
        <v>224</v>
      </c>
      <c r="AF10" t="s">
        <v>225</v>
      </c>
      <c r="AG10" t="s">
        <v>226</v>
      </c>
      <c r="AH10">
        <v>8</v>
      </c>
      <c r="AI10" t="s">
        <v>227</v>
      </c>
      <c r="AK10" s="17">
        <v>1</v>
      </c>
    </row>
    <row r="11" spans="1:37">
      <c r="A11" t="s">
        <v>661</v>
      </c>
      <c r="B11" t="s">
        <v>662</v>
      </c>
      <c r="C11" t="s">
        <v>663</v>
      </c>
      <c r="D11" t="s">
        <v>212</v>
      </c>
      <c r="E11">
        <v>3</v>
      </c>
      <c r="F11" t="s">
        <v>213</v>
      </c>
      <c r="G11" t="s">
        <v>214</v>
      </c>
      <c r="H11" t="s">
        <v>215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2111.7855759573999</v>
      </c>
      <c r="S11">
        <v>1522.6784045784</v>
      </c>
      <c r="T11">
        <v>-0.71442404260000003</v>
      </c>
      <c r="U11">
        <v>-10.1784045784</v>
      </c>
      <c r="V11">
        <v>10.203446548800001</v>
      </c>
      <c r="W11">
        <v>726.38720000000001</v>
      </c>
      <c r="X11">
        <v>379.59519999999998</v>
      </c>
      <c r="Y11">
        <v>384.32569999999998</v>
      </c>
      <c r="Z11">
        <v>379.45159999999998</v>
      </c>
      <c r="AA11">
        <v>380.04590000000002</v>
      </c>
      <c r="AB11">
        <v>553.62090000000001</v>
      </c>
      <c r="AC11" t="s">
        <v>222</v>
      </c>
      <c r="AD11" t="s">
        <v>223</v>
      </c>
      <c r="AE11" t="s">
        <v>224</v>
      </c>
      <c r="AF11" t="s">
        <v>225</v>
      </c>
      <c r="AG11" t="s">
        <v>226</v>
      </c>
      <c r="AH11">
        <v>8</v>
      </c>
      <c r="AI11" t="s">
        <v>227</v>
      </c>
      <c r="AK11" s="17">
        <v>1</v>
      </c>
    </row>
    <row r="12" spans="1:37">
      <c r="A12" t="s">
        <v>676</v>
      </c>
      <c r="B12" t="s">
        <v>677</v>
      </c>
      <c r="C12" t="s">
        <v>678</v>
      </c>
      <c r="D12" t="s">
        <v>212</v>
      </c>
      <c r="E12">
        <v>3</v>
      </c>
      <c r="F12" t="s">
        <v>213</v>
      </c>
      <c r="G12" t="s">
        <v>214</v>
      </c>
      <c r="H12" t="s">
        <v>215</v>
      </c>
      <c r="I12" t="s">
        <v>216</v>
      </c>
      <c r="K12" t="s">
        <v>679</v>
      </c>
      <c r="L12" t="s">
        <v>680</v>
      </c>
      <c r="M12" t="s">
        <v>681</v>
      </c>
      <c r="N12" t="s">
        <v>682</v>
      </c>
      <c r="O12" t="s">
        <v>683</v>
      </c>
      <c r="P12">
        <v>0</v>
      </c>
      <c r="Q12">
        <v>0</v>
      </c>
      <c r="R12">
        <v>2109.6318490929998</v>
      </c>
      <c r="S12">
        <v>1518.5601920726001</v>
      </c>
      <c r="T12">
        <v>-2.868150907</v>
      </c>
      <c r="U12">
        <v>-6.0601920725999996</v>
      </c>
      <c r="V12">
        <v>6.7046414953999998</v>
      </c>
      <c r="W12">
        <v>736.09910000000002</v>
      </c>
      <c r="X12">
        <v>385.03230000000002</v>
      </c>
      <c r="Y12">
        <v>386.01310000000001</v>
      </c>
      <c r="Z12">
        <v>385.8913</v>
      </c>
      <c r="AA12">
        <v>383.3913</v>
      </c>
      <c r="AB12">
        <v>560.59055000000001</v>
      </c>
      <c r="AC12" t="s">
        <v>222</v>
      </c>
      <c r="AD12" t="s">
        <v>223</v>
      </c>
      <c r="AE12" t="s">
        <v>224</v>
      </c>
      <c r="AF12" t="s">
        <v>225</v>
      </c>
      <c r="AG12" t="s">
        <v>226</v>
      </c>
      <c r="AH12">
        <v>8</v>
      </c>
      <c r="AI12" t="s">
        <v>227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212</v>
      </c>
      <c r="E13">
        <v>3</v>
      </c>
      <c r="F13" t="s">
        <v>213</v>
      </c>
      <c r="G13" t="s">
        <v>214</v>
      </c>
      <c r="H13" t="s">
        <v>215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2113.8153520332999</v>
      </c>
      <c r="S13">
        <v>1514.3180389085001</v>
      </c>
      <c r="T13">
        <v>1.3153520332999999</v>
      </c>
      <c r="U13">
        <v>-1.8180389084999999</v>
      </c>
      <c r="V13">
        <v>2.2439733609000001</v>
      </c>
      <c r="W13">
        <v>716.24720000000002</v>
      </c>
      <c r="X13">
        <v>377.19450000000001</v>
      </c>
      <c r="Y13">
        <v>381.18189999999998</v>
      </c>
      <c r="Z13">
        <v>375.80829999999997</v>
      </c>
      <c r="AA13">
        <v>377.399</v>
      </c>
      <c r="AB13">
        <v>547.07156250000003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>
        <v>8</v>
      </c>
      <c r="AI13" t="s">
        <v>227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266</v>
      </c>
      <c r="AW1" t="s">
        <v>206</v>
      </c>
      <c r="AX1" t="s">
        <v>207</v>
      </c>
      <c r="AY1" s="17" t="s">
        <v>208</v>
      </c>
    </row>
    <row r="2" spans="1:51">
      <c r="A2" t="s">
        <v>267</v>
      </c>
      <c r="B2" t="s">
        <v>268</v>
      </c>
      <c r="C2" t="s">
        <v>269</v>
      </c>
      <c r="D2" t="s">
        <v>212</v>
      </c>
      <c r="E2">
        <v>3</v>
      </c>
      <c r="F2" t="s">
        <v>213</v>
      </c>
      <c r="G2" t="s">
        <v>214</v>
      </c>
      <c r="H2" t="s">
        <v>270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2.5034E-6</v>
      </c>
      <c r="S2">
        <v>0.98653817180000003</v>
      </c>
      <c r="T2">
        <v>-4.089427948</v>
      </c>
      <c r="U2">
        <v>0.1770622134</v>
      </c>
      <c r="V2">
        <v>7.8913626671000001</v>
      </c>
      <c r="W2">
        <v>-9.9404621124000005</v>
      </c>
      <c r="X2">
        <v>-4.207862854</v>
      </c>
      <c r="Y2">
        <v>-0.44573473930000002</v>
      </c>
      <c r="Z2">
        <v>1.2497496605</v>
      </c>
      <c r="AA2">
        <v>-0.71061444279999997</v>
      </c>
      <c r="AB2">
        <v>-0.31814014909999999</v>
      </c>
      <c r="AC2">
        <v>-2.1710309982</v>
      </c>
      <c r="AD2">
        <v>2.7486231327000001</v>
      </c>
      <c r="AE2">
        <v>2.0262520312999999</v>
      </c>
      <c r="AF2">
        <v>0.88841086629999999</v>
      </c>
      <c r="AG2">
        <v>-0.36071217059999999</v>
      </c>
      <c r="AH2">
        <v>0.79794949289999995</v>
      </c>
      <c r="AI2">
        <v>-0.9543457031</v>
      </c>
      <c r="AJ2">
        <v>0.81388717889999995</v>
      </c>
      <c r="AK2">
        <v>-0.14256383480000001</v>
      </c>
      <c r="AL2">
        <v>1.882292E-4</v>
      </c>
      <c r="AM2">
        <v>4.3709177500000002E-2</v>
      </c>
      <c r="AN2">
        <v>0.17982502280000001</v>
      </c>
      <c r="AO2">
        <v>0.2077369392</v>
      </c>
      <c r="AP2">
        <v>0.2077369392</v>
      </c>
      <c r="AQ2">
        <v>0.2077369392</v>
      </c>
      <c r="AR2">
        <v>4.2067420299</v>
      </c>
      <c r="AS2" t="s">
        <v>271</v>
      </c>
      <c r="AT2" t="s">
        <v>272</v>
      </c>
      <c r="AU2">
        <v>3</v>
      </c>
      <c r="AV2">
        <v>2.9</v>
      </c>
      <c r="AY2" s="17">
        <v>1</v>
      </c>
    </row>
    <row r="3" spans="1:51">
      <c r="A3" t="s">
        <v>556</v>
      </c>
      <c r="B3" t="s">
        <v>557</v>
      </c>
      <c r="C3" t="s">
        <v>558</v>
      </c>
      <c r="D3" t="s">
        <v>212</v>
      </c>
      <c r="E3">
        <v>3</v>
      </c>
      <c r="F3" t="s">
        <v>213</v>
      </c>
      <c r="G3" t="s">
        <v>214</v>
      </c>
      <c r="H3" t="s">
        <v>270</v>
      </c>
      <c r="I3" t="s">
        <v>216</v>
      </c>
      <c r="K3" t="s">
        <v>231</v>
      </c>
      <c r="L3" t="s">
        <v>232</v>
      </c>
      <c r="M3" t="s">
        <v>233</v>
      </c>
      <c r="N3" t="s">
        <v>234</v>
      </c>
      <c r="O3" t="s">
        <v>235</v>
      </c>
      <c r="P3">
        <v>0</v>
      </c>
      <c r="Q3">
        <v>0</v>
      </c>
      <c r="R3">
        <v>7.7187999999999993E-5</v>
      </c>
      <c r="S3">
        <v>3.6698341370000001</v>
      </c>
      <c r="T3">
        <v>9.1531839370999997</v>
      </c>
      <c r="U3">
        <v>4.4176521300999996</v>
      </c>
      <c r="V3">
        <v>7.0441341399999997</v>
      </c>
      <c r="W3">
        <v>-4.1286993027000003</v>
      </c>
      <c r="X3">
        <v>-1.5160921812000001</v>
      </c>
      <c r="Y3">
        <v>-6.3080925940999997</v>
      </c>
      <c r="Z3">
        <v>1.0646526813999999</v>
      </c>
      <c r="AA3">
        <v>-0.47749853129999997</v>
      </c>
      <c r="AB3">
        <v>5.8682799299999998E-2</v>
      </c>
      <c r="AC3">
        <v>-2.2066435813999998</v>
      </c>
      <c r="AD3">
        <v>0.45109081270000001</v>
      </c>
      <c r="AE3">
        <v>0.1023624986</v>
      </c>
      <c r="AF3">
        <v>2.8593311309999998</v>
      </c>
      <c r="AG3">
        <v>-0.75504529480000004</v>
      </c>
      <c r="AH3">
        <v>-0.45699572560000001</v>
      </c>
      <c r="AI3">
        <v>0.60494571919999995</v>
      </c>
      <c r="AJ3">
        <v>-6.8960666700000006E-2</v>
      </c>
      <c r="AK3">
        <v>0.38752871750000001</v>
      </c>
      <c r="AL3">
        <v>1.930562E-4</v>
      </c>
      <c r="AM3">
        <v>4.5329149800000003E-2</v>
      </c>
      <c r="AN3">
        <v>0.1080414355</v>
      </c>
      <c r="AO3">
        <v>0.23488114769999999</v>
      </c>
      <c r="AP3">
        <v>0.28921821710000001</v>
      </c>
      <c r="AQ3">
        <v>0.28921821710000001</v>
      </c>
      <c r="AR3">
        <v>9.8614633183000002</v>
      </c>
      <c r="AS3" t="s">
        <v>271</v>
      </c>
      <c r="AT3" t="s">
        <v>272</v>
      </c>
      <c r="AU3">
        <v>4</v>
      </c>
      <c r="AV3">
        <v>2.9</v>
      </c>
      <c r="AY3" s="17">
        <v>1</v>
      </c>
    </row>
    <row r="4" spans="1:51">
      <c r="A4" t="s">
        <v>568</v>
      </c>
      <c r="B4" t="s">
        <v>569</v>
      </c>
      <c r="C4" t="s">
        <v>570</v>
      </c>
      <c r="D4" t="s">
        <v>212</v>
      </c>
      <c r="E4">
        <v>3</v>
      </c>
      <c r="F4" t="s">
        <v>213</v>
      </c>
      <c r="G4" t="s">
        <v>214</v>
      </c>
      <c r="H4" t="s">
        <v>270</v>
      </c>
      <c r="I4" t="s">
        <v>216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7.8677999999999994E-6</v>
      </c>
      <c r="S4">
        <v>2.6064023972000001</v>
      </c>
      <c r="T4">
        <v>0.90179377790000004</v>
      </c>
      <c r="U4">
        <v>-2.4740116595999999</v>
      </c>
      <c r="V4">
        <v>5.6615457535000004</v>
      </c>
      <c r="W4">
        <v>-2.2486402987999998</v>
      </c>
      <c r="X4">
        <v>-3.1744878291999998</v>
      </c>
      <c r="Y4">
        <v>0.2020497322</v>
      </c>
      <c r="Z4">
        <v>2.3180623054999998</v>
      </c>
      <c r="AA4">
        <v>0.1861035228</v>
      </c>
      <c r="AB4">
        <v>0.97043913599999998</v>
      </c>
      <c r="AC4">
        <v>-1.3296294211999999</v>
      </c>
      <c r="AD4">
        <v>0.2834132016</v>
      </c>
      <c r="AE4">
        <v>1.1369099617</v>
      </c>
      <c r="AF4">
        <v>0.16614449019999999</v>
      </c>
      <c r="AG4">
        <v>-0.73696535829999998</v>
      </c>
      <c r="AH4">
        <v>1.0132453442</v>
      </c>
      <c r="AI4">
        <v>-0.64232373239999996</v>
      </c>
      <c r="AJ4">
        <v>0.21654683350000001</v>
      </c>
      <c r="AK4">
        <v>0.47937077280000001</v>
      </c>
      <c r="AL4">
        <v>1.841139E-4</v>
      </c>
      <c r="AM4">
        <v>4.4630415700000002E-2</v>
      </c>
      <c r="AN4">
        <v>7.63457939E-2</v>
      </c>
      <c r="AO4">
        <v>2.9270406799999999E-2</v>
      </c>
      <c r="AP4">
        <v>0.1227945238</v>
      </c>
      <c r="AQ4">
        <v>0.1239312887</v>
      </c>
      <c r="AR4">
        <v>2.7580002671999999</v>
      </c>
      <c r="AS4" t="s">
        <v>271</v>
      </c>
      <c r="AT4" t="s">
        <v>272</v>
      </c>
      <c r="AU4">
        <v>3</v>
      </c>
      <c r="AV4">
        <v>2.9</v>
      </c>
      <c r="AY4" s="17">
        <v>1</v>
      </c>
    </row>
    <row r="5" spans="1:51">
      <c r="A5" t="s">
        <v>623</v>
      </c>
      <c r="B5" t="s">
        <v>624</v>
      </c>
      <c r="C5" t="s">
        <v>625</v>
      </c>
      <c r="D5" t="s">
        <v>212</v>
      </c>
      <c r="E5">
        <v>3</v>
      </c>
      <c r="F5" t="s">
        <v>213</v>
      </c>
      <c r="G5" t="s">
        <v>214</v>
      </c>
      <c r="H5" t="s">
        <v>270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-1.86563E-5</v>
      </c>
      <c r="S5">
        <v>6.0663132667999999</v>
      </c>
      <c r="T5">
        <v>5.1228804588000001</v>
      </c>
      <c r="U5">
        <v>3.9524264335999999</v>
      </c>
      <c r="V5">
        <v>9.0411767960000002</v>
      </c>
      <c r="W5">
        <v>-2.8130054474000001</v>
      </c>
      <c r="X5">
        <v>-2.4921033382000002</v>
      </c>
      <c r="Y5">
        <v>-5.1927566528</v>
      </c>
      <c r="Z5">
        <v>0.20890438559999999</v>
      </c>
      <c r="AA5">
        <v>-1.5440899133999999</v>
      </c>
      <c r="AB5">
        <v>-0.95496451849999997</v>
      </c>
      <c r="AC5">
        <v>-2.8026597500000001</v>
      </c>
      <c r="AD5">
        <v>1.4268288612</v>
      </c>
      <c r="AE5">
        <v>0.4928334057</v>
      </c>
      <c r="AF5">
        <v>2.0412611960999998</v>
      </c>
      <c r="AG5">
        <v>-0.2084404379</v>
      </c>
      <c r="AH5">
        <v>0.6101895571</v>
      </c>
      <c r="AI5">
        <v>-0.41062843799999998</v>
      </c>
      <c r="AJ5">
        <v>0.95159554479999997</v>
      </c>
      <c r="AK5">
        <v>0.2513902187</v>
      </c>
      <c r="AL5">
        <v>1.430418E-4</v>
      </c>
      <c r="AM5">
        <v>3.97985987E-2</v>
      </c>
      <c r="AN5">
        <v>0.1435795426</v>
      </c>
      <c r="AO5">
        <v>0.15243485570000001</v>
      </c>
      <c r="AP5">
        <v>0.28739070890000001</v>
      </c>
      <c r="AQ5">
        <v>0.28739070890000001</v>
      </c>
      <c r="AR5">
        <v>7.9400290204999999</v>
      </c>
      <c r="AS5" t="s">
        <v>271</v>
      </c>
      <c r="AT5" t="s">
        <v>272</v>
      </c>
      <c r="AU5">
        <v>4</v>
      </c>
      <c r="AV5">
        <v>2.9</v>
      </c>
      <c r="AY5" s="17">
        <v>1</v>
      </c>
    </row>
    <row r="6" spans="1:51">
      <c r="A6" t="s">
        <v>626</v>
      </c>
      <c r="B6" t="s">
        <v>627</v>
      </c>
      <c r="C6" t="s">
        <v>628</v>
      </c>
      <c r="D6" t="s">
        <v>212</v>
      </c>
      <c r="E6">
        <v>3</v>
      </c>
      <c r="F6" t="s">
        <v>213</v>
      </c>
      <c r="G6" t="s">
        <v>214</v>
      </c>
      <c r="H6" t="s">
        <v>270</v>
      </c>
      <c r="I6" t="s">
        <v>216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-3.8266200000000003E-5</v>
      </c>
      <c r="S6">
        <v>-4.4290771484000002</v>
      </c>
      <c r="T6">
        <v>5.9440841674999998</v>
      </c>
      <c r="U6">
        <v>3.5963206291000001</v>
      </c>
      <c r="V6">
        <v>8.4400434493999992</v>
      </c>
      <c r="W6">
        <v>-5.4986133575</v>
      </c>
      <c r="X6">
        <v>1.2985193729</v>
      </c>
      <c r="Y6">
        <v>-4.2501688004</v>
      </c>
      <c r="Z6">
        <v>1.9586772919</v>
      </c>
      <c r="AA6">
        <v>-0.48541045189999998</v>
      </c>
      <c r="AB6">
        <v>-0.62185966969999995</v>
      </c>
      <c r="AC6">
        <v>-2.4441013335999999</v>
      </c>
      <c r="AD6">
        <v>0.76492655279999999</v>
      </c>
      <c r="AE6">
        <v>-0.1640048623</v>
      </c>
      <c r="AF6">
        <v>1.4019731283000001</v>
      </c>
      <c r="AG6">
        <v>-1.4717636108000001</v>
      </c>
      <c r="AH6">
        <v>0.34079426530000001</v>
      </c>
      <c r="AI6">
        <v>-0.67006218429999997</v>
      </c>
      <c r="AJ6">
        <v>-0.2133178711</v>
      </c>
      <c r="AK6">
        <v>0.243590802</v>
      </c>
      <c r="AL6">
        <v>1.2893529999999999E-4</v>
      </c>
      <c r="AM6">
        <v>3.7802915999999999E-2</v>
      </c>
      <c r="AN6">
        <v>0.1168709099</v>
      </c>
      <c r="AO6">
        <v>0.1616181582</v>
      </c>
      <c r="AP6">
        <v>0.27761262660000002</v>
      </c>
      <c r="AQ6">
        <v>0.27761262660000002</v>
      </c>
      <c r="AR6">
        <v>7.412749893</v>
      </c>
      <c r="AS6" t="s">
        <v>271</v>
      </c>
      <c r="AT6" t="s">
        <v>272</v>
      </c>
      <c r="AU6">
        <v>4</v>
      </c>
      <c r="AV6">
        <v>2.9</v>
      </c>
      <c r="AY6" s="17">
        <v>1</v>
      </c>
    </row>
    <row r="7" spans="1:51">
      <c r="A7" t="s">
        <v>629</v>
      </c>
      <c r="B7" t="s">
        <v>630</v>
      </c>
      <c r="C7" t="s">
        <v>631</v>
      </c>
      <c r="D7" t="s">
        <v>212</v>
      </c>
      <c r="E7">
        <v>3</v>
      </c>
      <c r="F7" t="s">
        <v>213</v>
      </c>
      <c r="G7" t="s">
        <v>214</v>
      </c>
      <c r="H7" t="s">
        <v>270</v>
      </c>
      <c r="I7" t="s">
        <v>216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-1.3113E-5</v>
      </c>
      <c r="S7">
        <v>0.31449222560000001</v>
      </c>
      <c r="T7">
        <v>1.5895075798</v>
      </c>
      <c r="U7">
        <v>3.0581598282</v>
      </c>
      <c r="V7">
        <v>7.6055183410999998</v>
      </c>
      <c r="W7">
        <v>-0.9062643051</v>
      </c>
      <c r="X7">
        <v>-1.5141363144</v>
      </c>
      <c r="Y7">
        <v>0.70068538189999996</v>
      </c>
      <c r="Z7">
        <v>0.77222323420000005</v>
      </c>
      <c r="AA7">
        <v>0.28350985049999999</v>
      </c>
      <c r="AB7">
        <v>0.1131661981</v>
      </c>
      <c r="AC7">
        <v>-2.4189043044999998</v>
      </c>
      <c r="AD7">
        <v>0.15619790550000001</v>
      </c>
      <c r="AE7">
        <v>1.3634783029999999</v>
      </c>
      <c r="AF7">
        <v>-6.8762734500000006E-2</v>
      </c>
      <c r="AG7">
        <v>-0.2985191941</v>
      </c>
      <c r="AH7">
        <v>0.68836176400000004</v>
      </c>
      <c r="AI7">
        <v>0.1247855574</v>
      </c>
      <c r="AJ7">
        <v>-0.17280530929999999</v>
      </c>
      <c r="AK7">
        <v>-0.73181593420000002</v>
      </c>
      <c r="AL7">
        <v>1.9302929999999999E-4</v>
      </c>
      <c r="AM7">
        <v>4.4621102500000002E-2</v>
      </c>
      <c r="AN7">
        <v>4.4719792899999999E-2</v>
      </c>
      <c r="AO7">
        <v>3.3190734700000002E-2</v>
      </c>
      <c r="AP7">
        <v>0.1619831175</v>
      </c>
      <c r="AQ7">
        <v>0.1619831175</v>
      </c>
      <c r="AR7">
        <v>1.6203208652000001</v>
      </c>
      <c r="AS7" t="s">
        <v>271</v>
      </c>
      <c r="AT7" t="s">
        <v>272</v>
      </c>
      <c r="AU7">
        <v>3</v>
      </c>
      <c r="AV7">
        <v>2.9</v>
      </c>
      <c r="AY7" s="17">
        <v>1</v>
      </c>
    </row>
    <row r="8" spans="1:51">
      <c r="A8" t="s">
        <v>632</v>
      </c>
      <c r="B8" t="s">
        <v>633</v>
      </c>
      <c r="C8" t="s">
        <v>634</v>
      </c>
      <c r="D8" t="s">
        <v>212</v>
      </c>
      <c r="E8">
        <v>3</v>
      </c>
      <c r="F8" t="s">
        <v>213</v>
      </c>
      <c r="G8" t="s">
        <v>214</v>
      </c>
      <c r="H8" t="s">
        <v>270</v>
      </c>
      <c r="I8" t="s">
        <v>216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1.3113E-5</v>
      </c>
      <c r="S8">
        <v>-2.9033565521</v>
      </c>
      <c r="T8">
        <v>7.2113676070999997</v>
      </c>
      <c r="U8">
        <v>0.28777003289999997</v>
      </c>
      <c r="V8">
        <v>5.2088088989000001</v>
      </c>
      <c r="W8">
        <v>-6.6786065101999998</v>
      </c>
      <c r="X8">
        <v>-0.16911830010000001</v>
      </c>
      <c r="Y8">
        <v>-2.8510992527000001</v>
      </c>
      <c r="Z8">
        <v>0.73525333400000004</v>
      </c>
      <c r="AA8">
        <v>0.87400138380000003</v>
      </c>
      <c r="AB8">
        <v>0.31543028350000002</v>
      </c>
      <c r="AC8">
        <v>-1.1425769329</v>
      </c>
      <c r="AD8">
        <v>1.3000867367</v>
      </c>
      <c r="AE8">
        <v>0.57093709709999996</v>
      </c>
      <c r="AF8">
        <v>0.62119734289999995</v>
      </c>
      <c r="AG8">
        <v>-0.17273768780000001</v>
      </c>
      <c r="AH8">
        <v>0.49020257589999999</v>
      </c>
      <c r="AI8">
        <v>-0.30480498080000001</v>
      </c>
      <c r="AJ8">
        <v>5.6902766000000004E-3</v>
      </c>
      <c r="AK8">
        <v>0.41781663889999998</v>
      </c>
      <c r="AL8">
        <v>1.6897099999999999E-4</v>
      </c>
      <c r="AM8">
        <v>4.2222481200000002E-2</v>
      </c>
      <c r="AN8">
        <v>0.1248650625</v>
      </c>
      <c r="AO8">
        <v>0.1836283058</v>
      </c>
      <c r="AP8">
        <v>0.1836283058</v>
      </c>
      <c r="AQ8">
        <v>0.1836283058</v>
      </c>
      <c r="AR8">
        <v>7.7738859031</v>
      </c>
      <c r="AS8" t="s">
        <v>271</v>
      </c>
      <c r="AT8" t="s">
        <v>272</v>
      </c>
      <c r="AU8">
        <v>3</v>
      </c>
      <c r="AV8">
        <v>2.9</v>
      </c>
      <c r="AY8" s="17">
        <v>1</v>
      </c>
    </row>
    <row r="9" spans="1:51">
      <c r="A9" t="s">
        <v>635</v>
      </c>
      <c r="B9" t="s">
        <v>636</v>
      </c>
      <c r="C9" t="s">
        <v>637</v>
      </c>
      <c r="D9" t="s">
        <v>212</v>
      </c>
      <c r="E9">
        <v>3</v>
      </c>
      <c r="F9" t="s">
        <v>213</v>
      </c>
      <c r="G9" t="s">
        <v>214</v>
      </c>
      <c r="H9" t="s">
        <v>270</v>
      </c>
      <c r="I9" t="s">
        <v>216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-3.8504599999999997E-5</v>
      </c>
      <c r="S9">
        <v>-6.1761827469000004</v>
      </c>
      <c r="T9">
        <v>10.982080459600001</v>
      </c>
      <c r="U9">
        <v>2.8510103226000001</v>
      </c>
      <c r="V9">
        <v>10.3223361969</v>
      </c>
      <c r="W9">
        <v>-4.5547523499000002</v>
      </c>
      <c r="X9">
        <v>1.5241270065000001</v>
      </c>
      <c r="Y9">
        <v>-4.9839954376</v>
      </c>
      <c r="Z9">
        <v>2.4602789879000002</v>
      </c>
      <c r="AA9">
        <v>0.95005547999999995</v>
      </c>
      <c r="AB9">
        <v>0.38133907319999999</v>
      </c>
      <c r="AC9">
        <v>-2.4918935299</v>
      </c>
      <c r="AD9">
        <v>1.2369294167</v>
      </c>
      <c r="AE9">
        <v>6.37046099E-2</v>
      </c>
      <c r="AF9">
        <v>1.6136541366999999</v>
      </c>
      <c r="AG9">
        <v>-1.6441425085000001</v>
      </c>
      <c r="AH9">
        <v>0.72367584709999999</v>
      </c>
      <c r="AI9">
        <v>0.85529589650000004</v>
      </c>
      <c r="AJ9">
        <v>-0.3717911243</v>
      </c>
      <c r="AK9">
        <v>-0.20700681209999999</v>
      </c>
      <c r="AL9">
        <v>1.620627E-4</v>
      </c>
      <c r="AM9">
        <v>4.0783129600000002E-2</v>
      </c>
      <c r="AN9">
        <v>0.1496105492</v>
      </c>
      <c r="AO9">
        <v>0.2268384695</v>
      </c>
      <c r="AP9">
        <v>0.3443012238</v>
      </c>
      <c r="AQ9">
        <v>0.3443012238</v>
      </c>
      <c r="AR9">
        <v>12.5996557312</v>
      </c>
      <c r="AS9" t="s">
        <v>271</v>
      </c>
      <c r="AT9" t="s">
        <v>272</v>
      </c>
      <c r="AU9">
        <v>3</v>
      </c>
      <c r="AV9">
        <v>2.9</v>
      </c>
      <c r="AY9" s="17">
        <v>1</v>
      </c>
    </row>
    <row r="10" spans="1:51">
      <c r="A10" t="s">
        <v>669</v>
      </c>
      <c r="B10" t="s">
        <v>670</v>
      </c>
      <c r="C10" t="s">
        <v>671</v>
      </c>
      <c r="D10" t="s">
        <v>212</v>
      </c>
      <c r="E10">
        <v>3</v>
      </c>
      <c r="F10" t="s">
        <v>213</v>
      </c>
      <c r="G10" t="s">
        <v>214</v>
      </c>
      <c r="H10" t="s">
        <v>270</v>
      </c>
      <c r="I10" t="s">
        <v>216</v>
      </c>
      <c r="K10" t="s">
        <v>618</v>
      </c>
      <c r="L10" t="s">
        <v>619</v>
      </c>
      <c r="M10" t="s">
        <v>620</v>
      </c>
      <c r="N10" t="s">
        <v>621</v>
      </c>
      <c r="O10" t="s">
        <v>622</v>
      </c>
      <c r="P10">
        <v>0</v>
      </c>
      <c r="Q10">
        <v>0</v>
      </c>
      <c r="R10">
        <v>4.31538E-5</v>
      </c>
      <c r="S10">
        <v>4.6014242171999999</v>
      </c>
      <c r="T10">
        <v>8.8301334381000007</v>
      </c>
      <c r="U10">
        <v>2.7380526066000002</v>
      </c>
      <c r="V10">
        <v>7.8410844803000002</v>
      </c>
      <c r="W10">
        <v>-9.4070415497000006</v>
      </c>
      <c r="X10">
        <v>-0.2620428205</v>
      </c>
      <c r="Y10">
        <v>-5.4105315208000002</v>
      </c>
      <c r="Z10">
        <v>2.6371092796000002</v>
      </c>
      <c r="AA10">
        <v>-1.2935907841000001</v>
      </c>
      <c r="AB10">
        <v>-0.39928996560000002</v>
      </c>
      <c r="AC10">
        <v>-2.6450457573000001</v>
      </c>
      <c r="AD10">
        <v>1.7691571712</v>
      </c>
      <c r="AE10">
        <v>-0.72433781620000004</v>
      </c>
      <c r="AF10">
        <v>1.5974965096</v>
      </c>
      <c r="AG10">
        <v>-1.3772896528</v>
      </c>
      <c r="AH10">
        <v>-0.28947889799999998</v>
      </c>
      <c r="AI10">
        <v>-0.23795247080000001</v>
      </c>
      <c r="AJ10">
        <v>0.67395114899999997</v>
      </c>
      <c r="AK10">
        <v>-1.84113383E-2</v>
      </c>
      <c r="AL10">
        <v>2.1435350000000001E-4</v>
      </c>
      <c r="AM10">
        <v>4.7618582800000003E-2</v>
      </c>
      <c r="AN10">
        <v>0.2004105598</v>
      </c>
      <c r="AO10">
        <v>0.24790020290000001</v>
      </c>
      <c r="AP10">
        <v>0.27648657560000001</v>
      </c>
      <c r="AQ10">
        <v>0.27648657560000001</v>
      </c>
      <c r="AR10">
        <v>9.9571261597999996</v>
      </c>
      <c r="AS10" t="s">
        <v>271</v>
      </c>
      <c r="AT10" t="s">
        <v>272</v>
      </c>
      <c r="AU10">
        <v>4</v>
      </c>
      <c r="AV10">
        <v>2.9</v>
      </c>
      <c r="AY10" s="17">
        <v>1</v>
      </c>
    </row>
    <row r="11" spans="1:51">
      <c r="A11" t="s">
        <v>684</v>
      </c>
      <c r="B11" t="s">
        <v>685</v>
      </c>
      <c r="C11" t="s">
        <v>686</v>
      </c>
      <c r="D11" t="s">
        <v>212</v>
      </c>
      <c r="E11">
        <v>3</v>
      </c>
      <c r="F11" t="s">
        <v>213</v>
      </c>
      <c r="G11" t="s">
        <v>214</v>
      </c>
      <c r="H11" t="s">
        <v>270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2.5034E-6</v>
      </c>
      <c r="S11">
        <v>5.5670042037999998</v>
      </c>
      <c r="T11">
        <v>-8.3201503754000008</v>
      </c>
      <c r="U11">
        <v>-3.784444809</v>
      </c>
      <c r="V11">
        <v>4.1258206367000003</v>
      </c>
      <c r="W11">
        <v>-3.0942106247000001</v>
      </c>
      <c r="X11">
        <v>-1.4016120433999999</v>
      </c>
      <c r="Y11">
        <v>3.7274308205</v>
      </c>
      <c r="Z11">
        <v>3.0910263061999999</v>
      </c>
      <c r="AA11">
        <v>0.1891176701</v>
      </c>
      <c r="AB11">
        <v>-0.41807788610000002</v>
      </c>
      <c r="AC11">
        <v>-1.0523489714000001</v>
      </c>
      <c r="AD11">
        <v>0.73855233190000003</v>
      </c>
      <c r="AE11">
        <v>7.8602790800000003E-2</v>
      </c>
      <c r="AF11">
        <v>-1.3948506116999999</v>
      </c>
      <c r="AG11">
        <v>-0.82950520520000004</v>
      </c>
      <c r="AH11">
        <v>0.70822894569999995</v>
      </c>
      <c r="AI11">
        <v>0.1817713976</v>
      </c>
      <c r="AJ11">
        <v>-0.46482807399999998</v>
      </c>
      <c r="AK11">
        <v>-0.1928262711</v>
      </c>
      <c r="AL11">
        <v>1.569428E-4</v>
      </c>
      <c r="AM11">
        <v>4.1965216399999998E-2</v>
      </c>
      <c r="AN11">
        <v>0.1024495065</v>
      </c>
      <c r="AO11">
        <v>0.17337745430000001</v>
      </c>
      <c r="AP11">
        <v>0.194837749</v>
      </c>
      <c r="AQ11">
        <v>0.2081611454</v>
      </c>
      <c r="AR11">
        <v>10.010816054299999</v>
      </c>
      <c r="AS11" t="s">
        <v>271</v>
      </c>
      <c r="AT11" t="s">
        <v>272</v>
      </c>
      <c r="AU11">
        <v>4</v>
      </c>
      <c r="AV11">
        <v>2.9</v>
      </c>
      <c r="AY11" s="17">
        <v>1</v>
      </c>
    </row>
    <row r="12" spans="1:51">
      <c r="A12" t="s">
        <v>687</v>
      </c>
      <c r="B12" t="s">
        <v>688</v>
      </c>
      <c r="C12" t="s">
        <v>689</v>
      </c>
      <c r="D12" t="s">
        <v>212</v>
      </c>
      <c r="E12">
        <v>3</v>
      </c>
      <c r="F12" t="s">
        <v>213</v>
      </c>
      <c r="G12" t="s">
        <v>214</v>
      </c>
      <c r="H12" t="s">
        <v>270</v>
      </c>
      <c r="I12" t="s">
        <v>216</v>
      </c>
      <c r="K12" t="s">
        <v>679</v>
      </c>
      <c r="L12" t="s">
        <v>680</v>
      </c>
      <c r="M12" t="s">
        <v>681</v>
      </c>
      <c r="N12" t="s">
        <v>682</v>
      </c>
      <c r="O12" t="s">
        <v>683</v>
      </c>
      <c r="P12">
        <v>0</v>
      </c>
      <c r="Q12">
        <v>0</v>
      </c>
      <c r="R12">
        <v>-3.67165E-5</v>
      </c>
      <c r="S12">
        <v>9.8562946320000009</v>
      </c>
      <c r="T12">
        <v>7.7209630013000004</v>
      </c>
      <c r="U12">
        <v>-2.4745237827</v>
      </c>
      <c r="V12">
        <v>6.3430247306999998</v>
      </c>
      <c r="W12">
        <v>-3.0210661887999999</v>
      </c>
      <c r="X12">
        <v>-0.23216557500000001</v>
      </c>
      <c r="Y12">
        <v>-6.5949172974000003</v>
      </c>
      <c r="Z12">
        <v>3.2403855323999999</v>
      </c>
      <c r="AA12">
        <v>-7.3592364800000004E-2</v>
      </c>
      <c r="AB12">
        <v>-1.27067554</v>
      </c>
      <c r="AC12">
        <v>-1.9793193339999999</v>
      </c>
      <c r="AD12">
        <v>0.33598017689999998</v>
      </c>
      <c r="AE12">
        <v>-0.81640517710000005</v>
      </c>
      <c r="AF12">
        <v>2.1466073990000001</v>
      </c>
      <c r="AG12">
        <v>-1.2963509559999999</v>
      </c>
      <c r="AH12">
        <v>0.5603939295</v>
      </c>
      <c r="AI12">
        <v>-0.76699972149999995</v>
      </c>
      <c r="AJ12">
        <v>-2.7059912700000001E-2</v>
      </c>
      <c r="AK12">
        <v>0.12106412649999999</v>
      </c>
      <c r="AL12">
        <v>1.7482829999999999E-4</v>
      </c>
      <c r="AM12">
        <v>4.2165987199999998E-2</v>
      </c>
      <c r="AN12">
        <v>0.1422026455</v>
      </c>
      <c r="AO12">
        <v>0.2219984233</v>
      </c>
      <c r="AP12">
        <v>0.28672671319999998</v>
      </c>
      <c r="AQ12">
        <v>0.28672671319999998</v>
      </c>
      <c r="AR12">
        <v>12.520375934400001</v>
      </c>
      <c r="AS12" t="s">
        <v>271</v>
      </c>
      <c r="AT12" t="s">
        <v>272</v>
      </c>
      <c r="AU12">
        <v>3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705</v>
      </c>
      <c r="D13" t="s">
        <v>212</v>
      </c>
      <c r="E13">
        <v>3</v>
      </c>
      <c r="F13" t="s">
        <v>213</v>
      </c>
      <c r="G13" t="s">
        <v>214</v>
      </c>
      <c r="H13" t="s">
        <v>270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3.27826E-5</v>
      </c>
      <c r="S13">
        <v>7.9389562607000004</v>
      </c>
      <c r="T13">
        <v>5.2831292151999998</v>
      </c>
      <c r="U13">
        <v>1.2425251007</v>
      </c>
      <c r="V13">
        <v>4.3003864288000004</v>
      </c>
      <c r="W13">
        <v>-6.7382397652000003</v>
      </c>
      <c r="X13">
        <v>-2.6275854111000001</v>
      </c>
      <c r="Y13">
        <v>-3.5389430523000001</v>
      </c>
      <c r="Z13">
        <v>2.1998949050999999</v>
      </c>
      <c r="AA13">
        <v>1.1957659721</v>
      </c>
      <c r="AB13">
        <v>0.1120636463</v>
      </c>
      <c r="AC13">
        <v>-1.8947309256</v>
      </c>
      <c r="AD13">
        <v>1.2420650720999999</v>
      </c>
      <c r="AE13">
        <v>0.96247828010000003</v>
      </c>
      <c r="AF13">
        <v>0.88484895230000005</v>
      </c>
      <c r="AG13">
        <v>-1.1647828817000001</v>
      </c>
      <c r="AH13">
        <v>-0.80465114120000003</v>
      </c>
      <c r="AI13">
        <v>0.10098874569999999</v>
      </c>
      <c r="AJ13">
        <v>-0.1053369641</v>
      </c>
      <c r="AK13">
        <v>1.0411417484000001</v>
      </c>
      <c r="AL13">
        <v>1.5921309999999999E-4</v>
      </c>
      <c r="AM13">
        <v>4.1387833700000001E-2</v>
      </c>
      <c r="AN13">
        <v>0.16931737960000001</v>
      </c>
      <c r="AO13">
        <v>0.16064985100000001</v>
      </c>
      <c r="AP13">
        <v>0.23086667059999999</v>
      </c>
      <c r="AQ13">
        <v>0.23086667059999999</v>
      </c>
      <c r="AR13">
        <v>9.5361669874999997</v>
      </c>
      <c r="AS13" t="s">
        <v>271</v>
      </c>
      <c r="AT13" t="s">
        <v>272</v>
      </c>
      <c r="AU13">
        <v>4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278</v>
      </c>
      <c r="X1" t="s">
        <v>279</v>
      </c>
      <c r="Y1" t="s">
        <v>280</v>
      </c>
      <c r="Z1" t="s">
        <v>281</v>
      </c>
      <c r="AA1" t="s">
        <v>282</v>
      </c>
      <c r="AB1" t="s">
        <v>283</v>
      </c>
      <c r="AC1" t="s">
        <v>284</v>
      </c>
      <c r="AD1" t="s">
        <v>285</v>
      </c>
      <c r="AE1" t="s">
        <v>206</v>
      </c>
      <c r="AF1" t="s">
        <v>207</v>
      </c>
      <c r="AG1" s="17" t="s">
        <v>208</v>
      </c>
    </row>
    <row r="2" spans="1:33">
      <c r="A2" t="s">
        <v>267</v>
      </c>
      <c r="B2" t="s">
        <v>268</v>
      </c>
      <c r="C2" t="s">
        <v>286</v>
      </c>
      <c r="D2" t="s">
        <v>212</v>
      </c>
      <c r="E2">
        <v>3</v>
      </c>
      <c r="F2" t="s">
        <v>213</v>
      </c>
      <c r="G2" t="s">
        <v>214</v>
      </c>
      <c r="H2" t="s">
        <v>270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-4.6920821114000004</v>
      </c>
      <c r="S2">
        <v>-32</v>
      </c>
      <c r="T2">
        <v>91.222858155400004</v>
      </c>
      <c r="U2">
        <v>109.0247498799</v>
      </c>
      <c r="V2">
        <v>3.818597794</v>
      </c>
      <c r="W2">
        <v>4.8823553000000002E-3</v>
      </c>
      <c r="X2">
        <v>-7.5455800000000004E-5</v>
      </c>
      <c r="Y2">
        <v>3.7668970356</v>
      </c>
      <c r="Z2">
        <v>90.219065895400007</v>
      </c>
      <c r="AA2">
        <v>75.923836802899999</v>
      </c>
      <c r="AB2">
        <v>329.76883445959999</v>
      </c>
      <c r="AC2">
        <v>355.53040029739998</v>
      </c>
      <c r="AD2">
        <v>1</v>
      </c>
      <c r="AG2" s="17">
        <v>1</v>
      </c>
    </row>
    <row r="3" spans="1:33">
      <c r="A3" t="s">
        <v>556</v>
      </c>
      <c r="B3" t="s">
        <v>557</v>
      </c>
      <c r="C3" t="s">
        <v>559</v>
      </c>
      <c r="D3" t="s">
        <v>212</v>
      </c>
      <c r="E3">
        <v>3</v>
      </c>
      <c r="F3" t="s">
        <v>213</v>
      </c>
      <c r="G3" t="s">
        <v>214</v>
      </c>
      <c r="H3" t="s">
        <v>270</v>
      </c>
      <c r="I3" t="s">
        <v>216</v>
      </c>
      <c r="K3" t="s">
        <v>231</v>
      </c>
      <c r="L3" t="s">
        <v>232</v>
      </c>
      <c r="M3" t="s">
        <v>233</v>
      </c>
      <c r="N3" t="s">
        <v>234</v>
      </c>
      <c r="O3" t="s">
        <v>235</v>
      </c>
      <c r="P3">
        <v>0</v>
      </c>
      <c r="Q3">
        <v>0</v>
      </c>
      <c r="R3">
        <v>-3.5190615836000001</v>
      </c>
      <c r="S3">
        <v>-24</v>
      </c>
      <c r="T3">
        <v>82.623260661200007</v>
      </c>
      <c r="U3">
        <v>95.601359871100001</v>
      </c>
      <c r="V3">
        <v>3.7034791622999998</v>
      </c>
      <c r="W3">
        <v>4.1949711000000001E-3</v>
      </c>
      <c r="X3">
        <v>-6.2469400000000002E-5</v>
      </c>
      <c r="Y3">
        <v>3.6319410650999999</v>
      </c>
      <c r="Z3">
        <v>82.311404255699998</v>
      </c>
      <c r="AA3">
        <v>62.113479127799998</v>
      </c>
      <c r="AB3">
        <v>345.94062121330001</v>
      </c>
      <c r="AC3">
        <v>368.2651024964</v>
      </c>
      <c r="AD3">
        <v>1</v>
      </c>
      <c r="AG3" s="17">
        <v>1</v>
      </c>
    </row>
    <row r="4" spans="1:33">
      <c r="A4" t="s">
        <v>568</v>
      </c>
      <c r="B4" t="s">
        <v>569</v>
      </c>
      <c r="C4" t="s">
        <v>571</v>
      </c>
      <c r="D4" t="s">
        <v>212</v>
      </c>
      <c r="E4">
        <v>3</v>
      </c>
      <c r="F4" t="s">
        <v>213</v>
      </c>
      <c r="G4" t="s">
        <v>214</v>
      </c>
      <c r="H4" t="s">
        <v>270</v>
      </c>
      <c r="I4" t="s">
        <v>216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-2.3460410557000002</v>
      </c>
      <c r="S4">
        <v>-16</v>
      </c>
      <c r="T4">
        <v>88.828036528699997</v>
      </c>
      <c r="U4">
        <v>97.5897428265</v>
      </c>
      <c r="V4">
        <v>3.7461922233</v>
      </c>
      <c r="W4">
        <v>4.7478744000000002E-3</v>
      </c>
      <c r="X4">
        <v>-6.83524E-5</v>
      </c>
      <c r="Y4">
        <v>3.7113620580000002</v>
      </c>
      <c r="Z4">
        <v>87.6251729934</v>
      </c>
      <c r="AA4">
        <v>75.261683061699998</v>
      </c>
      <c r="AB4">
        <v>324.73684042790001</v>
      </c>
      <c r="AC4">
        <v>348.07706414170002</v>
      </c>
      <c r="AD4">
        <v>1</v>
      </c>
      <c r="AG4" s="17">
        <v>1</v>
      </c>
    </row>
    <row r="5" spans="1:33">
      <c r="A5" t="s">
        <v>623</v>
      </c>
      <c r="B5" t="s">
        <v>624</v>
      </c>
      <c r="C5" t="s">
        <v>638</v>
      </c>
      <c r="D5" t="s">
        <v>212</v>
      </c>
      <c r="E5">
        <v>3</v>
      </c>
      <c r="F5" t="s">
        <v>213</v>
      </c>
      <c r="G5" t="s">
        <v>214</v>
      </c>
      <c r="H5" t="s">
        <v>270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-1.1730205279000001</v>
      </c>
      <c r="S5">
        <v>-8</v>
      </c>
      <c r="T5">
        <v>100.64121247280001</v>
      </c>
      <c r="U5">
        <v>105.1214789437</v>
      </c>
      <c r="V5">
        <v>3.8245970543999999</v>
      </c>
      <c r="W5">
        <v>4.3378245999999999E-3</v>
      </c>
      <c r="X5">
        <v>-5.9252999999999997E-5</v>
      </c>
      <c r="Y5">
        <v>3.8084667493</v>
      </c>
      <c r="Z5">
        <v>98.538060797</v>
      </c>
      <c r="AA5">
        <v>81.520201310100006</v>
      </c>
      <c r="AB5">
        <v>331.11481729339999</v>
      </c>
      <c r="AC5">
        <v>356.35862337779997</v>
      </c>
      <c r="AD5">
        <v>1</v>
      </c>
      <c r="AG5" s="17">
        <v>1</v>
      </c>
    </row>
    <row r="6" spans="1:33">
      <c r="A6" t="s">
        <v>626</v>
      </c>
      <c r="B6" t="s">
        <v>627</v>
      </c>
      <c r="C6" t="s">
        <v>639</v>
      </c>
      <c r="D6" t="s">
        <v>212</v>
      </c>
      <c r="E6">
        <v>3</v>
      </c>
      <c r="F6" t="s">
        <v>213</v>
      </c>
      <c r="G6" t="s">
        <v>214</v>
      </c>
      <c r="H6" t="s">
        <v>270</v>
      </c>
      <c r="I6" t="s">
        <v>216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-3.5190615836000001</v>
      </c>
      <c r="S6">
        <v>-24</v>
      </c>
      <c r="T6">
        <v>88.834682018600006</v>
      </c>
      <c r="U6">
        <v>101.9673932443</v>
      </c>
      <c r="V6">
        <v>3.7513786737000001</v>
      </c>
      <c r="W6">
        <v>5.2865615999999997E-3</v>
      </c>
      <c r="X6">
        <v>-7.2365899999999998E-5</v>
      </c>
      <c r="Y6">
        <v>3.6993484377999999</v>
      </c>
      <c r="Z6">
        <v>87.824747604600006</v>
      </c>
      <c r="AA6">
        <v>70.591546872199999</v>
      </c>
      <c r="AB6">
        <v>351.27122057150001</v>
      </c>
      <c r="AC6">
        <v>373.87578997230003</v>
      </c>
      <c r="AD6">
        <v>1</v>
      </c>
      <c r="AG6" s="17">
        <v>1</v>
      </c>
    </row>
    <row r="7" spans="1:33">
      <c r="A7" t="s">
        <v>629</v>
      </c>
      <c r="B7" t="s">
        <v>630</v>
      </c>
      <c r="C7" t="s">
        <v>640</v>
      </c>
      <c r="D7" t="s">
        <v>212</v>
      </c>
      <c r="E7">
        <v>3</v>
      </c>
      <c r="F7" t="s">
        <v>213</v>
      </c>
      <c r="G7" t="s">
        <v>214</v>
      </c>
      <c r="H7" t="s">
        <v>270</v>
      </c>
      <c r="I7" t="s">
        <v>216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-3.5190615836000001</v>
      </c>
      <c r="S7">
        <v>-24</v>
      </c>
      <c r="T7">
        <v>83.6164755219</v>
      </c>
      <c r="U7">
        <v>96.356816814300004</v>
      </c>
      <c r="V7">
        <v>3.6384330446000002</v>
      </c>
      <c r="W7">
        <v>4.9040693000000002E-3</v>
      </c>
      <c r="X7">
        <v>-6.4197199999999996E-5</v>
      </c>
      <c r="Y7">
        <v>3.6168385693</v>
      </c>
      <c r="Z7">
        <v>83.515943194800002</v>
      </c>
      <c r="AA7">
        <v>68.956588642599996</v>
      </c>
      <c r="AB7">
        <v>337.1661683721</v>
      </c>
      <c r="AC7">
        <v>361.21785962249999</v>
      </c>
      <c r="AD7">
        <v>1</v>
      </c>
      <c r="AG7" s="17">
        <v>1</v>
      </c>
    </row>
    <row r="8" spans="1:33">
      <c r="A8" t="s">
        <v>632</v>
      </c>
      <c r="B8" t="s">
        <v>633</v>
      </c>
      <c r="C8" t="s">
        <v>641</v>
      </c>
      <c r="D8" t="s">
        <v>212</v>
      </c>
      <c r="E8">
        <v>3</v>
      </c>
      <c r="F8" t="s">
        <v>213</v>
      </c>
      <c r="G8" t="s">
        <v>214</v>
      </c>
      <c r="H8" t="s">
        <v>270</v>
      </c>
      <c r="I8" t="s">
        <v>216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-2.3460410557000002</v>
      </c>
      <c r="S8">
        <v>-16</v>
      </c>
      <c r="T8">
        <v>104.2322228994</v>
      </c>
      <c r="U8">
        <v>112.97281441219999</v>
      </c>
      <c r="V8">
        <v>3.7363444622999999</v>
      </c>
      <c r="W8">
        <v>4.3958618000000003E-3</v>
      </c>
      <c r="X8">
        <v>-6.4401100000000002E-5</v>
      </c>
      <c r="Y8">
        <v>3.6891499322999999</v>
      </c>
      <c r="Z8">
        <v>97.257652303900002</v>
      </c>
      <c r="AA8">
        <v>75.600268702400001</v>
      </c>
      <c r="AB8">
        <v>331.23455899509997</v>
      </c>
      <c r="AC8">
        <v>357.5182794223</v>
      </c>
      <c r="AD8">
        <v>1</v>
      </c>
      <c r="AG8" s="17">
        <v>1</v>
      </c>
    </row>
    <row r="9" spans="1:33">
      <c r="A9" t="s">
        <v>635</v>
      </c>
      <c r="B9" t="s">
        <v>636</v>
      </c>
      <c r="C9" t="s">
        <v>642</v>
      </c>
      <c r="D9" t="s">
        <v>212</v>
      </c>
      <c r="E9">
        <v>3</v>
      </c>
      <c r="F9" t="s">
        <v>213</v>
      </c>
      <c r="G9" t="s">
        <v>214</v>
      </c>
      <c r="H9" t="s">
        <v>270</v>
      </c>
      <c r="I9" t="s">
        <v>216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-1.1730205279000001</v>
      </c>
      <c r="S9">
        <v>-8</v>
      </c>
      <c r="T9">
        <v>95.185077094799993</v>
      </c>
      <c r="U9">
        <v>99.545453171000005</v>
      </c>
      <c r="V9">
        <v>3.7231216224999999</v>
      </c>
      <c r="W9">
        <v>4.9514980000000004E-3</v>
      </c>
      <c r="X9">
        <v>-6.7449300000000005E-5</v>
      </c>
      <c r="Y9">
        <v>3.6867581448000002</v>
      </c>
      <c r="Z9">
        <v>93.882986047200006</v>
      </c>
      <c r="AA9">
        <v>78.755704409499998</v>
      </c>
      <c r="AB9">
        <v>334.93351362639999</v>
      </c>
      <c r="AC9">
        <v>358.65279047299998</v>
      </c>
      <c r="AD9">
        <v>1</v>
      </c>
      <c r="AG9" s="17">
        <v>1</v>
      </c>
    </row>
    <row r="10" spans="1:33">
      <c r="A10" t="s">
        <v>669</v>
      </c>
      <c r="B10" t="s">
        <v>670</v>
      </c>
      <c r="C10" t="s">
        <v>672</v>
      </c>
      <c r="D10" t="s">
        <v>212</v>
      </c>
      <c r="E10">
        <v>3</v>
      </c>
      <c r="F10" t="s">
        <v>213</v>
      </c>
      <c r="G10" t="s">
        <v>214</v>
      </c>
      <c r="H10" t="s">
        <v>270</v>
      </c>
      <c r="I10" t="s">
        <v>216</v>
      </c>
      <c r="K10" t="s">
        <v>618</v>
      </c>
      <c r="L10" t="s">
        <v>619</v>
      </c>
      <c r="M10" t="s">
        <v>620</v>
      </c>
      <c r="N10" t="s">
        <v>621</v>
      </c>
      <c r="O10" t="s">
        <v>622</v>
      </c>
      <c r="P10">
        <v>0</v>
      </c>
      <c r="Q10">
        <v>0</v>
      </c>
      <c r="R10">
        <v>-2.3460410557000002</v>
      </c>
      <c r="S10">
        <v>-16</v>
      </c>
      <c r="T10">
        <v>89.684686353299995</v>
      </c>
      <c r="U10">
        <v>98.600848490700002</v>
      </c>
      <c r="V10">
        <v>3.8118484047000001</v>
      </c>
      <c r="W10">
        <v>4.6736362000000002E-3</v>
      </c>
      <c r="X10">
        <v>-6.7179699999999996E-5</v>
      </c>
      <c r="Y10">
        <v>3.7580723250000001</v>
      </c>
      <c r="Z10">
        <v>89.484199287199999</v>
      </c>
      <c r="AA10">
        <v>75.853308497699999</v>
      </c>
      <c r="AB10">
        <v>345.90512856279997</v>
      </c>
      <c r="AC10">
        <v>371.6633599722</v>
      </c>
      <c r="AD10">
        <v>1</v>
      </c>
      <c r="AG10" s="17">
        <v>1</v>
      </c>
    </row>
    <row r="11" spans="1:33">
      <c r="A11" t="s">
        <v>684</v>
      </c>
      <c r="B11" t="s">
        <v>685</v>
      </c>
      <c r="C11" t="s">
        <v>690</v>
      </c>
      <c r="D11" t="s">
        <v>212</v>
      </c>
      <c r="E11">
        <v>3</v>
      </c>
      <c r="F11" t="s">
        <v>213</v>
      </c>
      <c r="G11" t="s">
        <v>214</v>
      </c>
      <c r="H11" t="s">
        <v>270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-3.5190615836000001</v>
      </c>
      <c r="S11">
        <v>-24</v>
      </c>
      <c r="T11">
        <v>96.825352434699994</v>
      </c>
      <c r="U11">
        <v>109.9050758546</v>
      </c>
      <c r="V11">
        <v>3.7325980744999998</v>
      </c>
      <c r="W11">
        <v>4.2409279000000001E-3</v>
      </c>
      <c r="X11">
        <v>-6.8846700000000006E-5</v>
      </c>
      <c r="Y11">
        <v>3.6628294342999999</v>
      </c>
      <c r="Z11">
        <v>96.022072116800004</v>
      </c>
      <c r="AA11">
        <v>78.389920581300004</v>
      </c>
      <c r="AB11">
        <v>323.88435598220002</v>
      </c>
      <c r="AC11">
        <v>347.82639265080002</v>
      </c>
      <c r="AD11">
        <v>1</v>
      </c>
      <c r="AG11" s="17">
        <v>1</v>
      </c>
    </row>
    <row r="12" spans="1:33">
      <c r="A12" t="s">
        <v>687</v>
      </c>
      <c r="B12" t="s">
        <v>688</v>
      </c>
      <c r="C12" t="s">
        <v>691</v>
      </c>
      <c r="D12" t="s">
        <v>212</v>
      </c>
      <c r="E12">
        <v>3</v>
      </c>
      <c r="F12" t="s">
        <v>213</v>
      </c>
      <c r="G12" t="s">
        <v>214</v>
      </c>
      <c r="H12" t="s">
        <v>270</v>
      </c>
      <c r="I12" t="s">
        <v>216</v>
      </c>
      <c r="K12" t="s">
        <v>679</v>
      </c>
      <c r="L12" t="s">
        <v>680</v>
      </c>
      <c r="M12" t="s">
        <v>681</v>
      </c>
      <c r="N12" t="s">
        <v>682</v>
      </c>
      <c r="O12" t="s">
        <v>683</v>
      </c>
      <c r="P12">
        <v>0</v>
      </c>
      <c r="Q12">
        <v>0</v>
      </c>
      <c r="R12">
        <v>-2.3460410557000002</v>
      </c>
      <c r="S12">
        <v>-16</v>
      </c>
      <c r="T12">
        <v>90.705702179699998</v>
      </c>
      <c r="U12">
        <v>99.585699318600007</v>
      </c>
      <c r="V12">
        <v>3.7980904254999999</v>
      </c>
      <c r="W12">
        <v>5.3563684000000004E-3</v>
      </c>
      <c r="X12">
        <v>-7.7287799999999995E-5</v>
      </c>
      <c r="Y12">
        <v>3.7467659320000002</v>
      </c>
      <c r="Z12">
        <v>89.702839083399994</v>
      </c>
      <c r="AA12">
        <v>75.949888227299994</v>
      </c>
      <c r="AB12">
        <v>335.00684718309998</v>
      </c>
      <c r="AC12">
        <v>359.35084674500001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706</v>
      </c>
      <c r="D13" t="s">
        <v>212</v>
      </c>
      <c r="E13">
        <v>3</v>
      </c>
      <c r="F13" t="s">
        <v>213</v>
      </c>
      <c r="G13" t="s">
        <v>214</v>
      </c>
      <c r="H13" t="s">
        <v>270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-2.3460410557000002</v>
      </c>
      <c r="S13">
        <v>-16</v>
      </c>
      <c r="T13">
        <v>94.707975216600005</v>
      </c>
      <c r="U13">
        <v>103.7489832254</v>
      </c>
      <c r="V13">
        <v>3.8648816758</v>
      </c>
      <c r="W13">
        <v>4.5749537000000003E-3</v>
      </c>
      <c r="X13">
        <v>-7.6124600000000006E-5</v>
      </c>
      <c r="Y13">
        <v>3.7682946379</v>
      </c>
      <c r="Z13">
        <v>93.704242729499995</v>
      </c>
      <c r="AA13">
        <v>76.9552606811</v>
      </c>
      <c r="AB13">
        <v>335.81068721840001</v>
      </c>
      <c r="AC13">
        <v>361.01357688579998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287</v>
      </c>
      <c r="S1" t="s">
        <v>288</v>
      </c>
      <c r="T1" t="s">
        <v>289</v>
      </c>
      <c r="U1" t="s">
        <v>290</v>
      </c>
      <c r="V1" t="s">
        <v>291</v>
      </c>
      <c r="W1" t="s">
        <v>292</v>
      </c>
      <c r="X1" t="s">
        <v>293</v>
      </c>
      <c r="Y1" t="s">
        <v>294</v>
      </c>
      <c r="Z1" t="s">
        <v>295</v>
      </c>
      <c r="AA1" t="s">
        <v>296</v>
      </c>
      <c r="AB1" t="s">
        <v>297</v>
      </c>
      <c r="AC1" t="s">
        <v>298</v>
      </c>
      <c r="AD1" t="s">
        <v>299</v>
      </c>
      <c r="AE1" t="s">
        <v>300</v>
      </c>
      <c r="AF1" t="s">
        <v>301</v>
      </c>
      <c r="AG1" t="s">
        <v>302</v>
      </c>
      <c r="AH1" t="s">
        <v>303</v>
      </c>
      <c r="AI1" t="s">
        <v>304</v>
      </c>
      <c r="AJ1" t="s">
        <v>305</v>
      </c>
      <c r="AK1" t="s">
        <v>306</v>
      </c>
      <c r="AL1" t="s">
        <v>307</v>
      </c>
      <c r="AM1" t="s">
        <v>308</v>
      </c>
      <c r="AN1" t="s">
        <v>309</v>
      </c>
      <c r="AO1" t="s">
        <v>310</v>
      </c>
      <c r="AP1" t="s">
        <v>311</v>
      </c>
      <c r="AQ1" t="s">
        <v>312</v>
      </c>
      <c r="AR1" t="s">
        <v>313</v>
      </c>
      <c r="AS1" t="s">
        <v>314</v>
      </c>
      <c r="AT1" t="s">
        <v>315</v>
      </c>
      <c r="AU1" t="s">
        <v>316</v>
      </c>
      <c r="AV1" t="s">
        <v>317</v>
      </c>
      <c r="AW1" t="s">
        <v>318</v>
      </c>
      <c r="AX1" t="s">
        <v>319</v>
      </c>
      <c r="AY1" t="s">
        <v>320</v>
      </c>
      <c r="AZ1" t="s">
        <v>321</v>
      </c>
      <c r="BA1" t="s">
        <v>322</v>
      </c>
      <c r="BB1" t="s">
        <v>323</v>
      </c>
      <c r="BC1" t="s">
        <v>324</v>
      </c>
      <c r="BD1" t="s">
        <v>325</v>
      </c>
      <c r="BE1" t="s">
        <v>326</v>
      </c>
      <c r="BF1" t="s">
        <v>327</v>
      </c>
      <c r="BG1" t="s">
        <v>328</v>
      </c>
      <c r="BH1" t="s">
        <v>329</v>
      </c>
      <c r="BI1" t="s">
        <v>330</v>
      </c>
      <c r="BJ1" t="s">
        <v>331</v>
      </c>
      <c r="BK1" t="s">
        <v>332</v>
      </c>
      <c r="BL1" t="s">
        <v>333</v>
      </c>
      <c r="BM1" t="s">
        <v>334</v>
      </c>
      <c r="BN1" t="s">
        <v>335</v>
      </c>
      <c r="BO1" t="s">
        <v>336</v>
      </c>
      <c r="BP1" t="s">
        <v>337</v>
      </c>
      <c r="BQ1" t="s">
        <v>338</v>
      </c>
      <c r="BR1" t="s">
        <v>339</v>
      </c>
      <c r="BS1" t="s">
        <v>340</v>
      </c>
      <c r="BT1" t="s">
        <v>341</v>
      </c>
      <c r="BU1" t="s">
        <v>342</v>
      </c>
      <c r="BV1" t="s">
        <v>343</v>
      </c>
      <c r="BW1" t="s">
        <v>344</v>
      </c>
      <c r="BX1" t="s">
        <v>345</v>
      </c>
      <c r="BY1" t="s">
        <v>346</v>
      </c>
      <c r="BZ1" t="s">
        <v>347</v>
      </c>
      <c r="CA1" t="s">
        <v>348</v>
      </c>
      <c r="CB1" t="s">
        <v>349</v>
      </c>
      <c r="CC1" t="s">
        <v>350</v>
      </c>
      <c r="CD1" t="s">
        <v>351</v>
      </c>
      <c r="CE1" t="s">
        <v>352</v>
      </c>
      <c r="CF1" t="s">
        <v>353</v>
      </c>
      <c r="CG1" t="s">
        <v>354</v>
      </c>
      <c r="CH1" t="s">
        <v>355</v>
      </c>
      <c r="CI1" t="s">
        <v>356</v>
      </c>
      <c r="CJ1" t="s">
        <v>357</v>
      </c>
      <c r="CK1" t="s">
        <v>358</v>
      </c>
      <c r="CL1" t="s">
        <v>359</v>
      </c>
      <c r="CM1" t="s">
        <v>360</v>
      </c>
      <c r="CN1" t="s">
        <v>361</v>
      </c>
      <c r="CO1" t="s">
        <v>362</v>
      </c>
      <c r="CP1" t="s">
        <v>363</v>
      </c>
      <c r="CQ1" t="s">
        <v>364</v>
      </c>
      <c r="CR1" t="s">
        <v>365</v>
      </c>
      <c r="CS1" t="s">
        <v>366</v>
      </c>
      <c r="CT1" t="s">
        <v>367</v>
      </c>
      <c r="CU1" t="s">
        <v>368</v>
      </c>
      <c r="CV1" t="s">
        <v>369</v>
      </c>
      <c r="CW1" t="s">
        <v>370</v>
      </c>
      <c r="CX1" t="s">
        <v>371</v>
      </c>
      <c r="CY1" t="s">
        <v>372</v>
      </c>
      <c r="CZ1" t="s">
        <v>373</v>
      </c>
      <c r="DA1" t="s">
        <v>374</v>
      </c>
      <c r="DB1" t="s">
        <v>375</v>
      </c>
      <c r="DC1" t="s">
        <v>376</v>
      </c>
      <c r="DD1" t="s">
        <v>377</v>
      </c>
      <c r="DE1" t="s">
        <v>378</v>
      </c>
      <c r="DF1" t="s">
        <v>379</v>
      </c>
      <c r="DG1" t="s">
        <v>380</v>
      </c>
      <c r="DH1" t="s">
        <v>381</v>
      </c>
      <c r="DI1" t="s">
        <v>382</v>
      </c>
      <c r="DJ1" t="s">
        <v>383</v>
      </c>
      <c r="DK1" t="s">
        <v>384</v>
      </c>
      <c r="DL1" t="s">
        <v>385</v>
      </c>
      <c r="DM1" t="s">
        <v>386</v>
      </c>
      <c r="DN1" t="s">
        <v>387</v>
      </c>
      <c r="DO1" t="s">
        <v>388</v>
      </c>
      <c r="DP1" t="s">
        <v>389</v>
      </c>
      <c r="DQ1" t="s">
        <v>390</v>
      </c>
      <c r="DR1" t="s">
        <v>391</v>
      </c>
      <c r="DS1" t="s">
        <v>392</v>
      </c>
      <c r="DT1" t="s">
        <v>393</v>
      </c>
      <c r="DU1" t="s">
        <v>394</v>
      </c>
      <c r="DV1" t="s">
        <v>395</v>
      </c>
      <c r="DW1" t="s">
        <v>396</v>
      </c>
      <c r="DX1" t="s">
        <v>397</v>
      </c>
      <c r="DY1" t="s">
        <v>398</v>
      </c>
      <c r="DZ1" t="s">
        <v>399</v>
      </c>
      <c r="EA1" t="s">
        <v>400</v>
      </c>
      <c r="EB1" t="s">
        <v>401</v>
      </c>
      <c r="EC1" t="s">
        <v>402</v>
      </c>
      <c r="ED1" t="s">
        <v>403</v>
      </c>
      <c r="EE1" t="s">
        <v>404</v>
      </c>
      <c r="EF1" t="s">
        <v>405</v>
      </c>
      <c r="EG1" t="s">
        <v>406</v>
      </c>
      <c r="EH1" t="s">
        <v>407</v>
      </c>
      <c r="EI1" t="s">
        <v>408</v>
      </c>
      <c r="EJ1" t="s">
        <v>409</v>
      </c>
      <c r="EK1" t="s">
        <v>410</v>
      </c>
      <c r="EL1" t="s">
        <v>411</v>
      </c>
      <c r="EM1" t="s">
        <v>412</v>
      </c>
      <c r="EN1" t="s">
        <v>413</v>
      </c>
      <c r="EO1" t="s">
        <v>414</v>
      </c>
      <c r="EP1" t="s">
        <v>415</v>
      </c>
      <c r="EQ1" t="s">
        <v>416</v>
      </c>
      <c r="ER1" t="s">
        <v>417</v>
      </c>
      <c r="ES1" t="s">
        <v>418</v>
      </c>
      <c r="ET1" t="s">
        <v>419</v>
      </c>
      <c r="EU1" t="s">
        <v>420</v>
      </c>
      <c r="EV1" t="s">
        <v>421</v>
      </c>
      <c r="EW1" t="s">
        <v>422</v>
      </c>
      <c r="EX1" t="s">
        <v>423</v>
      </c>
      <c r="EY1" t="s">
        <v>424</v>
      </c>
      <c r="EZ1" t="s">
        <v>425</v>
      </c>
      <c r="FA1" t="s">
        <v>426</v>
      </c>
      <c r="FB1" t="s">
        <v>427</v>
      </c>
      <c r="FC1" t="s">
        <v>428</v>
      </c>
      <c r="FD1" t="s">
        <v>429</v>
      </c>
      <c r="FE1" t="s">
        <v>430</v>
      </c>
      <c r="FF1" t="s">
        <v>431</v>
      </c>
      <c r="FG1" t="s">
        <v>432</v>
      </c>
      <c r="FH1" t="s">
        <v>433</v>
      </c>
      <c r="FI1" t="s">
        <v>434</v>
      </c>
      <c r="FJ1" t="s">
        <v>435</v>
      </c>
      <c r="FK1" t="s">
        <v>436</v>
      </c>
      <c r="FL1" t="s">
        <v>437</v>
      </c>
      <c r="FM1" t="s">
        <v>438</v>
      </c>
      <c r="FN1" t="s">
        <v>439</v>
      </c>
      <c r="FO1" t="s">
        <v>440</v>
      </c>
      <c r="FP1" t="s">
        <v>441</v>
      </c>
      <c r="FQ1" t="s">
        <v>442</v>
      </c>
      <c r="FR1" t="s">
        <v>443</v>
      </c>
      <c r="FS1" t="s">
        <v>444</v>
      </c>
      <c r="FT1" t="s">
        <v>445</v>
      </c>
      <c r="FU1" t="s">
        <v>446</v>
      </c>
      <c r="FV1" t="s">
        <v>447</v>
      </c>
      <c r="FW1" t="s">
        <v>448</v>
      </c>
      <c r="FX1" t="s">
        <v>449</v>
      </c>
      <c r="FY1" t="s">
        <v>450</v>
      </c>
      <c r="FZ1" t="s">
        <v>451</v>
      </c>
      <c r="GA1" t="s">
        <v>452</v>
      </c>
      <c r="GB1" t="s">
        <v>453</v>
      </c>
      <c r="GC1" t="s">
        <v>454</v>
      </c>
      <c r="GD1" t="s">
        <v>455</v>
      </c>
      <c r="GE1" t="s">
        <v>456</v>
      </c>
      <c r="GF1" t="s">
        <v>457</v>
      </c>
      <c r="GG1" t="s">
        <v>458</v>
      </c>
      <c r="GH1" t="s">
        <v>459</v>
      </c>
      <c r="GI1" t="s">
        <v>460</v>
      </c>
      <c r="GJ1" t="s">
        <v>461</v>
      </c>
      <c r="GK1" t="s">
        <v>462</v>
      </c>
      <c r="GL1" t="s">
        <v>463</v>
      </c>
      <c r="GM1" t="s">
        <v>464</v>
      </c>
      <c r="GN1" t="s">
        <v>465</v>
      </c>
      <c r="GO1" t="s">
        <v>466</v>
      </c>
      <c r="GP1" t="s">
        <v>467</v>
      </c>
      <c r="GQ1" t="s">
        <v>468</v>
      </c>
      <c r="GR1" t="s">
        <v>469</v>
      </c>
      <c r="GS1" t="s">
        <v>470</v>
      </c>
      <c r="GT1" t="s">
        <v>471</v>
      </c>
      <c r="GU1" t="s">
        <v>472</v>
      </c>
      <c r="GV1" t="s">
        <v>473</v>
      </c>
      <c r="GW1" t="s">
        <v>474</v>
      </c>
      <c r="GX1" t="s">
        <v>475</v>
      </c>
      <c r="GY1" t="s">
        <v>476</v>
      </c>
      <c r="GZ1" t="s">
        <v>477</v>
      </c>
      <c r="HA1" t="s">
        <v>478</v>
      </c>
      <c r="HB1" t="s">
        <v>479</v>
      </c>
      <c r="HC1" t="s">
        <v>480</v>
      </c>
      <c r="HD1" t="s">
        <v>481</v>
      </c>
      <c r="HE1" t="s">
        <v>482</v>
      </c>
      <c r="HF1" t="s">
        <v>483</v>
      </c>
      <c r="HG1" t="s">
        <v>484</v>
      </c>
      <c r="HH1" t="s">
        <v>485</v>
      </c>
      <c r="HI1" t="s">
        <v>486</v>
      </c>
      <c r="HJ1" t="s">
        <v>487</v>
      </c>
      <c r="HK1" t="s">
        <v>488</v>
      </c>
      <c r="HL1" t="s">
        <v>489</v>
      </c>
      <c r="HM1" t="s">
        <v>490</v>
      </c>
      <c r="HN1" t="s">
        <v>491</v>
      </c>
      <c r="HO1" t="s">
        <v>492</v>
      </c>
      <c r="HP1" t="s">
        <v>493</v>
      </c>
      <c r="HQ1" t="s">
        <v>494</v>
      </c>
      <c r="HR1" t="s">
        <v>495</v>
      </c>
      <c r="HS1" t="s">
        <v>496</v>
      </c>
      <c r="HT1" t="s">
        <v>497</v>
      </c>
      <c r="HU1" t="s">
        <v>498</v>
      </c>
      <c r="HV1" t="s">
        <v>499</v>
      </c>
      <c r="HW1" t="s">
        <v>500</v>
      </c>
      <c r="HX1" t="s">
        <v>501</v>
      </c>
      <c r="HY1" t="s">
        <v>502</v>
      </c>
      <c r="HZ1" t="s">
        <v>503</v>
      </c>
      <c r="IA1" t="s">
        <v>504</v>
      </c>
      <c r="IB1" t="s">
        <v>505</v>
      </c>
      <c r="IC1" t="s">
        <v>506</v>
      </c>
      <c r="ID1" t="s">
        <v>507</v>
      </c>
      <c r="IE1" t="s">
        <v>508</v>
      </c>
      <c r="IF1" t="s">
        <v>509</v>
      </c>
      <c r="IG1" t="s">
        <v>510</v>
      </c>
      <c r="IH1" t="s">
        <v>511</v>
      </c>
      <c r="II1" t="s">
        <v>512</v>
      </c>
      <c r="IJ1" t="s">
        <v>513</v>
      </c>
      <c r="IK1" t="s">
        <v>514</v>
      </c>
      <c r="IL1" t="s">
        <v>515</v>
      </c>
      <c r="IM1" t="s">
        <v>516</v>
      </c>
      <c r="IN1" t="s">
        <v>517</v>
      </c>
      <c r="IO1" t="s">
        <v>518</v>
      </c>
      <c r="IP1" t="s">
        <v>519</v>
      </c>
      <c r="IQ1" t="s">
        <v>520</v>
      </c>
      <c r="IR1" t="s">
        <v>521</v>
      </c>
      <c r="IS1" t="s">
        <v>522</v>
      </c>
      <c r="IT1" t="s">
        <v>523</v>
      </c>
      <c r="IU1" t="s">
        <v>524</v>
      </c>
      <c r="IV1" t="s">
        <v>525</v>
      </c>
      <c r="IW1" t="s">
        <v>526</v>
      </c>
      <c r="IX1" t="s">
        <v>527</v>
      </c>
      <c r="IY1" t="s">
        <v>528</v>
      </c>
      <c r="IZ1" t="s">
        <v>529</v>
      </c>
      <c r="JA1" t="s">
        <v>530</v>
      </c>
      <c r="JB1" t="s">
        <v>531</v>
      </c>
      <c r="JC1" t="s">
        <v>532</v>
      </c>
      <c r="JD1" t="s">
        <v>533</v>
      </c>
      <c r="JE1" t="s">
        <v>534</v>
      </c>
      <c r="JF1" t="s">
        <v>535</v>
      </c>
      <c r="JG1" t="s">
        <v>536</v>
      </c>
      <c r="JH1" t="s">
        <v>537</v>
      </c>
      <c r="JI1" t="s">
        <v>538</v>
      </c>
      <c r="JJ1" t="s">
        <v>539</v>
      </c>
      <c r="JK1" t="s">
        <v>540</v>
      </c>
      <c r="JL1" t="s">
        <v>280</v>
      </c>
      <c r="JM1" t="s">
        <v>541</v>
      </c>
      <c r="JN1" t="s">
        <v>542</v>
      </c>
      <c r="JO1" t="s">
        <v>543</v>
      </c>
      <c r="JP1" t="s">
        <v>544</v>
      </c>
      <c r="JQ1" t="s">
        <v>545</v>
      </c>
      <c r="JR1" s="17" t="s">
        <v>546</v>
      </c>
      <c r="JS1" s="17" t="s">
        <v>206</v>
      </c>
      <c r="JT1" s="17" t="s">
        <v>207</v>
      </c>
      <c r="JU1" s="17" t="s">
        <v>208</v>
      </c>
    </row>
    <row r="2" spans="1:281">
      <c r="A2" t="s">
        <v>547</v>
      </c>
      <c r="B2" t="s">
        <v>548</v>
      </c>
      <c r="C2" t="s">
        <v>549</v>
      </c>
      <c r="D2" t="s">
        <v>212</v>
      </c>
      <c r="E2">
        <v>3</v>
      </c>
      <c r="F2" t="s">
        <v>213</v>
      </c>
      <c r="G2" t="s">
        <v>214</v>
      </c>
      <c r="H2" t="s">
        <v>550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0</v>
      </c>
      <c r="S2">
        <v>0.50000000010000001</v>
      </c>
      <c r="T2">
        <v>0.59999999940000004</v>
      </c>
      <c r="U2">
        <v>0.59999999940000004</v>
      </c>
      <c r="V2">
        <v>0.7000000005</v>
      </c>
      <c r="W2">
        <v>0.7000000005</v>
      </c>
      <c r="X2">
        <v>0.79999999980000003</v>
      </c>
      <c r="Y2">
        <v>0.79999999980000003</v>
      </c>
      <c r="Z2">
        <v>0.79999999980000003</v>
      </c>
      <c r="AA2">
        <v>0.79999999980000003</v>
      </c>
      <c r="AB2">
        <v>0.90000000089999999</v>
      </c>
      <c r="AC2">
        <v>0.79999999980000003</v>
      </c>
      <c r="AD2">
        <v>0.79999999980000003</v>
      </c>
      <c r="AE2">
        <v>0.90000000089999999</v>
      </c>
      <c r="AF2">
        <v>0.90000000089999999</v>
      </c>
      <c r="AG2">
        <v>1.0000000002</v>
      </c>
      <c r="AH2">
        <v>1.0000000002</v>
      </c>
      <c r="AI2">
        <v>1.0000000002</v>
      </c>
      <c r="AJ2">
        <v>1.0000000002</v>
      </c>
      <c r="AK2">
        <v>2.5000000005</v>
      </c>
      <c r="AL2">
        <v>7.6000000007999997</v>
      </c>
      <c r="AM2">
        <v>14.9000000001</v>
      </c>
      <c r="AN2">
        <v>22.8999999999</v>
      </c>
      <c r="AO2">
        <v>30.699999999300001</v>
      </c>
      <c r="AP2">
        <v>38.700000000999999</v>
      </c>
      <c r="AQ2">
        <v>46.599999999700003</v>
      </c>
      <c r="AR2">
        <v>54.700000000599999</v>
      </c>
      <c r="AS2">
        <v>63.200000000499998</v>
      </c>
      <c r="AT2">
        <v>72.000000000100002</v>
      </c>
      <c r="AU2">
        <v>80.599999999299996</v>
      </c>
      <c r="AV2">
        <v>89.5</v>
      </c>
      <c r="AW2">
        <v>98.099999999199994</v>
      </c>
      <c r="AX2">
        <v>106.9000000007</v>
      </c>
      <c r="AY2">
        <v>115.70000000029999</v>
      </c>
      <c r="AZ2">
        <v>124.7999999996</v>
      </c>
      <c r="BA2">
        <v>133.7999999996</v>
      </c>
      <c r="BB2">
        <v>142.49999999990001</v>
      </c>
      <c r="BC2">
        <v>151.40000000059999</v>
      </c>
      <c r="BD2">
        <v>160.20000000030001</v>
      </c>
      <c r="BE2">
        <v>169.10000000100001</v>
      </c>
      <c r="BF2">
        <v>178.20000000030001</v>
      </c>
      <c r="BG2">
        <v>187.2999999996</v>
      </c>
      <c r="BH2">
        <v>195.99999999990001</v>
      </c>
      <c r="BI2">
        <v>205.09999999920001</v>
      </c>
      <c r="BJ2">
        <v>213.99999999990001</v>
      </c>
      <c r="BK2">
        <v>222.60000000100001</v>
      </c>
      <c r="BL2">
        <v>231.7999999996</v>
      </c>
      <c r="BM2">
        <v>240.70000000030001</v>
      </c>
      <c r="BN2">
        <v>249.29999999949999</v>
      </c>
      <c r="BO2">
        <v>257.90000000049997</v>
      </c>
      <c r="BP2">
        <v>266.99999999980002</v>
      </c>
      <c r="BQ2">
        <v>275.49999999969998</v>
      </c>
      <c r="BR2">
        <v>284.60000000090002</v>
      </c>
      <c r="BS2">
        <v>292.90000000039998</v>
      </c>
      <c r="BT2">
        <v>301.10000000060001</v>
      </c>
      <c r="BU2">
        <v>309.49999999940002</v>
      </c>
      <c r="BV2">
        <v>317.89999999999998</v>
      </c>
      <c r="BW2">
        <v>325.39999999970001</v>
      </c>
      <c r="BX2">
        <v>334.1</v>
      </c>
      <c r="BY2">
        <v>342.20000000099998</v>
      </c>
      <c r="BZ2">
        <v>349.8</v>
      </c>
      <c r="CA2">
        <v>358.00000000019998</v>
      </c>
      <c r="CB2">
        <v>365.49999999990001</v>
      </c>
      <c r="CC2">
        <v>373.40000000039998</v>
      </c>
      <c r="CD2">
        <v>380.4</v>
      </c>
      <c r="CE2">
        <v>388.30000000050001</v>
      </c>
      <c r="CF2">
        <v>395.70000000089999</v>
      </c>
      <c r="CG2">
        <v>402.59999999939998</v>
      </c>
      <c r="CH2">
        <v>409.79999999939997</v>
      </c>
      <c r="CI2">
        <v>416.69999999980001</v>
      </c>
      <c r="CJ2">
        <v>423.8999999998</v>
      </c>
      <c r="CK2">
        <v>430.39999999930001</v>
      </c>
      <c r="CL2">
        <v>437.79999999969999</v>
      </c>
      <c r="CM2">
        <v>444.4000000003</v>
      </c>
      <c r="CN2">
        <v>449.09999999979999</v>
      </c>
      <c r="CO2">
        <v>449.20000000089999</v>
      </c>
      <c r="CP2">
        <v>449.30000000019999</v>
      </c>
      <c r="CQ2">
        <v>449.39999999949998</v>
      </c>
      <c r="CR2">
        <v>449.30000000019999</v>
      </c>
      <c r="CS2">
        <v>449.30000000019999</v>
      </c>
      <c r="CT2">
        <v>449.30000000019999</v>
      </c>
      <c r="CU2">
        <v>449.30000000019999</v>
      </c>
      <c r="CV2">
        <v>449.20000000089999</v>
      </c>
      <c r="CW2">
        <v>449.09999999979999</v>
      </c>
      <c r="CX2">
        <v>449.30000000019999</v>
      </c>
      <c r="CY2">
        <v>449.39999999949998</v>
      </c>
      <c r="CZ2">
        <v>449.50000000059998</v>
      </c>
      <c r="DA2">
        <v>449.39999999949998</v>
      </c>
      <c r="DB2">
        <v>449.39999999949998</v>
      </c>
      <c r="DC2">
        <v>449.39999999949998</v>
      </c>
      <c r="DD2">
        <v>449.50000000059998</v>
      </c>
      <c r="DE2">
        <v>449.50000000059998</v>
      </c>
      <c r="DF2">
        <v>449.50000000059998</v>
      </c>
      <c r="DG2">
        <v>449.50000000059998</v>
      </c>
      <c r="DH2">
        <v>0.7000000005</v>
      </c>
      <c r="DI2">
        <v>1.5999999996000001</v>
      </c>
      <c r="DJ2">
        <v>1.400000001</v>
      </c>
      <c r="DK2">
        <v>1.400000001</v>
      </c>
      <c r="DL2">
        <v>1.5000000003</v>
      </c>
      <c r="DM2">
        <v>1.5000000003</v>
      </c>
      <c r="DN2">
        <v>1.7000000007</v>
      </c>
      <c r="DO2">
        <v>1.5999999996000001</v>
      </c>
      <c r="DP2">
        <v>1.7000000007</v>
      </c>
      <c r="DQ2">
        <v>1.7000000007</v>
      </c>
      <c r="DR2">
        <v>1.8</v>
      </c>
      <c r="DS2">
        <v>1.8</v>
      </c>
      <c r="DT2">
        <v>1.8</v>
      </c>
      <c r="DU2">
        <v>1.8</v>
      </c>
      <c r="DV2">
        <v>1.8999999993000001</v>
      </c>
      <c r="DW2">
        <v>1.8</v>
      </c>
      <c r="DX2">
        <v>2.0000000004</v>
      </c>
      <c r="DY2">
        <v>2.0999999997000001</v>
      </c>
      <c r="DZ2">
        <v>3.3999999995999999</v>
      </c>
      <c r="EA2">
        <v>8.9000000007000004</v>
      </c>
      <c r="EB2">
        <v>16.499999999700002</v>
      </c>
      <c r="EC2">
        <v>24.1000000005</v>
      </c>
      <c r="ED2">
        <v>31.9999999992</v>
      </c>
      <c r="EE2">
        <v>39.699999999399999</v>
      </c>
      <c r="EF2">
        <v>47.800000000300003</v>
      </c>
      <c r="EG2">
        <v>55.599999999700003</v>
      </c>
      <c r="EH2">
        <v>64.000000000300005</v>
      </c>
      <c r="EI2">
        <v>72.700000000599999</v>
      </c>
      <c r="EJ2">
        <v>81.000000000100002</v>
      </c>
      <c r="EK2">
        <v>89.599999999299996</v>
      </c>
      <c r="EL2">
        <v>97.900000000700004</v>
      </c>
      <c r="EM2">
        <v>106.7999999996</v>
      </c>
      <c r="EN2">
        <v>115.2999999995</v>
      </c>
      <c r="EO2">
        <v>124.7999999996</v>
      </c>
      <c r="EP2">
        <v>133.59999999920001</v>
      </c>
      <c r="EQ2">
        <v>142.59999999920001</v>
      </c>
      <c r="ER2">
        <v>151.20000000019999</v>
      </c>
      <c r="ES2">
        <v>160.20000000030001</v>
      </c>
      <c r="ET2">
        <v>169.20000000030001</v>
      </c>
      <c r="EU2">
        <v>178.5999999993</v>
      </c>
      <c r="EV2">
        <v>187.5999999993</v>
      </c>
      <c r="EW2">
        <v>196.5999999993</v>
      </c>
      <c r="EX2">
        <v>205.5</v>
      </c>
      <c r="EY2">
        <v>214.7000000004</v>
      </c>
      <c r="EZ2">
        <v>223.50000000009999</v>
      </c>
      <c r="FA2">
        <v>232.70000000050001</v>
      </c>
      <c r="FB2">
        <v>241.79999999980001</v>
      </c>
      <c r="FC2">
        <v>250.70000000050001</v>
      </c>
      <c r="FD2">
        <v>259.50000000009999</v>
      </c>
      <c r="FE2">
        <v>268.40000000079999</v>
      </c>
      <c r="FF2">
        <v>277.2000000004</v>
      </c>
      <c r="FG2">
        <v>286.40000000089998</v>
      </c>
      <c r="FH2">
        <v>295.20000000049998</v>
      </c>
      <c r="FI2">
        <v>303.90000000079999</v>
      </c>
      <c r="FJ2">
        <v>312.20000000030001</v>
      </c>
      <c r="FK2">
        <v>320.99999999990001</v>
      </c>
      <c r="FL2">
        <v>328.99999999969998</v>
      </c>
      <c r="FM2">
        <v>337.7</v>
      </c>
      <c r="FN2">
        <v>346.10000000069999</v>
      </c>
      <c r="FO2">
        <v>353.99999999940002</v>
      </c>
      <c r="FP2">
        <v>361.69999999949999</v>
      </c>
      <c r="FQ2">
        <v>370.10000000010001</v>
      </c>
      <c r="FR2">
        <v>377.50000000049999</v>
      </c>
      <c r="FS2">
        <v>385.39999999920002</v>
      </c>
      <c r="FT2">
        <v>393.0999999993</v>
      </c>
      <c r="FU2">
        <v>400.49999999969998</v>
      </c>
      <c r="FV2">
        <v>407.69999999970003</v>
      </c>
      <c r="FW2">
        <v>414.80000000050001</v>
      </c>
      <c r="FX2">
        <v>421.89999999939999</v>
      </c>
      <c r="FY2">
        <v>428.10000000100001</v>
      </c>
      <c r="FZ2">
        <v>434.99999999950001</v>
      </c>
      <c r="GA2">
        <v>441.60000000010001</v>
      </c>
      <c r="GB2">
        <v>446.90000000079999</v>
      </c>
      <c r="GC2">
        <v>449.30000000019999</v>
      </c>
      <c r="GD2">
        <v>449.20000000089999</v>
      </c>
      <c r="GE2">
        <v>449.20000000089999</v>
      </c>
      <c r="GF2">
        <v>449.30000000019999</v>
      </c>
      <c r="GG2">
        <v>449.30000000019999</v>
      </c>
      <c r="GH2">
        <v>449.39999999949998</v>
      </c>
      <c r="GI2">
        <v>449.30000000019999</v>
      </c>
      <c r="GJ2">
        <v>449.39999999949998</v>
      </c>
      <c r="GK2">
        <v>449.39999999949998</v>
      </c>
      <c r="GL2">
        <v>449.30000000019999</v>
      </c>
      <c r="GM2">
        <v>449.50000000059998</v>
      </c>
      <c r="GN2">
        <v>449.39999999949998</v>
      </c>
      <c r="GO2">
        <v>449.50000000059998</v>
      </c>
      <c r="GP2">
        <v>449.30000000019999</v>
      </c>
      <c r="GQ2">
        <v>449.50000000059998</v>
      </c>
      <c r="GR2">
        <v>449.30000000019999</v>
      </c>
      <c r="GS2">
        <v>449.50000000059998</v>
      </c>
      <c r="GT2">
        <v>449.69999999919997</v>
      </c>
      <c r="GU2">
        <v>449.59999999989998</v>
      </c>
      <c r="GV2">
        <v>449.50000000059998</v>
      </c>
      <c r="GW2">
        <v>449.39999999949998</v>
      </c>
      <c r="GX2">
        <v>1</v>
      </c>
      <c r="GY2">
        <v>109.4000000012</v>
      </c>
      <c r="GZ2">
        <v>106.9000000007</v>
      </c>
      <c r="HA2">
        <v>106.9000000007</v>
      </c>
      <c r="HB2">
        <v>115.2999999995</v>
      </c>
      <c r="HC2">
        <v>108.9757117442</v>
      </c>
      <c r="HD2">
        <v>-8.3999999988000003</v>
      </c>
      <c r="HE2">
        <v>449.40003336249998</v>
      </c>
      <c r="HF2">
        <v>312.01598087090002</v>
      </c>
      <c r="HG2">
        <v>93.676690391700006</v>
      </c>
      <c r="HH2">
        <v>449.69999999919997</v>
      </c>
      <c r="HI2">
        <v>449.69999999919997</v>
      </c>
      <c r="HJ2">
        <v>449.50000000059998</v>
      </c>
      <c r="HK2">
        <v>449.69999999919997</v>
      </c>
      <c r="HL2">
        <v>96.187683284499997</v>
      </c>
      <c r="HM2">
        <v>3.7668970356</v>
      </c>
      <c r="HN2">
        <v>3.6417878932000001</v>
      </c>
      <c r="HO2">
        <v>3.696883648</v>
      </c>
      <c r="HP2">
        <v>3.4158506035</v>
      </c>
      <c r="HQ2">
        <v>3.818597794</v>
      </c>
      <c r="HR2">
        <v>3.0286060709</v>
      </c>
      <c r="HS2">
        <v>15.299021352500001</v>
      </c>
      <c r="HT2">
        <v>-25.806451612899998</v>
      </c>
      <c r="HU2">
        <v>-176</v>
      </c>
      <c r="HV2">
        <v>420.99169261499998</v>
      </c>
      <c r="HW2">
        <v>84.457478005900001</v>
      </c>
      <c r="HX2">
        <v>576</v>
      </c>
      <c r="HY2">
        <v>15.299021352500001</v>
      </c>
      <c r="HZ2">
        <v>-25.806451612899998</v>
      </c>
      <c r="IA2">
        <v>-176</v>
      </c>
      <c r="IB2">
        <v>420.99169261499998</v>
      </c>
      <c r="IC2">
        <v>84.457478005900001</v>
      </c>
      <c r="ID2">
        <v>576</v>
      </c>
      <c r="IE2">
        <v>28.708307384200001</v>
      </c>
      <c r="IF2">
        <v>1.00379226</v>
      </c>
      <c r="IG2">
        <v>-35.190615835800003</v>
      </c>
      <c r="IH2">
        <v>-240</v>
      </c>
      <c r="II2">
        <v>446.75325845280003</v>
      </c>
      <c r="IJ2">
        <v>93.841642228699996</v>
      </c>
      <c r="IK2">
        <v>640</v>
      </c>
      <c r="IL2">
        <v>405.69267126260002</v>
      </c>
      <c r="IM2">
        <v>110.26392961880001</v>
      </c>
      <c r="IN2">
        <v>431.9213856751</v>
      </c>
      <c r="IO2">
        <v>119.6480938416</v>
      </c>
      <c r="IP2">
        <v>7.5999999989999996</v>
      </c>
      <c r="IQ2">
        <v>7.4000000004000004</v>
      </c>
      <c r="IR2">
        <v>9.5000000001</v>
      </c>
      <c r="IS2">
        <v>2.6235716410999999</v>
      </c>
      <c r="IT2">
        <v>2.6235716410999999</v>
      </c>
      <c r="IU2">
        <v>8.8999999989000003</v>
      </c>
      <c r="IV2">
        <v>-28.152492668600001</v>
      </c>
      <c r="IW2">
        <v>12.699999999299999</v>
      </c>
      <c r="IX2">
        <v>75.073313783000003</v>
      </c>
      <c r="IY2">
        <v>11.200000000799999</v>
      </c>
      <c r="IZ2">
        <v>91.495601172999997</v>
      </c>
      <c r="JA2">
        <v>-30.2627139871</v>
      </c>
      <c r="JB2">
        <v>0.2985206352</v>
      </c>
      <c r="JC2">
        <v>-2.331379E-4</v>
      </c>
      <c r="JD2">
        <v>4.052E-7</v>
      </c>
      <c r="JE2">
        <v>0.26547048950000002</v>
      </c>
      <c r="JF2">
        <v>0.14926044869999999</v>
      </c>
      <c r="JG2">
        <v>6.8342761099999996E-2</v>
      </c>
      <c r="JH2">
        <v>109.0247498799</v>
      </c>
      <c r="JI2">
        <v>3.818597794</v>
      </c>
      <c r="JJ2">
        <v>4.8823553000000002E-3</v>
      </c>
      <c r="JK2">
        <v>-7.5455800000000004E-5</v>
      </c>
      <c r="JL2">
        <v>3.7668970356</v>
      </c>
      <c r="JM2">
        <v>0.52341431009999995</v>
      </c>
      <c r="JN2">
        <v>0.1880257836</v>
      </c>
      <c r="JO2">
        <v>3.2394999996</v>
      </c>
      <c r="JP2">
        <v>3.1542500001999998</v>
      </c>
      <c r="JQ2">
        <v>4.0493750000000004</v>
      </c>
      <c r="JR2" s="17" t="s">
        <v>551</v>
      </c>
      <c r="JU2" s="17">
        <v>1</v>
      </c>
    </row>
    <row r="3" spans="1:281">
      <c r="A3" t="s">
        <v>552</v>
      </c>
      <c r="B3" t="s">
        <v>553</v>
      </c>
      <c r="C3" t="s">
        <v>554</v>
      </c>
      <c r="D3" t="s">
        <v>212</v>
      </c>
      <c r="E3">
        <v>3</v>
      </c>
      <c r="F3" t="s">
        <v>213</v>
      </c>
      <c r="G3" t="s">
        <v>214</v>
      </c>
      <c r="H3" t="s">
        <v>550</v>
      </c>
      <c r="I3" t="s">
        <v>216</v>
      </c>
      <c r="K3" t="s">
        <v>231</v>
      </c>
      <c r="L3" t="s">
        <v>232</v>
      </c>
      <c r="M3" t="s">
        <v>233</v>
      </c>
      <c r="N3" t="s">
        <v>234</v>
      </c>
      <c r="O3" t="s">
        <v>235</v>
      </c>
      <c r="P3">
        <v>0</v>
      </c>
      <c r="Q3">
        <v>0</v>
      </c>
      <c r="R3">
        <v>0.39999999899999999</v>
      </c>
      <c r="S3">
        <v>9.9999999300000003E-2</v>
      </c>
      <c r="T3">
        <v>0</v>
      </c>
      <c r="U3">
        <v>9.9999999300000003E-2</v>
      </c>
      <c r="V3">
        <v>9.9999999300000003E-2</v>
      </c>
      <c r="W3">
        <v>0</v>
      </c>
      <c r="X3">
        <v>9.9999999300000003E-2</v>
      </c>
      <c r="Y3">
        <v>0.20000000039999999</v>
      </c>
      <c r="Z3">
        <v>0.20000000039999999</v>
      </c>
      <c r="AA3">
        <v>0</v>
      </c>
      <c r="AB3">
        <v>0.29999999970000002</v>
      </c>
      <c r="AC3">
        <v>0.29999999970000002</v>
      </c>
      <c r="AD3">
        <v>0.29999999970000002</v>
      </c>
      <c r="AE3">
        <v>0.29999999970000002</v>
      </c>
      <c r="AF3">
        <v>0.29999999970000002</v>
      </c>
      <c r="AG3">
        <v>0.29999999970000002</v>
      </c>
      <c r="AH3">
        <v>0.29999999970000002</v>
      </c>
      <c r="AI3">
        <v>0.39999999899999999</v>
      </c>
      <c r="AJ3">
        <v>0.39999999899999999</v>
      </c>
      <c r="AK3">
        <v>0.29999999970000002</v>
      </c>
      <c r="AL3">
        <v>2.1999999990000001</v>
      </c>
      <c r="AM3">
        <v>5.7999999989999997</v>
      </c>
      <c r="AN3">
        <v>12.300000000300001</v>
      </c>
      <c r="AO3">
        <v>19.9999999986</v>
      </c>
      <c r="AP3">
        <v>27.500000000099998</v>
      </c>
      <c r="AQ3">
        <v>35.0999999991</v>
      </c>
      <c r="AR3">
        <v>43.700000000199999</v>
      </c>
      <c r="AS3">
        <v>51.799999999299999</v>
      </c>
      <c r="AT3">
        <v>59.699999999799999</v>
      </c>
      <c r="AU3">
        <v>67.399999999900004</v>
      </c>
      <c r="AV3">
        <v>75.799999998700002</v>
      </c>
      <c r="AW3">
        <v>84.299999998600001</v>
      </c>
      <c r="AX3">
        <v>93.499999998999996</v>
      </c>
      <c r="AY3">
        <v>102.9999999992</v>
      </c>
      <c r="AZ3">
        <v>111.19999999940001</v>
      </c>
      <c r="BA3">
        <v>119.3999999996</v>
      </c>
      <c r="BB3">
        <v>127.99999999880001</v>
      </c>
      <c r="BC3">
        <v>136.59999999979999</v>
      </c>
      <c r="BD3">
        <v>145.49999999869999</v>
      </c>
      <c r="BE3">
        <v>154.49999999869999</v>
      </c>
      <c r="BF3">
        <v>162.89999999939999</v>
      </c>
      <c r="BG3">
        <v>171.09999999959999</v>
      </c>
      <c r="BH3">
        <v>179.7999999999</v>
      </c>
      <c r="BI3">
        <v>188.5999999995</v>
      </c>
      <c r="BJ3">
        <v>197.00000000009999</v>
      </c>
      <c r="BK3">
        <v>206.29999999980001</v>
      </c>
      <c r="BL3">
        <v>214.79999999969999</v>
      </c>
      <c r="BM3">
        <v>222.89999999880001</v>
      </c>
      <c r="BN3">
        <v>231.39999999880001</v>
      </c>
      <c r="BO3">
        <v>239.9999999998</v>
      </c>
      <c r="BP3">
        <v>248.2</v>
      </c>
      <c r="BQ3">
        <v>257.29999999929998</v>
      </c>
      <c r="BR3">
        <v>265.5999999988</v>
      </c>
      <c r="BS3">
        <v>273.49999999929997</v>
      </c>
      <c r="BT3">
        <v>281.79999999879999</v>
      </c>
      <c r="BU3">
        <v>289.8999999998</v>
      </c>
      <c r="BV3">
        <v>297.80000000029997</v>
      </c>
      <c r="BW3">
        <v>306.09999999979999</v>
      </c>
      <c r="BX3">
        <v>314.5999999997</v>
      </c>
      <c r="BY3">
        <v>322.09999999939998</v>
      </c>
      <c r="BZ3">
        <v>329.39999999870003</v>
      </c>
      <c r="CA3">
        <v>336.90000000020001</v>
      </c>
      <c r="CB3">
        <v>344.49999999919999</v>
      </c>
      <c r="CC3">
        <v>351.80000000040002</v>
      </c>
      <c r="CD3">
        <v>359.199999999</v>
      </c>
      <c r="CE3">
        <v>367.19999999880002</v>
      </c>
      <c r="CF3">
        <v>373.99999999980002</v>
      </c>
      <c r="CG3">
        <v>380.90000000010002</v>
      </c>
      <c r="CH3">
        <v>387.79999999860001</v>
      </c>
      <c r="CI3">
        <v>394.59999999960002</v>
      </c>
      <c r="CJ3">
        <v>401.39999999880001</v>
      </c>
      <c r="CK3">
        <v>407.90000000020001</v>
      </c>
      <c r="CL3">
        <v>415.29999999879999</v>
      </c>
      <c r="CM3">
        <v>421.99999999869999</v>
      </c>
      <c r="CN3">
        <v>428.2999999996</v>
      </c>
      <c r="CO3">
        <v>434.79999999910001</v>
      </c>
      <c r="CP3">
        <v>440.89999999960003</v>
      </c>
      <c r="CQ3">
        <v>447.00000000009999</v>
      </c>
      <c r="CR3">
        <v>452.79999999910001</v>
      </c>
      <c r="CS3">
        <v>454.99999999990001</v>
      </c>
      <c r="CT3">
        <v>455.20000000030001</v>
      </c>
      <c r="CU3">
        <v>455.20000000030001</v>
      </c>
      <c r="CV3">
        <v>455.20000000030001</v>
      </c>
      <c r="CW3">
        <v>455.20000000030001</v>
      </c>
      <c r="CX3">
        <v>455.2999999996</v>
      </c>
      <c r="CY3">
        <v>455.3999999989</v>
      </c>
      <c r="CZ3">
        <v>455.2999999996</v>
      </c>
      <c r="DA3">
        <v>455.3999999989</v>
      </c>
      <c r="DB3">
        <v>455.3999999989</v>
      </c>
      <c r="DC3">
        <v>455.2999999996</v>
      </c>
      <c r="DD3">
        <v>455.5</v>
      </c>
      <c r="DE3">
        <v>455.3999999989</v>
      </c>
      <c r="DF3">
        <v>455.3999999989</v>
      </c>
      <c r="DG3">
        <v>455.5</v>
      </c>
      <c r="DH3">
        <v>0.79999999980000003</v>
      </c>
      <c r="DI3">
        <v>0.69999999869999996</v>
      </c>
      <c r="DJ3">
        <v>0.69999999869999996</v>
      </c>
      <c r="DK3">
        <v>0.69999999869999996</v>
      </c>
      <c r="DL3">
        <v>0.79999999980000003</v>
      </c>
      <c r="DM3">
        <v>0.69999999869999996</v>
      </c>
      <c r="DN3">
        <v>0.79999999980000003</v>
      </c>
      <c r="DO3">
        <v>0.69999999869999996</v>
      </c>
      <c r="DP3">
        <v>1.0000000002</v>
      </c>
      <c r="DQ3">
        <v>0.79999999980000003</v>
      </c>
      <c r="DR3">
        <v>0.69999999869999996</v>
      </c>
      <c r="DS3">
        <v>1.0000000002</v>
      </c>
      <c r="DT3">
        <v>0.79999999980000003</v>
      </c>
      <c r="DU3">
        <v>0.79999999980000003</v>
      </c>
      <c r="DV3">
        <v>0.89999999909999995</v>
      </c>
      <c r="DW3">
        <v>0.89999999909999995</v>
      </c>
      <c r="DX3">
        <v>0.89999999909999995</v>
      </c>
      <c r="DY3">
        <v>0.89999999909999995</v>
      </c>
      <c r="DZ3">
        <v>1.0999999995</v>
      </c>
      <c r="EA3">
        <v>3.3000000002999998</v>
      </c>
      <c r="EB3">
        <v>7.3999999986000002</v>
      </c>
      <c r="EC3">
        <v>14.699999999699999</v>
      </c>
      <c r="ED3">
        <v>21.8999999997</v>
      </c>
      <c r="EE3">
        <v>29.399999999399999</v>
      </c>
      <c r="EF3">
        <v>37.299999999999997</v>
      </c>
      <c r="EG3">
        <v>45.299999999800001</v>
      </c>
      <c r="EH3">
        <v>53.200000000300001</v>
      </c>
      <c r="EI3">
        <v>60.7</v>
      </c>
      <c r="EJ3">
        <v>68.5999999987</v>
      </c>
      <c r="EK3">
        <v>76.900000000000006</v>
      </c>
      <c r="EL3">
        <v>85.299999998800004</v>
      </c>
      <c r="EM3">
        <v>94.1000000003</v>
      </c>
      <c r="EN3">
        <v>103.29999999890001</v>
      </c>
      <c r="EO3">
        <v>111.69999999949999</v>
      </c>
      <c r="EP3">
        <v>120.19999999940001</v>
      </c>
      <c r="EQ3">
        <v>128.69999999929999</v>
      </c>
      <c r="ER3">
        <v>137.1999999992</v>
      </c>
      <c r="ES3">
        <v>146.3000000003</v>
      </c>
      <c r="ET3">
        <v>155.3999999996</v>
      </c>
      <c r="EU3">
        <v>163.6999999992</v>
      </c>
      <c r="EV3">
        <v>171.99999999869999</v>
      </c>
      <c r="EW3">
        <v>180.8000000001</v>
      </c>
      <c r="EX3">
        <v>189.5999999997</v>
      </c>
      <c r="EY3">
        <v>198.5999999997</v>
      </c>
      <c r="EZ3">
        <v>207.89999999939999</v>
      </c>
      <c r="FA3">
        <v>216.3</v>
      </c>
      <c r="FB3">
        <v>224.8</v>
      </c>
      <c r="FC3">
        <v>233.50000000029999</v>
      </c>
      <c r="FD3">
        <v>242.0000000002</v>
      </c>
      <c r="FE3">
        <v>250.8999999991</v>
      </c>
      <c r="FF3">
        <v>260.29999999990002</v>
      </c>
      <c r="FG3">
        <v>268.50000000009999</v>
      </c>
      <c r="FH3">
        <v>276.70000000030001</v>
      </c>
      <c r="FI3">
        <v>284.99999999990001</v>
      </c>
      <c r="FJ3">
        <v>293.70000000020002</v>
      </c>
      <c r="FK3">
        <v>301.90000000039998</v>
      </c>
      <c r="FL3">
        <v>310.49999999959999</v>
      </c>
      <c r="FM3">
        <v>319.0999999988</v>
      </c>
      <c r="FN3">
        <v>326.89999999999998</v>
      </c>
      <c r="FO3">
        <v>334.49999999900001</v>
      </c>
      <c r="FP3">
        <v>343.1</v>
      </c>
      <c r="FQ3">
        <v>350.69999999909999</v>
      </c>
      <c r="FR3">
        <v>357.79999999979998</v>
      </c>
      <c r="FS3">
        <v>367.19999999880002</v>
      </c>
      <c r="FT3">
        <v>373.79999999939997</v>
      </c>
      <c r="FU3">
        <v>379.19999999940001</v>
      </c>
      <c r="FV3">
        <v>387.89999999970001</v>
      </c>
      <c r="FW3">
        <v>395.69999999909999</v>
      </c>
      <c r="FX3">
        <v>402.50000000009999</v>
      </c>
      <c r="FY3">
        <v>409.29999999929998</v>
      </c>
      <c r="FZ3">
        <v>416.79999999910001</v>
      </c>
      <c r="GA3">
        <v>423.49999999900001</v>
      </c>
      <c r="GB3">
        <v>429.59999999950003</v>
      </c>
      <c r="GC3">
        <v>434.90000000020001</v>
      </c>
      <c r="GD3">
        <v>440.59999999989998</v>
      </c>
      <c r="GE3">
        <v>446.3999999989</v>
      </c>
      <c r="GF3">
        <v>451.1000000002</v>
      </c>
      <c r="GG3">
        <v>455.09999999920001</v>
      </c>
      <c r="GH3">
        <v>455.2999999996</v>
      </c>
      <c r="GI3">
        <v>455.20000000030001</v>
      </c>
      <c r="GJ3">
        <v>455.20000000030001</v>
      </c>
      <c r="GK3">
        <v>455.2999999996</v>
      </c>
      <c r="GL3">
        <v>455.2999999996</v>
      </c>
      <c r="GM3">
        <v>455.2999999996</v>
      </c>
      <c r="GN3">
        <v>455.3999999989</v>
      </c>
      <c r="GO3">
        <v>455.2999999996</v>
      </c>
      <c r="GP3">
        <v>455.3999999989</v>
      </c>
      <c r="GQ3">
        <v>455.3999999989</v>
      </c>
      <c r="GR3">
        <v>455.2999999996</v>
      </c>
      <c r="GS3">
        <v>455.3999999989</v>
      </c>
      <c r="GT3">
        <v>455.3999999989</v>
      </c>
      <c r="GU3">
        <v>455.3999999989</v>
      </c>
      <c r="GV3">
        <v>455.2999999996</v>
      </c>
      <c r="GW3">
        <v>455.3999999989</v>
      </c>
      <c r="GX3">
        <v>1</v>
      </c>
      <c r="GY3">
        <v>96.100000000700007</v>
      </c>
      <c r="GZ3">
        <v>93.499999998999996</v>
      </c>
      <c r="HA3">
        <v>93.499999998999996</v>
      </c>
      <c r="HB3">
        <v>103.29999999890001</v>
      </c>
      <c r="HC3">
        <v>95.617290590699994</v>
      </c>
      <c r="HD3">
        <v>-9.7999999998000007</v>
      </c>
      <c r="HE3">
        <v>455.3999999989</v>
      </c>
      <c r="HF3">
        <v>332.94659128379999</v>
      </c>
      <c r="HG3">
        <v>75.107509057300007</v>
      </c>
      <c r="HH3">
        <v>455.5</v>
      </c>
      <c r="HI3">
        <v>455.3999999989</v>
      </c>
      <c r="HJ3">
        <v>455.5</v>
      </c>
      <c r="HK3">
        <v>455.3999999989</v>
      </c>
      <c r="HL3">
        <v>105.57184750730001</v>
      </c>
      <c r="HM3">
        <v>3.6319410650999999</v>
      </c>
      <c r="HN3">
        <v>3.4886140665999998</v>
      </c>
      <c r="HO3">
        <v>3.5676816403</v>
      </c>
      <c r="HP3">
        <v>3.4427811232000001</v>
      </c>
      <c r="HQ3">
        <v>3.7034791622999998</v>
      </c>
      <c r="HR3">
        <v>2.8404407310000002</v>
      </c>
      <c r="HS3">
        <v>20.509781533400002</v>
      </c>
      <c r="HT3">
        <v>-21.114369501500001</v>
      </c>
      <c r="HU3">
        <v>-144</v>
      </c>
      <c r="HV3">
        <v>428.5638818745</v>
      </c>
      <c r="HW3">
        <v>93.841642228699996</v>
      </c>
      <c r="HX3">
        <v>640</v>
      </c>
      <c r="HY3">
        <v>20.509781533400002</v>
      </c>
      <c r="HZ3">
        <v>-21.114369501500001</v>
      </c>
      <c r="IA3">
        <v>-144</v>
      </c>
      <c r="IB3">
        <v>428.5638818745</v>
      </c>
      <c r="IC3">
        <v>93.841642228699996</v>
      </c>
      <c r="ID3">
        <v>640</v>
      </c>
      <c r="IE3">
        <v>26.836118124399999</v>
      </c>
      <c r="IF3">
        <v>0.31185640549999999</v>
      </c>
      <c r="IG3">
        <v>-30.4985337243</v>
      </c>
      <c r="IH3">
        <v>-208</v>
      </c>
      <c r="II3">
        <v>450.88836315750001</v>
      </c>
      <c r="IJ3">
        <v>103.22580645159999</v>
      </c>
      <c r="IK3">
        <v>704</v>
      </c>
      <c r="IL3">
        <v>408.05410034110002</v>
      </c>
      <c r="IM3">
        <v>114.9560117302</v>
      </c>
      <c r="IN3">
        <v>434.03257218229999</v>
      </c>
      <c r="IO3">
        <v>124.3401759531</v>
      </c>
      <c r="IP3">
        <v>7.6999999983</v>
      </c>
      <c r="IQ3">
        <v>6.1000000004999997</v>
      </c>
      <c r="IR3">
        <v>9.5000000001</v>
      </c>
      <c r="IS3">
        <v>3.2794365869000002</v>
      </c>
      <c r="IT3">
        <v>3.2794365869000002</v>
      </c>
      <c r="IU3">
        <v>9.5999999993999996</v>
      </c>
      <c r="IV3">
        <v>-23.460410557199999</v>
      </c>
      <c r="IW3">
        <v>15.5999999988</v>
      </c>
      <c r="IX3">
        <v>91.495601172999997</v>
      </c>
      <c r="IY3">
        <v>11.5999999998</v>
      </c>
      <c r="IZ3">
        <v>100.87976539589999</v>
      </c>
      <c r="JA3">
        <v>-27.085865585200001</v>
      </c>
      <c r="JB3">
        <v>0.30091049419999999</v>
      </c>
      <c r="JC3">
        <v>-2.163334E-4</v>
      </c>
      <c r="JD3">
        <v>4.0040000000000001E-7</v>
      </c>
      <c r="JE3">
        <v>0.27533486419999997</v>
      </c>
      <c r="JF3">
        <v>0.35345827099999999</v>
      </c>
      <c r="JG3">
        <v>0.1211080677</v>
      </c>
      <c r="JH3">
        <v>95.601359871100001</v>
      </c>
      <c r="JI3">
        <v>3.7034791622999998</v>
      </c>
      <c r="JJ3">
        <v>4.1949711000000001E-3</v>
      </c>
      <c r="JK3">
        <v>-6.2469400000000002E-5</v>
      </c>
      <c r="JL3">
        <v>3.6319410650999999</v>
      </c>
      <c r="JM3">
        <v>1.4451983363000001</v>
      </c>
      <c r="JN3">
        <v>0.40470434</v>
      </c>
      <c r="JO3">
        <v>3.2821249993000001</v>
      </c>
      <c r="JP3">
        <v>2.6001250001999998</v>
      </c>
      <c r="JQ3">
        <v>4.0493750000000004</v>
      </c>
      <c r="JR3" s="17" t="s">
        <v>551</v>
      </c>
      <c r="JU3" s="17">
        <v>1</v>
      </c>
    </row>
    <row r="4" spans="1:281">
      <c r="A4" t="s">
        <v>572</v>
      </c>
      <c r="B4" t="s">
        <v>573</v>
      </c>
      <c r="C4" t="s">
        <v>574</v>
      </c>
      <c r="D4" t="s">
        <v>212</v>
      </c>
      <c r="E4">
        <v>3</v>
      </c>
      <c r="F4" t="s">
        <v>213</v>
      </c>
      <c r="G4" t="s">
        <v>214</v>
      </c>
      <c r="H4" t="s">
        <v>550</v>
      </c>
      <c r="I4" t="s">
        <v>216</v>
      </c>
      <c r="K4" t="s">
        <v>563</v>
      </c>
      <c r="L4" t="s">
        <v>564</v>
      </c>
      <c r="M4" t="s">
        <v>565</v>
      </c>
      <c r="N4" t="s">
        <v>566</v>
      </c>
      <c r="O4" t="s">
        <v>567</v>
      </c>
      <c r="P4">
        <v>0</v>
      </c>
      <c r="Q4">
        <v>0</v>
      </c>
      <c r="R4">
        <v>0</v>
      </c>
      <c r="S4">
        <v>0.59999999940000004</v>
      </c>
      <c r="T4">
        <v>0.7000000005</v>
      </c>
      <c r="U4">
        <v>0.7000000005</v>
      </c>
      <c r="V4">
        <v>0.7000000005</v>
      </c>
      <c r="W4">
        <v>0.89999999909999995</v>
      </c>
      <c r="X4">
        <v>0.79999999980000003</v>
      </c>
      <c r="Y4">
        <v>0.79999999980000003</v>
      </c>
      <c r="Z4">
        <v>0.89999999909999995</v>
      </c>
      <c r="AA4">
        <v>0.89999999909999995</v>
      </c>
      <c r="AB4">
        <v>0.89999999909999995</v>
      </c>
      <c r="AC4">
        <v>1.0999999995</v>
      </c>
      <c r="AD4">
        <v>1.0999999995</v>
      </c>
      <c r="AE4">
        <v>1.0000000002</v>
      </c>
      <c r="AF4">
        <v>0.89999999909999995</v>
      </c>
      <c r="AG4">
        <v>1.0999999995</v>
      </c>
      <c r="AH4">
        <v>1.0999999995</v>
      </c>
      <c r="AI4">
        <v>1.0000000002</v>
      </c>
      <c r="AJ4">
        <v>1.2000000006</v>
      </c>
      <c r="AK4">
        <v>1.2000000006</v>
      </c>
      <c r="AL4">
        <v>1.8</v>
      </c>
      <c r="AM4">
        <v>5.6999999997000002</v>
      </c>
      <c r="AN4">
        <v>13.199999999399999</v>
      </c>
      <c r="AO4">
        <v>21.300000000299999</v>
      </c>
      <c r="AP4">
        <v>28.8</v>
      </c>
      <c r="AQ4">
        <v>36.799999999900002</v>
      </c>
      <c r="AR4">
        <v>44.5</v>
      </c>
      <c r="AS4">
        <v>52.799999999500002</v>
      </c>
      <c r="AT4">
        <v>60.900000000399999</v>
      </c>
      <c r="AU4">
        <v>69.799999999299999</v>
      </c>
      <c r="AV4">
        <v>78.499999999600007</v>
      </c>
      <c r="AW4">
        <v>86.999999999500005</v>
      </c>
      <c r="AX4">
        <v>95.400000000199995</v>
      </c>
      <c r="AY4">
        <v>104.49999999950001</v>
      </c>
      <c r="AZ4">
        <v>112.9999999994</v>
      </c>
      <c r="BA4">
        <v>122.1999999998</v>
      </c>
      <c r="BB4">
        <v>130.99999999939999</v>
      </c>
      <c r="BC4">
        <v>139.79999999899999</v>
      </c>
      <c r="BD4">
        <v>148.10000000030001</v>
      </c>
      <c r="BE4">
        <v>156.99999999920001</v>
      </c>
      <c r="BF4">
        <v>165.19999999949999</v>
      </c>
      <c r="BG4">
        <v>174.49999999920001</v>
      </c>
      <c r="BH4">
        <v>183.9999999993</v>
      </c>
      <c r="BI4">
        <v>192.69999999960001</v>
      </c>
      <c r="BJ4">
        <v>200.80000000050001</v>
      </c>
      <c r="BK4">
        <v>209.80000000050001</v>
      </c>
      <c r="BL4">
        <v>218.30000000050001</v>
      </c>
      <c r="BM4">
        <v>227.3999999998</v>
      </c>
      <c r="BN4">
        <v>236.3999999998</v>
      </c>
      <c r="BO4">
        <v>245.19999999940001</v>
      </c>
      <c r="BP4">
        <v>253.09999999990001</v>
      </c>
      <c r="BQ4">
        <v>261.89999999949998</v>
      </c>
      <c r="BR4">
        <v>270.3000000001</v>
      </c>
      <c r="BS4">
        <v>279.00000000049999</v>
      </c>
      <c r="BT4">
        <v>287.69999999890001</v>
      </c>
      <c r="BU4">
        <v>296.19999999890001</v>
      </c>
      <c r="BV4">
        <v>304.00000000009999</v>
      </c>
      <c r="BW4">
        <v>311.99999999990001</v>
      </c>
      <c r="BX4">
        <v>320.29999999939997</v>
      </c>
      <c r="BY4">
        <v>328.4000000003</v>
      </c>
      <c r="BZ4">
        <v>336.40000000010002</v>
      </c>
      <c r="CA4">
        <v>344.4</v>
      </c>
      <c r="CB4">
        <v>352.10000000010001</v>
      </c>
      <c r="CC4">
        <v>359.50000000049999</v>
      </c>
      <c r="CD4">
        <v>366.70000000049998</v>
      </c>
      <c r="CE4">
        <v>374.29999999950002</v>
      </c>
      <c r="CF4">
        <v>381.6999999999</v>
      </c>
      <c r="CG4">
        <v>389.19999999959998</v>
      </c>
      <c r="CH4">
        <v>396.39999999960003</v>
      </c>
      <c r="CI4">
        <v>403.50000000030002</v>
      </c>
      <c r="CJ4">
        <v>410.09999999910002</v>
      </c>
      <c r="CK4">
        <v>416.69999999980001</v>
      </c>
      <c r="CL4">
        <v>423.49999999900001</v>
      </c>
      <c r="CM4">
        <v>430.50000000040001</v>
      </c>
      <c r="CN4">
        <v>435.1999999999</v>
      </c>
      <c r="CO4">
        <v>439.89999999939999</v>
      </c>
      <c r="CP4">
        <v>445.29999999939997</v>
      </c>
      <c r="CQ4">
        <v>446.7000000004</v>
      </c>
      <c r="CR4">
        <v>446.79999999969999</v>
      </c>
      <c r="CS4">
        <v>446.7000000004</v>
      </c>
      <c r="CT4">
        <v>446.89999999899999</v>
      </c>
      <c r="CU4">
        <v>446.79999999969999</v>
      </c>
      <c r="CV4">
        <v>446.7000000004</v>
      </c>
      <c r="CW4">
        <v>446.89999999899999</v>
      </c>
      <c r="CX4">
        <v>446.89999999899999</v>
      </c>
      <c r="CY4">
        <v>446.79999999969999</v>
      </c>
      <c r="CZ4">
        <v>446.7000000004</v>
      </c>
      <c r="DA4">
        <v>446.7000000004</v>
      </c>
      <c r="DB4">
        <v>447.00000000009999</v>
      </c>
      <c r="DC4">
        <v>446.79999999969999</v>
      </c>
      <c r="DD4">
        <v>447.00000000009999</v>
      </c>
      <c r="DE4">
        <v>447.00000000009999</v>
      </c>
      <c r="DF4">
        <v>446.89999999899999</v>
      </c>
      <c r="DG4">
        <v>446.89999999899999</v>
      </c>
      <c r="DH4">
        <v>0.39999999899999999</v>
      </c>
      <c r="DI4">
        <v>1.5000000003</v>
      </c>
      <c r="DJ4">
        <v>1.5000000003</v>
      </c>
      <c r="DK4">
        <v>1.5000000003</v>
      </c>
      <c r="DL4">
        <v>1.5000000003</v>
      </c>
      <c r="DM4">
        <v>1.5999999996000001</v>
      </c>
      <c r="DN4">
        <v>1.6999999989000001</v>
      </c>
      <c r="DO4">
        <v>1.6999999989000001</v>
      </c>
      <c r="DP4">
        <v>1.6999999989000001</v>
      </c>
      <c r="DQ4">
        <v>1.8</v>
      </c>
      <c r="DR4">
        <v>1.6999999989000001</v>
      </c>
      <c r="DS4">
        <v>1.5999999996000001</v>
      </c>
      <c r="DT4">
        <v>1.5999999996000001</v>
      </c>
      <c r="DU4">
        <v>1.6999999989000001</v>
      </c>
      <c r="DV4">
        <v>1.8</v>
      </c>
      <c r="DW4">
        <v>1.6999999989000001</v>
      </c>
      <c r="DX4">
        <v>1.8</v>
      </c>
      <c r="DY4">
        <v>1.8</v>
      </c>
      <c r="DZ4">
        <v>2.0000000004</v>
      </c>
      <c r="EA4">
        <v>2.0999999997000001</v>
      </c>
      <c r="EB4">
        <v>6.6999999999000002</v>
      </c>
      <c r="EC4">
        <v>14.299999998900001</v>
      </c>
      <c r="ED4">
        <v>22.399999999799999</v>
      </c>
      <c r="EE4">
        <v>30.0999999999</v>
      </c>
      <c r="EF4">
        <v>37.599999999700003</v>
      </c>
      <c r="EG4">
        <v>45.299999999800001</v>
      </c>
      <c r="EH4">
        <v>53.5</v>
      </c>
      <c r="EI4">
        <v>61.5999999991</v>
      </c>
      <c r="EJ4">
        <v>70.499999999799996</v>
      </c>
      <c r="EK4">
        <v>78.999999999699995</v>
      </c>
      <c r="EL4">
        <v>87.199999999900001</v>
      </c>
      <c r="EM4">
        <v>94.999999999300002</v>
      </c>
      <c r="EN4">
        <v>103.9999999994</v>
      </c>
      <c r="EO4">
        <v>112.6999999997</v>
      </c>
      <c r="EP4">
        <v>122.1000000005</v>
      </c>
      <c r="EQ4">
        <v>131.19999999980001</v>
      </c>
      <c r="ER4">
        <v>139.6999999997</v>
      </c>
      <c r="ES4">
        <v>147.99999999920001</v>
      </c>
      <c r="ET4">
        <v>157.1000000004</v>
      </c>
      <c r="EU4">
        <v>165.39999999989999</v>
      </c>
      <c r="EV4">
        <v>174.69999999960001</v>
      </c>
      <c r="EW4">
        <v>183.9999999993</v>
      </c>
      <c r="EX4">
        <v>192.69999999960001</v>
      </c>
      <c r="EY4">
        <v>200.9999999991</v>
      </c>
      <c r="EZ4">
        <v>210.1000000002</v>
      </c>
      <c r="FA4">
        <v>218.6000000002</v>
      </c>
      <c r="FB4">
        <v>228.10000000030001</v>
      </c>
      <c r="FC4">
        <v>236.99999999920001</v>
      </c>
      <c r="FD4">
        <v>245.89999999989999</v>
      </c>
      <c r="FE4">
        <v>254.10000000010001</v>
      </c>
      <c r="FF4">
        <v>263.10000000010001</v>
      </c>
      <c r="FG4">
        <v>271.60000000000002</v>
      </c>
      <c r="FH4">
        <v>280.49999999890002</v>
      </c>
      <c r="FI4">
        <v>289.30000000040002</v>
      </c>
      <c r="FJ4">
        <v>298.10000000000002</v>
      </c>
      <c r="FK4">
        <v>306.00000000049999</v>
      </c>
      <c r="FL4">
        <v>314.39999999930001</v>
      </c>
      <c r="FM4">
        <v>322.79999999990002</v>
      </c>
      <c r="FN4">
        <v>331.09999999939998</v>
      </c>
      <c r="FO4">
        <v>339.5999999993</v>
      </c>
      <c r="FP4">
        <v>347.59999999910002</v>
      </c>
      <c r="FQ4">
        <v>355.49999999969998</v>
      </c>
      <c r="FR4">
        <v>362.99999999940002</v>
      </c>
      <c r="FS4">
        <v>370.6000000002</v>
      </c>
      <c r="FT4">
        <v>378.49999999890002</v>
      </c>
      <c r="FU4">
        <v>386.0999999997</v>
      </c>
      <c r="FV4">
        <v>393.59999999939998</v>
      </c>
      <c r="FW4">
        <v>401.09999999910002</v>
      </c>
      <c r="FX4">
        <v>407.99999999940002</v>
      </c>
      <c r="FY4">
        <v>414.49999999900001</v>
      </c>
      <c r="FZ4">
        <v>421.09999999960002</v>
      </c>
      <c r="GA4">
        <v>427.79999999950002</v>
      </c>
      <c r="GB4">
        <v>433.39999999989999</v>
      </c>
      <c r="GC4">
        <v>437.09999999920001</v>
      </c>
      <c r="GD4">
        <v>441.69999999940001</v>
      </c>
      <c r="GE4">
        <v>446.2999999996</v>
      </c>
      <c r="GF4">
        <v>446.89999999899999</v>
      </c>
      <c r="GG4">
        <v>446.89999999899999</v>
      </c>
      <c r="GH4">
        <v>446.89999999899999</v>
      </c>
      <c r="GI4">
        <v>446.89999999899999</v>
      </c>
      <c r="GJ4">
        <v>446.79999999969999</v>
      </c>
      <c r="GK4">
        <v>446.79999999969999</v>
      </c>
      <c r="GL4">
        <v>446.89999999899999</v>
      </c>
      <c r="GM4">
        <v>446.89999999899999</v>
      </c>
      <c r="GN4">
        <v>446.89999999899999</v>
      </c>
      <c r="GO4">
        <v>446.89999999899999</v>
      </c>
      <c r="GP4">
        <v>446.79999999969999</v>
      </c>
      <c r="GQ4">
        <v>446.89999999899999</v>
      </c>
      <c r="GR4">
        <v>447.00000000009999</v>
      </c>
      <c r="GS4">
        <v>446.89999999899999</v>
      </c>
      <c r="GT4">
        <v>447.00000000009999</v>
      </c>
      <c r="GU4">
        <v>447.00000000009999</v>
      </c>
      <c r="GV4">
        <v>446.89999999899999</v>
      </c>
      <c r="GW4">
        <v>446.89999999899999</v>
      </c>
      <c r="GX4">
        <v>1</v>
      </c>
      <c r="GY4">
        <v>98</v>
      </c>
      <c r="GZ4">
        <v>95.400000000199995</v>
      </c>
      <c r="HA4">
        <v>95.400000000199995</v>
      </c>
      <c r="HB4">
        <v>103.9999999994</v>
      </c>
      <c r="HC4">
        <v>97.318165548099998</v>
      </c>
      <c r="HD4">
        <v>-8.5999999991999996</v>
      </c>
      <c r="HE4">
        <v>446.89999999899999</v>
      </c>
      <c r="HF4">
        <v>316.2467114085</v>
      </c>
      <c r="HG4">
        <v>83.751812081099999</v>
      </c>
      <c r="HH4">
        <v>447.00000000009999</v>
      </c>
      <c r="HI4">
        <v>447.00000000009999</v>
      </c>
      <c r="HJ4">
        <v>447.00000000009999</v>
      </c>
      <c r="HK4">
        <v>447.00000000009999</v>
      </c>
      <c r="HL4">
        <v>100.87976539589999</v>
      </c>
      <c r="HM4">
        <v>3.7113620580000002</v>
      </c>
      <c r="HN4">
        <v>3.5938833800999999</v>
      </c>
      <c r="HO4">
        <v>3.6430152167999998</v>
      </c>
      <c r="HP4">
        <v>3.4105564117</v>
      </c>
      <c r="HQ4">
        <v>3.7461922233</v>
      </c>
      <c r="HR4">
        <v>3.0253807236000001</v>
      </c>
      <c r="HS4">
        <v>13.566353467000001</v>
      </c>
      <c r="HT4">
        <v>-23.460410557199999</v>
      </c>
      <c r="HU4">
        <v>-160</v>
      </c>
      <c r="HV4">
        <v>413.56487695660002</v>
      </c>
      <c r="HW4">
        <v>86.803519061599999</v>
      </c>
      <c r="HX4">
        <v>592</v>
      </c>
      <c r="HY4">
        <v>13.566353467000001</v>
      </c>
      <c r="HZ4">
        <v>-23.460410557199999</v>
      </c>
      <c r="IA4">
        <v>-160</v>
      </c>
      <c r="IB4">
        <v>413.56487695660002</v>
      </c>
      <c r="IC4">
        <v>86.803519061599999</v>
      </c>
      <c r="ID4">
        <v>592</v>
      </c>
      <c r="IE4">
        <v>33.435123043600001</v>
      </c>
      <c r="IF4">
        <v>1.2028635352999999</v>
      </c>
      <c r="IG4">
        <v>-32.844574780099997</v>
      </c>
      <c r="IH4">
        <v>-224</v>
      </c>
      <c r="II4">
        <v>436.90510067039997</v>
      </c>
      <c r="IJ4">
        <v>96.187683284499997</v>
      </c>
      <c r="IK4">
        <v>656</v>
      </c>
      <c r="IL4">
        <v>399.99852348960002</v>
      </c>
      <c r="IM4">
        <v>110.26392961880001</v>
      </c>
      <c r="IN4">
        <v>425.33881431719999</v>
      </c>
      <c r="IO4">
        <v>119.6480938416</v>
      </c>
      <c r="IP4">
        <v>8.1000000008999997</v>
      </c>
      <c r="IQ4">
        <v>7.0000000014000001</v>
      </c>
      <c r="IR4">
        <v>9.5000000001</v>
      </c>
      <c r="IS4">
        <v>2.7740251544999999</v>
      </c>
      <c r="IT4">
        <v>2.7740251544999999</v>
      </c>
      <c r="IU4">
        <v>9.2000000003999993</v>
      </c>
      <c r="IV4">
        <v>-23.460410557199999</v>
      </c>
      <c r="IW4">
        <v>11.8999999995</v>
      </c>
      <c r="IX4">
        <v>79.765395894400001</v>
      </c>
      <c r="IY4">
        <v>9.9000000009000004</v>
      </c>
      <c r="IZ4">
        <v>93.841642228699996</v>
      </c>
      <c r="JA4">
        <v>-27.384977627400001</v>
      </c>
      <c r="JB4">
        <v>0.29828361260000003</v>
      </c>
      <c r="JC4">
        <v>-2.1560859999999999E-4</v>
      </c>
      <c r="JD4">
        <v>3.8840000000000001E-7</v>
      </c>
      <c r="JE4">
        <v>0.26944285800000001</v>
      </c>
      <c r="JF4">
        <v>0.2333014692</v>
      </c>
      <c r="JG4">
        <v>8.8607224299999995E-2</v>
      </c>
      <c r="JH4">
        <v>97.5897428265</v>
      </c>
      <c r="JI4">
        <v>3.7461922233</v>
      </c>
      <c r="JJ4">
        <v>4.7478744000000002E-3</v>
      </c>
      <c r="JK4">
        <v>-6.83524E-5</v>
      </c>
      <c r="JL4">
        <v>3.7113620580000002</v>
      </c>
      <c r="JM4">
        <v>0.59844893880000005</v>
      </c>
      <c r="JN4">
        <v>0.27295518540000002</v>
      </c>
      <c r="JO4">
        <v>3.4526250003999999</v>
      </c>
      <c r="JP4">
        <v>2.9837500006000002</v>
      </c>
      <c r="JQ4">
        <v>4.0493750000000004</v>
      </c>
      <c r="JR4" s="17" t="s">
        <v>551</v>
      </c>
      <c r="JU4" s="17">
        <v>1</v>
      </c>
    </row>
    <row r="5" spans="1:281">
      <c r="A5" t="s">
        <v>643</v>
      </c>
      <c r="B5" t="s">
        <v>644</v>
      </c>
      <c r="C5" t="s">
        <v>645</v>
      </c>
      <c r="D5" t="s">
        <v>212</v>
      </c>
      <c r="E5">
        <v>3</v>
      </c>
      <c r="F5" t="s">
        <v>213</v>
      </c>
      <c r="G5" t="s">
        <v>214</v>
      </c>
      <c r="H5" t="s">
        <v>550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0</v>
      </c>
      <c r="S5">
        <v>1.2000000006</v>
      </c>
      <c r="T5">
        <v>1.1000000013</v>
      </c>
      <c r="U5">
        <v>1.3000000017</v>
      </c>
      <c r="V5">
        <v>1.3000000017</v>
      </c>
      <c r="W5">
        <v>1.400000001</v>
      </c>
      <c r="X5">
        <v>1.400000001</v>
      </c>
      <c r="Y5">
        <v>1.5000000003</v>
      </c>
      <c r="Z5">
        <v>1.6000000014</v>
      </c>
      <c r="AA5">
        <v>1.5000000003</v>
      </c>
      <c r="AB5">
        <v>1.7000000007</v>
      </c>
      <c r="AC5">
        <v>1.7000000007</v>
      </c>
      <c r="AD5">
        <v>1.7000000007</v>
      </c>
      <c r="AE5">
        <v>1.9000000011</v>
      </c>
      <c r="AF5">
        <v>1.9000000011</v>
      </c>
      <c r="AG5">
        <v>2.0000000004</v>
      </c>
      <c r="AH5">
        <v>1.8</v>
      </c>
      <c r="AI5">
        <v>2.0000000004</v>
      </c>
      <c r="AJ5">
        <v>2.1000000015000002</v>
      </c>
      <c r="AK5">
        <v>2.3000000000999998</v>
      </c>
      <c r="AL5">
        <v>2.4000000012</v>
      </c>
      <c r="AM5">
        <v>10.9000000011</v>
      </c>
      <c r="AN5">
        <v>18.700000000500001</v>
      </c>
      <c r="AO5">
        <v>27</v>
      </c>
      <c r="AP5">
        <v>34.600000000900003</v>
      </c>
      <c r="AQ5">
        <v>42.300000001000001</v>
      </c>
      <c r="AR5">
        <v>50.900000000200002</v>
      </c>
      <c r="AS5">
        <v>59.5000000012</v>
      </c>
      <c r="AT5">
        <v>68.400000000099993</v>
      </c>
      <c r="AU5">
        <v>76.900000000000006</v>
      </c>
      <c r="AV5">
        <v>85.300000000599994</v>
      </c>
      <c r="AW5">
        <v>93.300000000500006</v>
      </c>
      <c r="AX5">
        <v>102.90000000169999</v>
      </c>
      <c r="AY5">
        <v>112.000000001</v>
      </c>
      <c r="AZ5">
        <v>121.1000000003</v>
      </c>
      <c r="BA5">
        <v>130.20000000140001</v>
      </c>
      <c r="BB5">
        <v>138.40000000160001</v>
      </c>
      <c r="BC5">
        <v>147.20000000120001</v>
      </c>
      <c r="BD5">
        <v>156.30000000059999</v>
      </c>
      <c r="BE5">
        <v>165.60000000030001</v>
      </c>
      <c r="BF5">
        <v>174.70000000140001</v>
      </c>
      <c r="BG5">
        <v>183.80000000070001</v>
      </c>
      <c r="BH5">
        <v>192.60000000030001</v>
      </c>
      <c r="BI5">
        <v>201.40000000169999</v>
      </c>
      <c r="BJ5">
        <v>210.7000000015</v>
      </c>
      <c r="BK5">
        <v>219.90000000009999</v>
      </c>
      <c r="BL5">
        <v>228.8000000008</v>
      </c>
      <c r="BM5">
        <v>238.00000000119999</v>
      </c>
      <c r="BN5">
        <v>246.50000000110001</v>
      </c>
      <c r="BO5">
        <v>255.10000000030001</v>
      </c>
      <c r="BP5">
        <v>264.10000000029999</v>
      </c>
      <c r="BQ5">
        <v>273.39999999999998</v>
      </c>
      <c r="BR5">
        <v>282.30000000080003</v>
      </c>
      <c r="BS5">
        <v>291.20000000149997</v>
      </c>
      <c r="BT5">
        <v>299.70000000139999</v>
      </c>
      <c r="BU5">
        <v>308.2000000013</v>
      </c>
      <c r="BV5">
        <v>316.80000000050001</v>
      </c>
      <c r="BW5">
        <v>326.1000000002</v>
      </c>
      <c r="BX5">
        <v>334.60000000010001</v>
      </c>
      <c r="BY5">
        <v>343.20000000120001</v>
      </c>
      <c r="BZ5">
        <v>351.00000000059998</v>
      </c>
      <c r="CA5">
        <v>359.10000000150001</v>
      </c>
      <c r="CB5">
        <v>367.50000000030002</v>
      </c>
      <c r="CC5">
        <v>376.20000000060003</v>
      </c>
      <c r="CD5">
        <v>384.50000000009999</v>
      </c>
      <c r="CE5">
        <v>392.40000000060002</v>
      </c>
      <c r="CF5">
        <v>400.10000000069999</v>
      </c>
      <c r="CG5">
        <v>407.90000000020001</v>
      </c>
      <c r="CH5">
        <v>415.40000000169999</v>
      </c>
      <c r="CI5">
        <v>423.70000000120001</v>
      </c>
      <c r="CJ5">
        <v>431.90000000139997</v>
      </c>
      <c r="CK5">
        <v>440.30000000019999</v>
      </c>
      <c r="CL5">
        <v>448.9000000012</v>
      </c>
      <c r="CM5">
        <v>456.50000000019998</v>
      </c>
      <c r="CN5">
        <v>456.60000000129997</v>
      </c>
      <c r="CO5">
        <v>456.60000000129997</v>
      </c>
      <c r="CP5">
        <v>456.70000000060003</v>
      </c>
      <c r="CQ5">
        <v>456.70000000060003</v>
      </c>
      <c r="CR5">
        <v>456.90000000100002</v>
      </c>
      <c r="CS5">
        <v>456.70000000060003</v>
      </c>
      <c r="CT5">
        <v>457.00000000030002</v>
      </c>
      <c r="CU5">
        <v>456.79999999990002</v>
      </c>
      <c r="CV5">
        <v>456.90000000100002</v>
      </c>
      <c r="CW5">
        <v>456.70000000060003</v>
      </c>
      <c r="CX5">
        <v>456.79999999990002</v>
      </c>
      <c r="CY5">
        <v>456.90000000100002</v>
      </c>
      <c r="CZ5">
        <v>456.90000000100002</v>
      </c>
      <c r="DA5">
        <v>456.79999999990002</v>
      </c>
      <c r="DB5">
        <v>456.90000000100002</v>
      </c>
      <c r="DC5">
        <v>456.79999999990002</v>
      </c>
      <c r="DD5">
        <v>456.70000000060003</v>
      </c>
      <c r="DE5">
        <v>456.90000000100002</v>
      </c>
      <c r="DF5">
        <v>456.90000000100002</v>
      </c>
      <c r="DG5">
        <v>456.79999999990002</v>
      </c>
      <c r="DH5">
        <v>0.80000000159999995</v>
      </c>
      <c r="DI5">
        <v>2.0000000004</v>
      </c>
      <c r="DJ5">
        <v>1.9000000011</v>
      </c>
      <c r="DK5">
        <v>2.1000000015000002</v>
      </c>
      <c r="DL5">
        <v>2.1000000015000002</v>
      </c>
      <c r="DM5">
        <v>2.1000000015000002</v>
      </c>
      <c r="DN5">
        <v>2.2000000007999998</v>
      </c>
      <c r="DO5">
        <v>2.3000000000999998</v>
      </c>
      <c r="DP5">
        <v>2.4000000012</v>
      </c>
      <c r="DQ5">
        <v>2.4000000012</v>
      </c>
      <c r="DR5">
        <v>2.4000000012</v>
      </c>
      <c r="DS5">
        <v>2.5000000005</v>
      </c>
      <c r="DT5">
        <v>2.6000000016000002</v>
      </c>
      <c r="DU5">
        <v>2.6000000016000002</v>
      </c>
      <c r="DV5">
        <v>2.7000000008999998</v>
      </c>
      <c r="DW5">
        <v>2.8000000001999998</v>
      </c>
      <c r="DX5">
        <v>2.7000000008999998</v>
      </c>
      <c r="DY5">
        <v>2.8000000001999998</v>
      </c>
      <c r="DZ5">
        <v>2.7000000008999998</v>
      </c>
      <c r="EA5">
        <v>3.2000000009999998</v>
      </c>
      <c r="EB5">
        <v>11.200000000799999</v>
      </c>
      <c r="EC5">
        <v>18.9000000009</v>
      </c>
      <c r="ED5">
        <v>27.100000001200002</v>
      </c>
      <c r="EE5">
        <v>34.800000001299999</v>
      </c>
      <c r="EF5">
        <v>42.6000000007</v>
      </c>
      <c r="EG5">
        <v>51.000000001300002</v>
      </c>
      <c r="EH5">
        <v>59.600000000500003</v>
      </c>
      <c r="EI5">
        <v>68.100000000400001</v>
      </c>
      <c r="EJ5">
        <v>76.700000001399999</v>
      </c>
      <c r="EK5">
        <v>85.100000000199998</v>
      </c>
      <c r="EL5">
        <v>93.500000000900002</v>
      </c>
      <c r="EM5">
        <v>102.5000000009</v>
      </c>
      <c r="EN5">
        <v>111.80000000059999</v>
      </c>
      <c r="EO5">
        <v>121.000000001</v>
      </c>
      <c r="EP5">
        <v>129.80000000059999</v>
      </c>
      <c r="EQ5">
        <v>138.6000000002</v>
      </c>
      <c r="ER5">
        <v>146.90000000160001</v>
      </c>
      <c r="ES5">
        <v>156.60000000030001</v>
      </c>
      <c r="ET5">
        <v>165.60000000030001</v>
      </c>
      <c r="EU5">
        <v>174.70000000140001</v>
      </c>
      <c r="EV5">
        <v>183.9</v>
      </c>
      <c r="EW5">
        <v>192.70000000140001</v>
      </c>
      <c r="EX5">
        <v>201.30000000059999</v>
      </c>
      <c r="EY5">
        <v>210.9</v>
      </c>
      <c r="EZ5">
        <v>220.00000000119999</v>
      </c>
      <c r="FA5">
        <v>229.30000000090001</v>
      </c>
      <c r="FB5">
        <v>238.20000000159999</v>
      </c>
      <c r="FC5">
        <v>247.10000000049999</v>
      </c>
      <c r="FD5">
        <v>255.4</v>
      </c>
      <c r="FE5">
        <v>265.00000000120002</v>
      </c>
      <c r="FF5">
        <v>274.00000000130001</v>
      </c>
      <c r="FG5">
        <v>283.00000000130001</v>
      </c>
      <c r="FH5">
        <v>291.70000000160002</v>
      </c>
      <c r="FI5">
        <v>300.20000000149997</v>
      </c>
      <c r="FJ5">
        <v>308.60000000029999</v>
      </c>
      <c r="FK5">
        <v>317.89999999999998</v>
      </c>
      <c r="FL5">
        <v>326.40000000169999</v>
      </c>
      <c r="FM5">
        <v>334.90000000169999</v>
      </c>
      <c r="FN5">
        <v>343.5000000009</v>
      </c>
      <c r="FO5">
        <v>351.80000000040002</v>
      </c>
      <c r="FP5">
        <v>359.60000000159999</v>
      </c>
      <c r="FQ5">
        <v>368.00000000040001</v>
      </c>
      <c r="FR5">
        <v>376.8</v>
      </c>
      <c r="FS5">
        <v>385.20000000060003</v>
      </c>
      <c r="FT5">
        <v>392.70000000030001</v>
      </c>
      <c r="FU5">
        <v>400.70000000009998</v>
      </c>
      <c r="FV5">
        <v>408.4000000003</v>
      </c>
      <c r="FW5">
        <v>416.10000000039997</v>
      </c>
      <c r="FX5">
        <v>424.40000000169999</v>
      </c>
      <c r="FY5">
        <v>432.30000000040002</v>
      </c>
      <c r="FZ5">
        <v>439.8000000001</v>
      </c>
      <c r="GA5">
        <v>447.80000000170003</v>
      </c>
      <c r="GB5">
        <v>456.79999999990002</v>
      </c>
      <c r="GC5">
        <v>457.00000000030002</v>
      </c>
      <c r="GD5">
        <v>456.90000000100002</v>
      </c>
      <c r="GE5">
        <v>456.90000000100002</v>
      </c>
      <c r="GF5">
        <v>456.79999999990002</v>
      </c>
      <c r="GG5">
        <v>456.60000000129997</v>
      </c>
      <c r="GH5">
        <v>456.60000000129997</v>
      </c>
      <c r="GI5">
        <v>456.70000000060003</v>
      </c>
      <c r="GJ5">
        <v>456.79999999990002</v>
      </c>
      <c r="GK5">
        <v>456.79999999990002</v>
      </c>
      <c r="GL5">
        <v>456.70000000060003</v>
      </c>
      <c r="GM5">
        <v>456.90000000100002</v>
      </c>
      <c r="GN5">
        <v>456.90000000100002</v>
      </c>
      <c r="GO5">
        <v>456.79999999990002</v>
      </c>
      <c r="GP5">
        <v>456.79999999990002</v>
      </c>
      <c r="GQ5">
        <v>456.79999999990002</v>
      </c>
      <c r="GR5">
        <v>456.79999999990002</v>
      </c>
      <c r="GS5">
        <v>456.90000000100002</v>
      </c>
      <c r="GT5">
        <v>456.90000000100002</v>
      </c>
      <c r="GU5">
        <v>456.79999999990002</v>
      </c>
      <c r="GV5">
        <v>456.79999999990002</v>
      </c>
      <c r="GW5">
        <v>456.79999999990002</v>
      </c>
      <c r="GX5">
        <v>1</v>
      </c>
      <c r="GY5">
        <v>105.7000000001</v>
      </c>
      <c r="GZ5">
        <v>102.90000000169999</v>
      </c>
      <c r="HA5">
        <v>102.90000000169999</v>
      </c>
      <c r="HB5">
        <v>111.80000000059999</v>
      </c>
      <c r="HC5">
        <v>104.9910812008</v>
      </c>
      <c r="HD5">
        <v>-8.8999999989000003</v>
      </c>
      <c r="HE5">
        <v>456.79999999990002</v>
      </c>
      <c r="HF5">
        <v>326.7649485654</v>
      </c>
      <c r="HG5">
        <v>85.870070038099996</v>
      </c>
      <c r="HH5">
        <v>457.00000000030002</v>
      </c>
      <c r="HI5">
        <v>456.99983585059999</v>
      </c>
      <c r="HJ5">
        <v>457.00000000030002</v>
      </c>
      <c r="HK5">
        <v>457.00000000030002</v>
      </c>
      <c r="HL5">
        <v>93.841642228699996</v>
      </c>
      <c r="HM5">
        <v>3.8084667493</v>
      </c>
      <c r="HN5">
        <v>3.7306008929000001</v>
      </c>
      <c r="HO5">
        <v>3.7376949107000002</v>
      </c>
      <c r="HP5">
        <v>3.5232259040999998</v>
      </c>
      <c r="HQ5">
        <v>3.8245970543999999</v>
      </c>
      <c r="HR5">
        <v>3.2382873153</v>
      </c>
      <c r="HS5">
        <v>19.121011162799999</v>
      </c>
      <c r="HT5">
        <v>-23.460410557199999</v>
      </c>
      <c r="HU5">
        <v>-160</v>
      </c>
      <c r="HV5">
        <v>431.7560297663</v>
      </c>
      <c r="HW5">
        <v>86.803519061599999</v>
      </c>
      <c r="HX5">
        <v>592</v>
      </c>
      <c r="HY5">
        <v>19.121011162799999</v>
      </c>
      <c r="HZ5">
        <v>-23.460410557199999</v>
      </c>
      <c r="IA5">
        <v>-160</v>
      </c>
      <c r="IB5">
        <v>431.7560297663</v>
      </c>
      <c r="IC5">
        <v>86.803519061599999</v>
      </c>
      <c r="ID5">
        <v>592</v>
      </c>
      <c r="IE5">
        <v>25.243806084399999</v>
      </c>
      <c r="IF5">
        <v>2.1031516758</v>
      </c>
      <c r="IG5">
        <v>-32.844574780099997</v>
      </c>
      <c r="IH5">
        <v>-224</v>
      </c>
      <c r="II5">
        <v>456.99983585059999</v>
      </c>
      <c r="IJ5">
        <v>96.187683284499997</v>
      </c>
      <c r="IK5">
        <v>656</v>
      </c>
      <c r="IL5">
        <v>412.63501860349999</v>
      </c>
      <c r="IM5">
        <v>110.26392961880001</v>
      </c>
      <c r="IN5">
        <v>445.05809805259997</v>
      </c>
      <c r="IO5">
        <v>119.6480938416</v>
      </c>
      <c r="IP5">
        <v>8.4999999999</v>
      </c>
      <c r="IQ5">
        <v>8.9999999981999999</v>
      </c>
      <c r="IR5">
        <v>9.6999999986999992</v>
      </c>
      <c r="IS5">
        <v>2.5302280362</v>
      </c>
      <c r="IT5">
        <v>2.5302280362</v>
      </c>
      <c r="IU5">
        <v>8.7999999996000007</v>
      </c>
      <c r="IV5">
        <v>-28.152492668600001</v>
      </c>
      <c r="IW5">
        <v>9.9000000009000004</v>
      </c>
      <c r="IX5">
        <v>39.8826979472</v>
      </c>
      <c r="IY5">
        <v>7.8999999987000002</v>
      </c>
      <c r="IZ5">
        <v>93.841642228699996</v>
      </c>
      <c r="JA5">
        <v>-28.778925256499999</v>
      </c>
      <c r="JB5">
        <v>0.28942574920000003</v>
      </c>
      <c r="JC5">
        <v>-1.7861839999999999E-4</v>
      </c>
      <c r="JD5">
        <v>2.9869999999999999E-7</v>
      </c>
      <c r="JE5">
        <v>0.26257285829999999</v>
      </c>
      <c r="JF5">
        <v>0.22187444140000001</v>
      </c>
      <c r="JG5">
        <v>8.2273856399999998E-2</v>
      </c>
      <c r="JH5">
        <v>105.1214789437</v>
      </c>
      <c r="JI5">
        <v>3.8245970543999999</v>
      </c>
      <c r="JJ5">
        <v>4.3378245999999999E-3</v>
      </c>
      <c r="JK5">
        <v>-5.9252999999999997E-5</v>
      </c>
      <c r="JL5">
        <v>3.8084667493</v>
      </c>
      <c r="JM5">
        <v>0.9021725746</v>
      </c>
      <c r="JN5">
        <v>0.32629069510000003</v>
      </c>
      <c r="JO5">
        <v>3.6231249999999999</v>
      </c>
      <c r="JP5">
        <v>3.8362499992000001</v>
      </c>
      <c r="JQ5">
        <v>4.1346249993999997</v>
      </c>
      <c r="JR5" s="17" t="s">
        <v>551</v>
      </c>
      <c r="JU5" s="17">
        <v>1</v>
      </c>
    </row>
    <row r="6" spans="1:281">
      <c r="A6" t="s">
        <v>646</v>
      </c>
      <c r="B6" t="s">
        <v>647</v>
      </c>
      <c r="C6" t="s">
        <v>648</v>
      </c>
      <c r="D6" t="s">
        <v>212</v>
      </c>
      <c r="E6">
        <v>3</v>
      </c>
      <c r="F6" t="s">
        <v>213</v>
      </c>
      <c r="G6" t="s">
        <v>214</v>
      </c>
      <c r="H6" t="s">
        <v>550</v>
      </c>
      <c r="I6" t="s">
        <v>216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0</v>
      </c>
      <c r="S6">
        <v>0.50000000010000001</v>
      </c>
      <c r="T6">
        <v>0.59999999940000004</v>
      </c>
      <c r="U6">
        <v>0.59999999940000004</v>
      </c>
      <c r="V6">
        <v>0.69999999869999996</v>
      </c>
      <c r="W6">
        <v>0.69999999869999996</v>
      </c>
      <c r="X6">
        <v>0.69999999869999996</v>
      </c>
      <c r="Y6">
        <v>0.79999999980000003</v>
      </c>
      <c r="Z6">
        <v>0.89999999909999995</v>
      </c>
      <c r="AA6">
        <v>0.89999999909999995</v>
      </c>
      <c r="AB6">
        <v>0.89999999909999995</v>
      </c>
      <c r="AC6">
        <v>0.99999999839999998</v>
      </c>
      <c r="AD6">
        <v>0.99999999839999998</v>
      </c>
      <c r="AE6">
        <v>0.89999999909999995</v>
      </c>
      <c r="AF6">
        <v>0.99999999839999998</v>
      </c>
      <c r="AG6">
        <v>1.0999999995</v>
      </c>
      <c r="AH6">
        <v>1.1999999988000001</v>
      </c>
      <c r="AI6">
        <v>1.0999999995</v>
      </c>
      <c r="AJ6">
        <v>0.99999999839999998</v>
      </c>
      <c r="AK6">
        <v>1.3999999992000001</v>
      </c>
      <c r="AL6">
        <v>4.8999999999000003</v>
      </c>
      <c r="AM6">
        <v>10.8</v>
      </c>
      <c r="AN6">
        <v>17.799999999600001</v>
      </c>
      <c r="AO6">
        <v>24.799999999200001</v>
      </c>
      <c r="AP6">
        <v>32.999999999400004</v>
      </c>
      <c r="AQ6">
        <v>41.4000000001</v>
      </c>
      <c r="AR6">
        <v>48.999999999099998</v>
      </c>
      <c r="AS6">
        <v>57.699999999399999</v>
      </c>
      <c r="AT6">
        <v>65.799999998499999</v>
      </c>
      <c r="AU6">
        <v>73.999999998700005</v>
      </c>
      <c r="AV6">
        <v>82.399999999299993</v>
      </c>
      <c r="AW6">
        <v>91.3</v>
      </c>
      <c r="AX6">
        <v>99.8</v>
      </c>
      <c r="AY6">
        <v>108.89999999929999</v>
      </c>
      <c r="AZ6">
        <v>117.4999999985</v>
      </c>
      <c r="BA6">
        <v>125.9999999984</v>
      </c>
      <c r="BB6">
        <v>134.49999999830001</v>
      </c>
      <c r="BC6">
        <v>143.69999999870001</v>
      </c>
      <c r="BD6">
        <v>152.49999999830001</v>
      </c>
      <c r="BE6">
        <v>161.39999999899999</v>
      </c>
      <c r="BF6">
        <v>170.09999999940001</v>
      </c>
      <c r="BG6">
        <v>178.89999999899999</v>
      </c>
      <c r="BH6">
        <v>187.5999999993</v>
      </c>
      <c r="BI6">
        <v>196.79999999969999</v>
      </c>
      <c r="BJ6">
        <v>205.5</v>
      </c>
      <c r="BK6">
        <v>214.2999999996</v>
      </c>
      <c r="BL6">
        <v>223.1999999985</v>
      </c>
      <c r="BM6">
        <v>231.6999999985</v>
      </c>
      <c r="BN6">
        <v>240.09999999909999</v>
      </c>
      <c r="BO6">
        <v>249.19999999839999</v>
      </c>
      <c r="BP6">
        <v>257.70000000009998</v>
      </c>
      <c r="BQ6">
        <v>266.49999999969998</v>
      </c>
      <c r="BR6">
        <v>274.99999999959999</v>
      </c>
      <c r="BS6">
        <v>283.29999999910001</v>
      </c>
      <c r="BT6">
        <v>291.19999999970003</v>
      </c>
      <c r="BU6">
        <v>299.79999999889998</v>
      </c>
      <c r="BV6">
        <v>308.19999999949999</v>
      </c>
      <c r="BW6">
        <v>316.29999999860001</v>
      </c>
      <c r="BX6">
        <v>324.39999999949998</v>
      </c>
      <c r="BY6">
        <v>332.3</v>
      </c>
      <c r="BZ6">
        <v>339.79999999969999</v>
      </c>
      <c r="CA6">
        <v>347.29999999939997</v>
      </c>
      <c r="CB6">
        <v>355.39999999859998</v>
      </c>
      <c r="CC6">
        <v>363.09999999870001</v>
      </c>
      <c r="CD6">
        <v>370.19999999940001</v>
      </c>
      <c r="CE6">
        <v>377.89999999949998</v>
      </c>
      <c r="CF6">
        <v>384.89999999909998</v>
      </c>
      <c r="CG6">
        <v>391.99999999980002</v>
      </c>
      <c r="CH6">
        <v>398.79999999900002</v>
      </c>
      <c r="CI6">
        <v>405.99999999900001</v>
      </c>
      <c r="CJ6">
        <v>413.49999999869999</v>
      </c>
      <c r="CK6">
        <v>420.19999999869998</v>
      </c>
      <c r="CL6">
        <v>427.49999999980002</v>
      </c>
      <c r="CM6">
        <v>433.9</v>
      </c>
      <c r="CN6">
        <v>440.49999999879998</v>
      </c>
      <c r="CO6">
        <v>445.79999999950002</v>
      </c>
      <c r="CP6">
        <v>451.59999999849998</v>
      </c>
      <c r="CQ6">
        <v>458.59999999989998</v>
      </c>
      <c r="CR6">
        <v>464.5</v>
      </c>
      <c r="CS6">
        <v>464.5999999993</v>
      </c>
      <c r="CT6">
        <v>464.5999999993</v>
      </c>
      <c r="CU6">
        <v>464.69999999859999</v>
      </c>
      <c r="CV6">
        <v>464.79999999969999</v>
      </c>
      <c r="CW6">
        <v>464.79999999969999</v>
      </c>
      <c r="CX6">
        <v>464.69999999859999</v>
      </c>
      <c r="CY6">
        <v>464.79999999969999</v>
      </c>
      <c r="CZ6">
        <v>464.69999999859999</v>
      </c>
      <c r="DA6">
        <v>464.89999999899999</v>
      </c>
      <c r="DB6">
        <v>464.89999999899999</v>
      </c>
      <c r="DC6">
        <v>464.89999999899999</v>
      </c>
      <c r="DD6">
        <v>465.09999999939998</v>
      </c>
      <c r="DE6">
        <v>464.99999999829998</v>
      </c>
      <c r="DF6">
        <v>464.99999999829998</v>
      </c>
      <c r="DG6">
        <v>464.99999999829998</v>
      </c>
      <c r="DH6">
        <v>0.59999999940000004</v>
      </c>
      <c r="DI6">
        <v>1.3999999992000001</v>
      </c>
      <c r="DJ6">
        <v>1.2999999999</v>
      </c>
      <c r="DK6">
        <v>1.4999999985000001</v>
      </c>
      <c r="DL6">
        <v>1.3999999992000001</v>
      </c>
      <c r="DM6">
        <v>1.6999999989000001</v>
      </c>
      <c r="DN6">
        <v>1.4999999985000001</v>
      </c>
      <c r="DO6">
        <v>1.4999999985000001</v>
      </c>
      <c r="DP6">
        <v>1.5999999996000001</v>
      </c>
      <c r="DQ6">
        <v>1.6999999989000001</v>
      </c>
      <c r="DR6">
        <v>1.6999999989000001</v>
      </c>
      <c r="DS6">
        <v>1.8</v>
      </c>
      <c r="DT6">
        <v>1.6999999989000001</v>
      </c>
      <c r="DU6">
        <v>1.8</v>
      </c>
      <c r="DV6">
        <v>1.8999999993000001</v>
      </c>
      <c r="DW6">
        <v>1.8999999993000001</v>
      </c>
      <c r="DX6">
        <v>1.8</v>
      </c>
      <c r="DY6">
        <v>1.9999999986000001</v>
      </c>
      <c r="DZ6">
        <v>3.1999999992000001</v>
      </c>
      <c r="EA6">
        <v>5.9000000001000004</v>
      </c>
      <c r="EB6">
        <v>12.4999999989</v>
      </c>
      <c r="EC6">
        <v>19.499999998500002</v>
      </c>
      <c r="ED6">
        <v>27</v>
      </c>
      <c r="EE6">
        <v>34.999999999899998</v>
      </c>
      <c r="EF6">
        <v>42.799999999299999</v>
      </c>
      <c r="EG6">
        <v>50.699999999799999</v>
      </c>
      <c r="EH6">
        <v>58.699999999600003</v>
      </c>
      <c r="EI6">
        <v>67.099999998399994</v>
      </c>
      <c r="EJ6">
        <v>74.999999998899995</v>
      </c>
      <c r="EK6">
        <v>83.299999998399997</v>
      </c>
      <c r="EL6">
        <v>92.199999999100001</v>
      </c>
      <c r="EM6">
        <v>100.3000000001</v>
      </c>
      <c r="EN6">
        <v>109.3000000001</v>
      </c>
      <c r="EO6">
        <v>118.199999999</v>
      </c>
      <c r="EP6">
        <v>126.6999999989</v>
      </c>
      <c r="EQ6">
        <v>135.1999999988</v>
      </c>
      <c r="ER6">
        <v>144.39999999919999</v>
      </c>
      <c r="ES6">
        <v>153.0999999995</v>
      </c>
      <c r="ET6">
        <v>162.09999999959999</v>
      </c>
      <c r="EU6">
        <v>171.09999999959999</v>
      </c>
      <c r="EV6">
        <v>179.6999999988</v>
      </c>
      <c r="EW6">
        <v>188.6999999988</v>
      </c>
      <c r="EX6">
        <v>198.3</v>
      </c>
      <c r="EY6">
        <v>206.7999999999</v>
      </c>
      <c r="EZ6">
        <v>215.99999999849999</v>
      </c>
      <c r="FA6">
        <v>224.8</v>
      </c>
      <c r="FB6">
        <v>233.49999999849999</v>
      </c>
      <c r="FC6">
        <v>242.49999999849999</v>
      </c>
      <c r="FD6">
        <v>251.8</v>
      </c>
      <c r="FE6">
        <v>260.49999999850002</v>
      </c>
      <c r="FF6">
        <v>269.59999999960002</v>
      </c>
      <c r="FG6">
        <v>278.19999999880002</v>
      </c>
      <c r="FH6">
        <v>286.79999999990002</v>
      </c>
      <c r="FI6">
        <v>295.29999999979998</v>
      </c>
      <c r="FJ6">
        <v>304.39999999909998</v>
      </c>
      <c r="FK6">
        <v>312.79999999969999</v>
      </c>
      <c r="FL6">
        <v>321.1999999985</v>
      </c>
      <c r="FM6">
        <v>329.59999999910002</v>
      </c>
      <c r="FN6">
        <v>337.89999999859998</v>
      </c>
      <c r="FO6">
        <v>345.6999999999</v>
      </c>
      <c r="FP6">
        <v>354.29999999910001</v>
      </c>
      <c r="FQ6">
        <v>362.4</v>
      </c>
      <c r="FR6">
        <v>370.2999999987</v>
      </c>
      <c r="FS6">
        <v>378.39999999960003</v>
      </c>
      <c r="FT6">
        <v>385.69999999890001</v>
      </c>
      <c r="FU6">
        <v>393</v>
      </c>
      <c r="FV6">
        <v>400.39999999859998</v>
      </c>
      <c r="FW6">
        <v>408.09999999870001</v>
      </c>
      <c r="FX6">
        <v>415.19999999949999</v>
      </c>
      <c r="FY6">
        <v>421.99999999869999</v>
      </c>
      <c r="FZ6">
        <v>429.00000000009999</v>
      </c>
      <c r="GA6">
        <v>435.1999999999</v>
      </c>
      <c r="GB6">
        <v>440.99999999890002</v>
      </c>
      <c r="GC6">
        <v>445.69999999840002</v>
      </c>
      <c r="GD6">
        <v>450.7999999987</v>
      </c>
      <c r="GE6">
        <v>456.89999999920002</v>
      </c>
      <c r="GF6">
        <v>462.89999999859998</v>
      </c>
      <c r="GG6">
        <v>464.5999999993</v>
      </c>
      <c r="GH6">
        <v>464.69999999859999</v>
      </c>
      <c r="GI6">
        <v>464.79999999969999</v>
      </c>
      <c r="GJ6">
        <v>464.5999999993</v>
      </c>
      <c r="GK6">
        <v>464.79999999969999</v>
      </c>
      <c r="GL6">
        <v>464.69999999859999</v>
      </c>
      <c r="GM6">
        <v>464.79999999969999</v>
      </c>
      <c r="GN6">
        <v>464.99999999829998</v>
      </c>
      <c r="GO6">
        <v>464.69999999859999</v>
      </c>
      <c r="GP6">
        <v>464.89999999899999</v>
      </c>
      <c r="GQ6">
        <v>464.79999999969999</v>
      </c>
      <c r="GR6">
        <v>464.99999999829998</v>
      </c>
      <c r="GS6">
        <v>464.89999999899999</v>
      </c>
      <c r="GT6">
        <v>464.89999999899999</v>
      </c>
      <c r="GU6">
        <v>464.99999999829998</v>
      </c>
      <c r="GV6">
        <v>464.99999999829998</v>
      </c>
      <c r="GW6">
        <v>465.09999999939998</v>
      </c>
      <c r="GX6">
        <v>1</v>
      </c>
      <c r="GY6">
        <v>102.9999999992</v>
      </c>
      <c r="GZ6">
        <v>99.8</v>
      </c>
      <c r="HA6">
        <v>99.8</v>
      </c>
      <c r="HB6">
        <v>109.3000000001</v>
      </c>
      <c r="HC6">
        <v>101.93573809270001</v>
      </c>
      <c r="HD6">
        <v>-9.5000000001</v>
      </c>
      <c r="HE6">
        <v>465.09999999939998</v>
      </c>
      <c r="HF6">
        <v>338.17016449739998</v>
      </c>
      <c r="HG6">
        <v>83.692602946299999</v>
      </c>
      <c r="HH6">
        <v>465.09999999939998</v>
      </c>
      <c r="HI6">
        <v>465.09999999939998</v>
      </c>
      <c r="HJ6">
        <v>465.09999999939998</v>
      </c>
      <c r="HK6">
        <v>465.09999999939998</v>
      </c>
      <c r="HL6">
        <v>105.57184750730001</v>
      </c>
      <c r="HM6">
        <v>3.6993484377999999</v>
      </c>
      <c r="HN6">
        <v>3.5495090610000002</v>
      </c>
      <c r="HO6">
        <v>3.6353306049</v>
      </c>
      <c r="HP6">
        <v>3.3838402423999998</v>
      </c>
      <c r="HQ6">
        <v>3.7513786737000001</v>
      </c>
      <c r="HR6">
        <v>2.8317599555999999</v>
      </c>
      <c r="HS6">
        <v>18.2431351464</v>
      </c>
      <c r="HT6">
        <v>-23.460410557199999</v>
      </c>
      <c r="HU6">
        <v>-160</v>
      </c>
      <c r="HV6">
        <v>440.10590259010002</v>
      </c>
      <c r="HW6">
        <v>93.841642228699996</v>
      </c>
      <c r="HX6">
        <v>640</v>
      </c>
      <c r="HY6">
        <v>18.2431351464</v>
      </c>
      <c r="HZ6">
        <v>-23.460410557199999</v>
      </c>
      <c r="IA6">
        <v>-160</v>
      </c>
      <c r="IB6">
        <v>440.10590259010002</v>
      </c>
      <c r="IC6">
        <v>93.841642228699996</v>
      </c>
      <c r="ID6">
        <v>640</v>
      </c>
      <c r="IE6">
        <v>24.994097409399998</v>
      </c>
      <c r="IF6">
        <v>1.0099344139999999</v>
      </c>
      <c r="IG6">
        <v>-32.844574780099997</v>
      </c>
      <c r="IH6">
        <v>-224</v>
      </c>
      <c r="II6">
        <v>462.71047199089998</v>
      </c>
      <c r="IJ6">
        <v>103.22580645159999</v>
      </c>
      <c r="IK6">
        <v>704</v>
      </c>
      <c r="IL6">
        <v>421.86276744370002</v>
      </c>
      <c r="IM6">
        <v>117.3020527859</v>
      </c>
      <c r="IN6">
        <v>445.32814750979998</v>
      </c>
      <c r="IO6">
        <v>126.6862170088</v>
      </c>
      <c r="IP6">
        <v>6.9999999996</v>
      </c>
      <c r="IQ6">
        <v>7.0000000014000001</v>
      </c>
      <c r="IR6">
        <v>9.6000000011999997</v>
      </c>
      <c r="IS6">
        <v>3.0413743876999999</v>
      </c>
      <c r="IT6">
        <v>3.0413743876999999</v>
      </c>
      <c r="IU6">
        <v>8.6999999984999992</v>
      </c>
      <c r="IV6">
        <v>-25.806451612899998</v>
      </c>
      <c r="IW6">
        <v>16.400000000399999</v>
      </c>
      <c r="IX6">
        <v>84.457478005900001</v>
      </c>
      <c r="IY6">
        <v>11.300000000100001</v>
      </c>
      <c r="IZ6">
        <v>103.22580645159999</v>
      </c>
      <c r="JA6">
        <v>-28.865344132600001</v>
      </c>
      <c r="JB6">
        <v>0.3045700408</v>
      </c>
      <c r="JC6">
        <v>-2.4882019999999998E-4</v>
      </c>
      <c r="JD6">
        <v>4.2679999999999998E-7</v>
      </c>
      <c r="JE6">
        <v>0.27031787270000002</v>
      </c>
      <c r="JF6">
        <v>0.47724464420000001</v>
      </c>
      <c r="JG6">
        <v>0.1092113916</v>
      </c>
      <c r="JH6">
        <v>101.9673932443</v>
      </c>
      <c r="JI6">
        <v>3.7513786737000001</v>
      </c>
      <c r="JJ6">
        <v>5.2865615999999997E-3</v>
      </c>
      <c r="JK6">
        <v>-7.2365899999999998E-5</v>
      </c>
      <c r="JL6">
        <v>3.6993484377999999</v>
      </c>
      <c r="JM6">
        <v>0.649116731</v>
      </c>
      <c r="JN6">
        <v>0.2014698338</v>
      </c>
      <c r="JO6">
        <v>2.9837499998000001</v>
      </c>
      <c r="JP6">
        <v>2.9837500006000002</v>
      </c>
      <c r="JQ6">
        <v>4.0920000004999997</v>
      </c>
      <c r="JR6" s="17" t="s">
        <v>551</v>
      </c>
      <c r="JU6" s="17">
        <v>1</v>
      </c>
    </row>
    <row r="7" spans="1:281">
      <c r="A7" t="s">
        <v>649</v>
      </c>
      <c r="B7" t="s">
        <v>650</v>
      </c>
      <c r="C7" t="s">
        <v>651</v>
      </c>
      <c r="D7" t="s">
        <v>212</v>
      </c>
      <c r="E7">
        <v>3</v>
      </c>
      <c r="F7" t="s">
        <v>213</v>
      </c>
      <c r="G7" t="s">
        <v>214</v>
      </c>
      <c r="H7" t="s">
        <v>550</v>
      </c>
      <c r="I7" t="s">
        <v>216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3.0999999999000001</v>
      </c>
      <c r="S7">
        <v>1.3999999992000001</v>
      </c>
      <c r="T7">
        <v>1.3999999992000001</v>
      </c>
      <c r="U7">
        <v>1.2000000006</v>
      </c>
      <c r="V7">
        <v>1.2000000006</v>
      </c>
      <c r="W7">
        <v>1.2000000006</v>
      </c>
      <c r="X7">
        <v>1.0999999995</v>
      </c>
      <c r="Y7">
        <v>1.0000000002</v>
      </c>
      <c r="Z7">
        <v>0.79999999980000003</v>
      </c>
      <c r="AA7">
        <v>0.79999999980000003</v>
      </c>
      <c r="AB7">
        <v>1.0000000002</v>
      </c>
      <c r="AC7">
        <v>1.0000000002</v>
      </c>
      <c r="AD7">
        <v>0.89999999909999995</v>
      </c>
      <c r="AE7">
        <v>0.7000000005</v>
      </c>
      <c r="AF7">
        <v>0.7000000005</v>
      </c>
      <c r="AG7">
        <v>0.50000000010000001</v>
      </c>
      <c r="AH7">
        <v>0.50000000010000001</v>
      </c>
      <c r="AI7">
        <v>9.9999999300000003E-2</v>
      </c>
      <c r="AJ7">
        <v>9.9999999300000003E-2</v>
      </c>
      <c r="AK7">
        <v>0</v>
      </c>
      <c r="AL7">
        <v>1.3999999992000001</v>
      </c>
      <c r="AM7">
        <v>7.4000000004000004</v>
      </c>
      <c r="AN7">
        <v>14.299999998900001</v>
      </c>
      <c r="AO7">
        <v>21.8999999997</v>
      </c>
      <c r="AP7">
        <v>29.5000000006</v>
      </c>
      <c r="AQ7">
        <v>37.299999999999997</v>
      </c>
      <c r="AR7">
        <v>45.200000000499998</v>
      </c>
      <c r="AS7">
        <v>53.599999999300003</v>
      </c>
      <c r="AT7">
        <v>61.4000000005</v>
      </c>
      <c r="AU7">
        <v>69.100000000600005</v>
      </c>
      <c r="AV7">
        <v>77.299999998999994</v>
      </c>
      <c r="AW7">
        <v>86.199999999699997</v>
      </c>
      <c r="AX7">
        <v>94.699999999599996</v>
      </c>
      <c r="AY7">
        <v>102.8999999999</v>
      </c>
      <c r="AZ7">
        <v>111.4999999991</v>
      </c>
      <c r="BA7">
        <v>119.8000000004</v>
      </c>
      <c r="BB7">
        <v>128.1999999992</v>
      </c>
      <c r="BC7">
        <v>137.00000000060001</v>
      </c>
      <c r="BD7">
        <v>145.89999999950001</v>
      </c>
      <c r="BE7">
        <v>154.3000000001</v>
      </c>
      <c r="BF7">
        <v>162.30000000000001</v>
      </c>
      <c r="BG7">
        <v>171.19999999890001</v>
      </c>
      <c r="BH7">
        <v>179.7999999999</v>
      </c>
      <c r="BI7">
        <v>188.00000000009999</v>
      </c>
      <c r="BJ7">
        <v>196.89999999899999</v>
      </c>
      <c r="BK7">
        <v>205.5</v>
      </c>
      <c r="BL7">
        <v>213.99999999990001</v>
      </c>
      <c r="BM7">
        <v>222.20000000019999</v>
      </c>
      <c r="BN7">
        <v>230.9000000005</v>
      </c>
      <c r="BO7">
        <v>238.9000000003</v>
      </c>
      <c r="BP7">
        <v>247.99999999959999</v>
      </c>
      <c r="BQ7">
        <v>256.49999999950001</v>
      </c>
      <c r="BR7">
        <v>264.60000000039997</v>
      </c>
      <c r="BS7">
        <v>272.80000000059999</v>
      </c>
      <c r="BT7">
        <v>280.89999999970001</v>
      </c>
      <c r="BU7">
        <v>288.99999999890002</v>
      </c>
      <c r="BV7">
        <v>297.30000000019999</v>
      </c>
      <c r="BW7">
        <v>305.89999999939999</v>
      </c>
      <c r="BX7">
        <v>313.59999999950003</v>
      </c>
      <c r="BY7">
        <v>321.3999999989</v>
      </c>
      <c r="BZ7">
        <v>328.7</v>
      </c>
      <c r="CA7">
        <v>336.69999999980001</v>
      </c>
      <c r="CB7">
        <v>344.30000000069998</v>
      </c>
      <c r="CC7">
        <v>351.89999999970001</v>
      </c>
      <c r="CD7">
        <v>359.59999999979999</v>
      </c>
      <c r="CE7">
        <v>366.79999999979998</v>
      </c>
      <c r="CF7">
        <v>374.20000000020002</v>
      </c>
      <c r="CG7">
        <v>381.10000000050002</v>
      </c>
      <c r="CH7">
        <v>388.3999999998</v>
      </c>
      <c r="CI7">
        <v>395.89999999949998</v>
      </c>
      <c r="CJ7">
        <v>402.59999999939998</v>
      </c>
      <c r="CK7">
        <v>409.90000000060002</v>
      </c>
      <c r="CL7">
        <v>416.79999999910001</v>
      </c>
      <c r="CM7">
        <v>423.39999999970001</v>
      </c>
      <c r="CN7">
        <v>430.39999999930001</v>
      </c>
      <c r="CO7">
        <v>437.2999999996</v>
      </c>
      <c r="CP7">
        <v>442.9</v>
      </c>
      <c r="CQ7">
        <v>448.00000000030002</v>
      </c>
      <c r="CR7">
        <v>450.49999999900001</v>
      </c>
      <c r="CS7">
        <v>450.69999999940001</v>
      </c>
      <c r="CT7">
        <v>450.69999999940001</v>
      </c>
      <c r="CU7">
        <v>450.60000000010001</v>
      </c>
      <c r="CV7">
        <v>450.80000000050001</v>
      </c>
      <c r="CW7">
        <v>450.80000000050001</v>
      </c>
      <c r="CX7">
        <v>450.80000000050001</v>
      </c>
      <c r="CY7">
        <v>450.80000000050001</v>
      </c>
      <c r="CZ7">
        <v>450.80000000050001</v>
      </c>
      <c r="DA7">
        <v>450.80000000050001</v>
      </c>
      <c r="DB7">
        <v>450.80000000050001</v>
      </c>
      <c r="DC7">
        <v>450.8999999998</v>
      </c>
      <c r="DD7">
        <v>450.80000000050001</v>
      </c>
      <c r="DE7">
        <v>450.80000000050001</v>
      </c>
      <c r="DF7">
        <v>450.80000000050001</v>
      </c>
      <c r="DG7">
        <v>450.8999999998</v>
      </c>
      <c r="DH7">
        <v>2.8000000001999998</v>
      </c>
      <c r="DI7">
        <v>1.2999999999</v>
      </c>
      <c r="DJ7">
        <v>1.5000000003</v>
      </c>
      <c r="DK7">
        <v>1.3999999992000001</v>
      </c>
      <c r="DL7">
        <v>1.2999999999</v>
      </c>
      <c r="DM7">
        <v>1.3999999992000001</v>
      </c>
      <c r="DN7">
        <v>1.0999999995</v>
      </c>
      <c r="DO7">
        <v>1.0999999995</v>
      </c>
      <c r="DP7">
        <v>1.0000000002</v>
      </c>
      <c r="DQ7">
        <v>0.7000000005</v>
      </c>
      <c r="DR7">
        <v>0.89999999909999995</v>
      </c>
      <c r="DS7">
        <v>0.89999999909999995</v>
      </c>
      <c r="DT7">
        <v>0.89999999909999995</v>
      </c>
      <c r="DU7">
        <v>0.89999999909999995</v>
      </c>
      <c r="DV7">
        <v>1.0999999995</v>
      </c>
      <c r="DW7">
        <v>1.2999999999</v>
      </c>
      <c r="DX7">
        <v>1.0999999995</v>
      </c>
      <c r="DY7">
        <v>1.2000000006</v>
      </c>
      <c r="DZ7">
        <v>0.7000000005</v>
      </c>
      <c r="EA7">
        <v>1.8</v>
      </c>
      <c r="EB7">
        <v>8.7999999996000007</v>
      </c>
      <c r="EC7">
        <v>15.4000000002</v>
      </c>
      <c r="ED7">
        <v>22.9999999992</v>
      </c>
      <c r="EE7">
        <v>30.999999999</v>
      </c>
      <c r="EF7">
        <v>38.800000000300003</v>
      </c>
      <c r="EG7">
        <v>46.3</v>
      </c>
      <c r="EH7">
        <v>54.200000000499998</v>
      </c>
      <c r="EI7">
        <v>61.900000000600002</v>
      </c>
      <c r="EJ7">
        <v>69.799999999299999</v>
      </c>
      <c r="EK7">
        <v>77.699999999799999</v>
      </c>
      <c r="EL7">
        <v>86.400000000099993</v>
      </c>
      <c r="EM7">
        <v>94.900000000099993</v>
      </c>
      <c r="EN7">
        <v>103.1999999996</v>
      </c>
      <c r="EO7">
        <v>111.6000000002</v>
      </c>
      <c r="EP7">
        <v>119.8000000004</v>
      </c>
      <c r="EQ7">
        <v>128.6</v>
      </c>
      <c r="ER7">
        <v>137.09999999990001</v>
      </c>
      <c r="ES7">
        <v>146.1999999992</v>
      </c>
      <c r="ET7">
        <v>154.59999999979999</v>
      </c>
      <c r="EU7">
        <v>163.09999999979999</v>
      </c>
      <c r="EV7">
        <v>171.5999999997</v>
      </c>
      <c r="EW7">
        <v>180.39999999930001</v>
      </c>
      <c r="EX7">
        <v>189.09999999959999</v>
      </c>
      <c r="EY7">
        <v>198.3</v>
      </c>
      <c r="EZ7">
        <v>206.5999999995</v>
      </c>
      <c r="FA7">
        <v>215.2000000006</v>
      </c>
      <c r="FB7">
        <v>223.79999999980001</v>
      </c>
      <c r="FC7">
        <v>232.70000000050001</v>
      </c>
      <c r="FD7">
        <v>241.0999999993</v>
      </c>
      <c r="FE7">
        <v>250.29999999969999</v>
      </c>
      <c r="FF7">
        <v>258.7999999996</v>
      </c>
      <c r="FG7">
        <v>267.40000000060002</v>
      </c>
      <c r="FH7">
        <v>275.29999999929998</v>
      </c>
      <c r="FI7">
        <v>284.20000000009998</v>
      </c>
      <c r="FJ7">
        <v>292.10000000060001</v>
      </c>
      <c r="FK7">
        <v>301.2999999992</v>
      </c>
      <c r="FL7">
        <v>309.19999999970003</v>
      </c>
      <c r="FM7">
        <v>317.30000000059999</v>
      </c>
      <c r="FN7">
        <v>325.39999999970001</v>
      </c>
      <c r="FO7">
        <v>333.50000000059998</v>
      </c>
      <c r="FP7">
        <v>341.39999999930001</v>
      </c>
      <c r="FQ7">
        <v>349.29999999990002</v>
      </c>
      <c r="FR7">
        <v>357.29999999969999</v>
      </c>
      <c r="FS7">
        <v>365.09999999910002</v>
      </c>
      <c r="FT7">
        <v>372.6999999999</v>
      </c>
      <c r="FU7">
        <v>379.4999999991</v>
      </c>
      <c r="FV7">
        <v>387.39999999960003</v>
      </c>
      <c r="FW7">
        <v>394.89999999930001</v>
      </c>
      <c r="FX7">
        <v>401.40000000060002</v>
      </c>
      <c r="FY7">
        <v>408.7999999992</v>
      </c>
      <c r="FZ7">
        <v>415.39999999989999</v>
      </c>
      <c r="GA7">
        <v>421.699999999</v>
      </c>
      <c r="GB7">
        <v>427.79999999950002</v>
      </c>
      <c r="GC7">
        <v>434.40000000010002</v>
      </c>
      <c r="GD7">
        <v>440.30000000019999</v>
      </c>
      <c r="GE7">
        <v>444.99999999969998</v>
      </c>
      <c r="GF7">
        <v>449.39999999949998</v>
      </c>
      <c r="GG7">
        <v>450.49999999900001</v>
      </c>
      <c r="GH7">
        <v>450.69999999940001</v>
      </c>
      <c r="GI7">
        <v>450.60000000010001</v>
      </c>
      <c r="GJ7">
        <v>450.69999999940001</v>
      </c>
      <c r="GK7">
        <v>450.69999999940001</v>
      </c>
      <c r="GL7">
        <v>450.69999999940001</v>
      </c>
      <c r="GM7">
        <v>450.80000000050001</v>
      </c>
      <c r="GN7">
        <v>450.60000000010001</v>
      </c>
      <c r="GO7">
        <v>450.69999999940001</v>
      </c>
      <c r="GP7">
        <v>450.69999999940001</v>
      </c>
      <c r="GQ7">
        <v>450.8999999998</v>
      </c>
      <c r="GR7">
        <v>450.80000000050001</v>
      </c>
      <c r="GS7">
        <v>450.69999999940001</v>
      </c>
      <c r="GT7">
        <v>450.80000000050001</v>
      </c>
      <c r="GU7">
        <v>450.80000000050001</v>
      </c>
      <c r="GV7">
        <v>450.80000000050001</v>
      </c>
      <c r="GW7">
        <v>450.80000000050001</v>
      </c>
      <c r="GX7">
        <v>1</v>
      </c>
      <c r="GY7">
        <v>94.199999999499994</v>
      </c>
      <c r="GZ7">
        <v>94.699999999599996</v>
      </c>
      <c r="HA7">
        <v>94.699999999599996</v>
      </c>
      <c r="HB7">
        <v>103.1999999996</v>
      </c>
      <c r="HC7">
        <v>96.565531772900002</v>
      </c>
      <c r="HD7">
        <v>-8.4999999999</v>
      </c>
      <c r="HE7">
        <v>450.80000000050001</v>
      </c>
      <c r="HF7">
        <v>324.21711212100001</v>
      </c>
      <c r="HG7">
        <v>81.9056448937</v>
      </c>
      <c r="HH7">
        <v>450.8999999998</v>
      </c>
      <c r="HI7">
        <v>450.8999999998</v>
      </c>
      <c r="HJ7">
        <v>450.8999999998</v>
      </c>
      <c r="HK7">
        <v>450.8999999998</v>
      </c>
      <c r="HL7">
        <v>105.57184750730001</v>
      </c>
      <c r="HM7">
        <v>3.6168385693</v>
      </c>
      <c r="HN7">
        <v>3.4917728219000002</v>
      </c>
      <c r="HO7">
        <v>3.5548324207999999</v>
      </c>
      <c r="HP7">
        <v>3.3023293595999998</v>
      </c>
      <c r="HQ7">
        <v>3.6384330446000002</v>
      </c>
      <c r="HR7">
        <v>2.9235635443999999</v>
      </c>
      <c r="HS7">
        <v>14.6598868792</v>
      </c>
      <c r="HT7">
        <v>-23.460410557199999</v>
      </c>
      <c r="HU7">
        <v>-160</v>
      </c>
      <c r="HV7">
        <v>420.7826438939</v>
      </c>
      <c r="HW7">
        <v>91.495601172999997</v>
      </c>
      <c r="HX7">
        <v>624</v>
      </c>
      <c r="HY7">
        <v>14.6598868792</v>
      </c>
      <c r="HZ7">
        <v>-23.460410557199999</v>
      </c>
      <c r="IA7">
        <v>-160</v>
      </c>
      <c r="IB7">
        <v>420.7826438939</v>
      </c>
      <c r="IC7">
        <v>91.495601172999997</v>
      </c>
      <c r="ID7">
        <v>624</v>
      </c>
      <c r="IE7">
        <v>30.117356105900001</v>
      </c>
      <c r="IF7">
        <v>0.1005323271</v>
      </c>
      <c r="IG7">
        <v>-32.844574780099997</v>
      </c>
      <c r="IH7">
        <v>-224</v>
      </c>
      <c r="II7">
        <v>444.83433514439997</v>
      </c>
      <c r="IJ7">
        <v>100.87976539589999</v>
      </c>
      <c r="IK7">
        <v>688</v>
      </c>
      <c r="IL7">
        <v>406.12275701470003</v>
      </c>
      <c r="IM7">
        <v>114.9560117302</v>
      </c>
      <c r="IN7">
        <v>432.3807474779</v>
      </c>
      <c r="IO7">
        <v>124.3401759531</v>
      </c>
      <c r="IP7">
        <v>6.9999999996</v>
      </c>
      <c r="IQ7">
        <v>6.9000000003000004</v>
      </c>
      <c r="IR7">
        <v>9.2000000003999993</v>
      </c>
      <c r="IS7">
        <v>2.4845915327000001</v>
      </c>
      <c r="IT7">
        <v>2.4845915327000001</v>
      </c>
      <c r="IU7">
        <v>7.9999999998</v>
      </c>
      <c r="IV7">
        <v>-25.806451612899998</v>
      </c>
      <c r="IW7">
        <v>13.799999998800001</v>
      </c>
      <c r="IX7">
        <v>82.1114369501</v>
      </c>
      <c r="IY7">
        <v>9.9000000009000004</v>
      </c>
      <c r="IZ7">
        <v>98.533724340199996</v>
      </c>
      <c r="JA7">
        <v>-27.919226170799998</v>
      </c>
      <c r="JB7">
        <v>0.30857708859999999</v>
      </c>
      <c r="JC7">
        <v>-2.3089470000000001E-4</v>
      </c>
      <c r="JD7">
        <v>4.0499999999999999E-7</v>
      </c>
      <c r="JE7">
        <v>0.27648455430000002</v>
      </c>
      <c r="JF7">
        <v>0.2818342814</v>
      </c>
      <c r="JG7">
        <v>8.3175534100000004E-2</v>
      </c>
      <c r="JH7">
        <v>96.356816814300004</v>
      </c>
      <c r="JI7">
        <v>3.6384330446000002</v>
      </c>
      <c r="JJ7">
        <v>4.9040693000000002E-3</v>
      </c>
      <c r="JK7">
        <v>-6.4197199999999996E-5</v>
      </c>
      <c r="JL7">
        <v>3.6168385693</v>
      </c>
      <c r="JM7">
        <v>0.51427133859999996</v>
      </c>
      <c r="JN7">
        <v>0.20197168439999999</v>
      </c>
      <c r="JO7">
        <v>2.9837499998000001</v>
      </c>
      <c r="JP7">
        <v>2.9411250001</v>
      </c>
      <c r="JQ7">
        <v>3.9215000002</v>
      </c>
      <c r="JR7" s="17" t="s">
        <v>551</v>
      </c>
      <c r="JU7" s="17">
        <v>1</v>
      </c>
    </row>
    <row r="8" spans="1:281">
      <c r="A8" t="s">
        <v>652</v>
      </c>
      <c r="B8" t="s">
        <v>653</v>
      </c>
      <c r="C8" t="s">
        <v>654</v>
      </c>
      <c r="D8" t="s">
        <v>212</v>
      </c>
      <c r="E8">
        <v>3</v>
      </c>
      <c r="F8" t="s">
        <v>213</v>
      </c>
      <c r="G8" t="s">
        <v>214</v>
      </c>
      <c r="H8" t="s">
        <v>550</v>
      </c>
      <c r="I8" t="s">
        <v>216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0</v>
      </c>
      <c r="S8">
        <v>0.50000000010000001</v>
      </c>
      <c r="T8">
        <v>0.89999999909999995</v>
      </c>
      <c r="U8">
        <v>0.59999999940000004</v>
      </c>
      <c r="V8">
        <v>0.89999999909999995</v>
      </c>
      <c r="W8">
        <v>0.89999999909999995</v>
      </c>
      <c r="X8">
        <v>0.79999999980000003</v>
      </c>
      <c r="Y8">
        <v>1.0999999995</v>
      </c>
      <c r="Z8">
        <v>1.0999999995</v>
      </c>
      <c r="AA8">
        <v>1.1999999988000001</v>
      </c>
      <c r="AB8">
        <v>1.2999999999</v>
      </c>
      <c r="AC8">
        <v>1.1999999988000001</v>
      </c>
      <c r="AD8">
        <v>1.0999999995</v>
      </c>
      <c r="AE8">
        <v>1.1999999988000001</v>
      </c>
      <c r="AF8">
        <v>1.5000000003</v>
      </c>
      <c r="AG8">
        <v>1.3999999992000001</v>
      </c>
      <c r="AH8">
        <v>1.5000000003</v>
      </c>
      <c r="AI8">
        <v>2.8000000001999998</v>
      </c>
      <c r="AJ8">
        <v>6.9000000003000004</v>
      </c>
      <c r="AK8">
        <v>11.0000000004</v>
      </c>
      <c r="AL8">
        <v>15.299999999100001</v>
      </c>
      <c r="AM8">
        <v>21.199999999199999</v>
      </c>
      <c r="AN8">
        <v>28.0000000002</v>
      </c>
      <c r="AO8">
        <v>36.399999999000002</v>
      </c>
      <c r="AP8">
        <v>44.599999999300003</v>
      </c>
      <c r="AQ8">
        <v>51.999999999700002</v>
      </c>
      <c r="AR8">
        <v>59.799999999100002</v>
      </c>
      <c r="AS8">
        <v>68.299999998999994</v>
      </c>
      <c r="AT8">
        <v>76.699999999599996</v>
      </c>
      <c r="AU8">
        <v>84.699999999400006</v>
      </c>
      <c r="AV8">
        <v>93.799999998700002</v>
      </c>
      <c r="AW8">
        <v>102.3999999998</v>
      </c>
      <c r="AX8">
        <v>110.3999999996</v>
      </c>
      <c r="AY8">
        <v>119.1999999992</v>
      </c>
      <c r="AZ8">
        <v>128.3000000003</v>
      </c>
      <c r="BA8">
        <v>136.89999999950001</v>
      </c>
      <c r="BB8">
        <v>146.09999999990001</v>
      </c>
      <c r="BC8">
        <v>154.69999999909999</v>
      </c>
      <c r="BD8">
        <v>163.39999999950001</v>
      </c>
      <c r="BE8">
        <v>172.19999999909999</v>
      </c>
      <c r="BF8">
        <v>181.09999999979999</v>
      </c>
      <c r="BG8">
        <v>189.50000000040001</v>
      </c>
      <c r="BH8">
        <v>198.99999999869999</v>
      </c>
      <c r="BI8">
        <v>207.699999999</v>
      </c>
      <c r="BJ8">
        <v>215.89999999919999</v>
      </c>
      <c r="BK8">
        <v>224.89999999930001</v>
      </c>
      <c r="BL8">
        <v>233.69999999890001</v>
      </c>
      <c r="BM8">
        <v>242.50000000029999</v>
      </c>
      <c r="BN8">
        <v>251.50000000029999</v>
      </c>
      <c r="BO8">
        <v>260.00000000019998</v>
      </c>
      <c r="BP8">
        <v>268.50000000009999</v>
      </c>
      <c r="BQ8">
        <v>277</v>
      </c>
      <c r="BR8">
        <v>285.59999999920001</v>
      </c>
      <c r="BS8">
        <v>294.20000000030001</v>
      </c>
      <c r="BT8">
        <v>302.89999999880001</v>
      </c>
      <c r="BU8">
        <v>311.39999999870003</v>
      </c>
      <c r="BV8">
        <v>319.4000000003</v>
      </c>
      <c r="BW8">
        <v>327.79999999910001</v>
      </c>
      <c r="BX8">
        <v>336.10000000039997</v>
      </c>
      <c r="BY8">
        <v>344.19999999949999</v>
      </c>
      <c r="BZ8">
        <v>352.30000000050001</v>
      </c>
      <c r="CA8">
        <v>360.49999999890002</v>
      </c>
      <c r="CB8">
        <v>368.199999999</v>
      </c>
      <c r="CC8">
        <v>376.09999999950003</v>
      </c>
      <c r="CD8">
        <v>383.59999999920001</v>
      </c>
      <c r="CE8">
        <v>391.2</v>
      </c>
      <c r="CF8">
        <v>398.79999999900002</v>
      </c>
      <c r="CG8">
        <v>406.60000000029999</v>
      </c>
      <c r="CH8">
        <v>413.89999999960003</v>
      </c>
      <c r="CI8">
        <v>421.00000000030002</v>
      </c>
      <c r="CJ8">
        <v>427.99999999990001</v>
      </c>
      <c r="CK8">
        <v>435.0999999988</v>
      </c>
      <c r="CL8">
        <v>442.29999999879999</v>
      </c>
      <c r="CM8">
        <v>448.99999999869999</v>
      </c>
      <c r="CN8">
        <v>456.00000000009999</v>
      </c>
      <c r="CO8">
        <v>461.99999999950001</v>
      </c>
      <c r="CP8">
        <v>462.49999999959999</v>
      </c>
      <c r="CQ8">
        <v>462.7</v>
      </c>
      <c r="CR8">
        <v>462.4000000003</v>
      </c>
      <c r="CS8">
        <v>462.59999999889999</v>
      </c>
      <c r="CT8">
        <v>462.59999999889999</v>
      </c>
      <c r="CU8">
        <v>462.79999999929998</v>
      </c>
      <c r="CV8">
        <v>462.7</v>
      </c>
      <c r="CW8">
        <v>462.90000000039998</v>
      </c>
      <c r="CX8">
        <v>462.7</v>
      </c>
      <c r="CY8">
        <v>462.7</v>
      </c>
      <c r="CZ8">
        <v>462.7</v>
      </c>
      <c r="DA8">
        <v>462.7</v>
      </c>
      <c r="DB8">
        <v>462.79999999929998</v>
      </c>
      <c r="DC8">
        <v>462.7</v>
      </c>
      <c r="DD8">
        <v>462.79999999929998</v>
      </c>
      <c r="DE8">
        <v>462.79999999929998</v>
      </c>
      <c r="DF8">
        <v>462.79999999929998</v>
      </c>
      <c r="DG8">
        <v>462.79999999929998</v>
      </c>
      <c r="DH8">
        <v>0.29999999970000002</v>
      </c>
      <c r="DI8">
        <v>1.0999999995</v>
      </c>
      <c r="DJ8">
        <v>1.0999999995</v>
      </c>
      <c r="DK8">
        <v>1.1999999988000001</v>
      </c>
      <c r="DL8">
        <v>1.5999999996000001</v>
      </c>
      <c r="DM8">
        <v>1.2999999999</v>
      </c>
      <c r="DN8">
        <v>1.5999999996000001</v>
      </c>
      <c r="DO8">
        <v>1.6999999989000001</v>
      </c>
      <c r="DP8">
        <v>1.5999999996000001</v>
      </c>
      <c r="DQ8">
        <v>1.6999999989000001</v>
      </c>
      <c r="DR8">
        <v>1.8</v>
      </c>
      <c r="DS8">
        <v>1.5999999996000001</v>
      </c>
      <c r="DT8">
        <v>2.0000000004</v>
      </c>
      <c r="DU8">
        <v>1.6999999989000001</v>
      </c>
      <c r="DV8">
        <v>2.0999999997000001</v>
      </c>
      <c r="DW8">
        <v>2.0999999997000001</v>
      </c>
      <c r="DX8">
        <v>2.0999999997000001</v>
      </c>
      <c r="DY8">
        <v>6.6999999999000002</v>
      </c>
      <c r="DZ8">
        <v>10.8</v>
      </c>
      <c r="EA8">
        <v>15.299999999100001</v>
      </c>
      <c r="EB8">
        <v>21.199999999199999</v>
      </c>
      <c r="EC8">
        <v>28.500000000299998</v>
      </c>
      <c r="ED8">
        <v>37.000000000299998</v>
      </c>
      <c r="EE8">
        <v>45.000000000100002</v>
      </c>
      <c r="EF8">
        <v>52.299999999400001</v>
      </c>
      <c r="EG8">
        <v>59.900000000200002</v>
      </c>
      <c r="EH8">
        <v>68.199999999699997</v>
      </c>
      <c r="EI8">
        <v>76.399999999900004</v>
      </c>
      <c r="EJ8">
        <v>84.799999998700002</v>
      </c>
      <c r="EK8">
        <v>93.600000000199998</v>
      </c>
      <c r="EL8">
        <v>101.8000000004</v>
      </c>
      <c r="EM8">
        <v>110.1999999992</v>
      </c>
      <c r="EN8">
        <v>118.8000000002</v>
      </c>
      <c r="EO8">
        <v>127.8999999995</v>
      </c>
      <c r="EP8">
        <v>136.80000000019999</v>
      </c>
      <c r="EQ8">
        <v>145.89999999950001</v>
      </c>
      <c r="ER8">
        <v>154.39999999939999</v>
      </c>
      <c r="ES8">
        <v>162.69999999890001</v>
      </c>
      <c r="ET8">
        <v>171.50000000040001</v>
      </c>
      <c r="EU8">
        <v>180.5999999997</v>
      </c>
      <c r="EV8">
        <v>189.00000000029999</v>
      </c>
      <c r="EW8">
        <v>198.5999999997</v>
      </c>
      <c r="EX8">
        <v>207.39999999930001</v>
      </c>
      <c r="EY8">
        <v>215.5999999995</v>
      </c>
      <c r="EZ8">
        <v>224.59999999959999</v>
      </c>
      <c r="FA8">
        <v>233.39999999919999</v>
      </c>
      <c r="FB8">
        <v>242.1999999988</v>
      </c>
      <c r="FC8">
        <v>251.50000000029999</v>
      </c>
      <c r="FD8">
        <v>260.09999999950003</v>
      </c>
      <c r="FE8">
        <v>268.39999999899999</v>
      </c>
      <c r="FF8">
        <v>277.0999999993</v>
      </c>
      <c r="FG8">
        <v>285.79999999969999</v>
      </c>
      <c r="FH8">
        <v>294.3999999989</v>
      </c>
      <c r="FI8">
        <v>303.3999999989</v>
      </c>
      <c r="FJ8">
        <v>311.89999999880001</v>
      </c>
      <c r="FK8">
        <v>320.09999999899998</v>
      </c>
      <c r="FL8">
        <v>328.1999999999</v>
      </c>
      <c r="FM8">
        <v>336.79999999910001</v>
      </c>
      <c r="FN8">
        <v>344.79999999889998</v>
      </c>
      <c r="FO8">
        <v>353.19999999959998</v>
      </c>
      <c r="FP8">
        <v>361.3999999998</v>
      </c>
      <c r="FQ8">
        <v>368.89999999949998</v>
      </c>
      <c r="FR8">
        <v>376.8</v>
      </c>
      <c r="FS8">
        <v>384.29999999969999</v>
      </c>
      <c r="FT8">
        <v>392.29999999950002</v>
      </c>
      <c r="FU8">
        <v>399.6999999999</v>
      </c>
      <c r="FV8">
        <v>407.49999999929997</v>
      </c>
      <c r="FW8">
        <v>415.19999999949999</v>
      </c>
      <c r="FX8">
        <v>421.99999999869999</v>
      </c>
      <c r="FY8">
        <v>428.79999999969999</v>
      </c>
      <c r="FZ8">
        <v>435.99999999969998</v>
      </c>
      <c r="GA8">
        <v>442.99999999929997</v>
      </c>
      <c r="GB8">
        <v>449.80000000029997</v>
      </c>
      <c r="GC8">
        <v>455.7000000004</v>
      </c>
      <c r="GD8">
        <v>461.79999999910001</v>
      </c>
      <c r="GE8">
        <v>462.49999999959999</v>
      </c>
      <c r="GF8">
        <v>462.49999999959999</v>
      </c>
      <c r="GG8">
        <v>462.49999999959999</v>
      </c>
      <c r="GH8">
        <v>462.4000000003</v>
      </c>
      <c r="GI8">
        <v>462.2999999992</v>
      </c>
      <c r="GJ8">
        <v>462.4000000003</v>
      </c>
      <c r="GK8">
        <v>462.59999999889999</v>
      </c>
      <c r="GL8">
        <v>462.4000000003</v>
      </c>
      <c r="GM8">
        <v>462.59999999889999</v>
      </c>
      <c r="GN8">
        <v>462.7</v>
      </c>
      <c r="GO8">
        <v>462.7</v>
      </c>
      <c r="GP8">
        <v>462.79999999929998</v>
      </c>
      <c r="GQ8">
        <v>462.59999999889999</v>
      </c>
      <c r="GR8">
        <v>462.7</v>
      </c>
      <c r="GS8">
        <v>462.7</v>
      </c>
      <c r="GT8">
        <v>462.7</v>
      </c>
      <c r="GU8">
        <v>462.7</v>
      </c>
      <c r="GV8">
        <v>462.90000000039998</v>
      </c>
      <c r="GW8">
        <v>462.79999999929998</v>
      </c>
      <c r="GX8">
        <v>1</v>
      </c>
      <c r="GY8">
        <v>113.0999999987</v>
      </c>
      <c r="GZ8">
        <v>110.3999999996</v>
      </c>
      <c r="HA8">
        <v>110.3999999996</v>
      </c>
      <c r="HB8">
        <v>118.8000000002</v>
      </c>
      <c r="HC8">
        <v>112.4798098733</v>
      </c>
      <c r="HD8">
        <v>-8.4000000006000004</v>
      </c>
      <c r="HE8">
        <v>462.79999999929998</v>
      </c>
      <c r="HF8">
        <v>322.98697202120002</v>
      </c>
      <c r="HG8">
        <v>83.8478556763</v>
      </c>
      <c r="HH8">
        <v>462.90000000039998</v>
      </c>
      <c r="HI8">
        <v>462.90000000039998</v>
      </c>
      <c r="HJ8">
        <v>462.90000000039998</v>
      </c>
      <c r="HK8">
        <v>462.90000000039998</v>
      </c>
      <c r="HL8">
        <v>100.87976539589999</v>
      </c>
      <c r="HM8">
        <v>3.6891499322999999</v>
      </c>
      <c r="HN8">
        <v>3.6131692737000001</v>
      </c>
      <c r="HO8">
        <v>3.6238045437999999</v>
      </c>
      <c r="HP8">
        <v>3.4237497224000002</v>
      </c>
      <c r="HQ8">
        <v>3.7363444622999999</v>
      </c>
      <c r="HR8">
        <v>2.9846122445000001</v>
      </c>
      <c r="HS8">
        <v>28.631954197100001</v>
      </c>
      <c r="HT8">
        <v>-23.460410557199999</v>
      </c>
      <c r="HU8">
        <v>-160</v>
      </c>
      <c r="HV8">
        <v>435.4667818945</v>
      </c>
      <c r="HW8">
        <v>89.149560117299998</v>
      </c>
      <c r="HX8">
        <v>608</v>
      </c>
      <c r="HY8">
        <v>28.631954197100001</v>
      </c>
      <c r="HZ8">
        <v>-23.460410557199999</v>
      </c>
      <c r="IA8">
        <v>-160</v>
      </c>
      <c r="IB8">
        <v>435.4667818945</v>
      </c>
      <c r="IC8">
        <v>89.149560117299998</v>
      </c>
      <c r="ID8">
        <v>608</v>
      </c>
      <c r="IE8">
        <v>27.433218106000002</v>
      </c>
      <c r="IF8">
        <v>6.9745705955000004</v>
      </c>
      <c r="IG8">
        <v>-32.844574780099997</v>
      </c>
      <c r="IH8">
        <v>-224</v>
      </c>
      <c r="II8">
        <v>461.75050232170003</v>
      </c>
      <c r="IJ8">
        <v>98.533724340199996</v>
      </c>
      <c r="IK8">
        <v>672</v>
      </c>
      <c r="IL8">
        <v>406.83482769739999</v>
      </c>
      <c r="IM8">
        <v>112.6099706745</v>
      </c>
      <c r="IN8">
        <v>433.99513881500002</v>
      </c>
      <c r="IO8">
        <v>121.9941348974</v>
      </c>
      <c r="IP8">
        <v>7.3000000010999999</v>
      </c>
      <c r="IQ8">
        <v>7.0000000014000001</v>
      </c>
      <c r="IR8">
        <v>9.5999999993999996</v>
      </c>
      <c r="IS8">
        <v>2.6425445584</v>
      </c>
      <c r="IT8">
        <v>2.6425445584</v>
      </c>
      <c r="IU8">
        <v>7.3000000010999999</v>
      </c>
      <c r="IV8">
        <v>-25.806451612899998</v>
      </c>
      <c r="IW8">
        <v>9.1999999985999992</v>
      </c>
      <c r="IX8">
        <v>49.266862170099998</v>
      </c>
      <c r="IY8">
        <v>7.5000000015000001</v>
      </c>
      <c r="IZ8">
        <v>93.841642228699996</v>
      </c>
      <c r="JA8">
        <v>-32.018712089799997</v>
      </c>
      <c r="JB8">
        <v>0.30435901469999999</v>
      </c>
      <c r="JC8">
        <v>-2.250593E-4</v>
      </c>
      <c r="JD8">
        <v>3.7759999999999999E-7</v>
      </c>
      <c r="JE8">
        <v>0.27106515549999999</v>
      </c>
      <c r="JF8">
        <v>0.1649509549</v>
      </c>
      <c r="JG8">
        <v>7.62720395E-2</v>
      </c>
      <c r="JH8">
        <v>112.97281441219999</v>
      </c>
      <c r="JI8">
        <v>3.7363444622999999</v>
      </c>
      <c r="JJ8">
        <v>4.3958618000000003E-3</v>
      </c>
      <c r="JK8">
        <v>-6.4401100000000002E-5</v>
      </c>
      <c r="JL8">
        <v>3.6891499322999999</v>
      </c>
      <c r="JM8">
        <v>0.58393474950000002</v>
      </c>
      <c r="JN8">
        <v>0.24774749369999999</v>
      </c>
      <c r="JO8">
        <v>3.1116250005000001</v>
      </c>
      <c r="JP8">
        <v>2.9837500006000002</v>
      </c>
      <c r="JQ8">
        <v>4.0919999996999996</v>
      </c>
      <c r="JR8" s="17" t="s">
        <v>551</v>
      </c>
      <c r="JU8" s="17">
        <v>1</v>
      </c>
    </row>
    <row r="9" spans="1:281">
      <c r="A9" t="s">
        <v>655</v>
      </c>
      <c r="B9" t="s">
        <v>656</v>
      </c>
      <c r="C9" t="s">
        <v>657</v>
      </c>
      <c r="D9" t="s">
        <v>212</v>
      </c>
      <c r="E9">
        <v>3</v>
      </c>
      <c r="F9" t="s">
        <v>213</v>
      </c>
      <c r="G9" t="s">
        <v>214</v>
      </c>
      <c r="H9" t="s">
        <v>550</v>
      </c>
      <c r="I9" t="s">
        <v>216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0</v>
      </c>
      <c r="S9">
        <v>0.60000000119999997</v>
      </c>
      <c r="T9">
        <v>0.40000000079999998</v>
      </c>
      <c r="U9">
        <v>0.7000000005</v>
      </c>
      <c r="V9">
        <v>0.7000000005</v>
      </c>
      <c r="W9">
        <v>0.7000000005</v>
      </c>
      <c r="X9">
        <v>0.90000000089999999</v>
      </c>
      <c r="Y9">
        <v>0.7000000005</v>
      </c>
      <c r="Z9">
        <v>0.90000000089999999</v>
      </c>
      <c r="AA9">
        <v>0.60000000119999997</v>
      </c>
      <c r="AB9">
        <v>0.79999999980000003</v>
      </c>
      <c r="AC9">
        <v>0.90000000089999999</v>
      </c>
      <c r="AD9">
        <v>0.90000000089999999</v>
      </c>
      <c r="AE9">
        <v>1.0000000002</v>
      </c>
      <c r="AF9">
        <v>1.0000000002</v>
      </c>
      <c r="AG9">
        <v>1.0000000002</v>
      </c>
      <c r="AH9">
        <v>1.2000000006</v>
      </c>
      <c r="AI9">
        <v>1.1000000013</v>
      </c>
      <c r="AJ9">
        <v>1.2999999999</v>
      </c>
      <c r="AK9">
        <v>1.2999999999</v>
      </c>
      <c r="AL9">
        <v>3.5000000007000001</v>
      </c>
      <c r="AM9">
        <v>9</v>
      </c>
      <c r="AN9">
        <v>15.9999999996</v>
      </c>
      <c r="AO9">
        <v>23.4</v>
      </c>
      <c r="AP9">
        <v>30.8999999997</v>
      </c>
      <c r="AQ9">
        <v>38.899999999599999</v>
      </c>
      <c r="AR9">
        <v>46.900000001199999</v>
      </c>
      <c r="AS9">
        <v>55.400000001099997</v>
      </c>
      <c r="AT9">
        <v>63.600000001300003</v>
      </c>
      <c r="AU9">
        <v>71.900000000800006</v>
      </c>
      <c r="AV9">
        <v>80.200000000299994</v>
      </c>
      <c r="AW9">
        <v>88.700000000200006</v>
      </c>
      <c r="AX9">
        <v>97.200000000200006</v>
      </c>
      <c r="AY9">
        <v>105.9999999998</v>
      </c>
      <c r="AZ9">
        <v>114.9999999998</v>
      </c>
      <c r="BA9">
        <v>123.49999999969999</v>
      </c>
      <c r="BB9">
        <v>131.99999999959999</v>
      </c>
      <c r="BC9">
        <v>140.800000001</v>
      </c>
      <c r="BD9">
        <v>149.5000000014</v>
      </c>
      <c r="BE9">
        <v>158.60000000069999</v>
      </c>
      <c r="BF9">
        <v>167.4000000003</v>
      </c>
      <c r="BG9">
        <v>176.00000000130001</v>
      </c>
      <c r="BH9">
        <v>184.69999999980001</v>
      </c>
      <c r="BI9">
        <v>193.3000000008</v>
      </c>
      <c r="BJ9">
        <v>202.1000000004</v>
      </c>
      <c r="BK9">
        <v>210.80000000070001</v>
      </c>
      <c r="BL9">
        <v>219.90000000009999</v>
      </c>
      <c r="BM9">
        <v>228.4</v>
      </c>
      <c r="BN9">
        <v>236.7000000013</v>
      </c>
      <c r="BO9">
        <v>245.10000000010001</v>
      </c>
      <c r="BP9">
        <v>253.89999999969999</v>
      </c>
      <c r="BQ9">
        <v>262.50000000070003</v>
      </c>
      <c r="BR9">
        <v>271.09999999989998</v>
      </c>
      <c r="BS9">
        <v>279.40000000129999</v>
      </c>
      <c r="BT9">
        <v>287.3</v>
      </c>
      <c r="BU9">
        <v>295.50000000019998</v>
      </c>
      <c r="BV9">
        <v>303.79999999969999</v>
      </c>
      <c r="BW9">
        <v>311.80000000130002</v>
      </c>
      <c r="BX9">
        <v>319.60000000069999</v>
      </c>
      <c r="BY9">
        <v>328.00000000130001</v>
      </c>
      <c r="BZ9">
        <v>335.50000000099999</v>
      </c>
      <c r="CA9">
        <v>343.1</v>
      </c>
      <c r="CB9">
        <v>350.59999999979999</v>
      </c>
      <c r="CC9">
        <v>358.29999999990002</v>
      </c>
      <c r="CD9">
        <v>365.70000000030001</v>
      </c>
      <c r="CE9">
        <v>373.2</v>
      </c>
      <c r="CF9">
        <v>380.80000000080003</v>
      </c>
      <c r="CG9">
        <v>387.6</v>
      </c>
      <c r="CH9">
        <v>394.50000000030002</v>
      </c>
      <c r="CI9">
        <v>401.6000000011</v>
      </c>
      <c r="CJ9">
        <v>409.10000000079998</v>
      </c>
      <c r="CK9">
        <v>416.00000000109998</v>
      </c>
      <c r="CL9">
        <v>422.80000000029997</v>
      </c>
      <c r="CM9">
        <v>429.79999999990002</v>
      </c>
      <c r="CN9">
        <v>436.40000000049997</v>
      </c>
      <c r="CO9">
        <v>442.80000000069998</v>
      </c>
      <c r="CP9">
        <v>449.50000000059998</v>
      </c>
      <c r="CQ9">
        <v>456.00000000009999</v>
      </c>
      <c r="CR9">
        <v>458.70000000099998</v>
      </c>
      <c r="CS9">
        <v>458.89999999960003</v>
      </c>
      <c r="CT9">
        <v>458.80000000029997</v>
      </c>
      <c r="CU9">
        <v>458.80000000029997</v>
      </c>
      <c r="CV9">
        <v>458.89999999960003</v>
      </c>
      <c r="CW9">
        <v>458.89999999960003</v>
      </c>
      <c r="CX9">
        <v>459.1</v>
      </c>
      <c r="CY9">
        <v>458.89999999960003</v>
      </c>
      <c r="CZ9">
        <v>459.00000000070003</v>
      </c>
      <c r="DA9">
        <v>459.1</v>
      </c>
      <c r="DB9">
        <v>458.80000000029997</v>
      </c>
      <c r="DC9">
        <v>459.00000000070003</v>
      </c>
      <c r="DD9">
        <v>458.89999999960003</v>
      </c>
      <c r="DE9">
        <v>459.00000000070003</v>
      </c>
      <c r="DF9">
        <v>459.1</v>
      </c>
      <c r="DG9">
        <v>458.89999999960003</v>
      </c>
      <c r="DH9">
        <v>0.60000000119999997</v>
      </c>
      <c r="DI9">
        <v>1.2000000006</v>
      </c>
      <c r="DJ9">
        <v>1.2999999999</v>
      </c>
      <c r="DK9">
        <v>1.2999999999</v>
      </c>
      <c r="DL9">
        <v>1.400000001</v>
      </c>
      <c r="DM9">
        <v>1.400000001</v>
      </c>
      <c r="DN9">
        <v>1.5000000003</v>
      </c>
      <c r="DO9">
        <v>1.400000001</v>
      </c>
      <c r="DP9">
        <v>1.5000000003</v>
      </c>
      <c r="DQ9">
        <v>1.5999999996000001</v>
      </c>
      <c r="DR9">
        <v>1.5000000003</v>
      </c>
      <c r="DS9">
        <v>1.5999999996000001</v>
      </c>
      <c r="DT9">
        <v>1.7000000007</v>
      </c>
      <c r="DU9">
        <v>1.5000000003</v>
      </c>
      <c r="DV9">
        <v>1.7000000007</v>
      </c>
      <c r="DW9">
        <v>1.5999999996000001</v>
      </c>
      <c r="DX9">
        <v>1.7000000007</v>
      </c>
      <c r="DY9">
        <v>1.8</v>
      </c>
      <c r="DZ9">
        <v>1.9000000011</v>
      </c>
      <c r="EA9">
        <v>4.2000000012000003</v>
      </c>
      <c r="EB9">
        <v>10.9000000011</v>
      </c>
      <c r="EC9">
        <v>18</v>
      </c>
      <c r="ED9">
        <v>25.499999999700002</v>
      </c>
      <c r="EE9">
        <v>32.800000000899999</v>
      </c>
      <c r="EF9">
        <v>40.800000000700003</v>
      </c>
      <c r="EG9">
        <v>48.600000000100003</v>
      </c>
      <c r="EH9">
        <v>56.700000000999999</v>
      </c>
      <c r="EI9">
        <v>64.800000000099999</v>
      </c>
      <c r="EJ9">
        <v>73.099999999600001</v>
      </c>
      <c r="EK9">
        <v>81.200000000499998</v>
      </c>
      <c r="EL9">
        <v>89.5</v>
      </c>
      <c r="EM9">
        <v>97.900000000700004</v>
      </c>
      <c r="EN9">
        <v>106.600000001</v>
      </c>
      <c r="EO9">
        <v>115.600000001</v>
      </c>
      <c r="EP9">
        <v>124.1000000009</v>
      </c>
      <c r="EQ9">
        <v>132.9000000005</v>
      </c>
      <c r="ER9">
        <v>141.30000000109999</v>
      </c>
      <c r="ES9">
        <v>150.3000000012</v>
      </c>
      <c r="ET9">
        <v>159.10000000080001</v>
      </c>
      <c r="EU9">
        <v>168.3000000012</v>
      </c>
      <c r="EV9">
        <v>176.99999999970001</v>
      </c>
      <c r="EW9">
        <v>185.90000000040001</v>
      </c>
      <c r="EX9">
        <v>194.49999999959999</v>
      </c>
      <c r="EY9">
        <v>203.7</v>
      </c>
      <c r="EZ9">
        <v>212.4000000003</v>
      </c>
      <c r="FA9">
        <v>221.9000000005</v>
      </c>
      <c r="FB9">
        <v>230.2</v>
      </c>
      <c r="FC9">
        <v>238.99999999959999</v>
      </c>
      <c r="FD9">
        <v>247.9000000003</v>
      </c>
      <c r="FE9">
        <v>256.50000000130001</v>
      </c>
      <c r="FF9">
        <v>265.60000000060001</v>
      </c>
      <c r="FG9">
        <v>274.80000000109999</v>
      </c>
      <c r="FH9">
        <v>282.90000000020001</v>
      </c>
      <c r="FI9">
        <v>291.50000000120002</v>
      </c>
      <c r="FJ9">
        <v>300.00000000109998</v>
      </c>
      <c r="FK9">
        <v>308.50000000099999</v>
      </c>
      <c r="FL9">
        <v>316.80000000050001</v>
      </c>
      <c r="FM9">
        <v>325.60000000010001</v>
      </c>
      <c r="FN9">
        <v>333.80000000029997</v>
      </c>
      <c r="FO9">
        <v>341.90000000129999</v>
      </c>
      <c r="FP9">
        <v>349.70000000070002</v>
      </c>
      <c r="FQ9">
        <v>358.00000000019998</v>
      </c>
      <c r="FR9">
        <v>366</v>
      </c>
      <c r="FS9">
        <v>373.90000000049997</v>
      </c>
      <c r="FT9">
        <v>381.50000000130001</v>
      </c>
      <c r="FU9">
        <v>389.00000000099999</v>
      </c>
      <c r="FV9">
        <v>396.09999999989998</v>
      </c>
      <c r="FW9">
        <v>403.20000000070002</v>
      </c>
      <c r="FX9">
        <v>410.7000000004</v>
      </c>
      <c r="FY9">
        <v>417.60000000069999</v>
      </c>
      <c r="FZ9">
        <v>424.50000000099999</v>
      </c>
      <c r="GA9">
        <v>431.30000000019999</v>
      </c>
      <c r="GB9">
        <v>437.2999999996</v>
      </c>
      <c r="GC9">
        <v>443.19999999970003</v>
      </c>
      <c r="GD9">
        <v>448.7000000008</v>
      </c>
      <c r="GE9">
        <v>454.10000000079998</v>
      </c>
      <c r="GF9">
        <v>458.50000000059998</v>
      </c>
      <c r="GG9">
        <v>458.70000000099998</v>
      </c>
      <c r="GH9">
        <v>458.89999999960003</v>
      </c>
      <c r="GI9">
        <v>458.80000000029997</v>
      </c>
      <c r="GJ9">
        <v>458.89999999960003</v>
      </c>
      <c r="GK9">
        <v>458.89999999960003</v>
      </c>
      <c r="GL9">
        <v>458.89999999960003</v>
      </c>
      <c r="GM9">
        <v>459.00000000070003</v>
      </c>
      <c r="GN9">
        <v>458.89999999960003</v>
      </c>
      <c r="GO9">
        <v>459.00000000070003</v>
      </c>
      <c r="GP9">
        <v>459.00000000070003</v>
      </c>
      <c r="GQ9">
        <v>459.1</v>
      </c>
      <c r="GR9">
        <v>458.89999999960003</v>
      </c>
      <c r="GS9">
        <v>459.1</v>
      </c>
      <c r="GT9">
        <v>459.00000000070003</v>
      </c>
      <c r="GU9">
        <v>459.20000000110002</v>
      </c>
      <c r="GV9">
        <v>459.00000000070003</v>
      </c>
      <c r="GW9">
        <v>459.00000000070003</v>
      </c>
      <c r="GX9">
        <v>1</v>
      </c>
      <c r="GY9">
        <v>100.00000000039999</v>
      </c>
      <c r="GZ9">
        <v>97.200000000200006</v>
      </c>
      <c r="HA9">
        <v>97.200000000200006</v>
      </c>
      <c r="HB9">
        <v>106.600000001</v>
      </c>
      <c r="HC9">
        <v>99.286386408499993</v>
      </c>
      <c r="HD9">
        <v>-9.4000000008000004</v>
      </c>
      <c r="HE9">
        <v>458.99996732810001</v>
      </c>
      <c r="HF9">
        <v>330.83220431270001</v>
      </c>
      <c r="HG9">
        <v>82.857013723199998</v>
      </c>
      <c r="HH9">
        <v>459.20000000110002</v>
      </c>
      <c r="HI9">
        <v>459.20000000110002</v>
      </c>
      <c r="HJ9">
        <v>459.1</v>
      </c>
      <c r="HK9">
        <v>459.20000000110002</v>
      </c>
      <c r="HL9">
        <v>103.22580645159999</v>
      </c>
      <c r="HM9">
        <v>3.6867581448000002</v>
      </c>
      <c r="HN9">
        <v>3.5361900879000001</v>
      </c>
      <c r="HO9">
        <v>3.6223265045000002</v>
      </c>
      <c r="HP9">
        <v>3.3794227960000001</v>
      </c>
      <c r="HQ9">
        <v>3.7231216224999999</v>
      </c>
      <c r="HR9">
        <v>2.9352572602000002</v>
      </c>
      <c r="HS9">
        <v>16.429372685299999</v>
      </c>
      <c r="HT9">
        <v>-23.460410557199999</v>
      </c>
      <c r="HU9">
        <v>-160</v>
      </c>
      <c r="HV9">
        <v>430.11859072120001</v>
      </c>
      <c r="HW9">
        <v>91.495601172999997</v>
      </c>
      <c r="HX9">
        <v>624</v>
      </c>
      <c r="HY9">
        <v>16.429372685299999</v>
      </c>
      <c r="HZ9">
        <v>-23.460410557199999</v>
      </c>
      <c r="IA9">
        <v>-160</v>
      </c>
      <c r="IB9">
        <v>430.11859072120001</v>
      </c>
      <c r="IC9">
        <v>91.495601172999997</v>
      </c>
      <c r="ID9">
        <v>624</v>
      </c>
      <c r="IE9">
        <v>29.081409279900001</v>
      </c>
      <c r="IF9">
        <v>1.3020910476000001</v>
      </c>
      <c r="IG9">
        <v>-32.844574780099997</v>
      </c>
      <c r="IH9">
        <v>-224</v>
      </c>
      <c r="II9">
        <v>453.8378675678</v>
      </c>
      <c r="IJ9">
        <v>100.87976539589999</v>
      </c>
      <c r="IK9">
        <v>688</v>
      </c>
      <c r="IL9">
        <v>413.68921803590001</v>
      </c>
      <c r="IM9">
        <v>114.9560117302</v>
      </c>
      <c r="IN9">
        <v>438.92430842850001</v>
      </c>
      <c r="IO9">
        <v>124.3401759531</v>
      </c>
      <c r="IP9">
        <v>7.0999999989000004</v>
      </c>
      <c r="IQ9">
        <v>6.6999999999000002</v>
      </c>
      <c r="IR9">
        <v>9.5000000001</v>
      </c>
      <c r="IS9">
        <v>2.5796201626999999</v>
      </c>
      <c r="IT9">
        <v>2.5796201626999999</v>
      </c>
      <c r="IU9">
        <v>9</v>
      </c>
      <c r="IV9">
        <v>-25.806451612899998</v>
      </c>
      <c r="IW9">
        <v>16.2</v>
      </c>
      <c r="IX9">
        <v>84.457478005900001</v>
      </c>
      <c r="IY9">
        <v>12.300000000300001</v>
      </c>
      <c r="IZ9">
        <v>98.533724340199996</v>
      </c>
      <c r="JA9">
        <v>-28.225659421100001</v>
      </c>
      <c r="JB9">
        <v>0.30276780710000001</v>
      </c>
      <c r="JC9">
        <v>-2.2856609999999999E-4</v>
      </c>
      <c r="JD9">
        <v>3.9760000000000001E-7</v>
      </c>
      <c r="JE9">
        <v>0.27124100919999999</v>
      </c>
      <c r="JF9">
        <v>0.14910396479999999</v>
      </c>
      <c r="JG9">
        <v>7.1823911800000001E-2</v>
      </c>
      <c r="JH9">
        <v>99.545453171000005</v>
      </c>
      <c r="JI9">
        <v>3.7231216224999999</v>
      </c>
      <c r="JJ9">
        <v>4.9514980000000004E-3</v>
      </c>
      <c r="JK9">
        <v>-6.7449300000000005E-5</v>
      </c>
      <c r="JL9">
        <v>3.6867581448000002</v>
      </c>
      <c r="JM9">
        <v>0.63368972300000004</v>
      </c>
      <c r="JN9">
        <v>0.1934944529</v>
      </c>
      <c r="JO9">
        <v>3.0263749995000002</v>
      </c>
      <c r="JP9">
        <v>2.8558750000000002</v>
      </c>
      <c r="JQ9">
        <v>4.0493750000000004</v>
      </c>
      <c r="JR9" s="17" t="s">
        <v>551</v>
      </c>
      <c r="JU9" s="17">
        <v>1</v>
      </c>
    </row>
    <row r="10" spans="1:281">
      <c r="A10" t="s">
        <v>658</v>
      </c>
      <c r="B10" t="s">
        <v>659</v>
      </c>
      <c r="C10" t="s">
        <v>660</v>
      </c>
      <c r="D10" t="s">
        <v>212</v>
      </c>
      <c r="E10">
        <v>3</v>
      </c>
      <c r="F10" t="s">
        <v>213</v>
      </c>
      <c r="G10" t="s">
        <v>214</v>
      </c>
      <c r="H10" t="s">
        <v>550</v>
      </c>
      <c r="I10" t="s">
        <v>216</v>
      </c>
      <c r="K10" t="s">
        <v>618</v>
      </c>
      <c r="L10" t="s">
        <v>619</v>
      </c>
      <c r="M10" t="s">
        <v>620</v>
      </c>
      <c r="N10" t="s">
        <v>621</v>
      </c>
      <c r="O10" t="s">
        <v>622</v>
      </c>
      <c r="P10">
        <v>0</v>
      </c>
      <c r="Q10">
        <v>0</v>
      </c>
      <c r="R10">
        <v>0.20000000039999999</v>
      </c>
      <c r="S10">
        <v>0.29999999970000002</v>
      </c>
      <c r="T10">
        <v>0.20000000039999999</v>
      </c>
      <c r="U10">
        <v>0.1000000011</v>
      </c>
      <c r="V10">
        <v>0.1000000011</v>
      </c>
      <c r="W10">
        <v>0.20000000039999999</v>
      </c>
      <c r="X10">
        <v>0.29999999970000002</v>
      </c>
      <c r="Y10">
        <v>0.29999999970000002</v>
      </c>
      <c r="Z10">
        <v>0.20000000039999999</v>
      </c>
      <c r="AA10">
        <v>0.29999999970000002</v>
      </c>
      <c r="AB10">
        <v>0.29999999970000002</v>
      </c>
      <c r="AC10">
        <v>0.20000000039999999</v>
      </c>
      <c r="AD10">
        <v>0.1000000011</v>
      </c>
      <c r="AE10">
        <v>0.1000000011</v>
      </c>
      <c r="AF10">
        <v>0</v>
      </c>
      <c r="AG10">
        <v>0.20000000039999999</v>
      </c>
      <c r="AH10">
        <v>0.20000000039999999</v>
      </c>
      <c r="AI10">
        <v>0.29999999970000002</v>
      </c>
      <c r="AJ10">
        <v>0.20000000039999999</v>
      </c>
      <c r="AK10">
        <v>0.20000000039999999</v>
      </c>
      <c r="AL10">
        <v>0.50000000010000001</v>
      </c>
      <c r="AM10">
        <v>6.1000000004999997</v>
      </c>
      <c r="AN10">
        <v>13.5000000009</v>
      </c>
      <c r="AO10">
        <v>20.700000000900001</v>
      </c>
      <c r="AP10">
        <v>28.500000000299998</v>
      </c>
      <c r="AQ10">
        <v>36.700000000599999</v>
      </c>
      <c r="AR10">
        <v>44.6000000011</v>
      </c>
      <c r="AS10">
        <v>52.900000000600002</v>
      </c>
      <c r="AT10">
        <v>61.600000000900003</v>
      </c>
      <c r="AU10">
        <v>70.200000000100005</v>
      </c>
      <c r="AV10">
        <v>77.999999999500005</v>
      </c>
      <c r="AW10">
        <v>86.600000000500003</v>
      </c>
      <c r="AX10">
        <v>96.2</v>
      </c>
      <c r="AY10">
        <v>105.7000000001</v>
      </c>
      <c r="AZ10">
        <v>115.20000000020001</v>
      </c>
      <c r="BA10">
        <v>124.20000000020001</v>
      </c>
      <c r="BB10">
        <v>132.49999999970001</v>
      </c>
      <c r="BC10">
        <v>141.30000000109999</v>
      </c>
      <c r="BD10">
        <v>150.10000000069999</v>
      </c>
      <c r="BE10">
        <v>158.90000000040001</v>
      </c>
      <c r="BF10">
        <v>168.4000000005</v>
      </c>
      <c r="BG10">
        <v>177.3000000012</v>
      </c>
      <c r="BH10">
        <v>185.90000000040001</v>
      </c>
      <c r="BI10">
        <v>194.7</v>
      </c>
      <c r="BJ10">
        <v>203.7</v>
      </c>
      <c r="BK10">
        <v>212.60000000069999</v>
      </c>
      <c r="BL10">
        <v>221.9999999998</v>
      </c>
      <c r="BM10">
        <v>230.9999999998</v>
      </c>
      <c r="BN10">
        <v>239.49999999970001</v>
      </c>
      <c r="BO10">
        <v>248.60000000080001</v>
      </c>
      <c r="BP10">
        <v>256.99999999959999</v>
      </c>
      <c r="BQ10">
        <v>265.6999999999</v>
      </c>
      <c r="BR10">
        <v>274.9000000003</v>
      </c>
      <c r="BS10">
        <v>283.7</v>
      </c>
      <c r="BT10">
        <v>292.00000000130001</v>
      </c>
      <c r="BU10">
        <v>300.80000000090001</v>
      </c>
      <c r="BV10">
        <v>309.19999999970003</v>
      </c>
      <c r="BW10">
        <v>317.30000000059999</v>
      </c>
      <c r="BX10">
        <v>326.0000000009</v>
      </c>
      <c r="BY10">
        <v>334.39999999970001</v>
      </c>
      <c r="BZ10">
        <v>342.00000000059998</v>
      </c>
      <c r="CA10">
        <v>350.2000000008</v>
      </c>
      <c r="CB10">
        <v>358.29999999990002</v>
      </c>
      <c r="CC10">
        <v>365.7999999996</v>
      </c>
      <c r="CD10">
        <v>373.60000000079998</v>
      </c>
      <c r="CE10">
        <v>381.60000000060001</v>
      </c>
      <c r="CF10">
        <v>389.19999999959998</v>
      </c>
      <c r="CG10">
        <v>396.6</v>
      </c>
      <c r="CH10">
        <v>403.9000000012</v>
      </c>
      <c r="CI10">
        <v>411.40000000089998</v>
      </c>
      <c r="CJ10">
        <v>418.49999999980002</v>
      </c>
      <c r="CK10">
        <v>425.69999999980001</v>
      </c>
      <c r="CL10">
        <v>433.0000000009</v>
      </c>
      <c r="CM10">
        <v>439.50000000040001</v>
      </c>
      <c r="CN10">
        <v>446.90000000079999</v>
      </c>
      <c r="CO10">
        <v>454.99999999990001</v>
      </c>
      <c r="CP10">
        <v>461.40000000010002</v>
      </c>
      <c r="CQ10">
        <v>461.60000000050002</v>
      </c>
      <c r="CR10">
        <v>461.50000000130001</v>
      </c>
      <c r="CS10">
        <v>461.69999999980001</v>
      </c>
      <c r="CT10">
        <v>461.69999999980001</v>
      </c>
      <c r="CU10">
        <v>461.60000000050002</v>
      </c>
      <c r="CV10">
        <v>461.80000000090001</v>
      </c>
      <c r="CW10">
        <v>461.69999999980001</v>
      </c>
      <c r="CX10">
        <v>461.80000000090001</v>
      </c>
      <c r="CY10">
        <v>461.60000000050002</v>
      </c>
      <c r="CZ10">
        <v>461.90000000020001</v>
      </c>
      <c r="DA10">
        <v>461.80000000090001</v>
      </c>
      <c r="DB10">
        <v>461.80000000090001</v>
      </c>
      <c r="DC10">
        <v>461.69999999980001</v>
      </c>
      <c r="DD10">
        <v>461.80000000090001</v>
      </c>
      <c r="DE10">
        <v>461.80000000090001</v>
      </c>
      <c r="DF10">
        <v>461.99999999950001</v>
      </c>
      <c r="DG10">
        <v>461.90000000020001</v>
      </c>
      <c r="DH10">
        <v>0.1000000011</v>
      </c>
      <c r="DI10">
        <v>0.60000000119999997</v>
      </c>
      <c r="DJ10">
        <v>0.50000000010000001</v>
      </c>
      <c r="DK10">
        <v>0.60000000119999997</v>
      </c>
      <c r="DL10">
        <v>0.40000000079999998</v>
      </c>
      <c r="DM10">
        <v>0.60000000119999997</v>
      </c>
      <c r="DN10">
        <v>0.60000000119999997</v>
      </c>
      <c r="DO10">
        <v>0.40000000079999998</v>
      </c>
      <c r="DP10">
        <v>0.50000000010000001</v>
      </c>
      <c r="DQ10">
        <v>0.40000000079999998</v>
      </c>
      <c r="DR10">
        <v>0.29999999970000002</v>
      </c>
      <c r="DS10">
        <v>0.50000000010000001</v>
      </c>
      <c r="DT10">
        <v>0.40000000079999998</v>
      </c>
      <c r="DU10">
        <v>0.40000000079999998</v>
      </c>
      <c r="DV10">
        <v>0.60000000119999997</v>
      </c>
      <c r="DW10">
        <v>0.40000000079999998</v>
      </c>
      <c r="DX10">
        <v>0.29999999970000002</v>
      </c>
      <c r="DY10">
        <v>0.60000000119999997</v>
      </c>
      <c r="DZ10">
        <v>0.7000000005</v>
      </c>
      <c r="EA10">
        <v>0.7000000005</v>
      </c>
      <c r="EB10">
        <v>7.2</v>
      </c>
      <c r="EC10">
        <v>14.800000000800001</v>
      </c>
      <c r="ED10">
        <v>22.1000000001</v>
      </c>
      <c r="EE10">
        <v>29.800000000299999</v>
      </c>
      <c r="EF10">
        <v>37.700000000800003</v>
      </c>
      <c r="EG10">
        <v>45.4000000009</v>
      </c>
      <c r="EH10">
        <v>53.6000000011</v>
      </c>
      <c r="EI10">
        <v>61.999999999899998</v>
      </c>
      <c r="EJ10">
        <v>70.600000000899996</v>
      </c>
      <c r="EK10">
        <v>78.600000000700007</v>
      </c>
      <c r="EL10">
        <v>86.999999999500005</v>
      </c>
      <c r="EM10">
        <v>95.900000000299997</v>
      </c>
      <c r="EN10">
        <v>105.4000000004</v>
      </c>
      <c r="EO10">
        <v>115.30000000130001</v>
      </c>
      <c r="EP10">
        <v>124.30000000130001</v>
      </c>
      <c r="EQ10">
        <v>132.9000000005</v>
      </c>
      <c r="ER10">
        <v>141.40000000040001</v>
      </c>
      <c r="ES10">
        <v>150.40000000040001</v>
      </c>
      <c r="ET10">
        <v>159.2000000001</v>
      </c>
      <c r="EU10">
        <v>168.6000000009</v>
      </c>
      <c r="EV10">
        <v>177.6000000009</v>
      </c>
      <c r="EW10">
        <v>186.4000000005</v>
      </c>
      <c r="EX10">
        <v>195.2000000001</v>
      </c>
      <c r="EY10">
        <v>204.3000000012</v>
      </c>
      <c r="EZ10">
        <v>213.2000000001</v>
      </c>
      <c r="FA10">
        <v>222.49999999990001</v>
      </c>
      <c r="FB10">
        <v>231.70000000030001</v>
      </c>
      <c r="FC10">
        <v>240.20000000019999</v>
      </c>
      <c r="FD10">
        <v>249.1000000009</v>
      </c>
      <c r="FE10">
        <v>257.80000000119998</v>
      </c>
      <c r="FF10">
        <v>266.80000000119998</v>
      </c>
      <c r="FG10">
        <v>275.80000000130002</v>
      </c>
      <c r="FH10">
        <v>284.70000000020002</v>
      </c>
      <c r="FI10">
        <v>293.20000000009998</v>
      </c>
      <c r="FJ10">
        <v>301.90000000039998</v>
      </c>
      <c r="FK10">
        <v>310.7</v>
      </c>
      <c r="FL10">
        <v>318.99999999950001</v>
      </c>
      <c r="FM10">
        <v>327.69999999980001</v>
      </c>
      <c r="FN10">
        <v>336.40000000010002</v>
      </c>
      <c r="FO10">
        <v>344.4</v>
      </c>
      <c r="FP10">
        <v>352.6000000002</v>
      </c>
      <c r="FQ10">
        <v>360.89999999970001</v>
      </c>
      <c r="FR10">
        <v>368.70000000089999</v>
      </c>
      <c r="FS10">
        <v>377.00000000040001</v>
      </c>
      <c r="FT10">
        <v>384.70000000049998</v>
      </c>
      <c r="FU10">
        <v>392.29999999950002</v>
      </c>
      <c r="FV10">
        <v>400.10000000069999</v>
      </c>
      <c r="FW10">
        <v>407.69999999970003</v>
      </c>
      <c r="FX10">
        <v>414.50000000080001</v>
      </c>
      <c r="FY10">
        <v>420.70000000060003</v>
      </c>
      <c r="FZ10">
        <v>429.00000000009999</v>
      </c>
      <c r="GA10">
        <v>436.30000000119998</v>
      </c>
      <c r="GB10">
        <v>442.9</v>
      </c>
      <c r="GC10">
        <v>449.59999999989998</v>
      </c>
      <c r="GD10">
        <v>456.70000000060003</v>
      </c>
      <c r="GE10">
        <v>461.40000000010002</v>
      </c>
      <c r="GF10">
        <v>461.40000000010002</v>
      </c>
      <c r="GG10">
        <v>461.60000000050002</v>
      </c>
      <c r="GH10">
        <v>461.80000000090001</v>
      </c>
      <c r="GI10">
        <v>461.80000000090001</v>
      </c>
      <c r="GJ10">
        <v>461.60000000050002</v>
      </c>
      <c r="GK10">
        <v>461.90000000020001</v>
      </c>
      <c r="GL10">
        <v>461.80000000090001</v>
      </c>
      <c r="GM10">
        <v>461.80000000090001</v>
      </c>
      <c r="GN10">
        <v>461.80000000090001</v>
      </c>
      <c r="GO10">
        <v>461.69999999980001</v>
      </c>
      <c r="GP10">
        <v>461.80000000090001</v>
      </c>
      <c r="GQ10">
        <v>461.99999999950001</v>
      </c>
      <c r="GR10">
        <v>461.69999999980001</v>
      </c>
      <c r="GS10">
        <v>461.69999999980001</v>
      </c>
      <c r="GT10">
        <v>461.99999999950001</v>
      </c>
      <c r="GU10">
        <v>462.10000000060001</v>
      </c>
      <c r="GV10">
        <v>461.90000000020001</v>
      </c>
      <c r="GW10">
        <v>461.80000000090001</v>
      </c>
      <c r="GX10">
        <v>1</v>
      </c>
      <c r="GY10">
        <v>99.200000000599999</v>
      </c>
      <c r="GZ10">
        <v>96.2</v>
      </c>
      <c r="HA10">
        <v>96.2</v>
      </c>
      <c r="HB10">
        <v>105.4000000004</v>
      </c>
      <c r="HC10">
        <v>98.207489988099994</v>
      </c>
      <c r="HD10">
        <v>-9.2000000003999993</v>
      </c>
      <c r="HE10">
        <v>461.8000216483</v>
      </c>
      <c r="HF10">
        <v>337.382324928</v>
      </c>
      <c r="HG10">
        <v>84.376112132499998</v>
      </c>
      <c r="HH10">
        <v>462.10000000060001</v>
      </c>
      <c r="HI10">
        <v>462.10000000060001</v>
      </c>
      <c r="HJ10">
        <v>461.99999999950001</v>
      </c>
      <c r="HK10">
        <v>462.10000000060001</v>
      </c>
      <c r="HL10">
        <v>100.87976539589999</v>
      </c>
      <c r="HM10">
        <v>3.7580723250000001</v>
      </c>
      <c r="HN10">
        <v>3.6623072509000001</v>
      </c>
      <c r="HO10">
        <v>3.6874212442999998</v>
      </c>
      <c r="HP10">
        <v>3.4816322090999998</v>
      </c>
      <c r="HQ10">
        <v>3.8118484047000001</v>
      </c>
      <c r="HR10">
        <v>2.9799081972999999</v>
      </c>
      <c r="HS10">
        <v>13.8313778557</v>
      </c>
      <c r="HT10">
        <v>-23.460410557199999</v>
      </c>
      <c r="HU10">
        <v>-160</v>
      </c>
      <c r="HV10">
        <v>435.58981491610001</v>
      </c>
      <c r="HW10">
        <v>91.495601172999997</v>
      </c>
      <c r="HX10">
        <v>624</v>
      </c>
      <c r="HY10">
        <v>13.8313778557</v>
      </c>
      <c r="HZ10">
        <v>-23.460410557199999</v>
      </c>
      <c r="IA10">
        <v>-160</v>
      </c>
      <c r="IB10">
        <v>435.58981491610001</v>
      </c>
      <c r="IC10">
        <v>91.495601172999997</v>
      </c>
      <c r="ID10">
        <v>624</v>
      </c>
      <c r="IE10">
        <v>26.510185084500002</v>
      </c>
      <c r="IF10">
        <v>0.2004870661</v>
      </c>
      <c r="IG10">
        <v>-32.844574780099997</v>
      </c>
      <c r="IH10">
        <v>-224</v>
      </c>
      <c r="II10">
        <v>461.34804632549998</v>
      </c>
      <c r="IJ10">
        <v>100.87976539589999</v>
      </c>
      <c r="IK10">
        <v>688</v>
      </c>
      <c r="IL10">
        <v>421.7584370605</v>
      </c>
      <c r="IM10">
        <v>114.9560117302</v>
      </c>
      <c r="IN10">
        <v>448.6637298407</v>
      </c>
      <c r="IO10">
        <v>124.3401759531</v>
      </c>
      <c r="IP10">
        <v>7.6000000007999997</v>
      </c>
      <c r="IQ10">
        <v>8.0999999990999996</v>
      </c>
      <c r="IR10">
        <v>9.9000000009000004</v>
      </c>
      <c r="IS10">
        <v>3.4522001119999999</v>
      </c>
      <c r="IT10">
        <v>3.4522001119999999</v>
      </c>
      <c r="IU10">
        <v>8.7000000002999993</v>
      </c>
      <c r="IV10">
        <v>-25.806451612899998</v>
      </c>
      <c r="IW10">
        <v>11.200000000799999</v>
      </c>
      <c r="IX10">
        <v>72.727272727300004</v>
      </c>
      <c r="IY10">
        <v>10.0999999995</v>
      </c>
      <c r="IZ10">
        <v>96.187683284499997</v>
      </c>
      <c r="JA10">
        <v>-27.169526700900001</v>
      </c>
      <c r="JB10">
        <v>0.29289440280000001</v>
      </c>
      <c r="JC10">
        <v>-2.0757349999999999E-4</v>
      </c>
      <c r="JD10">
        <v>3.6839999999999999E-7</v>
      </c>
      <c r="JE10">
        <v>0.26609386769999999</v>
      </c>
      <c r="JF10">
        <v>0.34712335049999998</v>
      </c>
      <c r="JG10">
        <v>0.13507506499999999</v>
      </c>
      <c r="JH10">
        <v>98.600848490700002</v>
      </c>
      <c r="JI10">
        <v>3.8118484047000001</v>
      </c>
      <c r="JJ10">
        <v>4.6736362000000002E-3</v>
      </c>
      <c r="JK10">
        <v>-6.7179699999999996E-5</v>
      </c>
      <c r="JL10">
        <v>3.7580723250000001</v>
      </c>
      <c r="JM10">
        <v>1.2476368886</v>
      </c>
      <c r="JN10">
        <v>0.46057442939999998</v>
      </c>
      <c r="JO10">
        <v>3.2395000003000001</v>
      </c>
      <c r="JP10">
        <v>3.4526249995999998</v>
      </c>
      <c r="JQ10">
        <v>4.2198750004000001</v>
      </c>
      <c r="JR10" s="17" t="s">
        <v>551</v>
      </c>
      <c r="JU10" s="17">
        <v>1</v>
      </c>
    </row>
    <row r="11" spans="1:281">
      <c r="A11" t="s">
        <v>673</v>
      </c>
      <c r="B11" t="s">
        <v>674</v>
      </c>
      <c r="C11" t="s">
        <v>675</v>
      </c>
      <c r="D11" t="s">
        <v>212</v>
      </c>
      <c r="E11">
        <v>3</v>
      </c>
      <c r="F11" t="s">
        <v>213</v>
      </c>
      <c r="G11" t="s">
        <v>214</v>
      </c>
      <c r="H11" t="s">
        <v>550</v>
      </c>
      <c r="I11" t="s">
        <v>216</v>
      </c>
      <c r="K11" t="s">
        <v>664</v>
      </c>
      <c r="L11" t="s">
        <v>665</v>
      </c>
      <c r="M11" t="s">
        <v>666</v>
      </c>
      <c r="N11" t="s">
        <v>667</v>
      </c>
      <c r="O11" t="s">
        <v>668</v>
      </c>
      <c r="P11">
        <v>0</v>
      </c>
      <c r="Q11">
        <v>0</v>
      </c>
      <c r="R11">
        <v>0</v>
      </c>
      <c r="S11">
        <v>0.40000000079999998</v>
      </c>
      <c r="T11">
        <v>0.40000000079999998</v>
      </c>
      <c r="U11">
        <v>0.40000000079999998</v>
      </c>
      <c r="V11">
        <v>0.29999999970000002</v>
      </c>
      <c r="W11">
        <v>0.50000000010000001</v>
      </c>
      <c r="X11">
        <v>0.40000000079999998</v>
      </c>
      <c r="Y11">
        <v>0.50000000010000001</v>
      </c>
      <c r="Z11">
        <v>0.59999999940000004</v>
      </c>
      <c r="AA11">
        <v>0.50000000010000001</v>
      </c>
      <c r="AB11">
        <v>0.50000000010000001</v>
      </c>
      <c r="AC11">
        <v>0.59999999940000004</v>
      </c>
      <c r="AD11">
        <v>0.59999999940000004</v>
      </c>
      <c r="AE11">
        <v>0.7000000005</v>
      </c>
      <c r="AF11">
        <v>0.79999999980000003</v>
      </c>
      <c r="AG11">
        <v>0.79999999980000003</v>
      </c>
      <c r="AH11">
        <v>0.79999999980000003</v>
      </c>
      <c r="AI11">
        <v>0.79999999980000003</v>
      </c>
      <c r="AJ11">
        <v>1.0000000002</v>
      </c>
      <c r="AK11">
        <v>4.1000000000999997</v>
      </c>
      <c r="AL11">
        <v>11.0000000004</v>
      </c>
      <c r="AM11">
        <v>18</v>
      </c>
      <c r="AN11">
        <v>25.2</v>
      </c>
      <c r="AO11">
        <v>33.199999999900001</v>
      </c>
      <c r="AP11">
        <v>40.999999999300002</v>
      </c>
      <c r="AQ11">
        <v>48.699999999399999</v>
      </c>
      <c r="AR11">
        <v>56.399999999499997</v>
      </c>
      <c r="AS11">
        <v>64.899999999399995</v>
      </c>
      <c r="AT11">
        <v>73.500000000399993</v>
      </c>
      <c r="AU11">
        <v>81.500000000200004</v>
      </c>
      <c r="AV11">
        <v>90.299999999799994</v>
      </c>
      <c r="AW11">
        <v>98.700000000499998</v>
      </c>
      <c r="AX11">
        <v>107.29999999970001</v>
      </c>
      <c r="AY11">
        <v>116.5999999994</v>
      </c>
      <c r="AZ11">
        <v>125.5999999994</v>
      </c>
      <c r="BA11">
        <v>134.0999999993</v>
      </c>
      <c r="BB11">
        <v>142.9000000007</v>
      </c>
      <c r="BC11">
        <v>151.7999999996</v>
      </c>
      <c r="BD11">
        <v>159.7999999994</v>
      </c>
      <c r="BE11">
        <v>168.70000000019999</v>
      </c>
      <c r="BF11">
        <v>177.79999999949999</v>
      </c>
      <c r="BG11">
        <v>186.2999999994</v>
      </c>
      <c r="BH11">
        <v>195.2000000001</v>
      </c>
      <c r="BI11">
        <v>203.79999999930001</v>
      </c>
      <c r="BJ11">
        <v>212.1999999999</v>
      </c>
      <c r="BK11">
        <v>220.79999999910001</v>
      </c>
      <c r="BL11">
        <v>229.6999999999</v>
      </c>
      <c r="BM11">
        <v>238.29999999910001</v>
      </c>
      <c r="BN11">
        <v>246.90000000009999</v>
      </c>
      <c r="BO11">
        <v>255.4</v>
      </c>
      <c r="BP11">
        <v>263.80000000059999</v>
      </c>
      <c r="BQ11">
        <v>271.89999999970001</v>
      </c>
      <c r="BR11">
        <v>280.09999999989998</v>
      </c>
      <c r="BS11">
        <v>288.69999999919997</v>
      </c>
      <c r="BT11">
        <v>297.00000000049999</v>
      </c>
      <c r="BU11">
        <v>305.39999999930001</v>
      </c>
      <c r="BV11">
        <v>313.00000000009999</v>
      </c>
      <c r="BW11">
        <v>320.70000000020002</v>
      </c>
      <c r="BX11">
        <v>328.60000000069999</v>
      </c>
      <c r="BY11">
        <v>336.79999999910001</v>
      </c>
      <c r="BZ11">
        <v>344.4</v>
      </c>
      <c r="CA11">
        <v>352.19999999940001</v>
      </c>
      <c r="CB11">
        <v>359.50000000049999</v>
      </c>
      <c r="CC11">
        <v>366.89999999909998</v>
      </c>
      <c r="CD11">
        <v>373.70000000009998</v>
      </c>
      <c r="CE11">
        <v>380.99999999940002</v>
      </c>
      <c r="CF11">
        <v>388.3999999998</v>
      </c>
      <c r="CG11">
        <v>395.89999999949998</v>
      </c>
      <c r="CH11">
        <v>402.50000000009999</v>
      </c>
      <c r="CI11">
        <v>409.59999999899998</v>
      </c>
      <c r="CJ11">
        <v>416.30000000080003</v>
      </c>
      <c r="CK11">
        <v>422.80000000029997</v>
      </c>
      <c r="CL11">
        <v>429.29999999979998</v>
      </c>
      <c r="CM11">
        <v>435.79999999929998</v>
      </c>
      <c r="CN11">
        <v>442.30000000059999</v>
      </c>
      <c r="CO11">
        <v>447.29999999979998</v>
      </c>
      <c r="CP11">
        <v>452.30000000080003</v>
      </c>
      <c r="CQ11">
        <v>452.49999999940002</v>
      </c>
      <c r="CR11">
        <v>452.40000000010002</v>
      </c>
      <c r="CS11">
        <v>452.40000000010002</v>
      </c>
      <c r="CT11">
        <v>452.69999999980001</v>
      </c>
      <c r="CU11">
        <v>452.40000000010002</v>
      </c>
      <c r="CV11">
        <v>452.69999999980001</v>
      </c>
      <c r="CW11">
        <v>452.69999999980001</v>
      </c>
      <c r="CX11">
        <v>452.60000000050002</v>
      </c>
      <c r="CY11">
        <v>452.79999999910001</v>
      </c>
      <c r="CZ11">
        <v>452.60000000050002</v>
      </c>
      <c r="DA11">
        <v>452.30000000080003</v>
      </c>
      <c r="DB11">
        <v>452.40000000010002</v>
      </c>
      <c r="DC11">
        <v>452.49999999940002</v>
      </c>
      <c r="DD11">
        <v>452.79999999910001</v>
      </c>
      <c r="DE11">
        <v>452.69999999980001</v>
      </c>
      <c r="DF11">
        <v>452.69999999980001</v>
      </c>
      <c r="DG11">
        <v>452.69999999980001</v>
      </c>
      <c r="DH11">
        <v>0.7000000005</v>
      </c>
      <c r="DI11">
        <v>1.2000000006</v>
      </c>
      <c r="DJ11">
        <v>1.2999999999</v>
      </c>
      <c r="DK11">
        <v>1.2999999999</v>
      </c>
      <c r="DL11">
        <v>1.3999999992000001</v>
      </c>
      <c r="DM11">
        <v>1.3999999992000001</v>
      </c>
      <c r="DN11">
        <v>1.2999999999</v>
      </c>
      <c r="DO11">
        <v>1.3999999992000001</v>
      </c>
      <c r="DP11">
        <v>1.3999999992000001</v>
      </c>
      <c r="DQ11">
        <v>1.3999999992000001</v>
      </c>
      <c r="DR11">
        <v>1.5000000003</v>
      </c>
      <c r="DS11">
        <v>1.5000000003</v>
      </c>
      <c r="DT11">
        <v>1.5999999996000001</v>
      </c>
      <c r="DU11">
        <v>1.7000000007</v>
      </c>
      <c r="DV11">
        <v>1.5999999996000001</v>
      </c>
      <c r="DW11">
        <v>1.7000000007</v>
      </c>
      <c r="DX11">
        <v>1.8</v>
      </c>
      <c r="DY11">
        <v>1.8999999993000001</v>
      </c>
      <c r="DZ11">
        <v>5.1000000002999997</v>
      </c>
      <c r="EA11">
        <v>12.300000000300001</v>
      </c>
      <c r="EB11">
        <v>19.700000000700001</v>
      </c>
      <c r="EC11">
        <v>26.799999999600001</v>
      </c>
      <c r="ED11">
        <v>34.599999998999998</v>
      </c>
      <c r="EE11">
        <v>42.199999999900001</v>
      </c>
      <c r="EF11">
        <v>49.699999999600003</v>
      </c>
      <c r="EG11">
        <v>57.300000000399997</v>
      </c>
      <c r="EH11">
        <v>65.800000000300003</v>
      </c>
      <c r="EI11">
        <v>73.899999999399995</v>
      </c>
      <c r="EJ11">
        <v>82.200000000700001</v>
      </c>
      <c r="EK11">
        <v>90.799999999899995</v>
      </c>
      <c r="EL11">
        <v>98.799999999799994</v>
      </c>
      <c r="EM11">
        <v>107</v>
      </c>
      <c r="EN11">
        <v>116.29999999970001</v>
      </c>
      <c r="EO11">
        <v>125.5999999994</v>
      </c>
      <c r="EP11">
        <v>134</v>
      </c>
      <c r="EQ11">
        <v>143.0999999993</v>
      </c>
      <c r="ER11">
        <v>151.40000000059999</v>
      </c>
      <c r="ES11">
        <v>159.7999999994</v>
      </c>
      <c r="ET11">
        <v>168.79999999949999</v>
      </c>
      <c r="EU11">
        <v>177.99999999990001</v>
      </c>
      <c r="EV11">
        <v>186.4999999998</v>
      </c>
      <c r="EW11">
        <v>195.4999999998</v>
      </c>
      <c r="EX11">
        <v>204.2999999994</v>
      </c>
      <c r="EY11">
        <v>212.90000000040001</v>
      </c>
      <c r="EZ11">
        <v>221.49999999970001</v>
      </c>
      <c r="FA11">
        <v>230.7999999994</v>
      </c>
      <c r="FB11">
        <v>239.29999999930001</v>
      </c>
      <c r="FC11">
        <v>248.29999999930001</v>
      </c>
      <c r="FD11">
        <v>256.7999999992</v>
      </c>
      <c r="FE11">
        <v>265.29999999910001</v>
      </c>
      <c r="FF11">
        <v>273.69999999970003</v>
      </c>
      <c r="FG11">
        <v>282.60000000050002</v>
      </c>
      <c r="FH11">
        <v>291.19999999970003</v>
      </c>
      <c r="FI11">
        <v>299.69999999959998</v>
      </c>
      <c r="FJ11">
        <v>308.1000000002</v>
      </c>
      <c r="FK11">
        <v>316.39999999970001</v>
      </c>
      <c r="FL11">
        <v>324.00000000049999</v>
      </c>
      <c r="FM11">
        <v>332.5999999997</v>
      </c>
      <c r="FN11">
        <v>340.89999999920002</v>
      </c>
      <c r="FO11">
        <v>348.89999999899999</v>
      </c>
      <c r="FP11">
        <v>356.7999999996</v>
      </c>
      <c r="FQ11">
        <v>364.29999999929998</v>
      </c>
      <c r="FR11">
        <v>371.80000000080003</v>
      </c>
      <c r="FS11">
        <v>379.00000000080001</v>
      </c>
      <c r="FT11">
        <v>386.89999999949998</v>
      </c>
      <c r="FU11">
        <v>394.39999999920002</v>
      </c>
      <c r="FV11">
        <v>401.70000000030001</v>
      </c>
      <c r="FW11">
        <v>408.60000000069999</v>
      </c>
      <c r="FX11">
        <v>415.30000000059999</v>
      </c>
      <c r="FY11">
        <v>421.7000000008</v>
      </c>
      <c r="FZ11">
        <v>428.09999999920001</v>
      </c>
      <c r="GA11">
        <v>434.10000000039997</v>
      </c>
      <c r="GB11">
        <v>440.50000000059998</v>
      </c>
      <c r="GC11">
        <v>444.90000000039998</v>
      </c>
      <c r="GD11">
        <v>449.19999999909999</v>
      </c>
      <c r="GE11">
        <v>452.40000000010002</v>
      </c>
      <c r="GF11">
        <v>452.40000000010002</v>
      </c>
      <c r="GG11">
        <v>452.40000000010002</v>
      </c>
      <c r="GH11">
        <v>452.49999999940002</v>
      </c>
      <c r="GI11">
        <v>452.49999999940002</v>
      </c>
      <c r="GJ11">
        <v>452.60000000050002</v>
      </c>
      <c r="GK11">
        <v>452.49999999940002</v>
      </c>
      <c r="GL11">
        <v>452.49999999940002</v>
      </c>
      <c r="GM11">
        <v>452.49999999940002</v>
      </c>
      <c r="GN11">
        <v>452.60000000050002</v>
      </c>
      <c r="GO11">
        <v>452.60000000050002</v>
      </c>
      <c r="GP11">
        <v>452.60000000050002</v>
      </c>
      <c r="GQ11">
        <v>452.60000000050002</v>
      </c>
      <c r="GR11">
        <v>452.49999999940002</v>
      </c>
      <c r="GS11">
        <v>452.60000000050002</v>
      </c>
      <c r="GT11">
        <v>452.60000000050002</v>
      </c>
      <c r="GU11">
        <v>452.69999999980001</v>
      </c>
      <c r="GV11">
        <v>452.60000000050002</v>
      </c>
      <c r="GW11">
        <v>452.69999999980001</v>
      </c>
      <c r="GX11">
        <v>1</v>
      </c>
      <c r="GY11">
        <v>110.3000000003</v>
      </c>
      <c r="GZ11">
        <v>107.29999999970001</v>
      </c>
      <c r="HA11">
        <v>107.29999999970001</v>
      </c>
      <c r="HB11">
        <v>116.29999999970001</v>
      </c>
      <c r="HC11">
        <v>109.5226640156</v>
      </c>
      <c r="HD11">
        <v>-9</v>
      </c>
      <c r="HE11">
        <v>452.69999999980001</v>
      </c>
      <c r="HF11">
        <v>311.18704440120001</v>
      </c>
      <c r="HG11">
        <v>91.087232162199996</v>
      </c>
      <c r="HH11">
        <v>452.79999999910001</v>
      </c>
      <c r="HI11">
        <v>452.69999999980001</v>
      </c>
      <c r="HJ11">
        <v>452.79999999910001</v>
      </c>
      <c r="HK11">
        <v>452.69999999980001</v>
      </c>
      <c r="HL11">
        <v>100.87976539589999</v>
      </c>
      <c r="HM11">
        <v>3.6628294342999999</v>
      </c>
      <c r="HN11">
        <v>3.5360735633</v>
      </c>
      <c r="HO11">
        <v>3.5978693037</v>
      </c>
      <c r="HP11">
        <v>3.3761614408999998</v>
      </c>
      <c r="HQ11">
        <v>3.7325980744999998</v>
      </c>
      <c r="HR11">
        <v>2.9126051164</v>
      </c>
      <c r="HS11">
        <v>18.435431853299999</v>
      </c>
      <c r="HT11">
        <v>-25.806451612899998</v>
      </c>
      <c r="HU11">
        <v>-176</v>
      </c>
      <c r="HV11">
        <v>420.70970841680003</v>
      </c>
      <c r="HW11">
        <v>86.803519061599999</v>
      </c>
      <c r="HX11">
        <v>592</v>
      </c>
      <c r="HY11">
        <v>18.435431853299999</v>
      </c>
      <c r="HZ11">
        <v>-25.806451612899998</v>
      </c>
      <c r="IA11">
        <v>-176</v>
      </c>
      <c r="IB11">
        <v>420.70970841680003</v>
      </c>
      <c r="IC11">
        <v>86.803519061599999</v>
      </c>
      <c r="ID11">
        <v>592</v>
      </c>
      <c r="IE11">
        <v>31.990291583000001</v>
      </c>
      <c r="IF11">
        <v>0.80328031789999998</v>
      </c>
      <c r="IG11">
        <v>-35.190615835800003</v>
      </c>
      <c r="IH11">
        <v>-240</v>
      </c>
      <c r="II11">
        <v>444.65174508540002</v>
      </c>
      <c r="IJ11">
        <v>96.187683284499997</v>
      </c>
      <c r="IK11">
        <v>656</v>
      </c>
      <c r="IL11">
        <v>402.2742765635</v>
      </c>
      <c r="IM11">
        <v>112.6099706745</v>
      </c>
      <c r="IN11">
        <v>429.24615639529998</v>
      </c>
      <c r="IO11">
        <v>121.9941348974</v>
      </c>
      <c r="IP11">
        <v>7.4000000004000004</v>
      </c>
      <c r="IQ11">
        <v>6.5000000013000001</v>
      </c>
      <c r="IR11">
        <v>9.2999999997000007</v>
      </c>
      <c r="IS11">
        <v>3.0182855649000002</v>
      </c>
      <c r="IT11">
        <v>3.0182855649000002</v>
      </c>
      <c r="IU11">
        <v>8.7000000002999993</v>
      </c>
      <c r="IV11">
        <v>-28.152492668600001</v>
      </c>
      <c r="IW11">
        <v>13.3999999998</v>
      </c>
      <c r="IX11">
        <v>77.419354838700002</v>
      </c>
      <c r="IY11">
        <v>11.200000000799999</v>
      </c>
      <c r="IZ11">
        <v>93.841642228699996</v>
      </c>
      <c r="JA11">
        <v>-31.132336138399999</v>
      </c>
      <c r="JB11">
        <v>0.3043612886</v>
      </c>
      <c r="JC11">
        <v>-2.3408890000000001E-4</v>
      </c>
      <c r="JD11">
        <v>4.1759999999999998E-7</v>
      </c>
      <c r="JE11">
        <v>0.27301298569999999</v>
      </c>
      <c r="JF11">
        <v>0.2256991186</v>
      </c>
      <c r="JG11">
        <v>9.8065577299999998E-2</v>
      </c>
      <c r="JH11">
        <v>109.9050758546</v>
      </c>
      <c r="JI11">
        <v>3.7325980744999998</v>
      </c>
      <c r="JJ11">
        <v>4.2409279000000001E-3</v>
      </c>
      <c r="JK11">
        <v>-6.8846700000000006E-5</v>
      </c>
      <c r="JL11">
        <v>3.6628294342999999</v>
      </c>
      <c r="JM11">
        <v>0.84789827240000004</v>
      </c>
      <c r="JN11">
        <v>0.32468992899999999</v>
      </c>
      <c r="JO11">
        <v>3.1542500001999998</v>
      </c>
      <c r="JP11">
        <v>2.7706250005999999</v>
      </c>
      <c r="JQ11">
        <v>3.9641249999000001</v>
      </c>
      <c r="JR11" s="17" t="s">
        <v>551</v>
      </c>
      <c r="JU11" s="17">
        <v>1</v>
      </c>
    </row>
    <row r="12" spans="1:281">
      <c r="A12" t="s">
        <v>692</v>
      </c>
      <c r="B12" t="s">
        <v>693</v>
      </c>
      <c r="C12" t="s">
        <v>694</v>
      </c>
      <c r="D12" t="s">
        <v>212</v>
      </c>
      <c r="E12">
        <v>3</v>
      </c>
      <c r="F12" t="s">
        <v>213</v>
      </c>
      <c r="G12" t="s">
        <v>214</v>
      </c>
      <c r="H12" t="s">
        <v>550</v>
      </c>
      <c r="I12" t="s">
        <v>216</v>
      </c>
      <c r="K12" t="s">
        <v>679</v>
      </c>
      <c r="L12" t="s">
        <v>680</v>
      </c>
      <c r="M12" t="s">
        <v>681</v>
      </c>
      <c r="N12" t="s">
        <v>682</v>
      </c>
      <c r="O12" t="s">
        <v>683</v>
      </c>
      <c r="P12">
        <v>0</v>
      </c>
      <c r="Q12">
        <v>0</v>
      </c>
      <c r="R12">
        <v>0</v>
      </c>
      <c r="S12">
        <v>0.89999999909999995</v>
      </c>
      <c r="T12">
        <v>0.89999999909999995</v>
      </c>
      <c r="U12">
        <v>1.0999999995</v>
      </c>
      <c r="V12">
        <v>1.0999999995</v>
      </c>
      <c r="W12">
        <v>1.0999999995</v>
      </c>
      <c r="X12">
        <v>1.0999999995</v>
      </c>
      <c r="Y12">
        <v>0.99999999839999998</v>
      </c>
      <c r="Z12">
        <v>0.79999999980000003</v>
      </c>
      <c r="AA12">
        <v>0.89999999909999995</v>
      </c>
      <c r="AB12">
        <v>0.79999999980000003</v>
      </c>
      <c r="AC12">
        <v>1.0999999995</v>
      </c>
      <c r="AD12">
        <v>1.0999999995</v>
      </c>
      <c r="AE12">
        <v>1.0999999995</v>
      </c>
      <c r="AF12">
        <v>0.99999999839999998</v>
      </c>
      <c r="AG12">
        <v>0.79999999980000003</v>
      </c>
      <c r="AH12">
        <v>0.89999999909999995</v>
      </c>
      <c r="AI12">
        <v>0.89999999909999995</v>
      </c>
      <c r="AJ12">
        <v>0.99999999839999998</v>
      </c>
      <c r="AK12">
        <v>1.1999999988000001</v>
      </c>
      <c r="AL12">
        <v>3.6999999993000001</v>
      </c>
      <c r="AM12">
        <v>7.0999999989000004</v>
      </c>
      <c r="AN12">
        <v>14.299999998900001</v>
      </c>
      <c r="AO12">
        <v>22.199999999399999</v>
      </c>
      <c r="AP12">
        <v>29.799999998400001</v>
      </c>
      <c r="AQ12">
        <v>38.299999998300002</v>
      </c>
      <c r="AR12">
        <v>46.499999998600003</v>
      </c>
      <c r="AS12">
        <v>53.599999999300003</v>
      </c>
      <c r="AT12">
        <v>62.099999999200001</v>
      </c>
      <c r="AU12">
        <v>71.3999999989</v>
      </c>
      <c r="AV12">
        <v>79.699999998400003</v>
      </c>
      <c r="AW12">
        <v>88.799999999500002</v>
      </c>
      <c r="AX12">
        <v>97.499999999899998</v>
      </c>
      <c r="AY12">
        <v>105.7000000001</v>
      </c>
      <c r="AZ12">
        <v>114.2999999993</v>
      </c>
      <c r="BA12">
        <v>124.2999999995</v>
      </c>
      <c r="BB12">
        <v>132.8999999987</v>
      </c>
      <c r="BC12">
        <v>141.7999999994</v>
      </c>
      <c r="BD12">
        <v>150.6999999983</v>
      </c>
      <c r="BE12">
        <v>159.2000000001</v>
      </c>
      <c r="BF12">
        <v>167.89999999860001</v>
      </c>
      <c r="BG12">
        <v>177.099999999</v>
      </c>
      <c r="BH12">
        <v>185.89999999860001</v>
      </c>
      <c r="BI12">
        <v>195.099999999</v>
      </c>
      <c r="BJ12">
        <v>203.99999999970001</v>
      </c>
      <c r="BK12">
        <v>212.89999999860001</v>
      </c>
      <c r="BL12">
        <v>221.49999999970001</v>
      </c>
      <c r="BM12">
        <v>230.39999999860001</v>
      </c>
      <c r="BN12">
        <v>239.2</v>
      </c>
      <c r="BO12">
        <v>247.6999999999</v>
      </c>
      <c r="BP12">
        <v>256.6999999999</v>
      </c>
      <c r="BQ12">
        <v>265.29999999910001</v>
      </c>
      <c r="BR12">
        <v>273.59999999860003</v>
      </c>
      <c r="BS12">
        <v>281.89999999999998</v>
      </c>
      <c r="BT12">
        <v>290.19999999949999</v>
      </c>
      <c r="BU12">
        <v>298.10000000000002</v>
      </c>
      <c r="BV12">
        <v>306.29999999839998</v>
      </c>
      <c r="BW12">
        <v>314.39999999930001</v>
      </c>
      <c r="BX12">
        <v>322.19999999869998</v>
      </c>
      <c r="BY12">
        <v>329.89999999880001</v>
      </c>
      <c r="BZ12">
        <v>337.49999999959999</v>
      </c>
      <c r="CA12">
        <v>344.99999999929997</v>
      </c>
      <c r="CB12">
        <v>352.4999999991</v>
      </c>
      <c r="CC12">
        <v>359.89999999949998</v>
      </c>
      <c r="CD12">
        <v>367.49999999850002</v>
      </c>
      <c r="CE12">
        <v>374.6999999985</v>
      </c>
      <c r="CF12">
        <v>381.89999999849999</v>
      </c>
      <c r="CG12">
        <v>389.19999999959998</v>
      </c>
      <c r="CH12">
        <v>396.09999999989998</v>
      </c>
      <c r="CI12">
        <v>402.99999999840003</v>
      </c>
      <c r="CJ12">
        <v>410.09999999910002</v>
      </c>
      <c r="CK12">
        <v>417.1999999999</v>
      </c>
      <c r="CL12">
        <v>423.8999999998</v>
      </c>
      <c r="CM12">
        <v>430.4999999986</v>
      </c>
      <c r="CN12">
        <v>437.2999999996</v>
      </c>
      <c r="CO12">
        <v>444.1999999999</v>
      </c>
      <c r="CP12">
        <v>450.59999999830001</v>
      </c>
      <c r="CQ12">
        <v>455.69999999859999</v>
      </c>
      <c r="CR12">
        <v>455.69999999859999</v>
      </c>
      <c r="CS12">
        <v>455.79999999969999</v>
      </c>
      <c r="CT12">
        <v>455.79999999969999</v>
      </c>
      <c r="CU12">
        <v>455.79999999969999</v>
      </c>
      <c r="CV12">
        <v>455.89999999899999</v>
      </c>
      <c r="CW12">
        <v>455.69999999859999</v>
      </c>
      <c r="CX12">
        <v>455.79999999969999</v>
      </c>
      <c r="CY12">
        <v>455.69999999859999</v>
      </c>
      <c r="CZ12">
        <v>455.5999999993</v>
      </c>
      <c r="DA12">
        <v>455.69999999859999</v>
      </c>
      <c r="DB12">
        <v>455.5999999993</v>
      </c>
      <c r="DC12">
        <v>455.5999999993</v>
      </c>
      <c r="DD12">
        <v>455.5999999993</v>
      </c>
      <c r="DE12">
        <v>455.5</v>
      </c>
      <c r="DF12">
        <v>455.5999999993</v>
      </c>
      <c r="DG12">
        <v>455.5</v>
      </c>
      <c r="DH12">
        <v>0.50000000010000001</v>
      </c>
      <c r="DI12">
        <v>1.9999999986000001</v>
      </c>
      <c r="DJ12">
        <v>1.9999999986000001</v>
      </c>
      <c r="DK12">
        <v>2.0999999997000001</v>
      </c>
      <c r="DL12">
        <v>1.9999999986000001</v>
      </c>
      <c r="DM12">
        <v>1.6999999989000001</v>
      </c>
      <c r="DN12">
        <v>1.8999999993000001</v>
      </c>
      <c r="DO12">
        <v>2.0999999997000001</v>
      </c>
      <c r="DP12">
        <v>2.0999999997000001</v>
      </c>
      <c r="DQ12">
        <v>1.8999999993000001</v>
      </c>
      <c r="DR12">
        <v>1.9999999986000001</v>
      </c>
      <c r="DS12">
        <v>1.6999999989000001</v>
      </c>
      <c r="DT12">
        <v>1.9999999986000001</v>
      </c>
      <c r="DU12">
        <v>1.6999999989000001</v>
      </c>
      <c r="DV12">
        <v>2.0999999997000001</v>
      </c>
      <c r="DW12">
        <v>2.0999999997000001</v>
      </c>
      <c r="DX12">
        <v>1.8999999993000001</v>
      </c>
      <c r="DY12">
        <v>1.8999999993000001</v>
      </c>
      <c r="DZ12">
        <v>1.8999999993000001</v>
      </c>
      <c r="EA12">
        <v>5.4999999992999999</v>
      </c>
      <c r="EB12">
        <v>10.299999999900001</v>
      </c>
      <c r="EC12">
        <v>17.499999999900002</v>
      </c>
      <c r="ED12">
        <v>24.8999999985</v>
      </c>
      <c r="EE12">
        <v>32.699999999699997</v>
      </c>
      <c r="EF12">
        <v>40.699999999600003</v>
      </c>
      <c r="EG12">
        <v>47.999999998900002</v>
      </c>
      <c r="EH12">
        <v>56.299999998399997</v>
      </c>
      <c r="EI12">
        <v>64.799999998299995</v>
      </c>
      <c r="EJ12">
        <v>73.3</v>
      </c>
      <c r="EK12">
        <v>81.399999999100004</v>
      </c>
      <c r="EL12">
        <v>90.099999999399998</v>
      </c>
      <c r="EM12">
        <v>98.299999999700006</v>
      </c>
      <c r="EN12">
        <v>107.29999999970001</v>
      </c>
      <c r="EO12">
        <v>116.5999999994</v>
      </c>
      <c r="EP12">
        <v>125.399999999</v>
      </c>
      <c r="EQ12">
        <v>134.19999999859999</v>
      </c>
      <c r="ER12">
        <v>143.0999999993</v>
      </c>
      <c r="ES12">
        <v>151.49999999990001</v>
      </c>
      <c r="ET12">
        <v>160.59999999920001</v>
      </c>
      <c r="EU12">
        <v>169.89999999899999</v>
      </c>
      <c r="EV12">
        <v>179.00000000009999</v>
      </c>
      <c r="EW12">
        <v>187.79999999969999</v>
      </c>
      <c r="EX12">
        <v>197.09999999940001</v>
      </c>
      <c r="EY12">
        <v>206.19999999870001</v>
      </c>
      <c r="EZ12">
        <v>215.29999999980001</v>
      </c>
      <c r="FA12">
        <v>224.2999999999</v>
      </c>
      <c r="FB12">
        <v>233.2999999999</v>
      </c>
      <c r="FC12">
        <v>242.1999999988</v>
      </c>
      <c r="FD12">
        <v>251.1999999988</v>
      </c>
      <c r="FE12">
        <v>260.29999999990002</v>
      </c>
      <c r="FF12">
        <v>268.99999999840003</v>
      </c>
      <c r="FG12">
        <v>277.69999999869998</v>
      </c>
      <c r="FH12">
        <v>286.59999999950003</v>
      </c>
      <c r="FI12">
        <v>295.09999999939998</v>
      </c>
      <c r="FJ12">
        <v>304.29999999979998</v>
      </c>
      <c r="FK12">
        <v>312.69999999859999</v>
      </c>
      <c r="FL12">
        <v>321.09999999920001</v>
      </c>
      <c r="FM12">
        <v>329.29999999939997</v>
      </c>
      <c r="FN12">
        <v>337.89999999859998</v>
      </c>
      <c r="FO12">
        <v>345.99999999950001</v>
      </c>
      <c r="FP12">
        <v>354.19999999980001</v>
      </c>
      <c r="FQ12">
        <v>362.29999999889998</v>
      </c>
      <c r="FR12">
        <v>370.19999999940001</v>
      </c>
      <c r="FS12">
        <v>377.89999999949998</v>
      </c>
      <c r="FT12">
        <v>385.29999999990002</v>
      </c>
      <c r="FU12">
        <v>392.6999999985</v>
      </c>
      <c r="FV12">
        <v>400.09999999889999</v>
      </c>
      <c r="FW12">
        <v>407.29999999889998</v>
      </c>
      <c r="FX12">
        <v>414.19999999930002</v>
      </c>
      <c r="FY12">
        <v>420.89999999920002</v>
      </c>
      <c r="FZ12">
        <v>427.09999999899998</v>
      </c>
      <c r="GA12">
        <v>433.39999999989999</v>
      </c>
      <c r="GB12">
        <v>439.3</v>
      </c>
      <c r="GC12">
        <v>444.79999999929998</v>
      </c>
      <c r="GD12">
        <v>450.39999999970001</v>
      </c>
      <c r="GE12">
        <v>455.1999999985</v>
      </c>
      <c r="GF12">
        <v>455.5</v>
      </c>
      <c r="GG12">
        <v>455.69999999859999</v>
      </c>
      <c r="GH12">
        <v>455.5999999993</v>
      </c>
      <c r="GI12">
        <v>455.5999999993</v>
      </c>
      <c r="GJ12">
        <v>455.69999999859999</v>
      </c>
      <c r="GK12">
        <v>455.5999999993</v>
      </c>
      <c r="GL12">
        <v>455.69999999859999</v>
      </c>
      <c r="GM12">
        <v>455.5999999993</v>
      </c>
      <c r="GN12">
        <v>455.5999999993</v>
      </c>
      <c r="GO12">
        <v>455.5999999993</v>
      </c>
      <c r="GP12">
        <v>455.3999999989</v>
      </c>
      <c r="GQ12">
        <v>455.5</v>
      </c>
      <c r="GR12">
        <v>455.3999999989</v>
      </c>
      <c r="GS12">
        <v>455.5</v>
      </c>
      <c r="GT12">
        <v>455.3999999989</v>
      </c>
      <c r="GU12">
        <v>455.5</v>
      </c>
      <c r="GV12">
        <v>455.5999999993</v>
      </c>
      <c r="GW12">
        <v>455.5</v>
      </c>
      <c r="GX12">
        <v>1</v>
      </c>
      <c r="GY12">
        <v>99.599999999600001</v>
      </c>
      <c r="GZ12">
        <v>97.499999999899998</v>
      </c>
      <c r="HA12">
        <v>97.499999999899998</v>
      </c>
      <c r="HB12">
        <v>107.29999999970001</v>
      </c>
      <c r="HC12">
        <v>99.701667397799994</v>
      </c>
      <c r="HD12">
        <v>-9.7999999998000007</v>
      </c>
      <c r="HE12">
        <v>455.5</v>
      </c>
      <c r="HF12">
        <v>326.01088196500001</v>
      </c>
      <c r="HG12">
        <v>84.945853445400004</v>
      </c>
      <c r="HH12">
        <v>455.89999999899999</v>
      </c>
      <c r="HI12">
        <v>455.70001096829998</v>
      </c>
      <c r="HJ12">
        <v>455.89999999899999</v>
      </c>
      <c r="HK12">
        <v>455.69999999859999</v>
      </c>
      <c r="HL12">
        <v>100.87976539589999</v>
      </c>
      <c r="HM12">
        <v>3.7467659320000002</v>
      </c>
      <c r="HN12">
        <v>3.5583427149000002</v>
      </c>
      <c r="HO12">
        <v>3.6760618727000001</v>
      </c>
      <c r="HP12">
        <v>3.419149762</v>
      </c>
      <c r="HQ12">
        <v>3.7980904254999999</v>
      </c>
      <c r="HR12">
        <v>2.9103589492999999</v>
      </c>
      <c r="HS12">
        <v>14.7558139524</v>
      </c>
      <c r="HT12">
        <v>-23.460410557199999</v>
      </c>
      <c r="HU12">
        <v>-160</v>
      </c>
      <c r="HV12">
        <v>425.71254936269997</v>
      </c>
      <c r="HW12">
        <v>89.149560117299998</v>
      </c>
      <c r="HX12">
        <v>608</v>
      </c>
      <c r="HY12">
        <v>14.7558139524</v>
      </c>
      <c r="HZ12">
        <v>-23.460410557199999</v>
      </c>
      <c r="IA12">
        <v>-160</v>
      </c>
      <c r="IB12">
        <v>425.71254936269997</v>
      </c>
      <c r="IC12">
        <v>89.149560117299998</v>
      </c>
      <c r="ID12">
        <v>608</v>
      </c>
      <c r="IE12">
        <v>29.9874616056</v>
      </c>
      <c r="IF12">
        <v>1.0028630962</v>
      </c>
      <c r="IG12">
        <v>-32.844574780099997</v>
      </c>
      <c r="IH12">
        <v>-224</v>
      </c>
      <c r="II12">
        <v>450.0565489247</v>
      </c>
      <c r="IJ12">
        <v>98.533724340199996</v>
      </c>
      <c r="IK12">
        <v>672</v>
      </c>
      <c r="IL12">
        <v>410.95673541039997</v>
      </c>
      <c r="IM12">
        <v>112.6099706745</v>
      </c>
      <c r="IN12">
        <v>434.6810004395</v>
      </c>
      <c r="IO12">
        <v>121.9941348974</v>
      </c>
      <c r="IP12">
        <v>7.9000000005000004</v>
      </c>
      <c r="IQ12">
        <v>6.9000000003000004</v>
      </c>
      <c r="IR12">
        <v>10.0000000002</v>
      </c>
      <c r="IS12">
        <v>3.1898858926</v>
      </c>
      <c r="IT12">
        <v>3.1898858926</v>
      </c>
      <c r="IU12">
        <v>10.5999999996</v>
      </c>
      <c r="IV12">
        <v>-23.460410557199999</v>
      </c>
      <c r="IW12">
        <v>18.200000000399999</v>
      </c>
      <c r="IX12">
        <v>79.765395894400001</v>
      </c>
      <c r="IY12">
        <v>13.1000000001</v>
      </c>
      <c r="IZ12">
        <v>98.533724340199996</v>
      </c>
      <c r="JA12">
        <v>-27.7774940818</v>
      </c>
      <c r="JB12">
        <v>0.29937137190000002</v>
      </c>
      <c r="JC12">
        <v>-2.4314120000000001E-4</v>
      </c>
      <c r="JD12">
        <v>4.3070000000000001E-7</v>
      </c>
      <c r="JE12">
        <v>0.26689684330000002</v>
      </c>
      <c r="JF12">
        <v>0.3135274616</v>
      </c>
      <c r="JG12">
        <v>9.0251563500000007E-2</v>
      </c>
      <c r="JH12">
        <v>99.585699318600007</v>
      </c>
      <c r="JI12">
        <v>3.7980904254999999</v>
      </c>
      <c r="JJ12">
        <v>5.3563684000000004E-3</v>
      </c>
      <c r="JK12">
        <v>-7.7287799999999995E-5</v>
      </c>
      <c r="JL12">
        <v>3.7467659320000002</v>
      </c>
      <c r="JM12">
        <v>0.84041621109999998</v>
      </c>
      <c r="JN12">
        <v>0.23597018249999999</v>
      </c>
      <c r="JO12">
        <v>3.3673750002</v>
      </c>
      <c r="JP12">
        <v>2.9411250001</v>
      </c>
      <c r="JQ12">
        <v>4.2625000001000002</v>
      </c>
      <c r="JR12" s="17" t="s">
        <v>551</v>
      </c>
      <c r="JU12" s="17">
        <v>1</v>
      </c>
    </row>
    <row r="13" spans="1:281">
      <c r="A13" t="s">
        <v>707</v>
      </c>
      <c r="B13" t="s">
        <v>708</v>
      </c>
      <c r="C13" t="s">
        <v>709</v>
      </c>
      <c r="D13" t="s">
        <v>212</v>
      </c>
      <c r="E13">
        <v>3</v>
      </c>
      <c r="F13" t="s">
        <v>213</v>
      </c>
      <c r="G13" t="s">
        <v>214</v>
      </c>
      <c r="H13" t="s">
        <v>550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0.40000000079999998</v>
      </c>
      <c r="T13">
        <v>0.29999999970000002</v>
      </c>
      <c r="U13">
        <v>0.50000000010000001</v>
      </c>
      <c r="V13">
        <v>0.50000000010000001</v>
      </c>
      <c r="W13">
        <v>0.40000000079999998</v>
      </c>
      <c r="X13">
        <v>0.40000000079999998</v>
      </c>
      <c r="Y13">
        <v>0.29999999970000002</v>
      </c>
      <c r="Z13">
        <v>0.59999999940000004</v>
      </c>
      <c r="AA13">
        <v>0.50000000010000001</v>
      </c>
      <c r="AB13">
        <v>0.59999999940000004</v>
      </c>
      <c r="AC13">
        <v>0.59999999940000004</v>
      </c>
      <c r="AD13">
        <v>0.59999999940000004</v>
      </c>
      <c r="AE13">
        <v>0.7000000005</v>
      </c>
      <c r="AF13">
        <v>0.59999999940000004</v>
      </c>
      <c r="AG13">
        <v>0.79999999980000003</v>
      </c>
      <c r="AH13">
        <v>0.79999999980000003</v>
      </c>
      <c r="AI13">
        <v>1.0000000002</v>
      </c>
      <c r="AJ13">
        <v>1.0000000002</v>
      </c>
      <c r="AK13">
        <v>1.400000001</v>
      </c>
      <c r="AL13">
        <v>4.5000000009000001</v>
      </c>
      <c r="AM13">
        <v>10.0999999995</v>
      </c>
      <c r="AN13">
        <v>17.299999999499999</v>
      </c>
      <c r="AO13">
        <v>24.699999999900001</v>
      </c>
      <c r="AP13">
        <v>32.300000000799997</v>
      </c>
      <c r="AQ13">
        <v>40.9</v>
      </c>
      <c r="AR13">
        <v>48.800000000499999</v>
      </c>
      <c r="AS13">
        <v>57.3999999997</v>
      </c>
      <c r="AT13">
        <v>66.200000001099994</v>
      </c>
      <c r="AU13">
        <v>74.399999999499997</v>
      </c>
      <c r="AV13">
        <v>82.599999999700003</v>
      </c>
      <c r="AW13">
        <v>92.099999999800005</v>
      </c>
      <c r="AX13">
        <v>101.20000000100001</v>
      </c>
      <c r="AY13">
        <v>110.6</v>
      </c>
      <c r="AZ13">
        <v>120.0000000008</v>
      </c>
      <c r="BA13">
        <v>128.80000000039999</v>
      </c>
      <c r="BB13">
        <v>137.3000000003</v>
      </c>
      <c r="BC13">
        <v>147.00000000079999</v>
      </c>
      <c r="BD13">
        <v>155.6</v>
      </c>
      <c r="BE13">
        <v>164.80000000050001</v>
      </c>
      <c r="BF13">
        <v>174.0000000009</v>
      </c>
      <c r="BG13">
        <v>183.1000000002</v>
      </c>
      <c r="BH13">
        <v>192.0000000009</v>
      </c>
      <c r="BI13">
        <v>200.8999999998</v>
      </c>
      <c r="BJ13">
        <v>209.60000000010001</v>
      </c>
      <c r="BK13">
        <v>218.6000000002</v>
      </c>
      <c r="BL13">
        <v>227.6000000002</v>
      </c>
      <c r="BM13">
        <v>236.5000000009</v>
      </c>
      <c r="BN13">
        <v>244.80000000039999</v>
      </c>
      <c r="BO13">
        <v>253.70000000109999</v>
      </c>
      <c r="BP13">
        <v>262.09999999989998</v>
      </c>
      <c r="BQ13">
        <v>270.89999999949998</v>
      </c>
      <c r="BR13">
        <v>279.89999999949998</v>
      </c>
      <c r="BS13">
        <v>288.30000000019999</v>
      </c>
      <c r="BT13">
        <v>296.5999999997</v>
      </c>
      <c r="BU13">
        <v>304.90000000100002</v>
      </c>
      <c r="BV13">
        <v>312.6000000011</v>
      </c>
      <c r="BW13">
        <v>321.20000000030001</v>
      </c>
      <c r="BX13">
        <v>329.29999999939997</v>
      </c>
      <c r="BY13">
        <v>337.4000000003</v>
      </c>
      <c r="BZ13">
        <v>345.00000000120002</v>
      </c>
      <c r="CA13">
        <v>352.89999999989999</v>
      </c>
      <c r="CB13">
        <v>360.30000000029997</v>
      </c>
      <c r="CC13">
        <v>367.59999999960002</v>
      </c>
      <c r="CD13">
        <v>375</v>
      </c>
      <c r="CE13">
        <v>382.60000000079998</v>
      </c>
      <c r="CF13">
        <v>389.99999999940002</v>
      </c>
      <c r="CG13">
        <v>397.3999999998</v>
      </c>
      <c r="CH13">
        <v>404.20000000089999</v>
      </c>
      <c r="CI13">
        <v>411.10000000119999</v>
      </c>
      <c r="CJ13">
        <v>417.60000000069999</v>
      </c>
      <c r="CK13">
        <v>425.00000000109998</v>
      </c>
      <c r="CL13">
        <v>431.80000000029997</v>
      </c>
      <c r="CM13">
        <v>437.6000000011</v>
      </c>
      <c r="CN13">
        <v>443.99999999950001</v>
      </c>
      <c r="CO13">
        <v>452.19999999970003</v>
      </c>
      <c r="CP13">
        <v>456.79999999990002</v>
      </c>
      <c r="CQ13">
        <v>456.79999999990002</v>
      </c>
      <c r="CR13">
        <v>456.90000000100002</v>
      </c>
      <c r="CS13">
        <v>456.79999999990002</v>
      </c>
      <c r="CT13">
        <v>456.90000000100002</v>
      </c>
      <c r="CU13">
        <v>456.70000000060003</v>
      </c>
      <c r="CV13">
        <v>456.79999999990002</v>
      </c>
      <c r="CW13">
        <v>456.59999999950003</v>
      </c>
      <c r="CX13">
        <v>456.59999999950003</v>
      </c>
      <c r="CY13">
        <v>456.59999999950003</v>
      </c>
      <c r="CZ13">
        <v>456.50000000019998</v>
      </c>
      <c r="DA13">
        <v>456.50000000019998</v>
      </c>
      <c r="DB13">
        <v>456.79999999990002</v>
      </c>
      <c r="DC13">
        <v>456.70000000060003</v>
      </c>
      <c r="DD13">
        <v>456.70000000060003</v>
      </c>
      <c r="DE13">
        <v>456.70000000060003</v>
      </c>
      <c r="DF13">
        <v>456.50000000019998</v>
      </c>
      <c r="DG13">
        <v>456.59999999950003</v>
      </c>
      <c r="DH13">
        <v>0.7000000005</v>
      </c>
      <c r="DI13">
        <v>1.2000000006</v>
      </c>
      <c r="DJ13">
        <v>1.2999999999</v>
      </c>
      <c r="DK13">
        <v>1.0999999995</v>
      </c>
      <c r="DL13">
        <v>1.2000000006</v>
      </c>
      <c r="DM13">
        <v>1.400000001</v>
      </c>
      <c r="DN13">
        <v>1.400000001</v>
      </c>
      <c r="DO13">
        <v>1.2999999999</v>
      </c>
      <c r="DP13">
        <v>1.5000000003</v>
      </c>
      <c r="DQ13">
        <v>1.5000000003</v>
      </c>
      <c r="DR13">
        <v>1.5000000003</v>
      </c>
      <c r="DS13">
        <v>1.400000001</v>
      </c>
      <c r="DT13">
        <v>1.5999999996000001</v>
      </c>
      <c r="DU13">
        <v>1.400000001</v>
      </c>
      <c r="DV13">
        <v>1.5999999996000001</v>
      </c>
      <c r="DW13">
        <v>1.5999999996000001</v>
      </c>
      <c r="DX13">
        <v>1.5000000003</v>
      </c>
      <c r="DY13">
        <v>1.7000000007</v>
      </c>
      <c r="DZ13">
        <v>2.0999999997000001</v>
      </c>
      <c r="EA13">
        <v>5.9999999994</v>
      </c>
      <c r="EB13">
        <v>12.0999999999</v>
      </c>
      <c r="EC13">
        <v>19.400000000999999</v>
      </c>
      <c r="ED13">
        <v>26.700000000300001</v>
      </c>
      <c r="EE13">
        <v>34.300000001199997</v>
      </c>
      <c r="EF13">
        <v>42.6000000007</v>
      </c>
      <c r="EG13">
        <v>50.600000000500003</v>
      </c>
      <c r="EH13">
        <v>58.800000000700003</v>
      </c>
      <c r="EI13">
        <v>67.300000000599994</v>
      </c>
      <c r="EJ13">
        <v>75.5000000008</v>
      </c>
      <c r="EK13">
        <v>83.399999999499997</v>
      </c>
      <c r="EL13">
        <v>93.0000000008</v>
      </c>
      <c r="EM13">
        <v>101.20000000100001</v>
      </c>
      <c r="EN13">
        <v>110.8000000004</v>
      </c>
      <c r="EO13">
        <v>120.3999999998</v>
      </c>
      <c r="EP13">
        <v>129.5000000009</v>
      </c>
      <c r="EQ13">
        <v>138.30000000050001</v>
      </c>
      <c r="ER13">
        <v>147.3999999998</v>
      </c>
      <c r="ES13">
        <v>156.30000000059999</v>
      </c>
      <c r="ET13">
        <v>165.50000000099999</v>
      </c>
      <c r="EU13">
        <v>174.69999999960001</v>
      </c>
      <c r="EV13">
        <v>183.9</v>
      </c>
      <c r="EW13">
        <v>192.80000000070001</v>
      </c>
      <c r="EX13">
        <v>202.1000000004</v>
      </c>
      <c r="EY13">
        <v>211.00000000110001</v>
      </c>
      <c r="EZ13">
        <v>220.00000000119999</v>
      </c>
      <c r="FA13">
        <v>229.19999999980001</v>
      </c>
      <c r="FB13">
        <v>238.19999999980001</v>
      </c>
      <c r="FC13">
        <v>247.40000000020001</v>
      </c>
      <c r="FD13">
        <v>256.10000000050002</v>
      </c>
      <c r="FE13">
        <v>265.10000000050002</v>
      </c>
      <c r="FF13">
        <v>273.90000000010002</v>
      </c>
      <c r="FG13">
        <v>282.99999999940002</v>
      </c>
      <c r="FH13">
        <v>291.49999999940002</v>
      </c>
      <c r="FI13">
        <v>300.30000000080003</v>
      </c>
      <c r="FJ13">
        <v>308.89999999999998</v>
      </c>
      <c r="FK13">
        <v>317.39999999989999</v>
      </c>
      <c r="FL13">
        <v>326.0000000009</v>
      </c>
      <c r="FM13">
        <v>334.39999999970001</v>
      </c>
      <c r="FN13">
        <v>342.80000000040002</v>
      </c>
      <c r="FO13">
        <v>351.00000000059998</v>
      </c>
      <c r="FP13">
        <v>359.00000000040001</v>
      </c>
      <c r="FQ13">
        <v>366.50000000009999</v>
      </c>
      <c r="FR13">
        <v>374.60000000100001</v>
      </c>
      <c r="FS13">
        <v>382.49999999969998</v>
      </c>
      <c r="FT13">
        <v>390.10000000050002</v>
      </c>
      <c r="FU13">
        <v>397.5000000009</v>
      </c>
      <c r="FV13">
        <v>404.80000000029997</v>
      </c>
      <c r="FW13">
        <v>411.79999999990002</v>
      </c>
      <c r="FX13">
        <v>417.99999999969998</v>
      </c>
      <c r="FY13">
        <v>425.19999999970003</v>
      </c>
      <c r="FZ13">
        <v>431.50000000059998</v>
      </c>
      <c r="GA13">
        <v>437.2999999996</v>
      </c>
      <c r="GB13">
        <v>442.30000000059999</v>
      </c>
      <c r="GC13">
        <v>448.8000000001</v>
      </c>
      <c r="GD13">
        <v>455.90000000079999</v>
      </c>
      <c r="GE13">
        <v>456.50000000019998</v>
      </c>
      <c r="GF13">
        <v>456.79999999990002</v>
      </c>
      <c r="GG13">
        <v>456.70000000060003</v>
      </c>
      <c r="GH13">
        <v>456.70000000060003</v>
      </c>
      <c r="GI13">
        <v>456.59999999950003</v>
      </c>
      <c r="GJ13">
        <v>456.59999999950003</v>
      </c>
      <c r="GK13">
        <v>456.70000000060003</v>
      </c>
      <c r="GL13">
        <v>456.70000000060003</v>
      </c>
      <c r="GM13">
        <v>456.70000000060003</v>
      </c>
      <c r="GN13">
        <v>456.79999999990002</v>
      </c>
      <c r="GO13">
        <v>456.70000000060003</v>
      </c>
      <c r="GP13">
        <v>456.70000000060003</v>
      </c>
      <c r="GQ13">
        <v>456.70000000060003</v>
      </c>
      <c r="GR13">
        <v>456.40000000089998</v>
      </c>
      <c r="GS13">
        <v>456.59999999950003</v>
      </c>
      <c r="GT13">
        <v>456.70000000060003</v>
      </c>
      <c r="GU13">
        <v>456.70000000060003</v>
      </c>
      <c r="GV13">
        <v>456.59999999950003</v>
      </c>
      <c r="GW13">
        <v>456.59999999950003</v>
      </c>
      <c r="GX13">
        <v>1</v>
      </c>
      <c r="GY13">
        <v>104.49999999950001</v>
      </c>
      <c r="GZ13">
        <v>101.20000000100001</v>
      </c>
      <c r="HA13">
        <v>101.20000000100001</v>
      </c>
      <c r="HB13">
        <v>110.8000000004</v>
      </c>
      <c r="HC13">
        <v>103.4276707539</v>
      </c>
      <c r="HD13">
        <v>-9.5999999993999996</v>
      </c>
      <c r="HE13">
        <v>456.59999999950003</v>
      </c>
      <c r="HF13">
        <v>327.09099168099999</v>
      </c>
      <c r="HG13">
        <v>85.674956218399998</v>
      </c>
      <c r="HH13">
        <v>456.90000000100002</v>
      </c>
      <c r="HI13">
        <v>456.79999999990002</v>
      </c>
      <c r="HJ13">
        <v>456.90000000100002</v>
      </c>
      <c r="HK13">
        <v>456.79999999990002</v>
      </c>
      <c r="HL13">
        <v>100.87976539589999</v>
      </c>
      <c r="HM13">
        <v>3.7682946379</v>
      </c>
      <c r="HN13">
        <v>3.6208683823999999</v>
      </c>
      <c r="HO13">
        <v>3.6984172269000002</v>
      </c>
      <c r="HP13">
        <v>3.5245262625999998</v>
      </c>
      <c r="HQ13">
        <v>3.8648816758</v>
      </c>
      <c r="HR13">
        <v>2.8655585939999999</v>
      </c>
      <c r="HS13">
        <v>17.752714535500001</v>
      </c>
      <c r="HT13">
        <v>-23.460410557199999</v>
      </c>
      <c r="HU13">
        <v>-160</v>
      </c>
      <c r="HV13">
        <v>430.51866243490002</v>
      </c>
      <c r="HW13">
        <v>89.149560117299998</v>
      </c>
      <c r="HX13">
        <v>608</v>
      </c>
      <c r="HY13">
        <v>17.752714535500001</v>
      </c>
      <c r="HZ13">
        <v>-23.460410557199999</v>
      </c>
      <c r="IA13">
        <v>-160</v>
      </c>
      <c r="IB13">
        <v>430.51866243490002</v>
      </c>
      <c r="IC13">
        <v>89.149560117299998</v>
      </c>
      <c r="ID13">
        <v>608</v>
      </c>
      <c r="IE13">
        <v>26.281337565000001</v>
      </c>
      <c r="IF13">
        <v>1.0037324871</v>
      </c>
      <c r="IG13">
        <v>-32.844574780099997</v>
      </c>
      <c r="IH13">
        <v>-224</v>
      </c>
      <c r="II13">
        <v>455.72155210239998</v>
      </c>
      <c r="IJ13">
        <v>98.533724340199996</v>
      </c>
      <c r="IK13">
        <v>672</v>
      </c>
      <c r="IL13">
        <v>412.76594789950002</v>
      </c>
      <c r="IM13">
        <v>112.6099706745</v>
      </c>
      <c r="IN13">
        <v>437.20793563889998</v>
      </c>
      <c r="IO13">
        <v>121.9941348974</v>
      </c>
      <c r="IP13">
        <v>7.3000000010999999</v>
      </c>
      <c r="IQ13">
        <v>8.2000000001999993</v>
      </c>
      <c r="IR13">
        <v>9.7000000004999993</v>
      </c>
      <c r="IS13">
        <v>3.7260456774000001</v>
      </c>
      <c r="IT13">
        <v>3.7260456774000001</v>
      </c>
      <c r="IU13">
        <v>9.3000000015000008</v>
      </c>
      <c r="IV13">
        <v>-25.806451612899998</v>
      </c>
      <c r="IW13">
        <v>15.1000000005</v>
      </c>
      <c r="IX13">
        <v>75.073313783000003</v>
      </c>
      <c r="IY13">
        <v>11.9000000013</v>
      </c>
      <c r="IZ13">
        <v>98.533724340199996</v>
      </c>
      <c r="JA13">
        <v>-28.344396611600001</v>
      </c>
      <c r="JB13">
        <v>0.29328201320000002</v>
      </c>
      <c r="JC13">
        <v>-2.3130960000000001E-4</v>
      </c>
      <c r="JD13">
        <v>4.2329999999999999E-7</v>
      </c>
      <c r="JE13">
        <v>0.26537203059999998</v>
      </c>
      <c r="JF13">
        <v>0.32843806809999998</v>
      </c>
      <c r="JG13">
        <v>0.1286388483</v>
      </c>
      <c r="JH13">
        <v>103.7489832254</v>
      </c>
      <c r="JI13">
        <v>3.8648816758</v>
      </c>
      <c r="JJ13">
        <v>4.5749537000000003E-3</v>
      </c>
      <c r="JK13">
        <v>-7.6124600000000006E-5</v>
      </c>
      <c r="JL13">
        <v>3.7682946379</v>
      </c>
      <c r="JM13">
        <v>1.1744786905</v>
      </c>
      <c r="JN13">
        <v>0.39022276080000001</v>
      </c>
      <c r="JO13">
        <v>3.1116250005000001</v>
      </c>
      <c r="JP13">
        <v>3.4952500001</v>
      </c>
      <c r="JQ13">
        <v>4.1346250001999998</v>
      </c>
      <c r="JR13" s="17" t="s">
        <v>551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75.923836802899999</v>
      </c>
      <c r="D16" s="9">
        <f>AVERAGE(C18:C20)</f>
        <v>75.79114374800001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62.113479127799998</v>
      </c>
      <c r="D17" s="9">
        <f>AVERAGE(C21:C23)</f>
        <v>74.437520584833337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75.261683061699998</v>
      </c>
      <c r="D18" s="11">
        <f>AVERAGE(C24:C26)</f>
        <v>76.731039102099999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81.520201310100006</v>
      </c>
      <c r="D19" s="6">
        <f>AVERAGE('Summary(3pcs)'!E35:E36)</f>
        <v>158.3516222463879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70.591546872199999</v>
      </c>
      <c r="D20" s="9">
        <f>AVERAGE('Summary(3pcs)'!E37:E39)</f>
        <v>156.20452050757123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68.956588642599996</v>
      </c>
      <c r="D21" s="9">
        <f>AVERAGE('Summary(3pcs)'!E40:E42)</f>
        <v>154.94164140777124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75.600268702400001</v>
      </c>
      <c r="D22" s="11">
        <f>AVERAGE('Summary(3pcs)'!E43:E45)</f>
        <v>155.42900498590458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78.755704409499998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75.853308497699999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78.389920581300004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75.949888227299994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-5.4210539462999998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-3.7465922774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4.4259233211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10.238319648299999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5.7662845566999996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-2.4569663006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10.902357611199999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-0.71442404260000003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1.3741491864249997</v>
      </c>
      <c r="C39" s="5">
        <f>'Summary(3pcs)'!M35</f>
        <v>-5.4210539462999998</v>
      </c>
      <c r="D39" s="11">
        <f t="shared" si="0"/>
        <v>-2.868150907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-3.7465922774</v>
      </c>
      <c r="D40" s="6">
        <f t="shared" si="0"/>
        <v>1.3153520332999999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4.4259233211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10.238319648299999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3.3743129561749998</v>
      </c>
      <c r="C43" s="8">
        <f>'Summary(3pcs)'!M40</f>
        <v>5.7662845566999996</v>
      </c>
      <c r="D43" s="6">
        <f t="shared" ref="D43:D54" si="2">C55</f>
        <v>-1.4660483797000001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-2.4569663006</v>
      </c>
      <c r="D44" s="9">
        <f t="shared" si="2"/>
        <v>4.1693496463999997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10.902357611199999</v>
      </c>
      <c r="D45" s="11">
        <f t="shared" si="2"/>
        <v>4.8760065982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-0.71442404260000003</v>
      </c>
      <c r="D46" s="6">
        <f t="shared" si="2"/>
        <v>7.6501563478999994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-2.868150907</v>
      </c>
      <c r="D47" s="9">
        <f t="shared" si="2"/>
        <v>1.1782848030999999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1.3153520332999999</v>
      </c>
      <c r="D48" s="11">
        <f t="shared" si="2"/>
        <v>-0.35294699439999988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6.0996234543999996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-6.1784045784000003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-2.0601920725999996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2.1819610914999998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3.8073660532</v>
      </c>
      <c r="C55" s="5">
        <f>'Summary(3pcs)'!N35</f>
        <v>-1.4660483797000001</v>
      </c>
      <c r="D55" s="6">
        <f>AVERAGE(D31:D33)</f>
        <v>-1.5805743008666668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4.1693496463999997</v>
      </c>
      <c r="D56" s="9">
        <f>AVERAGE(D34:D36)</f>
        <v>4.5158793014666667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4.8760065982</v>
      </c>
      <c r="D57" s="9">
        <f>AVERAGE(D37:D39)</f>
        <v>2.4399275538666667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7.6501563478999994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0.18663917117499995</v>
      </c>
      <c r="C59" s="8">
        <f>'Summary(3pcs)'!N40</f>
        <v>1.1782848030999999</v>
      </c>
      <c r="D59" s="9">
        <f>AVERAGE(D43:D45)</f>
        <v>2.5264359549666664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-0.35294699439999988</v>
      </c>
      <c r="D60" s="9">
        <f>AVERAGE(D46:D48)</f>
        <v>2.8251647188666666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6.0996234543999996</v>
      </c>
      <c r="D61" s="9">
        <f>AVERAGE(D49:D51)</f>
        <v>-0.71299106553333347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-6.1784045784000003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-2.0601920725999996</v>
      </c>
      <c r="D63" s="6">
        <f>AVERAGE(C71:C73)</f>
        <v>-1.5790750979999999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2.1819610914999998</v>
      </c>
      <c r="D64" s="9">
        <f>AVERAGE(C74:C76)</f>
        <v>-3.3494238853333336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-5.4927050272666662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3.7874183655000002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-1.0114834110000002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1.2188240687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6.0078605015999997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-1.438686052966667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-3.0134618282000001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-0.33016586299999995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-1.3935976027999999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2.0663132667999999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-8.4290771484000011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-3.6855077744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-6.9033565521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-10.1761827469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0.60142421719999994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1.5670042037999998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5.8562946320000009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3.9389562607000004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-7.089427948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6.1531839370999997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-2.0982062221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2.1228804588000001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2.9440841674999998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-1.4104924202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4.2113676070999997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7.9820804596000006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5.8301334381000007</v>
      </c>
    </row>
    <row r="96" spans="1:7">
      <c r="A96" s="1" t="s">
        <v>87</v>
      </c>
      <c r="C96" s="5">
        <f>'Summary(3pcs)'!W44</f>
        <v>-11.320150375400001</v>
      </c>
    </row>
    <row r="97" spans="1:3">
      <c r="A97" s="1" t="s">
        <v>87</v>
      </c>
      <c r="C97" s="8">
        <f>'Summary(3pcs)'!W45</f>
        <v>4.7209630013000004</v>
      </c>
    </row>
    <row r="98" spans="1:3" ht="17.25" thickBot="1">
      <c r="A98" s="1" t="s">
        <v>87</v>
      </c>
      <c r="C98" s="10">
        <f>'Summary(3pcs)'!W46</f>
        <v>2.2831292151999998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