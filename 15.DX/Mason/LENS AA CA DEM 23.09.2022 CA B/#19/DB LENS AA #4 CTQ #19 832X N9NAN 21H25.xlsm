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1570" windowHeight="7980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43" i="1" l="1"/>
  <c r="N41" i="1"/>
  <c r="W39" i="1"/>
  <c r="N35" i="1" l="1"/>
  <c r="N36" i="1"/>
  <c r="L39" i="1" l="1"/>
  <c r="B41" i="1"/>
  <c r="U44" i="1"/>
  <c r="L45" i="1"/>
  <c r="B44" i="1"/>
  <c r="N42" i="1"/>
  <c r="P41" i="1" s="1"/>
  <c r="V40" i="1" l="1"/>
  <c r="V36" i="1" l="1"/>
  <c r="L43" i="1" l="1"/>
  <c r="U43" i="1"/>
  <c r="U41" i="1"/>
  <c r="B39" i="1"/>
  <c r="U40" i="1"/>
  <c r="B42" i="1"/>
  <c r="L42" i="1"/>
  <c r="B40" i="1"/>
  <c r="L37" i="1"/>
  <c r="I66" i="1" l="1"/>
  <c r="I65" i="1"/>
  <c r="I64" i="1"/>
  <c r="I63" i="1"/>
  <c r="I62" i="1"/>
  <c r="I61" i="1"/>
  <c r="I60" i="1"/>
  <c r="I59" i="1"/>
  <c r="I58" i="1"/>
  <c r="I57" i="1"/>
  <c r="I56" i="1"/>
  <c r="I55" i="1"/>
  <c r="U36" i="1" l="1"/>
  <c r="P56" i="1"/>
  <c r="W36" i="1"/>
  <c r="Q56" i="1" s="1"/>
  <c r="U37" i="1"/>
  <c r="V37" i="1"/>
  <c r="P57" i="1" s="1"/>
  <c r="W37" i="1"/>
  <c r="Q57" i="1" s="1"/>
  <c r="U38" i="1"/>
  <c r="V38" i="1"/>
  <c r="P58" i="1" s="1"/>
  <c r="W38" i="1"/>
  <c r="Q58" i="1" s="1"/>
  <c r="U39" i="1"/>
  <c r="V39" i="1"/>
  <c r="P59" i="1" s="1"/>
  <c r="Q59" i="1"/>
  <c r="P60" i="1"/>
  <c r="W40" i="1"/>
  <c r="Q60" i="1" s="1"/>
  <c r="V41" i="1"/>
  <c r="P61" i="1" s="1"/>
  <c r="W41" i="1"/>
  <c r="Q61" i="1" s="1"/>
  <c r="U42" i="1"/>
  <c r="V42" i="1"/>
  <c r="P62" i="1" s="1"/>
  <c r="W42" i="1"/>
  <c r="Q62" i="1" s="1"/>
  <c r="V43" i="1"/>
  <c r="P63" i="1" s="1"/>
  <c r="W43" i="1"/>
  <c r="Q63" i="1" s="1"/>
  <c r="V44" i="1"/>
  <c r="P64" i="1" s="1"/>
  <c r="W44" i="1"/>
  <c r="Q64" i="1" s="1"/>
  <c r="U45" i="1"/>
  <c r="V45" i="1"/>
  <c r="P65" i="1" s="1"/>
  <c r="W45" i="1"/>
  <c r="Q65" i="1" s="1"/>
  <c r="U46" i="1"/>
  <c r="V46" i="1"/>
  <c r="P66" i="1" s="1"/>
  <c r="W46" i="1"/>
  <c r="Q66" i="1" s="1"/>
  <c r="W35" i="1"/>
  <c r="Q55" i="1" s="1"/>
  <c r="V35" i="1"/>
  <c r="P55" i="1" s="1"/>
  <c r="U35" i="1"/>
  <c r="L36" i="1"/>
  <c r="M36" i="1"/>
  <c r="N56" i="1" s="1"/>
  <c r="O56" i="1"/>
  <c r="M37" i="1"/>
  <c r="N57" i="1" s="1"/>
  <c r="N37" i="1"/>
  <c r="O57" i="1" s="1"/>
  <c r="L38" i="1"/>
  <c r="M38" i="1"/>
  <c r="N58" i="1" s="1"/>
  <c r="N38" i="1"/>
  <c r="M39" i="1"/>
  <c r="N59" i="1" s="1"/>
  <c r="N39" i="1"/>
  <c r="O59" i="1" s="1"/>
  <c r="L40" i="1"/>
  <c r="M40" i="1"/>
  <c r="N60" i="1" s="1"/>
  <c r="N40" i="1"/>
  <c r="O60" i="1" s="1"/>
  <c r="L41" i="1"/>
  <c r="M41" i="1"/>
  <c r="N61" i="1" s="1"/>
  <c r="O61" i="1"/>
  <c r="M42" i="1"/>
  <c r="N62" i="1" s="1"/>
  <c r="O62" i="1"/>
  <c r="M43" i="1"/>
  <c r="N63" i="1" s="1"/>
  <c r="O63" i="1"/>
  <c r="L44" i="1"/>
  <c r="M44" i="1"/>
  <c r="N64" i="1" s="1"/>
  <c r="N44" i="1"/>
  <c r="O64" i="1" s="1"/>
  <c r="M45" i="1"/>
  <c r="N65" i="1" s="1"/>
  <c r="N45" i="1"/>
  <c r="O65" i="1" s="1"/>
  <c r="L46" i="1"/>
  <c r="M46" i="1"/>
  <c r="N66" i="1" s="1"/>
  <c r="N46" i="1"/>
  <c r="O66" i="1" s="1"/>
  <c r="O55" i="1"/>
  <c r="M35" i="1"/>
  <c r="L35" i="1"/>
  <c r="B36" i="1"/>
  <c r="C36" i="1"/>
  <c r="D36" i="1"/>
  <c r="L56" i="1" s="1"/>
  <c r="B37" i="1"/>
  <c r="C37" i="1"/>
  <c r="D37" i="1"/>
  <c r="L57" i="1" s="1"/>
  <c r="B38" i="1"/>
  <c r="C38" i="1"/>
  <c r="D38" i="1"/>
  <c r="L58" i="1" s="1"/>
  <c r="C39" i="1"/>
  <c r="K59" i="1" s="1"/>
  <c r="D39" i="1"/>
  <c r="L59" i="1" s="1"/>
  <c r="C40" i="1"/>
  <c r="D40" i="1"/>
  <c r="L60" i="1" s="1"/>
  <c r="C41" i="1"/>
  <c r="K61" i="1" s="1"/>
  <c r="D41" i="1"/>
  <c r="L61" i="1" s="1"/>
  <c r="C42" i="1"/>
  <c r="D42" i="1"/>
  <c r="L62" i="1" s="1"/>
  <c r="B43" i="1"/>
  <c r="C43" i="1"/>
  <c r="D43" i="1"/>
  <c r="L63" i="1" s="1"/>
  <c r="C44" i="1"/>
  <c r="D44" i="1"/>
  <c r="L64" i="1" s="1"/>
  <c r="B45" i="1"/>
  <c r="C45" i="1"/>
  <c r="D45" i="1"/>
  <c r="L65" i="1" s="1"/>
  <c r="B46" i="1"/>
  <c r="C46" i="1"/>
  <c r="D46" i="1"/>
  <c r="L66" i="1" s="1"/>
  <c r="D35" i="1"/>
  <c r="L55" i="1" s="1"/>
  <c r="C35" i="1"/>
  <c r="K55" i="1" s="1"/>
  <c r="B35" i="1"/>
  <c r="O58" i="1" l="1"/>
  <c r="P38" i="1"/>
  <c r="N55" i="1"/>
  <c r="O35" i="1"/>
  <c r="K65" i="1"/>
  <c r="K57" i="1"/>
  <c r="K63" i="1"/>
  <c r="K66" i="1"/>
  <c r="K62" i="1"/>
  <c r="K56" i="1"/>
  <c r="K64" i="1"/>
  <c r="K60" i="1"/>
  <c r="K58" i="1"/>
  <c r="K36" i="1"/>
  <c r="K37" i="1"/>
  <c r="C4" i="8" l="1"/>
  <c r="C5" i="8"/>
  <c r="C6" i="8"/>
  <c r="C3" i="8"/>
  <c r="A36" i="1" l="1"/>
  <c r="A37" i="1"/>
  <c r="A38" i="1"/>
  <c r="A39" i="1"/>
  <c r="A40" i="1"/>
  <c r="A41" i="1"/>
  <c r="A42" i="1"/>
  <c r="A43" i="1"/>
  <c r="A44" i="1"/>
  <c r="A45" i="1"/>
  <c r="A46" i="1"/>
  <c r="A35" i="1"/>
  <c r="K38" i="1"/>
  <c r="K39" i="1"/>
  <c r="K40" i="1"/>
  <c r="K41" i="1"/>
  <c r="K42" i="1"/>
  <c r="K43" i="1"/>
  <c r="K44" i="1"/>
  <c r="K45" i="1"/>
  <c r="K46" i="1"/>
  <c r="F35" i="1" l="1"/>
  <c r="K35" i="1"/>
  <c r="O38" i="1" l="1"/>
  <c r="C102" i="7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C66" i="7"/>
  <c r="D54" i="7" s="1"/>
  <c r="C50" i="7"/>
  <c r="D42" i="7" s="1"/>
  <c r="C97" i="7"/>
  <c r="C81" i="7"/>
  <c r="C65" i="7"/>
  <c r="D53" i="7" s="1"/>
  <c r="C49" i="7"/>
  <c r="D41" i="7" s="1"/>
  <c r="C26" i="7"/>
  <c r="C96" i="7"/>
  <c r="C80" i="7"/>
  <c r="P44" i="1"/>
  <c r="Q44" i="1" s="1"/>
  <c r="C48" i="7"/>
  <c r="D40" i="7" s="1"/>
  <c r="C25" i="7"/>
  <c r="C95" i="7"/>
  <c r="C79" i="7"/>
  <c r="C63" i="7"/>
  <c r="C47" i="7"/>
  <c r="C24" i="7"/>
  <c r="C94" i="7"/>
  <c r="C78" i="7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C92" i="7"/>
  <c r="C76" i="7"/>
  <c r="C60" i="7"/>
  <c r="D48" i="7" s="1"/>
  <c r="C44" i="7"/>
  <c r="D36" i="7" s="1"/>
  <c r="C21" i="7"/>
  <c r="C91" i="7"/>
  <c r="C75" i="7"/>
  <c r="C59" i="7"/>
  <c r="C43" i="7"/>
  <c r="C20" i="7"/>
  <c r="C90" i="7"/>
  <c r="C74" i="7"/>
  <c r="C42" i="7"/>
  <c r="D34" i="7" s="1"/>
  <c r="C19" i="7"/>
  <c r="C89" i="7"/>
  <c r="C73" i="7"/>
  <c r="C57" i="7"/>
  <c r="D45" i="7" s="1"/>
  <c r="C41" i="7"/>
  <c r="D33" i="7" s="1"/>
  <c r="C18" i="7"/>
  <c r="C88" i="7"/>
  <c r="C72" i="7"/>
  <c r="C56" i="7"/>
  <c r="D44" i="7" s="1"/>
  <c r="C40" i="7"/>
  <c r="D32" i="7" s="1"/>
  <c r="C87" i="7"/>
  <c r="C55" i="7"/>
  <c r="C16" i="7"/>
  <c r="D33" i="1"/>
  <c r="N5" i="1"/>
  <c r="M5" i="1"/>
  <c r="L5" i="1"/>
  <c r="K5" i="1"/>
  <c r="D5" i="1"/>
  <c r="C5" i="1"/>
  <c r="B5" i="1"/>
  <c r="A5" i="1"/>
  <c r="E35" i="1" l="1"/>
  <c r="M55" i="1" s="1"/>
  <c r="E42" i="1"/>
  <c r="M62" i="1" s="1"/>
  <c r="E40" i="1"/>
  <c r="M60" i="1" s="1"/>
  <c r="E45" i="1"/>
  <c r="M65" i="1" s="1"/>
  <c r="E43" i="1"/>
  <c r="M63" i="1" s="1"/>
  <c r="E36" i="1"/>
  <c r="M56" i="1" s="1"/>
  <c r="E38" i="1"/>
  <c r="M58" i="1" s="1"/>
  <c r="E41" i="1"/>
  <c r="M61" i="1" s="1"/>
  <c r="E39" i="1"/>
  <c r="M59" i="1" s="1"/>
  <c r="E37" i="1"/>
  <c r="M57" i="1" s="1"/>
  <c r="E46" i="1"/>
  <c r="M66" i="1" s="1"/>
  <c r="E44" i="1"/>
  <c r="M64" i="1" s="1"/>
  <c r="B51" i="7"/>
  <c r="B67" i="7"/>
  <c r="X35" i="1"/>
  <c r="Z35" i="1" s="1"/>
  <c r="D17" i="7"/>
  <c r="D69" i="7"/>
  <c r="D64" i="7"/>
  <c r="I35" i="1"/>
  <c r="D68" i="7"/>
  <c r="R35" i="1"/>
  <c r="Q38" i="1"/>
  <c r="F44" i="1"/>
  <c r="I44" i="1" s="1"/>
  <c r="G35" i="1"/>
  <c r="G41" i="1"/>
  <c r="G44" i="1"/>
  <c r="F38" i="1"/>
  <c r="I38" i="1" s="1"/>
  <c r="F41" i="1"/>
  <c r="I41" i="1" s="1"/>
  <c r="D67" i="7"/>
  <c r="X38" i="1"/>
  <c r="Z38" i="1" s="1"/>
  <c r="Y38" i="1"/>
  <c r="AA38" i="1" s="1"/>
  <c r="C71" i="7"/>
  <c r="D63" i="7" s="1"/>
  <c r="D65" i="7"/>
  <c r="Y35" i="1"/>
  <c r="AA35" i="1" s="1"/>
  <c r="Y44" i="1"/>
  <c r="AA44" i="1" s="1"/>
  <c r="O41" i="1"/>
  <c r="R41" i="1" s="1"/>
  <c r="P35" i="1"/>
  <c r="Q35" i="1" s="1"/>
  <c r="D70" i="7"/>
  <c r="D66" i="7"/>
  <c r="Y41" i="1"/>
  <c r="AA41" i="1" s="1"/>
  <c r="X44" i="1"/>
  <c r="Z44" i="1" s="1"/>
  <c r="X41" i="1"/>
  <c r="Z41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Q41" i="1"/>
  <c r="C39" i="7"/>
  <c r="C64" i="7"/>
  <c r="D52" i="7" s="1"/>
  <c r="D62" i="7" s="1"/>
  <c r="R38" i="1"/>
  <c r="C58" i="7"/>
  <c r="D46" i="7" s="1"/>
  <c r="O44" i="1"/>
  <c r="R44" i="1" s="1"/>
  <c r="D16" i="7"/>
  <c r="D18" i="7"/>
  <c r="C17" i="7"/>
  <c r="G38" i="1"/>
  <c r="D22" i="7" l="1"/>
  <c r="H38" i="1"/>
  <c r="D21" i="7"/>
  <c r="H35" i="1"/>
  <c r="H41" i="1"/>
  <c r="H44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<sst xmlns="http://schemas.openxmlformats.org/spreadsheetml/2006/main" count="1473" uniqueCount="710">
  <si>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</si>
  <si>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</si>
  <si>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</si>
  <si>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</si>
  <si>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</si>
  <si>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</si>
  <si>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</si>
  <si>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</si>
  <si>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</si>
  <si>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</si>
  <si>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</si>
  <si>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</si>
  <si>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</si>
  <si>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</si>
  <si>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</si>
  <si>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</si>
  <si>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</si>
  <si>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</si>
  <si>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</si>
  <si>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</si>
  <si>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</si>
  <si>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</si>
  <si>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</si>
  <si>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</si>
  <si>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</si>
  <si>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</si>
  <si>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</si>
  <si>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</si>
  <si>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</si>
  <si>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</si>
  <si>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</si>
  <si>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</si>
  <si>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</si>
  <si>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</si>
  <si>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</si>
  <si>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</si>
  <si>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</si>
  <si>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</si>
  <si>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</si>
  <si>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</si>
  <si>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</si>
  <si>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</si>
  <si>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</si>
  <si>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</si>
  <si>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</si>
  <si>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</si>
  <si>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</si>
  <si>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</si>
  <si>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</si>
  <si>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</si>
  <si>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</si>
  <si>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</si>
  <si>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</si>
  <si>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</si>
  <si>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</si>
  <si>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</si>
  <si>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</si>
  <si>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</si>
  <si>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</si>
  <si>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</si>
  <si>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</si>
  <si>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</si>
  <si>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</si>
  <si>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</si>
  <si>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</si>
  <si>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</si>
  <si>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</si>
  <si>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</si>
  <si>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</si>
  <si>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</si>
  <si>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</si>
  <si>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</si>
  <si>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</si>
  <si>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</si>
  <si>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</si>
  <si>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</si>
  <si>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</si>
  <si>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</si>
  <si>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</si>
  <si>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</si>
  <si>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</si>
  <si>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</si>
  <si>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</si>
  <si>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</si>
  <si>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</si>
  <si>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</si>
  <si>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</si>
  <si>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</si>
  <si>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</si>
  <si>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</si>
  <si>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</si>
  <si>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</si>
  <si>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</si>
  <si>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</si>
  <si>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</si>
  <si>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</si>
  <si>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</si>
  <si>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</si>
  <si>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</si>
  <si>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</si>
  <si>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</si>
  <si>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</si>
  <si>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</si>
  <si>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</si>
  <si>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</si>
  <si>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</si>
  <si>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</si>
  <si>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</si>
  <si>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t>Inf.Margin</t>
    <phoneticPr fontId="6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</si>
  <si>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</si>
  <si>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</si>
  <si>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</si>
  <si>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</si>
  <si>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6" type="noConversion"/>
  </si>
  <si>
    <t>OC</t>
    <phoneticPr fontId="6" type="noConversion"/>
  </si>
  <si>
    <t>OCX_shift</t>
    <phoneticPr fontId="6" type="noConversion"/>
  </si>
  <si>
    <t>OCY_shift</t>
    <phoneticPr fontId="6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</si>
  <si>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</si>
  <si>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</si>
  <si>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</si>
  <si>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</si>
  <si>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</si>
  <si>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</si>
  <si>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</si>
  <si>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</si>
  <si>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</si>
  <si>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</si>
  <si>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</si>
  <si>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6" type="noConversion"/>
  </si>
  <si>
    <t>AG</t>
    <phoneticPr fontId="6" type="noConversion"/>
  </si>
  <si>
    <t>MS</t>
    <phoneticPr fontId="6" type="noConversion"/>
  </si>
  <si>
    <t>MS</t>
    <phoneticPr fontId="6" type="noConversion"/>
  </si>
  <si>
    <t>AG</t>
    <phoneticPr fontId="6" type="noConversion"/>
  </si>
  <si>
    <t>Config</t>
    <phoneticPr fontId="6" type="noConversion"/>
  </si>
  <si>
    <t>AS</t>
    <phoneticPr fontId="6" type="noConversion"/>
  </si>
  <si>
    <t>D50_ON_OC.csv</t>
    <phoneticPr fontId="6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</si>
  <si>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</si>
  <si>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</si>
  <si>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</si>
  <si>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</si>
  <si>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</si>
  <si>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</si>
  <si>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</si>
  <si>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</si>
  <si>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</si>
  <si>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</si>
  <si>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</si>
  <si>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</si>
  <si>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</si>
  <si>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</si>
  <si>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</si>
  <si>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</si>
  <si>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</si>
  <si>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</si>
  <si>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</si>
  <si>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</si>
  <si>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MES</t>
  </si>
  <si>
    <t>MS</t>
  </si>
  <si>
    <t>NAME</t>
  </si>
  <si>
    <t>X =&gt; MS
Z =&gt; AG</t>
  </si>
  <si>
    <t>14/07/2022</t>
    <phoneticPr fontId="6" type="noConversion"/>
  </si>
  <si>
    <t>Thay đổi spec OC theo ERS</t>
    <phoneticPr fontId="6" type="noConversion"/>
  </si>
  <si>
    <t>±28</t>
    <phoneticPr fontId="6" type="noConversion"/>
  </si>
  <si>
    <t>AVG Infu Peak</t>
  </si>
  <si>
    <t>Inf.Margin</t>
  </si>
  <si>
    <t>OOS</t>
  </si>
  <si>
    <t>AVG</t>
  </si>
  <si>
    <t>OOC</t>
  </si>
  <si>
    <t>±22.5</t>
  </si>
  <si>
    <t>±12</t>
  </si>
  <si>
    <t>±10.8</t>
  </si>
  <si>
    <t>AVG OOC</t>
  </si>
  <si>
    <t>D:\EVMS\TP\ELOG\VSY832XN9NAN_2022092321</t>
    <phoneticPr fontId="6" type="noConversion"/>
  </si>
  <si>
    <t>GlobalTime</t>
  </si>
  <si>
    <t>SiteTime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</si>
  <si>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</si>
  <si>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</si>
  <si>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</si>
  <si>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</si>
  <si>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</si>
  <si>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</si>
  <si>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</si>
  <si>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</si>
  <si>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</si>
  <si>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</si>
  <si>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</si>
  <si>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</si>
  <si>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</si>
  <si>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</si>
  <si>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</si>
  <si>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</si>
  <si>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</si>
  <si>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</si>
  <si>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</si>
  <si>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</si>
  <si>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</si>
  <si>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</si>
  <si>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</si>
  <si>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</si>
  <si>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</si>
  <si>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</si>
  <si>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</si>
  <si>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</si>
  <si>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</si>
  <si>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</si>
  <si>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</si>
  <si>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</si>
  <si>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</si>
  <si>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</si>
  <si>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</si>
  <si>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T220923211453427VCMLEBC040</t>
  </si>
  <si>
    <t>'20220923211455</t>
  </si>
  <si>
    <t>'2022-09-23 21:15:02:760</t>
  </si>
  <si>
    <t>VCMLEBC040A</t>
  </si>
  <si>
    <t>DB_M_C2001</t>
  </si>
  <si>
    <t>220217A</t>
  </si>
  <si>
    <t>EPSSWEXCEPTION_POR_R22A_OC_MFG_C20_22051701_5d43eac</t>
  </si>
  <si>
    <t>VSY832XN9NAN</t>
  </si>
  <si>
    <t>22cb72230080</t>
  </si>
  <si>
    <t>0x528018629f1fa007</t>
  </si>
  <si>
    <t>MF9C3549B02Y42B6B830034109</t>
  </si>
  <si>
    <t>MF3C3463A1LG14A7A639</t>
  </si>
  <si>
    <t>DNA22295095270I06A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</si>
  <si>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</si>
  <si>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</si>
  <si>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</si>
  <si>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</si>
  <si>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</si>
  <si>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</si>
  <si>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FPDC_Coefficient_01_Inf_normal</t>
  </si>
  <si>
    <t>FPDC_Coefficient_02_Inf_normal</t>
  </si>
  <si>
    <t>FPDC_Coefficient_03_Inf_normal</t>
  </si>
  <si>
    <t>FPDC_Coefficient_04_Inf_normal</t>
  </si>
  <si>
    <t>FPDC_Coefficient_05_Inf_normal</t>
  </si>
  <si>
    <t>FPDC_Coefficient_06_Inf_normal</t>
  </si>
  <si>
    <t>FPDC_Coefficient_07_Inf_normal</t>
  </si>
  <si>
    <t>FPDC_Coefficient_08_Inf_normal</t>
  </si>
  <si>
    <t>FPDC_Coefficient_09_Inf_normal</t>
  </si>
  <si>
    <t>FPDC_Coefficient_10_Inf_normal</t>
  </si>
  <si>
    <t>FPDC_Coefficient_11_Inf_normal</t>
  </si>
  <si>
    <t>FPDC_Coefficient_12_Inf_normal</t>
  </si>
  <si>
    <t>FPDC_Coefficient_13_Inf_normal</t>
  </si>
  <si>
    <t>FPDC_Coefficient_14_Inf_normal</t>
  </si>
  <si>
    <t>FPDC_Coefficient_15_Inf_normal</t>
  </si>
  <si>
    <t>FPDC_Coefficient_16_Inf_normal</t>
  </si>
  <si>
    <t>FPDC_Coefficient_17_Inf_normal</t>
  </si>
  <si>
    <t>FPDC_Coefficient_18_Inf_normal</t>
  </si>
  <si>
    <t>FPDC_Coefficient_19_Inf_normal</t>
  </si>
  <si>
    <t>FPDC_Coefficient_20_Inf_normal</t>
  </si>
  <si>
    <t>FPDC_Coefficient_Residual_ERR1_Inf_normal</t>
  </si>
  <si>
    <t>FPDC_Coefficient_Residual_ERR2_Inf_normal</t>
  </si>
  <si>
    <t>FPDC_Delta_01_Inf_normal</t>
  </si>
  <si>
    <t>FPDC_Delta_02_Inf_normal</t>
  </si>
  <si>
    <t>FPDC_Delta_03_Inf_normal</t>
  </si>
  <si>
    <t>FPDC_Delta_04_Inf_normal</t>
  </si>
  <si>
    <t>FPDC_Euclidean_Inf_normal</t>
  </si>
  <si>
    <t>deviceConfig_Inf_normal</t>
  </si>
  <si>
    <t>speedConfig_Inf_normal</t>
  </si>
  <si>
    <t>excute_time_Inf_normal</t>
  </si>
  <si>
    <t>FPDC_DLLVersion</t>
  </si>
  <si>
    <t>T220923211520274VCMLEBC040</t>
  </si>
  <si>
    <t>'20220923211521</t>
  </si>
  <si>
    <t>'2022-09-23 21:15:49:487</t>
  </si>
  <si>
    <t>EPSSWEXCEPTION_POR_R22A_IPQC_MFG_SFRInfinity_C20_22051701_5d43eac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</si>
  <si>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</si>
  <si>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</si>
  <si>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</si>
  <si>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</si>
  <si>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</si>
  <si>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</si>
  <si>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</si>
  <si>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</si>
  <si>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</si>
  <si>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</si>
  <si>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</si>
  <si>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</si>
  <si>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</si>
  <si>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</si>
  <si>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</si>
  <si>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21:15:39:463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</si>
  <si>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</si>
  <si>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</si>
  <si>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</si>
  <si>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</si>
  <si>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</si>
  <si>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</si>
  <si>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</si>
  <si>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</si>
  <si>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</si>
  <si>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</si>
  <si>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</si>
  <si>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</si>
  <si>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</si>
  <si>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</si>
  <si>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</si>
  <si>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</si>
  <si>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</si>
  <si>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</si>
  <si>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</si>
  <si>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</si>
  <si>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</si>
  <si>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</si>
  <si>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</si>
  <si>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</si>
  <si>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</si>
  <si>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</si>
  <si>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</si>
  <si>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</si>
  <si>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</si>
  <si>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</si>
  <si>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</si>
  <si>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</si>
  <si>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</si>
  <si>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</si>
  <si>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</si>
  <si>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</si>
  <si>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</si>
  <si>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</si>
  <si>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</si>
  <si>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</si>
  <si>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</si>
  <si>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</si>
  <si>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</si>
  <si>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</si>
  <si>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</si>
  <si>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</si>
  <si>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</si>
  <si>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</si>
  <si>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</si>
  <si>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</si>
  <si>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</si>
  <si>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</si>
  <si>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</si>
  <si>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</si>
  <si>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</si>
  <si>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</si>
  <si>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</si>
  <si>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</si>
  <si>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</si>
  <si>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</si>
  <si>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</si>
  <si>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</si>
  <si>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</si>
  <si>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</si>
  <si>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</si>
  <si>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</si>
  <si>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</si>
  <si>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</si>
  <si>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</si>
  <si>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</si>
  <si>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</si>
  <si>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</si>
  <si>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</si>
  <si>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</si>
  <si>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</si>
  <si>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</si>
  <si>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</si>
  <si>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</si>
  <si>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</si>
  <si>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</si>
  <si>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</si>
  <si>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</si>
  <si>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</si>
  <si>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</si>
  <si>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</si>
  <si>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</si>
  <si>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</si>
  <si>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</si>
  <si>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</si>
  <si>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</si>
  <si>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</si>
  <si>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</si>
  <si>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</si>
  <si>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</si>
  <si>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</si>
  <si>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</si>
  <si>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</si>
  <si>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</si>
  <si>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</si>
  <si>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</si>
  <si>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</si>
  <si>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</si>
  <si>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</si>
  <si>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</si>
  <si>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</si>
  <si>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</si>
  <si>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</si>
  <si>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</si>
  <si>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</si>
  <si>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</si>
  <si>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</si>
  <si>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</si>
  <si>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</si>
  <si>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</si>
  <si>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</si>
  <si>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</si>
  <si>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</si>
  <si>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</si>
  <si>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</si>
  <si>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</si>
  <si>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</si>
  <si>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</si>
  <si>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</si>
  <si>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</si>
  <si>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</si>
  <si>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</si>
  <si>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</si>
  <si>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</si>
  <si>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</si>
  <si>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</si>
  <si>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</si>
  <si>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</si>
  <si>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</si>
  <si>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</si>
  <si>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</si>
  <si>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</si>
  <si>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</si>
  <si>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</si>
  <si>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</si>
  <si>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</si>
  <si>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</si>
  <si>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</si>
  <si>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</si>
  <si>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</si>
  <si>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</si>
  <si>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</si>
  <si>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</si>
  <si>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</si>
  <si>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</si>
  <si>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</si>
  <si>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</si>
  <si>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</si>
  <si>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</si>
  <si>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</si>
  <si>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</si>
  <si>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</si>
  <si>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</si>
  <si>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</si>
  <si>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</si>
  <si>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</si>
  <si>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</si>
  <si>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</si>
  <si>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</si>
  <si>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</si>
  <si>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</si>
  <si>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</si>
  <si>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</si>
  <si>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</si>
  <si>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</si>
  <si>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</si>
  <si>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</si>
  <si>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</si>
  <si>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</si>
  <si>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</si>
  <si>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</si>
  <si>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</si>
  <si>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</si>
  <si>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</si>
  <si>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</si>
  <si>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</si>
  <si>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</si>
  <si>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</si>
  <si>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</si>
  <si>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</si>
  <si>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</si>
  <si>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</si>
  <si>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</si>
  <si>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</si>
  <si>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</si>
  <si>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</si>
  <si>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</si>
  <si>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</si>
  <si>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</si>
  <si>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</si>
  <si>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</si>
  <si>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</si>
  <si>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</si>
  <si>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</si>
  <si>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</si>
  <si>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</si>
  <si>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</si>
  <si>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</si>
  <si>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</si>
  <si>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</si>
  <si>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</si>
  <si>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</si>
  <si>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</si>
  <si>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</si>
  <si>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</si>
  <si>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</si>
  <si>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</si>
  <si>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</si>
  <si>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</si>
  <si>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</si>
  <si>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</si>
  <si>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</si>
  <si>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</si>
  <si>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</si>
  <si>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</si>
  <si>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</si>
  <si>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</si>
  <si>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</si>
  <si>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</si>
  <si>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</si>
  <si>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</si>
  <si>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</si>
  <si>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</si>
  <si>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</si>
  <si>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</si>
  <si>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</si>
  <si>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</si>
  <si>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</si>
  <si>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</si>
  <si>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</si>
  <si>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</si>
  <si>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</si>
  <si>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</si>
  <si>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</si>
  <si>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</si>
  <si>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</si>
  <si>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</si>
  <si>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</si>
  <si>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</si>
  <si>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</si>
  <si>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</si>
  <si>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</si>
  <si>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</si>
  <si>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</si>
  <si>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</si>
  <si>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</si>
  <si>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</si>
  <si>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</si>
  <si>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</si>
  <si>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</si>
  <si>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</si>
  <si>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</si>
  <si>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vcm_jumpStep_btm_normalized_ummA</t>
  </si>
  <si>
    <t>vcm_jumpStep_top_normalized_ummA</t>
  </si>
  <si>
    <t>vcm_jumpStep_linear_normalized_ummA</t>
  </si>
  <si>
    <t>vcm_versionERS</t>
  </si>
  <si>
    <t>T220923211505556VCMLEBC040</t>
  </si>
  <si>
    <t>'20220923211507</t>
  </si>
  <si>
    <t>'2022-09-23 21:15:18:113</t>
  </si>
  <si>
    <t>EPSSWEXCEPTION_POR_R22A_IPQC_MFG_Laser_C20_22051701_5d43eac</t>
  </si>
  <si>
    <t>v9p402</t>
  </si>
  <si>
    <t>T220923211607136VCMLEBC040</t>
  </si>
  <si>
    <t>'20220923211608</t>
  </si>
  <si>
    <t>'2022-09-23 21:16:15:978</t>
  </si>
  <si>
    <t>22cb72230938</t>
  </si>
  <si>
    <t>0x528011628a595e05</t>
  </si>
  <si>
    <t>MF9C3549B00Z42B6B830018111</t>
  </si>
  <si>
    <t>MF3C3463A1TT14A7A649</t>
  </si>
  <si>
    <t>DNA22291013960G09A</t>
  </si>
  <si>
    <t>T220923211618751VCMLEBC040</t>
  </si>
  <si>
    <t>'20220923211620</t>
  </si>
  <si>
    <t>'2022-09-23 21:16:31:330</t>
  </si>
  <si>
    <t>T220923211633562VCMLEBC040</t>
  </si>
  <si>
    <t>'20220923211635</t>
  </si>
  <si>
    <t>'2022-09-23 21:17:02:229</t>
  </si>
  <si>
    <t>'2022-09-23 21:16:52:206</t>
  </si>
  <si>
    <t>T220923211714622VCMLEBC040</t>
  </si>
  <si>
    <t>'20220923211716</t>
  </si>
  <si>
    <t>'2022-09-23 21:17:23:503</t>
  </si>
  <si>
    <t>22cb72230398</t>
  </si>
  <si>
    <t>0x528015629bb2fc07</t>
  </si>
  <si>
    <t>MF9C3549B06J42B6C332025116</t>
  </si>
  <si>
    <t>MF3C3463A1TN14A7A653</t>
  </si>
  <si>
    <t>DNA22291013960H14A</t>
  </si>
  <si>
    <t>T220923211726663VCMLEBC040</t>
  </si>
  <si>
    <t>'20220923211728</t>
  </si>
  <si>
    <t>'2022-09-23 21:17:39:225</t>
  </si>
  <si>
    <t>T220923211741384VCMLEBC040</t>
  </si>
  <si>
    <t>'20220923211743</t>
  </si>
  <si>
    <t>'2022-09-23 21:18:10:429</t>
  </si>
  <si>
    <t>'2022-09-23 21:18:00:399</t>
  </si>
  <si>
    <t>T220923212004411VCMLEBC040</t>
  </si>
  <si>
    <t>'20220923212006</t>
  </si>
  <si>
    <t>'2022-09-23 21:20:13:169</t>
  </si>
  <si>
    <t>22cb72230401</t>
  </si>
  <si>
    <t>0x528011628a7d7e07</t>
  </si>
  <si>
    <t>MF9C3549B06Z42B6B335050109</t>
  </si>
  <si>
    <t>MF3C3463A1TM14A7A645</t>
  </si>
  <si>
    <t>DNA22264011650M10A</t>
  </si>
  <si>
    <t>T220923212030671VCMLEBC040</t>
  </si>
  <si>
    <t>'20220923212032</t>
  </si>
  <si>
    <t>'2022-09-23 21:20:59:583</t>
  </si>
  <si>
    <t>'2022-09-23 21:20:49:560</t>
  </si>
  <si>
    <t>T220923212015950VCMLEBC040</t>
  </si>
  <si>
    <t>'20220923212017</t>
  </si>
  <si>
    <t>'2022-09-23 21:20:28:504</t>
  </si>
  <si>
    <t>T220923212108869VCMLEBC040</t>
  </si>
  <si>
    <t>'20220923212110</t>
  </si>
  <si>
    <t>'2022-09-23 21:21:17:710</t>
  </si>
  <si>
    <t>22cb72230579</t>
  </si>
  <si>
    <t>0x528015629bb28405</t>
  </si>
  <si>
    <t>MF9C3549B0NV42B6B836021119</t>
  </si>
  <si>
    <t>MF3C3463A1TG14A7A650</t>
  </si>
  <si>
    <t>DNA22264011610A08A</t>
  </si>
  <si>
    <t>T220923212120595VCMLEBC040</t>
  </si>
  <si>
    <t>'20220923212122</t>
  </si>
  <si>
    <t>'2022-09-23 21:21:33:150</t>
  </si>
  <si>
    <t>T220923212219747VCMLEBC040</t>
  </si>
  <si>
    <t>'20220923212221</t>
  </si>
  <si>
    <t>'2022-09-23 21:22:28:963</t>
  </si>
  <si>
    <t>22cb72230340</t>
  </si>
  <si>
    <t>0x528011628a591906</t>
  </si>
  <si>
    <t>MF9C3549B0KV42B6B632058103</t>
  </si>
  <si>
    <t>MF3C3463A2A414A7A637</t>
  </si>
  <si>
    <t>DNA22301073130G12A</t>
  </si>
  <si>
    <t>T220923212135398VCMLEBC040</t>
  </si>
  <si>
    <t>'20220923212137</t>
  </si>
  <si>
    <t>'2022-09-23 21:22:04:201</t>
  </si>
  <si>
    <t>'2022-09-23 21:21:54:172</t>
  </si>
  <si>
    <t>T220923212231724VCMLEBC040</t>
  </si>
  <si>
    <t>'20220923212233</t>
  </si>
  <si>
    <t>'2022-09-23 21:22:44:280</t>
  </si>
  <si>
    <t>T220923212246528VCMLEBC040</t>
  </si>
  <si>
    <t>'20220923212248</t>
  </si>
  <si>
    <t>'2022-09-23 21:23:15:733</t>
  </si>
  <si>
    <t>'2022-09-23 21:23:05:700</t>
  </si>
  <si>
    <t>T220923212330972VCMLEBC040</t>
  </si>
  <si>
    <t>'20220923212332</t>
  </si>
  <si>
    <t>'2022-09-23 21:23:40:232</t>
  </si>
  <si>
    <t>22cb72230370</t>
  </si>
  <si>
    <t>0x528011628a7e6c06</t>
  </si>
  <si>
    <t>MF9C3549B0NR42B6C133030119</t>
  </si>
  <si>
    <t>MF3C3463A1TL14A7A635</t>
  </si>
  <si>
    <t>DNA22264011610B03A</t>
  </si>
  <si>
    <t>T220923212357806VCMLEBC040</t>
  </si>
  <si>
    <t>'20220923212359</t>
  </si>
  <si>
    <t>'2022-09-23 21:24:16:883</t>
  </si>
  <si>
    <t>T220923212342997VCMLEBC040</t>
  </si>
  <si>
    <t>'20220923212344</t>
  </si>
  <si>
    <t>'2022-09-23 21:23:55:551</t>
  </si>
  <si>
    <t>'2022-09-23 21:24:26:906</t>
  </si>
  <si>
    <t>T220923212443260VCMLEBC040</t>
  </si>
  <si>
    <t>'20220923212444</t>
  </si>
  <si>
    <t>'2022-09-23 21:24:52:169</t>
  </si>
  <si>
    <t>22cb72230371</t>
  </si>
  <si>
    <t>0x528015629bb22006</t>
  </si>
  <si>
    <t>MF9C3549B0M842B6B733032119</t>
  </si>
  <si>
    <t>MF3C3463A2A514A7A634</t>
  </si>
  <si>
    <t>DNA22301073020I11A</t>
  </si>
  <si>
    <t>T220923212454929VCMLEBC040</t>
  </si>
  <si>
    <t>'20220923212456</t>
  </si>
  <si>
    <t>'2022-09-23 21:25:07:501</t>
  </si>
  <si>
    <t>T220923212509682VCMLEBC040</t>
  </si>
  <si>
    <t>'20220923212511</t>
  </si>
  <si>
    <t>'2022-09-23 21:25:38:925</t>
  </si>
  <si>
    <t>'2022-09-23 21:25:28:898</t>
  </si>
  <si>
    <t>T220923212555912VCMLEBC040</t>
  </si>
  <si>
    <t>'20220923212557</t>
  </si>
  <si>
    <t>'2022-09-23 21:26:05:075</t>
  </si>
  <si>
    <t>22cb72230549</t>
  </si>
  <si>
    <t>0x528018629f28b605</t>
  </si>
  <si>
    <t>MF9C3549B0L442B6B538068103</t>
  </si>
  <si>
    <t>MF3C3463A2A314A7A648</t>
  </si>
  <si>
    <t>DNA22295013050D14A</t>
  </si>
  <si>
    <t>T220923212623639VCMLEBC040</t>
  </si>
  <si>
    <t>'20220923212625</t>
  </si>
  <si>
    <t>'2022-09-23 21:26:52:415</t>
  </si>
  <si>
    <t>'2022-09-23 21:26:42:389</t>
  </si>
  <si>
    <t>T220923212608836VCMLEBC040</t>
  </si>
  <si>
    <t>'20220923212610</t>
  </si>
  <si>
    <t>'2022-09-23 21:26:21:397</t>
  </si>
  <si>
    <t>T220923212703857VCMLEBC040</t>
  </si>
  <si>
    <t>'20220923212705</t>
  </si>
  <si>
    <t>'2022-09-23 21:27:12:750</t>
  </si>
  <si>
    <t>22cb72240931</t>
  </si>
  <si>
    <t>0x528015629bb25806</t>
  </si>
  <si>
    <t>MFAC355AB7R7B4B6C036014000</t>
  </si>
  <si>
    <t>MF3C3463A1TA14A7A647</t>
  </si>
  <si>
    <t>DNA22291013440A13A</t>
  </si>
  <si>
    <t>T220923212824694VCMLEBC040</t>
  </si>
  <si>
    <t>'20220923212826</t>
  </si>
  <si>
    <t>'2022-09-23 21:28:33:877</t>
  </si>
  <si>
    <t>22cb72230810</t>
  </si>
  <si>
    <t>0x528011628a5a3e06</t>
  </si>
  <si>
    <t>MF9C3549B05D42B6B327053111</t>
  </si>
  <si>
    <t>MF3C3463A29Y14A7A648</t>
  </si>
  <si>
    <t>DNA22301070540H11A</t>
  </si>
  <si>
    <t>T220923212730336VCMLEBC040</t>
  </si>
  <si>
    <t>'20220923212731</t>
  </si>
  <si>
    <t>'2022-09-23 21:27:59:207</t>
  </si>
  <si>
    <t>T220923212851476VCMLEBC040</t>
  </si>
  <si>
    <t>'20220923212853</t>
  </si>
  <si>
    <t>'2022-09-23 21:29:20:494</t>
  </si>
  <si>
    <t>'2022-09-23 21:27:49:178</t>
  </si>
  <si>
    <t>'2022-09-23 21:29:10:472</t>
  </si>
  <si>
    <t>T220923212715529VCMLEBC040</t>
  </si>
  <si>
    <t>'20220923212717</t>
  </si>
  <si>
    <t>'2022-09-23 21:27:28:084</t>
  </si>
  <si>
    <t>T220923212836663VCMLEBC040</t>
  </si>
  <si>
    <t>'20220923212838</t>
  </si>
  <si>
    <t>'2022-09-23 21:28:49:229</t>
  </si>
  <si>
    <t>T220923212940025VCMLEBC040</t>
  </si>
  <si>
    <t>'20220923212941</t>
  </si>
  <si>
    <t>'2022-09-23 21:29:48:754</t>
  </si>
  <si>
    <t>22cb72230463</t>
  </si>
  <si>
    <t>0x528011628a5b2902</t>
  </si>
  <si>
    <t>MF9C3549B00R42B6B732034111</t>
  </si>
  <si>
    <t>MF3C3463A2A014A7A641</t>
  </si>
  <si>
    <t>DNA22301073130H05A</t>
  </si>
  <si>
    <t>T220923213006317VCMLEBC040</t>
  </si>
  <si>
    <t>'20220923213007</t>
  </si>
  <si>
    <t>'2022-09-23 21:30:35:760</t>
  </si>
  <si>
    <t>'2022-09-23 21:30:25:734</t>
  </si>
  <si>
    <t>T220923212951514VCMLEBC040</t>
  </si>
  <si>
    <t>'20220923212953</t>
  </si>
  <si>
    <t>'2022-09-23 21:30:04:073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</si>
</sst>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3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18"/>
      <color theme="1"/>
      <name val="Arial"/>
      <family val="2"/>
    </font>
    <font>
      <b/>
      <sz val="2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>
      <alignment vertical="center"/>
    </xf>
  </cellStyleXfs>
  <cellXfs count="101">
    <xf numFmtId="0" fontId="0" fillId="0" borderId="0" xfId="0"/>
    <xf numFmtId="0" fontId="5" fillId="6" borderId="0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  <xf numFmtId="0" fontId="5" fillId="2" borderId="1" xfId="1" applyNumberFormat="1" applyFill="1" applyBorder="1" applyAlignment="1">
      <alignment horizontal="center" vertical="center"/>
    </xf>
    <xf numFmtId="0" fontId="5" fillId="2" borderId="0" xfId="1" applyNumberFormat="1" applyFill="1" applyBorder="1" applyAlignment="1">
      <alignment horizontal="center" vertical="center"/>
    </xf>
    <xf numFmtId="0" fontId="5" fillId="6" borderId="5" xfId="1" applyNumberFormat="1" applyFill="1" applyBorder="1" applyAlignment="1">
      <alignment horizontal="center" vertical="center"/>
    </xf>
    <xf numFmtId="0" fontId="5" fillId="5" borderId="14" xfId="1" applyNumberFormat="1" applyFill="1" applyBorder="1" applyAlignment="1">
      <alignment horizontal="center" vertical="center"/>
    </xf>
    <xf numFmtId="0" fontId="4" fillId="6" borderId="0" xfId="1" applyNumberFormat="1" applyFont="1" applyFill="1" applyBorder="1" applyAlignment="1">
      <alignment horizontal="center" vertical="center"/>
    </xf>
    <xf numFmtId="0" fontId="5" fillId="6" borderId="6" xfId="1" applyNumberFormat="1" applyFill="1" applyBorder="1" applyAlignment="1">
      <alignment horizontal="center" vertical="center"/>
    </xf>
    <xf numFmtId="0" fontId="5" fillId="5" borderId="15" xfId="1" applyNumberFormat="1" applyFill="1" applyBorder="1" applyAlignment="1">
      <alignment horizontal="center" vertical="center"/>
    </xf>
    <xf numFmtId="0" fontId="5" fillId="6" borderId="7" xfId="1" applyNumberFormat="1" applyFill="1" applyBorder="1" applyAlignment="1">
      <alignment horizontal="center" vertical="center"/>
    </xf>
    <xf numFmtId="0" fontId="5" fillId="5" borderId="16" xfId="1" applyNumberFormat="1" applyFill="1" applyBorder="1" applyAlignment="1">
      <alignment horizontal="center" vertical="center"/>
    </xf>
    <xf numFmtId="0" fontId="5" fillId="6" borderId="17" xfId="1" applyNumberFormat="1" applyFill="1" applyBorder="1" applyAlignment="1">
      <alignment horizontal="center" vertical="center"/>
    </xf>
    <xf numFmtId="0" fontId="5" fillId="6" borderId="18" xfId="1" applyNumberFormat="1" applyFill="1" applyBorder="1" applyAlignment="1">
      <alignment horizontal="center" vertical="center"/>
    </xf>
    <xf numFmtId="0" fontId="5" fillId="6" borderId="11" xfId="1" applyNumberFormat="1" applyFill="1" applyBorder="1" applyAlignment="1">
      <alignment horizontal="center" vertical="center"/>
    </xf>
    <xf numFmtId="0" fontId="5" fillId="6" borderId="12" xfId="1" applyNumberFormat="1" applyFill="1" applyBorder="1" applyAlignment="1">
      <alignment horizontal="center" vertical="center"/>
    </xf>
    <xf numFmtId="0" fontId="5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2">
      <alignment vertical="center"/>
    </xf>
    <xf numFmtId="0" fontId="7" fillId="8" borderId="1" xfId="2" applyFont="1" applyFill="1" applyBorder="1" applyAlignment="1">
      <alignment horizontal="center" vertical="center" wrapText="1"/>
    </xf>
    <xf numFmtId="0" fontId="8" fillId="0" borderId="1" xfId="2" applyFont="1" applyBorder="1">
      <alignment vertical="center"/>
    </xf>
    <xf numFmtId="0" fontId="3" fillId="0" borderId="0" xfId="2" applyAlignment="1">
      <alignment vertical="center"/>
    </xf>
    <xf numFmtId="0" fontId="7" fillId="8" borderId="1" xfId="2" applyFont="1" applyFill="1" applyBorder="1" applyAlignment="1">
      <alignment horizontal="center" vertical="center"/>
    </xf>
    <xf numFmtId="0" fontId="8" fillId="9" borderId="1" xfId="2" applyFont="1" applyFill="1" applyBorder="1">
      <alignment vertical="center"/>
    </xf>
    <xf numFmtId="0" fontId="9" fillId="9" borderId="1" xfId="2" applyFont="1" applyFill="1" applyBorder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7" fillId="2" borderId="1" xfId="2" applyFont="1" applyFill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0" fillId="0" borderId="1" xfId="0" applyBorder="1"/>
    <xf numFmtId="0" fontId="2" fillId="0" borderId="0" xfId="2" applyFont="1" applyAlignment="1">
      <alignment horizontal="center" vertical="center"/>
    </xf>
    <xf numFmtId="0" fontId="18" fillId="0" borderId="0" xfId="0" applyFont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3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22" fillId="2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 applyProtection="1">
      <alignment horizontal="center" vertical="center"/>
    </xf>
    <xf numFmtId="0" fontId="18" fillId="6" borderId="30" xfId="0" applyFont="1" applyFill="1" applyBorder="1" applyAlignment="1" applyProtection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9" fillId="2" borderId="30" xfId="0" applyFont="1" applyFill="1" applyBorder="1" applyAlignment="1" applyProtection="1">
      <alignment horizontal="center" vertical="center"/>
      <protection locked="0"/>
    </xf>
    <xf numFmtId="0" fontId="19" fillId="2" borderId="31" xfId="0" applyFont="1" applyFill="1" applyBorder="1" applyAlignment="1" applyProtection="1">
      <alignment horizontal="center" vertical="center"/>
      <protection locked="0"/>
    </xf>
    <xf numFmtId="0" fontId="19" fillId="2" borderId="32" xfId="0" applyFont="1" applyFill="1" applyBorder="1" applyAlignment="1" applyProtection="1">
      <alignment horizontal="center" vertical="center"/>
      <protection locked="0"/>
    </xf>
    <xf numFmtId="0" fontId="21" fillId="0" borderId="9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14" fillId="0" borderId="1" xfId="0" applyNumberFormat="1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" fillId="6" borderId="8" xfId="1" applyNumberFormat="1" applyFill="1" applyBorder="1" applyAlignment="1">
      <alignment horizontal="center" vertical="center"/>
    </xf>
    <xf numFmtId="0" fontId="5" fillId="6" borderId="9" xfId="1" applyNumberFormat="1" applyFill="1" applyBorder="1" applyAlignment="1">
      <alignment horizontal="center" vertical="center"/>
    </xf>
    <xf numFmtId="0" fontId="5" fillId="6" borderId="10" xfId="1" applyNumberFormat="1" applyFill="1" applyBorder="1" applyAlignment="1">
      <alignment horizontal="center" vertical="center"/>
    </xf>
    <xf numFmtId="0" fontId="5" fillId="6" borderId="2" xfId="1" applyNumberFormat="1" applyFill="1" applyBorder="1" applyAlignment="1">
      <alignment horizontal="center" vertical="center"/>
    </xf>
    <xf numFmtId="0" fontId="5" fillId="6" borderId="3" xfId="1" applyNumberFormat="1" applyFill="1" applyBorder="1" applyAlignment="1">
      <alignment horizontal="center" vertical="center"/>
    </xf>
    <xf numFmtId="0" fontId="5" fillId="6" borderId="4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</cellXfs>
  <cellStyles count="3">
    <cellStyle name="Normal 2" xfId="2"/>
    <cellStyle name="표준" xfId="0" builtinId="0"/>
    <cellStyle name="표준 2" xfId="1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'Summary(3pcs)'!$M$35:$M$38</c:f>
              <c:numCache>
                <c:formatCode>0.000</c:formatCode>
                <c:ptCount val="4"/>
                <c:pt idx="0">
                  <c:v>-0.89438787799999997</c:v>
                </c:pt>
                <c:pt idx="1">
                  <c:v>-10.0408013179</c:v>
                </c:pt>
                <c:pt idx="2">
                  <c:v>-2.0353727972</c:v>
                </c:pt>
                <c:pt idx="3">
                  <c:v>-2.0133754165000002</c:v>
                </c:pt>
              </c:numCache>
            </c:numRef>
          </c:xVal>
          <c:yVal>
            <c:numRef>
              <c:f>'Summary(3pcs)'!$N$35:$N$38</c:f>
              <c:numCache>
                <c:formatCode>0.000</c:formatCode>
                <c:ptCount val="4"/>
                <c:pt idx="0">
                  <c:v>-2.7025167691999998</c:v>
                </c:pt>
                <c:pt idx="1">
                  <c:v>-7.9534599927999992</c:v>
                </c:pt>
                <c:pt idx="2">
                  <c:v>-5.9496530972000006</c:v>
                </c:pt>
                <c:pt idx="3">
                  <c:v>1.0980198431999999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'Summary(3pcs)'!$O$35</c:f>
              <c:numCache>
                <c:formatCode>0.00</c:formatCode>
                <c:ptCount val="1"/>
                <c:pt idx="0">
                  <c:v>-4.3235206643666659</c:v>
                </c:pt>
              </c:numCache>
            </c:numRef>
          </c:xVal>
          <c:yVal>
            <c:numRef>
              <c:f>'Summary(3pcs)'!$P$35</c:f>
              <c:numCache>
                <c:formatCode>0.00</c:formatCode>
                <c:ptCount val="1"/>
                <c:pt idx="0">
                  <c:v>-5.5352099530666665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3040"/>
        <c:axId val="50061696"/>
      </c:scatterChart>
      <c:valAx>
        <c:axId val="5002304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061696"/>
        <c:crosses val="autoZero"/>
        <c:crossBetween val="midCat"/>
        <c:majorUnit val="10"/>
      </c:valAx>
      <c:valAx>
        <c:axId val="5006169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023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'Summary(3pcs)'!$M$39:$M$42</c:f>
              <c:numCache>
                <c:formatCode>0.000</c:formatCode>
                <c:ptCount val="4"/>
                <c:pt idx="0">
                  <c:v>-1.1509060649</c:v>
                </c:pt>
                <c:pt idx="1">
                  <c:v>4.3881287765000003</c:v>
                </c:pt>
                <c:pt idx="2">
                  <c:v>-5.1789555000000001E-2</c:v>
                </c:pt>
                <c:pt idx="3">
                  <c:v>-5.5019331019999997</c:v>
                </c:pt>
              </c:numCache>
            </c:numRef>
          </c:xVal>
          <c:yVal>
            <c:numRef>
              <c:f>'Summary(3pcs)'!$N$39:$N$42</c:f>
              <c:numCache>
                <c:formatCode>0.000</c:formatCode>
                <c:ptCount val="4"/>
                <c:pt idx="0">
                  <c:v>-7.2817786222999992</c:v>
                </c:pt>
                <c:pt idx="1">
                  <c:v>6.3155151606000004</c:v>
                </c:pt>
                <c:pt idx="2">
                  <c:v>-1.6424867685000004</c:v>
                </c:pt>
                <c:pt idx="3">
                  <c:v>-7.3171314857999992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'Summary(3pcs)'!$O$38</c:f>
              <c:numCache>
                <c:formatCode>0.00</c:formatCode>
                <c:ptCount val="1"/>
                <c:pt idx="0">
                  <c:v>0.40794909836666671</c:v>
                </c:pt>
              </c:numCache>
            </c:numRef>
          </c:xVal>
          <c:yVal>
            <c:numRef>
              <c:f>'Summary(3pcs)'!$P$38</c:f>
              <c:numCache>
                <c:formatCode>0.00</c:formatCode>
                <c:ptCount val="1"/>
                <c:pt idx="0">
                  <c:v>4.391879383333356E-2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29792"/>
        <c:axId val="48531328"/>
      </c:scatterChart>
      <c:valAx>
        <c:axId val="485297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531328"/>
        <c:crosses val="autoZero"/>
        <c:crossBetween val="midCat"/>
        <c:majorUnit val="10"/>
      </c:valAx>
      <c:valAx>
        <c:axId val="485313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529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'Summary(3pcs)'!$M$43:$M$45</c:f>
              <c:numCache>
                <c:formatCode>0,000</c:formatCode>
                <c:ptCount val="3"/>
                <c:pt idx="0">
                  <c:v>-2.729820895</c:v>
                </c:pt>
                <c:pt idx="1">
                  <c:v>5.4677501316999999</c:v>
                </c:pt>
                <c:pt idx="2">
                  <c:v>-4.0715190551999996</c:v>
                </c:pt>
              </c:numCache>
            </c:numRef>
          </c:xVal>
          <c:yVal>
            <c:numRef>
              <c:f>'Summary(3pcs)'!$N$43:$N$45</c:f>
              <c:numCache>
                <c:formatCode>0,000</c:formatCode>
                <c:ptCount val="3"/>
                <c:pt idx="0">
                  <c:v>2.3114219798</c:v>
                </c:pt>
                <c:pt idx="1">
                  <c:v>-0.45732309000000004</c:v>
                </c:pt>
                <c:pt idx="2">
                  <c:v>-10.450076597700001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'Summary(3pcs)'!$O$41</c:f>
              <c:numCache>
                <c:formatCode>0.00</c:formatCode>
                <c:ptCount val="1"/>
                <c:pt idx="0">
                  <c:v>-2.7611811839999998</c:v>
                </c:pt>
              </c:numCache>
            </c:numRef>
          </c:xVal>
          <c:yVal>
            <c:numRef>
              <c:f>'Summary(3pcs)'!$P$41</c:f>
              <c:numCache>
                <c:formatCode>0.00</c:formatCode>
                <c:ptCount val="1"/>
                <c:pt idx="0">
                  <c:v>-2.2160654248333334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60000"/>
        <c:axId val="48561536"/>
      </c:scatterChart>
      <c:valAx>
        <c:axId val="4856000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561536"/>
        <c:crosses val="autoZero"/>
        <c:crossBetween val="midCat"/>
        <c:majorUnit val="10"/>
      </c:valAx>
      <c:valAx>
        <c:axId val="4856153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56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'Summary(3pcs)'!$M$46:$M$46</c:f>
              <c:numCache>
                <c:formatCode>0,000</c:formatCode>
                <c:ptCount val="1"/>
                <c:pt idx="0">
                  <c:v>8.0979730252</c:v>
                </c:pt>
              </c:numCache>
            </c:numRef>
          </c:xVal>
          <c:yVal>
            <c:numRef>
              <c:f>'Summary(3pcs)'!$N$46:$N$46</c:f>
              <c:numCache>
                <c:formatCode>0,000</c:formatCode>
                <c:ptCount val="1"/>
                <c:pt idx="0">
                  <c:v>-10.085739008199999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'Summary(3pcs)'!$O$44</c:f>
              <c:numCache>
                <c:formatCode>0.00</c:formatCode>
                <c:ptCount val="1"/>
                <c:pt idx="0">
                  <c:v>3.1647347005666666</c:v>
                </c:pt>
              </c:numCache>
            </c:numRef>
          </c:xVal>
          <c:yVal>
            <c:numRef>
              <c:f>'Summary(3pcs)'!$P$44</c:f>
              <c:numCache>
                <c:formatCode>0.00</c:formatCode>
                <c:ptCount val="1"/>
                <c:pt idx="0">
                  <c:v>-6.9977128986333339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77184"/>
        <c:axId val="60078720"/>
      </c:scatterChart>
      <c:valAx>
        <c:axId val="6007718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078720"/>
        <c:crosses val="autoZero"/>
        <c:crossBetween val="midCat"/>
        <c:majorUnit val="10"/>
      </c:valAx>
      <c:valAx>
        <c:axId val="6007872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07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'Summary(3pcs)'!$C$35:$C$36</c:f>
              <c:numCache>
                <c:formatCode>0.000</c:formatCode>
                <c:ptCount val="2"/>
                <c:pt idx="0">
                  <c:v>80.236917180600003</c:v>
                </c:pt>
                <c:pt idx="1">
                  <c:v>79.441053788399998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'Summary(3pcs)'!$F$35:$F$37</c:f>
              <c:numCache>
                <c:formatCode>0.000</c:formatCode>
                <c:ptCount val="3"/>
                <c:pt idx="0">
                  <c:v>82.590650081233335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00864"/>
        <c:axId val="50106752"/>
      </c:scatterChart>
      <c:valAx>
        <c:axId val="5010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106752"/>
        <c:crosses val="autoZero"/>
        <c:crossBetween val="midCat"/>
      </c:valAx>
      <c:valAx>
        <c:axId val="5010675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100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'Summary(3pcs)'!$C$37:$C$39</c:f>
              <c:numCache>
                <c:formatCode>0.000</c:formatCode>
                <c:ptCount val="3"/>
                <c:pt idx="0">
                  <c:v>88.093979274700004</c:v>
                </c:pt>
                <c:pt idx="1">
                  <c:v>86.458562703200002</c:v>
                </c:pt>
                <c:pt idx="2">
                  <c:v>87.580517096899996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'Summary(3pcs)'!$F$38:$F$40</c:f>
              <c:numCache>
                <c:formatCode>0.000</c:formatCode>
                <c:ptCount val="3"/>
                <c:pt idx="0">
                  <c:v>86.611674689066675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56288"/>
        <c:axId val="50157824"/>
      </c:scatterChart>
      <c:valAx>
        <c:axId val="5015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157824"/>
        <c:crosses val="autoZero"/>
        <c:crossBetween val="midCat"/>
      </c:valAx>
      <c:valAx>
        <c:axId val="5015782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156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'Summary(3pcs)'!$C$40:$C$42</c:f>
              <c:numCache>
                <c:formatCode>0,000</c:formatCode>
                <c:ptCount val="3"/>
                <c:pt idx="0">
                  <c:v>85.795944267099998</c:v>
                </c:pt>
                <c:pt idx="1">
                  <c:v>86.679477705400004</c:v>
                </c:pt>
                <c:pt idx="2">
                  <c:v>86.800696943000005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'Summary(3pcs)'!$F$41:$F$43</c:f>
              <c:numCache>
                <c:formatCode>0,000</c:formatCode>
                <c:ptCount val="3"/>
                <c:pt idx="0">
                  <c:v>86.939482632400015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01344"/>
        <c:axId val="50202880"/>
      </c:scatterChart>
      <c:valAx>
        <c:axId val="5020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202880"/>
        <c:crosses val="autoZero"/>
        <c:crossBetween val="midCat"/>
      </c:valAx>
      <c:valAx>
        <c:axId val="5020288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201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'Summary(3pcs)'!$C$43:$C$45</c:f>
              <c:numCache>
                <c:formatCode>0,000</c:formatCode>
                <c:ptCount val="3"/>
                <c:pt idx="0">
                  <c:v>87.338273248799993</c:v>
                </c:pt>
                <c:pt idx="1">
                  <c:v>95.199526310400003</c:v>
                </c:pt>
                <c:pt idx="2">
                  <c:v>87.818454839300003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'Summary(3pcs)'!$F$44:$F$46</c:f>
              <c:numCache>
                <c:formatCode>0,000</c:formatCode>
                <c:ptCount val="3"/>
                <c:pt idx="0">
                  <c:v>91.599919714033334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38976"/>
        <c:axId val="50240512"/>
      </c:scatterChart>
      <c:valAx>
        <c:axId val="50238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240512"/>
        <c:crosses val="autoZero"/>
        <c:crossBetween val="midCat"/>
      </c:valAx>
      <c:valAx>
        <c:axId val="5024051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238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'Summary(3pcs)'!$V$38:$V$40</c:f>
              <c:numCache>
                <c:formatCode>General</c:formatCode>
                <c:ptCount val="3"/>
                <c:pt idx="0">
                  <c:v>11.9602108002</c:v>
                </c:pt>
                <c:pt idx="1">
                  <c:v>4.4330883025999999</c:v>
                </c:pt>
                <c:pt idx="2">
                  <c:v>2.2252988814999997</c:v>
                </c:pt>
              </c:numCache>
            </c:numRef>
          </c:xVal>
          <c:yVal>
            <c:numRef>
              <c:f>'Summary(3pcs)'!$W$38:$W$40</c:f>
              <c:numCache>
                <c:formatCode>General</c:formatCode>
                <c:ptCount val="3"/>
                <c:pt idx="0">
                  <c:v>9.7464561461999999</c:v>
                </c:pt>
                <c:pt idx="1">
                  <c:v>-1.6432557106000001</c:v>
                </c:pt>
                <c:pt idx="2">
                  <c:v>3.6019716263000001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'Summary(3pcs)'!$X$38</c:f>
              <c:numCache>
                <c:formatCode>0.00</c:formatCode>
                <c:ptCount val="1"/>
                <c:pt idx="0">
                  <c:v>6.2061993280999994</c:v>
                </c:pt>
              </c:numCache>
            </c:numRef>
          </c:xVal>
          <c:yVal>
            <c:numRef>
              <c:f>'Summary(3pcs)'!$Y$38</c:f>
              <c:numCache>
                <c:formatCode>0.00</c:formatCode>
                <c:ptCount val="1"/>
                <c:pt idx="0">
                  <c:v>3.9017240206333335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64544"/>
        <c:axId val="61174528"/>
      </c:scatterChart>
      <c:valAx>
        <c:axId val="611645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174528"/>
        <c:crosses val="autoZero"/>
        <c:crossBetween val="midCat"/>
        <c:majorUnit val="10"/>
      </c:valAx>
      <c:valAx>
        <c:axId val="611745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164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'Summary(3pcs)'!$V$41:$V$43</c:f>
              <c:numCache>
                <c:formatCode>General</c:formatCode>
                <c:ptCount val="3"/>
                <c:pt idx="0">
                  <c:v>13.084396362300001</c:v>
                </c:pt>
                <c:pt idx="1">
                  <c:v>6.2866640091000008</c:v>
                </c:pt>
                <c:pt idx="2">
                  <c:v>7.1697311400999997</c:v>
                </c:pt>
              </c:numCache>
            </c:numRef>
          </c:xVal>
          <c:yVal>
            <c:numRef>
              <c:f>'Summary(3pcs)'!$W$41:$W$43</c:f>
              <c:numCache>
                <c:formatCode>General</c:formatCode>
                <c:ptCount val="3"/>
                <c:pt idx="0">
                  <c:v>-1.7112706900000001</c:v>
                </c:pt>
                <c:pt idx="1">
                  <c:v>-4.3989859819000001</c:v>
                </c:pt>
                <c:pt idx="2">
                  <c:v>-0.35921406749999996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'Summary(3pcs)'!$X$41</c:f>
              <c:numCache>
                <c:formatCode>0.00</c:formatCode>
                <c:ptCount val="1"/>
                <c:pt idx="0">
                  <c:v>8.8469305038333346</c:v>
                </c:pt>
              </c:numCache>
            </c:numRef>
          </c:xVal>
          <c:yVal>
            <c:numRef>
              <c:f>'Summary(3pcs)'!$Y$41</c:f>
              <c:numCache>
                <c:formatCode>0.00</c:formatCode>
                <c:ptCount val="1"/>
                <c:pt idx="0">
                  <c:v>-2.1564902464666669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27776"/>
        <c:axId val="61229312"/>
      </c:scatterChart>
      <c:valAx>
        <c:axId val="6122777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229312"/>
        <c:crosses val="autoZero"/>
        <c:crossBetween val="midCat"/>
        <c:majorUnit val="10"/>
      </c:valAx>
      <c:valAx>
        <c:axId val="6122931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227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'Summary(3pcs)'!$V$44:$V$46</c:f>
              <c:numCache>
                <c:formatCode>General</c:formatCode>
                <c:ptCount val="3"/>
                <c:pt idx="0">
                  <c:v>10.3189506531</c:v>
                </c:pt>
                <c:pt idx="1">
                  <c:v>9.2487392425999992</c:v>
                </c:pt>
                <c:pt idx="2">
                  <c:v>10.6455554962</c:v>
                </c:pt>
              </c:numCache>
            </c:numRef>
          </c:xVal>
          <c:yVal>
            <c:numRef>
              <c:f>'Summary(3pcs)'!$W$44:$W$46</c:f>
              <c:numCache>
                <c:formatCode>General</c:formatCode>
                <c:ptCount val="3"/>
                <c:pt idx="0">
                  <c:v>-1.6303435563999999</c:v>
                </c:pt>
                <c:pt idx="1">
                  <c:v>2.5524396895999999</c:v>
                </c:pt>
                <c:pt idx="2">
                  <c:v>10.109992027300001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'Summary(3pcs)'!$X$44</c:f>
              <c:numCache>
                <c:formatCode>0.00</c:formatCode>
                <c:ptCount val="1"/>
                <c:pt idx="0">
                  <c:v>10.0710817973</c:v>
                </c:pt>
              </c:numCache>
            </c:numRef>
          </c:xVal>
          <c:yVal>
            <c:numRef>
              <c:f>'Summary(3pcs)'!$Y$44</c:f>
              <c:numCache>
                <c:formatCode>0.00</c:formatCode>
                <c:ptCount val="1"/>
                <c:pt idx="0">
                  <c:v>3.6773627201666668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74368"/>
        <c:axId val="105644032"/>
      </c:scatterChart>
      <c:valAx>
        <c:axId val="612743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5644032"/>
        <c:crosses val="autoZero"/>
        <c:crossBetween val="midCat"/>
        <c:majorUnit val="10"/>
      </c:valAx>
      <c:valAx>
        <c:axId val="10564403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274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'Summary(3pcs)'!$V$35:$V$37</c:f>
              <c:numCache>
                <c:formatCode>General</c:formatCode>
                <c:ptCount val="3"/>
                <c:pt idx="0">
                  <c:v>17.047103881799998</c:v>
                </c:pt>
                <c:pt idx="1">
                  <c:v>9.3200550079000006</c:v>
                </c:pt>
                <c:pt idx="2">
                  <c:v>12.145574569700003</c:v>
                </c:pt>
              </c:numCache>
            </c:numRef>
          </c:xVal>
          <c:yVal>
            <c:numRef>
              <c:f>'Summary(3pcs)'!$W$35:$W$37</c:f>
              <c:numCache>
                <c:formatCode>General</c:formatCode>
                <c:ptCount val="3"/>
                <c:pt idx="0">
                  <c:v>-6.1738250255999993</c:v>
                </c:pt>
                <c:pt idx="1">
                  <c:v>0.5612792969</c:v>
                </c:pt>
                <c:pt idx="2">
                  <c:v>-0.3204407692000002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'Summary(3pcs)'!$X$35</c:f>
              <c:numCache>
                <c:formatCode>0.00</c:formatCode>
                <c:ptCount val="1"/>
                <c:pt idx="0">
                  <c:v>12.837577819800002</c:v>
                </c:pt>
              </c:numCache>
            </c:numRef>
          </c:xVal>
          <c:yVal>
            <c:numRef>
              <c:f>'Summary(3pcs)'!$Y$35</c:f>
              <c:numCache>
                <c:formatCode>0.00</c:formatCode>
                <c:ptCount val="1"/>
                <c:pt idx="0">
                  <c:v>-1.9776621659666664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701376"/>
        <c:axId val="105702912"/>
      </c:scatterChart>
      <c:valAx>
        <c:axId val="10570137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5702912"/>
        <c:crosses val="autoZero"/>
        <c:crossBetween val="midCat"/>
        <c:majorUnit val="10"/>
      </c:valAx>
      <c:valAx>
        <c:axId val="10570291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5701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30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30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30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30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30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30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721178</xdr:colOff>
      <xdr:row>31</xdr:row>
      <xdr:rowOff>163285</xdr:rowOff>
    </xdr:from>
    <xdr:to>
      <xdr:col>15</xdr:col>
      <xdr:colOff>762000</xdr:colOff>
      <xdr:row>31</xdr:row>
      <xdr:rowOff>748393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552464" y="367392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6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6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40" t="s">
        <v>150</v>
      </c>
      <c r="B1" s="40" t="s">
        <v>151</v>
      </c>
      <c r="C1" s="40" t="s">
        <v>152</v>
      </c>
      <c r="D1" s="40" t="s">
        <v>153</v>
      </c>
      <c r="E1" s="40" t="s">
        <v>158</v>
      </c>
    </row>
    <row r="2" spans="1:5">
      <c r="A2" s="40">
        <v>1</v>
      </c>
      <c r="B2" s="40" t="s">
        <v>154</v>
      </c>
      <c r="C2" s="40">
        <v>0.2</v>
      </c>
      <c r="D2" s="40" t="s">
        <v>155</v>
      </c>
      <c r="E2" s="40"/>
    </row>
    <row r="3" spans="1:5">
      <c r="A3" s="40">
        <v>2</v>
      </c>
      <c r="B3" s="40" t="s">
        <v>160</v>
      </c>
      <c r="C3" s="40">
        <v>0.2</v>
      </c>
      <c r="D3" s="40" t="s">
        <v>161</v>
      </c>
      <c r="E3" s="40"/>
    </row>
    <row r="4" spans="1:5">
      <c r="A4" s="40"/>
      <c r="B4" s="40"/>
      <c r="C4" s="40"/>
      <c r="D4" s="40"/>
      <c r="E4" s="40"/>
    </row>
    <row r="5" spans="1:5">
      <c r="A5" s="40"/>
      <c r="B5" s="40"/>
      <c r="C5" s="40"/>
      <c r="D5" s="40"/>
      <c r="E5" s="40"/>
    </row>
    <row r="6" spans="1:5">
      <c r="A6" s="40"/>
      <c r="B6" s="40"/>
      <c r="C6" s="40"/>
      <c r="D6" s="40"/>
      <c r="E6" s="40"/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"/>
  <sheetViews>
    <sheetView showGridLines="0" topLeftCell="A5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9" t="s">
        <v>146</v>
      </c>
      <c r="B1" s="38">
        <v>4</v>
      </c>
    </row>
    <row r="2" spans="1:5" ht="36.75" customHeight="1">
      <c r="A2" s="19" t="s">
        <v>117</v>
      </c>
      <c r="B2" s="19" t="s">
        <v>118</v>
      </c>
      <c r="C2" s="19" t="s">
        <v>119</v>
      </c>
      <c r="D2" s="19" t="s">
        <v>120</v>
      </c>
      <c r="E2" s="19" t="s">
        <v>146</v>
      </c>
    </row>
    <row r="3" spans="1:5">
      <c r="A3" s="41"/>
      <c r="B3" s="20" t="s">
        <v>9</v>
      </c>
      <c r="C3" s="20" t="str">
        <f>$C$8&amp;"_"&amp;D3</f>
        <v>D:\EVMS\TP\ELOG\VSY832XN9NAN_2022092321_D50_ON_OC.csv</v>
      </c>
      <c r="D3" s="20" t="s">
        <v>135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D:\EVMS\TP\ELOG\VSY832XN9NAN_2022092321_FPDC_INFD_normal.csv</v>
      </c>
      <c r="D4" s="20" t="s">
        <v>121</v>
      </c>
    </row>
    <row r="5" spans="1:5">
      <c r="B5" s="20" t="s">
        <v>122</v>
      </c>
      <c r="C5" s="20" t="str">
        <f t="shared" si="0"/>
        <v>D:\EVMS\TP\ELOG\VSY832XN9NAN_2022092321_INFDMargin_IPQC.csv</v>
      </c>
      <c r="D5" s="20" t="s">
        <v>123</v>
      </c>
    </row>
    <row r="6" spans="1:5">
      <c r="B6" s="20" t="s">
        <v>124</v>
      </c>
      <c r="C6" s="20" t="str">
        <f t="shared" si="0"/>
        <v>D:\EVMS\TP\ELOG\VSY832XN9NAN_2022092321_VCM_MEASURE.csv</v>
      </c>
      <c r="D6" s="20" t="s">
        <v>125</v>
      </c>
    </row>
    <row r="7" spans="1:5">
      <c r="B7" s="22" t="s">
        <v>126</v>
      </c>
      <c r="C7" s="22" t="s">
        <v>127</v>
      </c>
      <c r="D7" s="22"/>
    </row>
    <row r="8" spans="1:5">
      <c r="B8" s="23" t="s">
        <v>128</v>
      </c>
      <c r="C8" s="24" t="s">
        <v>172</v>
      </c>
      <c r="D8" s="20"/>
    </row>
  </sheetData>
  <phoneticPr fontId="6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6"/>
  <sheetViews>
    <sheetView showGridLines="0" tabSelected="1" topLeftCell="A31" zoomScale="70" zoomScaleNormal="70" workbookViewId="0">
      <selection activeCell="A32" sqref="A32"/>
    </sheetView>
  </sheetViews>
  <sheetFormatPr defaultColWidth="8.875" defaultRowHeight="14.25"/>
  <cols>
    <col min="1" max="1" width="6.75" style="27" customWidth="1"/>
    <col min="2" max="2" width="17.25" style="27" customWidth="1"/>
    <col min="3" max="5" width="13" style="27" customWidth="1"/>
    <col min="6" max="8" width="12.125" style="27" customWidth="1"/>
    <col min="9" max="9" width="8.125" style="27" customWidth="1"/>
    <col min="10" max="10" width="7.5" customWidth="1"/>
    <col min="11" max="11" width="6.75" style="27" customWidth="1"/>
    <col min="12" max="12" width="17.25" style="27" customWidth="1"/>
    <col min="13" max="14" width="13" style="27" customWidth="1"/>
    <col min="15" max="16" width="12.12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7.25" style="27" customWidth="1"/>
    <col min="22" max="23" width="13" style="27" customWidth="1"/>
    <col min="24" max="25" width="12.12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4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s="34" customFormat="1" ht="16.5" hidden="1" customHeight="1">
      <c r="J30"/>
    </row>
    <row r="31" spans="2:35" ht="16.5" customHeight="1">
      <c r="R31" s="32" t="s">
        <v>133</v>
      </c>
      <c r="AA31" s="25" t="s">
        <v>129</v>
      </c>
    </row>
    <row r="32" spans="2:35" ht="60.75" customHeight="1">
      <c r="B32" s="87" t="s">
        <v>14</v>
      </c>
      <c r="M32" s="87" t="s">
        <v>9</v>
      </c>
      <c r="R32" s="75" t="s">
        <v>157</v>
      </c>
      <c r="S32" s="83" t="s">
        <v>159</v>
      </c>
      <c r="T32" s="84"/>
      <c r="U32" s="87" t="s">
        <v>2</v>
      </c>
      <c r="AA32" s="25" t="s">
        <v>130</v>
      </c>
      <c r="AE32" s="36"/>
      <c r="AF32" s="36"/>
      <c r="AG32" s="36"/>
      <c r="AH32" s="36"/>
      <c r="AI32" s="36"/>
    </row>
    <row r="33" spans="1:37" ht="17.100000000000001" customHeight="1">
      <c r="B33" s="88"/>
      <c r="C33" s="28" t="s">
        <v>17</v>
      </c>
      <c r="D33" s="28">
        <f>5.1^2/(150-5.1)*1000</f>
        <v>179.50310559006209</v>
      </c>
      <c r="M33" s="88"/>
      <c r="U33" s="88"/>
      <c r="AE33" s="37"/>
      <c r="AF33" s="37"/>
      <c r="AG33" s="37"/>
      <c r="AH33" s="37"/>
      <c r="AI33" s="37"/>
    </row>
    <row r="34" spans="1:37" s="30" customFormat="1" ht="30">
      <c r="A34" s="45" t="s">
        <v>1</v>
      </c>
      <c r="B34" s="45" t="s">
        <v>0</v>
      </c>
      <c r="C34" s="46" t="s">
        <v>15</v>
      </c>
      <c r="D34" s="46" t="s">
        <v>108</v>
      </c>
      <c r="E34" s="46" t="s">
        <v>16</v>
      </c>
      <c r="F34" s="47" t="s">
        <v>18</v>
      </c>
      <c r="G34" s="47" t="s">
        <v>20</v>
      </c>
      <c r="H34" s="47" t="s">
        <v>19</v>
      </c>
      <c r="I34" s="48" t="s">
        <v>21</v>
      </c>
      <c r="J34"/>
      <c r="K34" s="45" t="s">
        <v>1</v>
      </c>
      <c r="L34" s="45" t="s">
        <v>0</v>
      </c>
      <c r="M34" s="46" t="s">
        <v>115</v>
      </c>
      <c r="N34" s="46" t="s">
        <v>116</v>
      </c>
      <c r="O34" s="47" t="s">
        <v>10</v>
      </c>
      <c r="P34" s="47" t="s">
        <v>11</v>
      </c>
      <c r="Q34" s="48" t="s">
        <v>12</v>
      </c>
      <c r="R34" s="48" t="s">
        <v>13</v>
      </c>
      <c r="T34" s="45" t="s">
        <v>1</v>
      </c>
      <c r="U34" s="45" t="s">
        <v>0</v>
      </c>
      <c r="V34" s="46" t="s">
        <v>3</v>
      </c>
      <c r="W34" s="46" t="s">
        <v>4</v>
      </c>
      <c r="X34" s="47" t="s">
        <v>5</v>
      </c>
      <c r="Y34" s="47" t="s">
        <v>6</v>
      </c>
      <c r="Z34" s="48" t="s">
        <v>7</v>
      </c>
      <c r="AA34" s="48" t="s">
        <v>8</v>
      </c>
    </row>
    <row r="35" spans="1:37" ht="17.100000000000001" customHeight="1">
      <c r="A35" s="78">
        <f>T35</f>
        <v>1</v>
      </c>
      <c r="B35" s="79" t="str">
        <f>IPQC!K2</f>
        <v>22cb72230080</v>
      </c>
      <c r="C35" s="50">
        <f>IPQC!T2+VLOOKUP($R$32,$AD$39:$AK$43,6,FALSE)+VLOOKUP('File location'!$B$1,'Tester offset'!$A$2:$D$4,2,FALSE)</f>
        <v>80.236917180600003</v>
      </c>
      <c r="D35" s="50">
        <f>IPQC!AA2+VLOOKUP($R$32,$AD$39:$AK$43,6,FALSE)</f>
        <v>64.239859006000003</v>
      </c>
      <c r="E35" s="50">
        <f>VCM!HV2-'Summary(3pcs)'!C35-'Summary(3pcs)'!$D$33</f>
        <v>152.99506978123787</v>
      </c>
      <c r="F35" s="86">
        <f>AVERAGEIF($A$35:$A$46,1,$C$35:$C$46)</f>
        <v>82.590650081233335</v>
      </c>
      <c r="G35" s="90">
        <f>AVERAGEIF($A$35:$A$46,1,$D$35:$D$46)</f>
        <v>65.858866526866663</v>
      </c>
      <c r="H35" s="90">
        <f>AVERAGEIF($A$35:$A$46,1,$E$35:$E$46)</f>
        <v>157.33813655060456</v>
      </c>
      <c r="I35" s="90">
        <f>85-F35</f>
        <v>2.4093499187666652</v>
      </c>
      <c r="K35" s="78">
        <f>T35</f>
        <v>1</v>
      </c>
      <c r="L35" s="79" t="str">
        <f>OC!K2</f>
        <v>22cb72230080</v>
      </c>
      <c r="M35" s="50">
        <f>OC!T2+VLOOKUP($R$32,$AD$39:$AK$43,4,FALSE)</f>
        <v>-0.89438787799999997</v>
      </c>
      <c r="N35" s="50">
        <f>OC!U2+VLOOKUP($R$32,$AD$39:$AK$43,5,FALSE)</f>
        <v>-2.7025167691999998</v>
      </c>
      <c r="O35" s="85">
        <f>AVERAGEIF($K$35:$K$46,1,$M$35:$M$46)</f>
        <v>-4.3235206643666659</v>
      </c>
      <c r="P35" s="85">
        <f>AVERAGEIF($K$35:$K$46,1,$N$35:$N$46)</f>
        <v>-5.5352099530666665</v>
      </c>
      <c r="Q35" s="86">
        <f>P35*0.001</f>
        <v>-5.5352099530666665E-3</v>
      </c>
      <c r="R35" s="86">
        <f>O35*0.001</f>
        <v>-4.3235206643666658E-3</v>
      </c>
      <c r="S35" s="34"/>
      <c r="T35" s="78">
        <v>1</v>
      </c>
      <c r="U35" s="79" t="str">
        <f>FPDC!K2</f>
        <v>22cb72230080</v>
      </c>
      <c r="V35" s="76">
        <f>FPDC!S2+VLOOKUP($R$32,$AD$39:$AK$43,2,FALSE)+VLOOKUP($R$32,$AD$39:$AK$43,7,FALSE)+VLOOKUP('File location'!$B$1,'Tester offset'!$A$2:$D$4,3,FALSE)</f>
        <v>17.047103881799998</v>
      </c>
      <c r="W35" s="77">
        <f>FPDC!T2+VLOOKUP($R$32,$AD$39:$AK$43,3,FALSE)+VLOOKUP($R$32,$AD$39:$AK$43,8,FALSE)+VLOOKUP('File location'!$B$1,'Tester offset'!$A$2:$D$4,4,FALSE)</f>
        <v>-6.1738250255999993</v>
      </c>
      <c r="X35" s="85">
        <f>AVERAGEIF($T$35:$T$46,1,$V$35:$V$46)</f>
        <v>12.837577819800002</v>
      </c>
      <c r="Y35" s="85">
        <f>AVERAGEIF($T$35:$T$46,1,$W$35:$W$46)</f>
        <v>-1.9776621659666664</v>
      </c>
      <c r="Z35" s="86">
        <f>(X35*-0.01)/4</f>
        <v>-3.2093944549500007E-2</v>
      </c>
      <c r="AA35" s="86">
        <f>(Y35*-0.01)/4</f>
        <v>4.9441554149166666E-3</v>
      </c>
    </row>
    <row r="36" spans="1:37" ht="17.100000000000001" customHeight="1">
      <c r="A36" s="78">
        <f t="shared" ref="A36:A46" si="0">T36</f>
        <v>1</v>
      </c>
      <c r="B36" s="79" t="str">
        <f>IPQC!K3</f>
        <v>22cb72230938</v>
      </c>
      <c r="C36" s="50">
        <f>IPQC!T3+VLOOKUP($R$32,$AD$39:$AK$43,6,FALSE)+VLOOKUP('File location'!$B$1,'Tester offset'!$A$2:$D$4,2,FALSE)</f>
        <v>79.441053788399998</v>
      </c>
      <c r="D36" s="50">
        <f>IPQC!AA3+VLOOKUP($R$32,$AD$39:$AK$43,6,FALSE)</f>
        <v>62.259437114500003</v>
      </c>
      <c r="E36" s="50">
        <f>VCM!HV3-'Summary(3pcs)'!C36-'Summary(3pcs)'!$D$33</f>
        <v>158.51097957133794</v>
      </c>
      <c r="F36" s="86"/>
      <c r="G36" s="90"/>
      <c r="H36" s="90"/>
      <c r="I36" s="90"/>
      <c r="K36" s="78">
        <f t="shared" ref="K36:K46" si="1">T36</f>
        <v>1</v>
      </c>
      <c r="L36" s="79" t="str">
        <f>OC!K3</f>
        <v>22cb72230938</v>
      </c>
      <c r="M36" s="50">
        <f>OC!T3+VLOOKUP($R$32,$AD$39:$AK$43,4,FALSE)</f>
        <v>-10.0408013179</v>
      </c>
      <c r="N36" s="50">
        <f>OC!U3+VLOOKUP($R$32,$AD$39:$AK$43,5,FALSE)</f>
        <v>-7.9534599927999992</v>
      </c>
      <c r="O36" s="85"/>
      <c r="P36" s="85"/>
      <c r="Q36" s="86"/>
      <c r="R36" s="86"/>
      <c r="S36" s="34"/>
      <c r="T36" s="78">
        <v>1</v>
      </c>
      <c r="U36" s="79" t="str">
        <f>FPDC!K3</f>
        <v>22cb72230938</v>
      </c>
      <c r="V36" s="76">
        <f>FPDC!S3+VLOOKUP($R$32,$AD$39:$AK$43,2,FALSE)+VLOOKUP($R$32,$AD$39:$AK$43,7,FALSE)+VLOOKUP('File location'!$B$1,'Tester offset'!$A$2:$D$4,3,FALSE)</f>
        <v>9.3200550079000006</v>
      </c>
      <c r="W36" s="77">
        <f>FPDC!T3+VLOOKUP($R$32,$AD$39:$AK$43,3,FALSE)+VLOOKUP($R$32,$AD$39:$AK$43,8,FALSE)+VLOOKUP('File location'!$B$1,'Tester offset'!$A$2:$D$4,4,FALSE)</f>
        <v>0.5612792969</v>
      </c>
      <c r="X36" s="85"/>
      <c r="Y36" s="85"/>
      <c r="Z36" s="86"/>
      <c r="AA36" s="86"/>
    </row>
    <row r="37" spans="1:37" ht="17.100000000000001" customHeight="1">
      <c r="A37" s="78">
        <f t="shared" si="0"/>
        <v>1</v>
      </c>
      <c r="B37" s="79" t="str">
        <f>IPQC!K4</f>
        <v>22cb72230398</v>
      </c>
      <c r="C37" s="50">
        <f>IPQC!T4+VLOOKUP($R$32,$AD$39:$AK$43,6,FALSE)+VLOOKUP('File location'!$B$1,'Tester offset'!$A$2:$D$4,2,FALSE)</f>
        <v>88.093979274700004</v>
      </c>
      <c r="D37" s="50">
        <f>IPQC!AA4+VLOOKUP($R$32,$AD$39:$AK$43,6,FALSE)</f>
        <v>71.077303460099998</v>
      </c>
      <c r="E37" s="50">
        <f>VCM!HV4-'Summary(3pcs)'!C37-'Summary(3pcs)'!$D$33</f>
        <v>160.50836029923789</v>
      </c>
      <c r="F37" s="86"/>
      <c r="G37" s="90"/>
      <c r="H37" s="90"/>
      <c r="I37" s="90"/>
      <c r="K37" s="78">
        <f t="shared" si="1"/>
        <v>1</v>
      </c>
      <c r="L37" s="79" t="str">
        <f>OC!K4</f>
        <v>22cb72230398</v>
      </c>
      <c r="M37" s="50">
        <f>OC!T4+VLOOKUP($R$32,$AD$39:$AK$43,4,FALSE)</f>
        <v>-2.0353727972</v>
      </c>
      <c r="N37" s="50">
        <f>OC!U4+VLOOKUP($R$32,$AD$39:$AK$43,5,FALSE)</f>
        <v>-5.9496530972000006</v>
      </c>
      <c r="O37" s="85"/>
      <c r="P37" s="85"/>
      <c r="Q37" s="86"/>
      <c r="R37" s="86"/>
      <c r="S37" s="34"/>
      <c r="T37" s="78">
        <v>1</v>
      </c>
      <c r="U37" s="79" t="str">
        <f>FPDC!K4</f>
        <v>22cb72230398</v>
      </c>
      <c r="V37" s="76">
        <f>FPDC!S4+VLOOKUP($R$32,$AD$39:$AK$43,2,FALSE)+VLOOKUP($R$32,$AD$39:$AK$43,7,FALSE)+VLOOKUP('File location'!$B$1,'Tester offset'!$A$2:$D$4,3,FALSE)</f>
        <v>12.145574569700003</v>
      </c>
      <c r="W37" s="77">
        <f>FPDC!T4+VLOOKUP($R$32,$AD$39:$AK$43,3,FALSE)+VLOOKUP($R$32,$AD$39:$AK$43,8,FALSE)+VLOOKUP('File location'!$B$1,'Tester offset'!$A$2:$D$4,4,FALSE)</f>
        <v>-0.3204407692000002</v>
      </c>
      <c r="X37" s="85"/>
      <c r="Y37" s="85"/>
      <c r="Z37" s="86"/>
      <c r="AA37" s="86"/>
      <c r="AD37" s="89" t="s">
        <v>144</v>
      </c>
      <c r="AE37" s="89" t="s">
        <v>137</v>
      </c>
      <c r="AF37" s="89"/>
      <c r="AG37" s="89"/>
      <c r="AH37" s="89"/>
      <c r="AI37" s="89"/>
      <c r="AJ37" s="89" t="s">
        <v>143</v>
      </c>
      <c r="AK37" s="89"/>
    </row>
    <row r="38" spans="1:37" ht="17.100000000000001" customHeight="1">
      <c r="A38" s="78">
        <f t="shared" si="0"/>
        <v>2</v>
      </c>
      <c r="B38" s="79" t="str">
        <f>IPQC!K5</f>
        <v>22cb72230401</v>
      </c>
      <c r="C38" s="50">
        <f>IPQC!T5+VLOOKUP($R$32,$AD$39:$AK$43,6,FALSE)+VLOOKUP('File location'!$B$1,'Tester offset'!$A$2:$D$4,2,FALSE)</f>
        <v>86.458562703200002</v>
      </c>
      <c r="D38" s="50">
        <f>IPQC!AA5+VLOOKUP($R$32,$AD$39:$AK$43,6,FALSE)</f>
        <v>68.026286583299992</v>
      </c>
      <c r="E38" s="50">
        <f>VCM!HV5-'Summary(3pcs)'!C38-'Summary(3pcs)'!$D$33</f>
        <v>150.25976498173787</v>
      </c>
      <c r="F38" s="86">
        <f>AVERAGEIF($A$35:$A$46,2,$C$35:$C$46)</f>
        <v>86.611674689066675</v>
      </c>
      <c r="G38" s="90">
        <f>AVERAGEIF($A$35:$A$46,2,$D$35:$D$46)</f>
        <v>69.035514874433332</v>
      </c>
      <c r="H38" s="90">
        <f>AVERAGEIF($A$35:$A$46,2,$E$35:$E$46)</f>
        <v>150.9172491165379</v>
      </c>
      <c r="I38" s="90">
        <f>85-F38</f>
        <v>-1.6116746890666747</v>
      </c>
      <c r="K38" s="78">
        <f t="shared" si="1"/>
        <v>2</v>
      </c>
      <c r="L38" s="79" t="str">
        <f>OC!K5</f>
        <v>22cb72230401</v>
      </c>
      <c r="M38" s="50">
        <f>OC!T5+VLOOKUP($R$32,$AD$39:$AK$43,4,FALSE)</f>
        <v>-2.0133754165000002</v>
      </c>
      <c r="N38" s="50">
        <f>OC!U5+VLOOKUP($R$32,$AD$39:$AK$43,5,FALSE)</f>
        <v>1.0980198431999999</v>
      </c>
      <c r="O38" s="85">
        <f>AVERAGEIF($K$35:$K$46,2,$M$35:$M$46)</f>
        <v>0.40794909836666671</v>
      </c>
      <c r="P38" s="85">
        <f>AVERAGEIF($K$35:$K$46,2,$N$35:$N$46)</f>
        <v>4.391879383333356E-2</v>
      </c>
      <c r="Q38" s="86">
        <f>P38*0.001</f>
        <v>4.3918793833333563E-5</v>
      </c>
      <c r="R38" s="86">
        <f>O38*0.001</f>
        <v>4.0794909836666671E-4</v>
      </c>
      <c r="S38" s="34"/>
      <c r="T38" s="78">
        <v>2</v>
      </c>
      <c r="U38" s="79" t="str">
        <f>FPDC!K5</f>
        <v>22cb72230401</v>
      </c>
      <c r="V38" s="76">
        <f>FPDC!S5+VLOOKUP($R$32,$AD$39:$AK$43,2,FALSE)+VLOOKUP($R$32,$AD$39:$AK$43,7,FALSE)+VLOOKUP('File location'!$B$1,'Tester offset'!$A$2:$D$4,3,FALSE)</f>
        <v>11.9602108002</v>
      </c>
      <c r="W38" s="77">
        <f>FPDC!T5+VLOOKUP($R$32,$AD$39:$AK$43,3,FALSE)+VLOOKUP($R$32,$AD$39:$AK$43,8,FALSE)+VLOOKUP('File location'!$B$1,'Tester offset'!$A$2:$D$4,4,FALSE)</f>
        <v>9.7464561461999999</v>
      </c>
      <c r="X38" s="85">
        <f>AVERAGEIF($T$35:$T$46,2,$V$35:$V$46)</f>
        <v>6.2061993280999994</v>
      </c>
      <c r="Y38" s="85">
        <f>AVERAGEIF($T$35:$T$46,2,$W$35:$W$46)</f>
        <v>3.9017240206333335</v>
      </c>
      <c r="Z38" s="86">
        <f>(X38*-0.01)/4</f>
        <v>-1.5515498320249999E-2</v>
      </c>
      <c r="AA38" s="86">
        <f>(Y38*-0.01)/4</f>
        <v>-9.7543100515833335E-3</v>
      </c>
      <c r="AD38" s="89"/>
      <c r="AE38" s="33" t="s">
        <v>138</v>
      </c>
      <c r="AF38" s="33" t="s">
        <v>139</v>
      </c>
      <c r="AG38" s="33" t="s">
        <v>140</v>
      </c>
      <c r="AH38" s="33" t="s">
        <v>141</v>
      </c>
      <c r="AI38" s="33" t="s">
        <v>142</v>
      </c>
      <c r="AJ38" s="33" t="s">
        <v>138</v>
      </c>
      <c r="AK38" s="33" t="s">
        <v>139</v>
      </c>
    </row>
    <row r="39" spans="1:37" ht="17.100000000000001" customHeight="1">
      <c r="A39" s="78">
        <f t="shared" si="0"/>
        <v>2</v>
      </c>
      <c r="B39" s="79" t="str">
        <f>IPQC!K6</f>
        <v>22cb72230579</v>
      </c>
      <c r="C39" s="50">
        <f>IPQC!T6+VLOOKUP($R$32,$AD$39:$AK$43,6,FALSE)+VLOOKUP('File location'!$B$1,'Tester offset'!$A$2:$D$4,2,FALSE)</f>
        <v>87.580517096899996</v>
      </c>
      <c r="D39" s="50">
        <f>IPQC!AA6+VLOOKUP($R$32,$AD$39:$AK$43,6,FALSE)</f>
        <v>67.9667720323</v>
      </c>
      <c r="E39" s="50">
        <f>VCM!HV6-'Summary(3pcs)'!C39-'Summary(3pcs)'!$D$33</f>
        <v>146.3115177255379</v>
      </c>
      <c r="F39" s="86"/>
      <c r="G39" s="90"/>
      <c r="H39" s="90"/>
      <c r="I39" s="90"/>
      <c r="K39" s="78">
        <f t="shared" si="1"/>
        <v>2</v>
      </c>
      <c r="L39" s="79" t="str">
        <f>OC!K6</f>
        <v>22cb72230579</v>
      </c>
      <c r="M39" s="50">
        <f>OC!T6+VLOOKUP($R$32,$AD$39:$AK$43,4,FALSE)</f>
        <v>-1.1509060649</v>
      </c>
      <c r="N39" s="50">
        <f>OC!U6+VLOOKUP($R$32,$AD$39:$AK$43,5,FALSE)</f>
        <v>-7.2817786222999992</v>
      </c>
      <c r="O39" s="85"/>
      <c r="P39" s="85"/>
      <c r="Q39" s="86"/>
      <c r="R39" s="86"/>
      <c r="S39" s="34"/>
      <c r="T39" s="78">
        <v>2</v>
      </c>
      <c r="U39" s="79" t="str">
        <f>FPDC!K6</f>
        <v>22cb72230579</v>
      </c>
      <c r="V39" s="76">
        <f>FPDC!S6+VLOOKUP($R$32,$AD$39:$AK$43,2,FALSE)+VLOOKUP($R$32,$AD$39:$AK$43,7,FALSE)+VLOOKUP('File location'!$B$1,'Tester offset'!$A$2:$D$4,3,FALSE)</f>
        <v>4.4330883025999999</v>
      </c>
      <c r="W39" s="77">
        <f>FPDC!T6+VLOOKUP($R$32,$AD$39:$AK$43,3,FALSE)+VLOOKUP($R$32,$AD$39:$AK$43,8,FALSE)+VLOOKUP('File location'!$B$1,'Tester offset'!$A$2:$D$4,4,FALSE)</f>
        <v>-1.6432557106000001</v>
      </c>
      <c r="X39" s="85"/>
      <c r="Y39" s="85"/>
      <c r="Z39" s="86"/>
      <c r="AA39" s="86"/>
      <c r="AD39" s="33" t="s">
        <v>131</v>
      </c>
      <c r="AE39" s="33">
        <v>1</v>
      </c>
      <c r="AF39" s="33">
        <v>0</v>
      </c>
      <c r="AG39" s="33">
        <v>0</v>
      </c>
      <c r="AH39" s="33">
        <v>4</v>
      </c>
      <c r="AI39" s="33">
        <v>6</v>
      </c>
      <c r="AJ39" s="33">
        <v>-4</v>
      </c>
      <c r="AK39" s="33">
        <v>-3</v>
      </c>
    </row>
    <row r="40" spans="1:37" ht="17.100000000000001" customHeight="1">
      <c r="A40" s="78">
        <f t="shared" si="0"/>
        <v>2</v>
      </c>
      <c r="B40" s="79" t="str">
        <f>IPQC!K7</f>
        <v>22cb72230340</v>
      </c>
      <c r="C40" s="50">
        <f>IPQC!T7+VLOOKUP($R$32,$AD$39:$AK$43,6,FALSE)+VLOOKUP('File location'!$B$1,'Tester offset'!$A$2:$D$4,2,FALSE)</f>
        <v>85.795944267099998</v>
      </c>
      <c r="D40" s="50">
        <f>IPQC!AA7+VLOOKUP($R$32,$AD$39:$AK$43,6,FALSE)</f>
        <v>71.113486007700004</v>
      </c>
      <c r="E40" s="50">
        <f>VCM!HV7-'Summary(3pcs)'!C40-'Summary(3pcs)'!$D$33</f>
        <v>156.18046464233794</v>
      </c>
      <c r="F40" s="86"/>
      <c r="G40" s="90"/>
      <c r="H40" s="90"/>
      <c r="I40" s="90"/>
      <c r="K40" s="78">
        <f t="shared" si="1"/>
        <v>2</v>
      </c>
      <c r="L40" s="79" t="str">
        <f>OC!K7</f>
        <v>22cb72230340</v>
      </c>
      <c r="M40" s="50">
        <f>OC!T7+VLOOKUP($R$32,$AD$39:$AK$43,4,FALSE)</f>
        <v>4.3881287765000003</v>
      </c>
      <c r="N40" s="50">
        <f>OC!U7+VLOOKUP($R$32,$AD$39:$AK$43,5,FALSE)</f>
        <v>6.3155151606000004</v>
      </c>
      <c r="O40" s="85"/>
      <c r="P40" s="85"/>
      <c r="Q40" s="86"/>
      <c r="R40" s="86"/>
      <c r="S40" s="34"/>
      <c r="T40" s="78">
        <v>2</v>
      </c>
      <c r="U40" s="79" t="str">
        <f>FPDC!K7</f>
        <v>22cb72230340</v>
      </c>
      <c r="V40" s="76">
        <f>FPDC!S7+VLOOKUP($R$32,$AD$39:$AK$43,2,FALSE)+VLOOKUP($R$32,$AD$39:$AK$43,7,FALSE)+VLOOKUP('File location'!$B$1,'Tester offset'!$A$2:$D$4,3,FALSE)</f>
        <v>2.2252988814999997</v>
      </c>
      <c r="W40" s="77">
        <f>FPDC!T7+VLOOKUP($R$32,$AD$39:$AK$43,3,FALSE)+VLOOKUP($R$32,$AD$39:$AK$43,8,FALSE)+VLOOKUP('File location'!$B$1,'Tester offset'!$A$2:$D$4,4,FALSE)</f>
        <v>3.6019716263000001</v>
      </c>
      <c r="X40" s="85"/>
      <c r="Y40" s="85"/>
      <c r="Z40" s="86"/>
      <c r="AA40" s="86"/>
      <c r="AD40" s="31" t="s">
        <v>132</v>
      </c>
      <c r="AE40" s="31">
        <v>0</v>
      </c>
      <c r="AF40" s="31">
        <v>0</v>
      </c>
      <c r="AG40" s="31">
        <v>0</v>
      </c>
      <c r="AH40" s="31">
        <v>4</v>
      </c>
      <c r="AI40" s="31">
        <v>0</v>
      </c>
      <c r="AJ40" s="33">
        <v>-4</v>
      </c>
      <c r="AK40" s="33">
        <v>-3</v>
      </c>
    </row>
    <row r="41" spans="1:37" ht="17.100000000000001" customHeight="1">
      <c r="A41" s="78">
        <f t="shared" si="0"/>
        <v>3</v>
      </c>
      <c r="B41" s="79" t="str">
        <f>IPQC!K8</f>
        <v>22cb72230370</v>
      </c>
      <c r="C41" s="50">
        <f>IPQC!T8+VLOOKUP($R$32,$AD$39:$AK$43,6,FALSE)+VLOOKUP('File location'!$B$1,'Tester offset'!$A$2:$D$4,2,FALSE)</f>
        <v>86.679477705400004</v>
      </c>
      <c r="D41" s="50">
        <f>IPQC!AA8+VLOOKUP($R$32,$AD$39:$AK$43,6,FALSE)</f>
        <v>71.074259551300003</v>
      </c>
      <c r="E41" s="50">
        <f>VCM!HV8-'Summary(3pcs)'!C41-'Summary(3pcs)'!$D$33</f>
        <v>146.20375741903791</v>
      </c>
      <c r="F41" s="86">
        <f>AVERAGEIF($A$35:$A$46,3,$C$35:$C$46)</f>
        <v>86.939482632400015</v>
      </c>
      <c r="G41" s="90">
        <f>AVERAGEIF($A$35:$A$46,3,$D$35:$D$46)</f>
        <v>71.312072041866656</v>
      </c>
      <c r="H41" s="90">
        <f>AVERAGEIF($A$35:$A$46,3,$E$35:$E$46)</f>
        <v>146.75294846637124</v>
      </c>
      <c r="I41" s="90">
        <f>85-F41</f>
        <v>-1.9394826324000149</v>
      </c>
      <c r="K41" s="78">
        <f t="shared" si="1"/>
        <v>3</v>
      </c>
      <c r="L41" s="79" t="str">
        <f>OC!K8</f>
        <v>22cb72230370</v>
      </c>
      <c r="M41" s="50">
        <f>OC!T8+VLOOKUP($R$32,$AD$39:$AK$43,4,FALSE)</f>
        <v>-5.1789555000000001E-2</v>
      </c>
      <c r="N41" s="50">
        <f>OC!U8+VLOOKUP($R$32,$AD$39:$AK$43,5,FALSE)</f>
        <v>-1.6424867685000004</v>
      </c>
      <c r="O41" s="85">
        <f>AVERAGEIF($K$35:$K$46,3,$M$35:$M$46)</f>
        <v>-2.7611811839999998</v>
      </c>
      <c r="P41" s="85">
        <f>AVERAGEIF($K$35:$K$46,3,$N$35:$N$46)</f>
        <v>-2.2160654248333334</v>
      </c>
      <c r="Q41" s="86">
        <f>P41*0.001</f>
        <v>-2.2160654248333336E-3</v>
      </c>
      <c r="R41" s="86">
        <f>O41*0.001</f>
        <v>-2.7611811839999998E-3</v>
      </c>
      <c r="S41" s="34"/>
      <c r="T41" s="78">
        <v>3</v>
      </c>
      <c r="U41" s="79" t="str">
        <f>FPDC!K8</f>
        <v>22cb72230370</v>
      </c>
      <c r="V41" s="76">
        <f>FPDC!S8+VLOOKUP($R$32,$AD$39:$AK$43,2,FALSE)+VLOOKUP($R$32,$AD$39:$AK$43,7,FALSE)+VLOOKUP('File location'!$B$1,'Tester offset'!$A$2:$D$4,3,FALSE)</f>
        <v>13.084396362300001</v>
      </c>
      <c r="W41" s="77">
        <f>FPDC!T8+VLOOKUP($R$32,$AD$39:$AK$43,3,FALSE)+VLOOKUP($R$32,$AD$39:$AK$43,8,FALSE)+VLOOKUP('File location'!$B$1,'Tester offset'!$A$2:$D$4,4,FALSE)</f>
        <v>-1.7112706900000001</v>
      </c>
      <c r="X41" s="85">
        <f>AVERAGEIF($T$35:$T$46,3,$V$35:$V$46)</f>
        <v>8.8469305038333346</v>
      </c>
      <c r="Y41" s="85">
        <f>AVERAGEIF($T$35:$T$46,3,$W$35:$W$46)</f>
        <v>-2.1564902464666669</v>
      </c>
      <c r="Z41" s="86">
        <f>(X41*-0.01)/4</f>
        <v>-2.2117326259583337E-2</v>
      </c>
      <c r="AA41" s="86">
        <f>(Y41*-0.01)/4</f>
        <v>5.3912256161666675E-3</v>
      </c>
      <c r="AD41" s="31" t="s">
        <v>134</v>
      </c>
      <c r="AE41" s="33">
        <v>0</v>
      </c>
      <c r="AF41" s="33">
        <v>0</v>
      </c>
      <c r="AG41" s="33">
        <v>0</v>
      </c>
      <c r="AH41" s="33">
        <v>4</v>
      </c>
      <c r="AI41" s="33"/>
      <c r="AJ41" s="33">
        <v>-4</v>
      </c>
      <c r="AK41" s="33">
        <v>-3</v>
      </c>
    </row>
    <row r="42" spans="1:37" ht="17.100000000000001" customHeight="1">
      <c r="A42" s="78">
        <f t="shared" si="0"/>
        <v>3</v>
      </c>
      <c r="B42" s="79" t="str">
        <f>IPQC!K9</f>
        <v>22cb72230371</v>
      </c>
      <c r="C42" s="50">
        <f>IPQC!T9+VLOOKUP($R$32,$AD$39:$AK$43,6,FALSE)+VLOOKUP('File location'!$B$1,'Tester offset'!$A$2:$D$4,2,FALSE)</f>
        <v>86.800696943000005</v>
      </c>
      <c r="D42" s="50">
        <f>IPQC!AA9+VLOOKUP($R$32,$AD$39:$AK$43,6,FALSE)</f>
        <v>70.207799930500002</v>
      </c>
      <c r="E42" s="50">
        <f>VCM!HV9-'Summary(3pcs)'!C42-'Summary(3pcs)'!$D$33</f>
        <v>153.73419681143793</v>
      </c>
      <c r="F42" s="86"/>
      <c r="G42" s="90"/>
      <c r="H42" s="90"/>
      <c r="I42" s="90"/>
      <c r="K42" s="78">
        <f t="shared" si="1"/>
        <v>3</v>
      </c>
      <c r="L42" s="79" t="str">
        <f>OC!K9</f>
        <v>22cb72230371</v>
      </c>
      <c r="M42" s="50">
        <f>OC!T9+VLOOKUP($R$32,$AD$39:$AK$43,4,FALSE)</f>
        <v>-5.5019331019999997</v>
      </c>
      <c r="N42" s="50">
        <f>OC!U9+VLOOKUP($R$32,$AD$39:$AK$43,5,FALSE)</f>
        <v>-7.3171314857999992</v>
      </c>
      <c r="O42" s="85"/>
      <c r="P42" s="85"/>
      <c r="Q42" s="86"/>
      <c r="R42" s="86"/>
      <c r="S42" s="34"/>
      <c r="T42" s="78">
        <v>3</v>
      </c>
      <c r="U42" s="79" t="str">
        <f>FPDC!K9</f>
        <v>22cb72230371</v>
      </c>
      <c r="V42" s="76">
        <f>FPDC!S9+VLOOKUP($R$32,$AD$39:$AK$43,2,FALSE)+VLOOKUP($R$32,$AD$39:$AK$43,7,FALSE)+VLOOKUP('File location'!$B$1,'Tester offset'!$A$2:$D$4,3,FALSE)</f>
        <v>6.2866640091000008</v>
      </c>
      <c r="W42" s="77">
        <f>FPDC!T9+VLOOKUP($R$32,$AD$39:$AK$43,3,FALSE)+VLOOKUP($R$32,$AD$39:$AK$43,8,FALSE)+VLOOKUP('File location'!$B$1,'Tester offset'!$A$2:$D$4,4,FALSE)</f>
        <v>-4.3989859819000001</v>
      </c>
      <c r="X42" s="85"/>
      <c r="Y42" s="85"/>
      <c r="Z42" s="86"/>
      <c r="AA42" s="86"/>
      <c r="AD42" s="33" t="s">
        <v>136</v>
      </c>
      <c r="AE42" s="33">
        <v>0</v>
      </c>
      <c r="AF42" s="33">
        <v>0</v>
      </c>
      <c r="AG42" s="33">
        <v>0</v>
      </c>
      <c r="AH42" s="33">
        <v>4</v>
      </c>
      <c r="AI42" s="33">
        <v>6</v>
      </c>
      <c r="AJ42" s="33">
        <v>-4</v>
      </c>
      <c r="AK42" s="33">
        <v>-3</v>
      </c>
    </row>
    <row r="43" spans="1:37" ht="17.100000000000001" customHeight="1">
      <c r="A43" s="78">
        <f t="shared" si="0"/>
        <v>3</v>
      </c>
      <c r="B43" s="79" t="str">
        <f>IPQC!K10</f>
        <v>22cb72230549</v>
      </c>
      <c r="C43" s="50">
        <f>IPQC!T10+VLOOKUP($R$32,$AD$39:$AK$43,6,FALSE)+VLOOKUP('File location'!$B$1,'Tester offset'!$A$2:$D$4,2,FALSE)</f>
        <v>87.338273248799993</v>
      </c>
      <c r="D43" s="50">
        <f>IPQC!AA10+VLOOKUP($R$32,$AD$39:$AK$43,6,FALSE)</f>
        <v>72.654156643799993</v>
      </c>
      <c r="E43" s="50">
        <f>VCM!HV10-'Summary(3pcs)'!C43-'Summary(3pcs)'!$D$33</f>
        <v>140.3208911686379</v>
      </c>
      <c r="F43" s="86"/>
      <c r="G43" s="90"/>
      <c r="H43" s="90"/>
      <c r="I43" s="90"/>
      <c r="K43" s="78">
        <f t="shared" si="1"/>
        <v>3</v>
      </c>
      <c r="L43" s="79" t="str">
        <f>OC!K10</f>
        <v>22cb72230549</v>
      </c>
      <c r="M43" s="50">
        <f>OC!T10+VLOOKUP($R$32,$AD$39:$AK$43,4,FALSE)</f>
        <v>-2.729820895</v>
      </c>
      <c r="N43" s="50">
        <f>OC!U10+VLOOKUP($R$32,$AD$39:$AK$43,5,FALSE)</f>
        <v>2.3114219798</v>
      </c>
      <c r="O43" s="85"/>
      <c r="P43" s="85"/>
      <c r="Q43" s="86"/>
      <c r="R43" s="86"/>
      <c r="S43" s="34"/>
      <c r="T43" s="78">
        <v>3</v>
      </c>
      <c r="U43" s="79" t="str">
        <f>FPDC!K10</f>
        <v>22cb72230549</v>
      </c>
      <c r="V43" s="76">
        <f>FPDC!S10+VLOOKUP($R$32,$AD$39:$AK$43,2,FALSE)+VLOOKUP($R$32,$AD$39:$AK$43,7,FALSE)+VLOOKUP('File location'!$B$1,'Tester offset'!$A$2:$D$4,3,FALSE)</f>
        <v>7.1697311400999997</v>
      </c>
      <c r="W43" s="77">
        <f>FPDC!T10+VLOOKUP($R$32,$AD$39:$AK$43,3,FALSE)+VLOOKUP($R$32,$AD$39:$AK$43,8,FALSE)+VLOOKUP('File location'!$B$1,'Tester offset'!$A$2:$D$4,4,FALSE)</f>
        <v>-0.35921406749999996</v>
      </c>
      <c r="X43" s="85"/>
      <c r="Y43" s="85"/>
      <c r="Z43" s="86"/>
      <c r="AA43" s="86"/>
      <c r="AD43" s="35" t="s">
        <v>145</v>
      </c>
      <c r="AE43" s="33"/>
      <c r="AF43" s="33"/>
      <c r="AG43" s="33"/>
      <c r="AH43" s="33"/>
      <c r="AI43" s="33"/>
      <c r="AJ43" s="33"/>
      <c r="AK43" s="33"/>
    </row>
    <row r="44" spans="1:37" ht="17.100000000000001" customHeight="1">
      <c r="A44" s="78">
        <f t="shared" si="0"/>
        <v>4</v>
      </c>
      <c r="B44" s="79" t="str">
        <f>IPQC!K11</f>
        <v>22cb72240931</v>
      </c>
      <c r="C44" s="50">
        <f>IPQC!T11+VLOOKUP($R$32,$AD$39:$AK$43,6,FALSE)+VLOOKUP('File location'!$B$1,'Tester offset'!$A$2:$D$4,2,FALSE)</f>
        <v>95.199526310400003</v>
      </c>
      <c r="D44" s="50">
        <f>IPQC!AA11+VLOOKUP($R$32,$AD$39:$AK$43,6,FALSE)</f>
        <v>74.476251403500001</v>
      </c>
      <c r="E44" s="50">
        <f>VCM!HV11-'Summary(3pcs)'!C44-'Summary(3pcs)'!$D$33</f>
        <v>131.74459463663788</v>
      </c>
      <c r="F44" s="86">
        <f>AVERAGEIF($A$35:$A$46,4,$C$35:$C$46)</f>
        <v>91.599919714033334</v>
      </c>
      <c r="G44" s="90">
        <f>AVERAGEIF($A$35:$A$46,4,$D$35:$D$46)</f>
        <v>72.940919515133331</v>
      </c>
      <c r="H44" s="90">
        <f>AVERAGEIF($A$35:$A$46,4,$E$35:$E$46)</f>
        <v>141.44664638087124</v>
      </c>
      <c r="I44" s="90">
        <f>85-F44</f>
        <v>-6.5999197140333337</v>
      </c>
      <c r="K44" s="78">
        <f t="shared" si="1"/>
        <v>4</v>
      </c>
      <c r="L44" s="79" t="str">
        <f>OC!K11</f>
        <v>22cb72240931</v>
      </c>
      <c r="M44" s="50">
        <f>OC!T11+VLOOKUP($R$32,$AD$39:$AK$43,4,FALSE)</f>
        <v>5.4677501316999999</v>
      </c>
      <c r="N44" s="50">
        <f>OC!U11+VLOOKUP($R$32,$AD$39:$AK$43,5,FALSE)</f>
        <v>-0.45732309000000004</v>
      </c>
      <c r="O44" s="85">
        <f>AVERAGEIF($K$35:$K$46,4,$M$35:$M$46)</f>
        <v>3.1647347005666666</v>
      </c>
      <c r="P44" s="85">
        <f>AVERAGEIF($K$35:$K$46,4,$N$35:$N$46)</f>
        <v>-6.9977128986333339</v>
      </c>
      <c r="Q44" s="86">
        <f>P44*0.001</f>
        <v>-6.9977128986333341E-3</v>
      </c>
      <c r="R44" s="86">
        <f>O44*0.001</f>
        <v>3.1647347005666665E-3</v>
      </c>
      <c r="S44" s="34"/>
      <c r="T44" s="78">
        <v>4</v>
      </c>
      <c r="U44" s="79" t="str">
        <f>FPDC!K11</f>
        <v>22cb72240931</v>
      </c>
      <c r="V44" s="76">
        <f>FPDC!S11+VLOOKUP($R$32,$AD$39:$AK$43,2,FALSE)+VLOOKUP($R$32,$AD$39:$AK$43,7,FALSE)+VLOOKUP('File location'!$B$1,'Tester offset'!$A$2:$D$4,3,FALSE)</f>
        <v>10.3189506531</v>
      </c>
      <c r="W44" s="77">
        <f>FPDC!T11+VLOOKUP($R$32,$AD$39:$AK$43,3,FALSE)+VLOOKUP($R$32,$AD$39:$AK$43,8,FALSE)+VLOOKUP('File location'!$B$1,'Tester offset'!$A$2:$D$4,4,FALSE)</f>
        <v>-1.6303435563999999</v>
      </c>
      <c r="X44" s="85">
        <f>AVERAGEIF($T$35:$T$46,4,$V$35:$V$46)</f>
        <v>10.0710817973</v>
      </c>
      <c r="Y44" s="85">
        <f>AVERAGEIF($T$35:$T$46,4,$W$35:$W$46)</f>
        <v>3.6773627201666668</v>
      </c>
      <c r="Z44" s="86">
        <f>(X44*-0.01)/4</f>
        <v>-2.5177704493249999E-2</v>
      </c>
      <c r="AA44" s="86">
        <f>(Y44*-0.01)/4</f>
        <v>-9.1934068004166664E-3</v>
      </c>
    </row>
    <row r="45" spans="1:37" ht="17.100000000000001" customHeight="1">
      <c r="A45" s="78">
        <f t="shared" si="0"/>
        <v>4</v>
      </c>
      <c r="B45" s="79" t="str">
        <f>IPQC!K12</f>
        <v>22cb72230810</v>
      </c>
      <c r="C45" s="50">
        <f>IPQC!T12+VLOOKUP($R$32,$AD$39:$AK$43,6,FALSE)+VLOOKUP('File location'!$B$1,'Tester offset'!$A$2:$D$4,2,FALSE)</f>
        <v>87.818454839300003</v>
      </c>
      <c r="D45" s="50">
        <f>IPQC!AA12+VLOOKUP($R$32,$AD$39:$AK$43,6,FALSE)</f>
        <v>72.303766820700005</v>
      </c>
      <c r="E45" s="50">
        <f>VCM!HV12-'Summary(3pcs)'!C45-'Summary(3pcs)'!$D$33</f>
        <v>151.48031698673793</v>
      </c>
      <c r="F45" s="86"/>
      <c r="G45" s="90"/>
      <c r="H45" s="90"/>
      <c r="I45" s="90"/>
      <c r="K45" s="78">
        <f t="shared" si="1"/>
        <v>4</v>
      </c>
      <c r="L45" s="79" t="str">
        <f>OC!K12</f>
        <v>22cb72230810</v>
      </c>
      <c r="M45" s="50">
        <f>OC!T12+VLOOKUP($R$32,$AD$39:$AK$43,4,FALSE)</f>
        <v>-4.0715190551999996</v>
      </c>
      <c r="N45" s="50">
        <f>OC!U12+VLOOKUP($R$32,$AD$39:$AK$43,5,FALSE)</f>
        <v>-10.450076597700001</v>
      </c>
      <c r="O45" s="85"/>
      <c r="P45" s="85"/>
      <c r="Q45" s="86"/>
      <c r="R45" s="86"/>
      <c r="S45" s="34"/>
      <c r="T45" s="78">
        <v>4</v>
      </c>
      <c r="U45" s="79" t="str">
        <f>FPDC!K12</f>
        <v>22cb72230810</v>
      </c>
      <c r="V45" s="76">
        <f>FPDC!S12+VLOOKUP($R$32,$AD$39:$AK$43,2,FALSE)+VLOOKUP($R$32,$AD$39:$AK$43,7,FALSE)+VLOOKUP('File location'!$B$1,'Tester offset'!$A$2:$D$4,3,FALSE)</f>
        <v>9.2487392425999992</v>
      </c>
      <c r="W45" s="77">
        <f>FPDC!T12+VLOOKUP($R$32,$AD$39:$AK$43,3,FALSE)+VLOOKUP($R$32,$AD$39:$AK$43,8,FALSE)+VLOOKUP('File location'!$B$1,'Tester offset'!$A$2:$D$4,4,FALSE)</f>
        <v>2.5524396895999999</v>
      </c>
      <c r="X45" s="85"/>
      <c r="Y45" s="85"/>
      <c r="Z45" s="86"/>
      <c r="AA45" s="86"/>
    </row>
    <row r="46" spans="1:37" ht="17.100000000000001" customHeight="1">
      <c r="A46" s="78">
        <f t="shared" si="0"/>
        <v>4</v>
      </c>
      <c r="B46" s="79" t="str">
        <f>IPQC!K13</f>
        <v>22cb72230463</v>
      </c>
      <c r="C46" s="50">
        <f>IPQC!T13+VLOOKUP($R$32,$AD$39:$AK$43,6,FALSE)+VLOOKUP('File location'!$B$1,'Tester offset'!$A$2:$D$4,2,FALSE)</f>
        <v>91.781777992399995</v>
      </c>
      <c r="D46" s="50">
        <f>IPQC!AA13+VLOOKUP($R$32,$AD$39:$AK$43,6,FALSE)</f>
        <v>72.0427403212</v>
      </c>
      <c r="E46" s="50">
        <f>VCM!HV13-'Summary(3pcs)'!C46-'Summary(3pcs)'!$D$33</f>
        <v>141.11502751923791</v>
      </c>
      <c r="F46" s="86"/>
      <c r="G46" s="90"/>
      <c r="H46" s="90"/>
      <c r="I46" s="90"/>
      <c r="K46" s="78">
        <f t="shared" si="1"/>
        <v>4</v>
      </c>
      <c r="L46" s="79" t="str">
        <f>OC!K13</f>
        <v>22cb72230463</v>
      </c>
      <c r="M46" s="50">
        <f>OC!T13+VLOOKUP($R$32,$AD$39:$AK$43,4,FALSE)</f>
        <v>8.0979730252</v>
      </c>
      <c r="N46" s="50">
        <f>OC!U13+VLOOKUP($R$32,$AD$39:$AK$43,5,FALSE)</f>
        <v>-10.085739008199999</v>
      </c>
      <c r="O46" s="85"/>
      <c r="P46" s="85"/>
      <c r="Q46" s="86"/>
      <c r="R46" s="86"/>
      <c r="S46" s="34"/>
      <c r="T46" s="78">
        <v>4</v>
      </c>
      <c r="U46" s="79" t="str">
        <f>FPDC!K13</f>
        <v>22cb72230463</v>
      </c>
      <c r="V46" s="76">
        <f>FPDC!S13+VLOOKUP($R$32,$AD$39:$AK$43,2,FALSE)+VLOOKUP($R$32,$AD$39:$AK$43,7,FALSE)+VLOOKUP('File location'!$B$1,'Tester offset'!$A$2:$D$4,3,FALSE)</f>
        <v>10.6455554962</v>
      </c>
      <c r="W46" s="77">
        <f>FPDC!T13+VLOOKUP($R$32,$AD$39:$AK$43,3,FALSE)+VLOOKUP($R$32,$AD$39:$AK$43,8,FALSE)+VLOOKUP('File location'!$B$1,'Tester offset'!$A$2:$D$4,4,FALSE)</f>
        <v>10.109992027300001</v>
      </c>
      <c r="X46" s="85"/>
      <c r="Y46" s="85"/>
      <c r="Z46" s="86"/>
      <c r="AA46" s="86"/>
    </row>
    <row r="48" spans="1:37" ht="15">
      <c r="F48" s="92" t="s">
        <v>14</v>
      </c>
      <c r="G48" s="92"/>
      <c r="H48" s="29" t="s">
        <v>105</v>
      </c>
      <c r="O48" s="92" t="s">
        <v>114</v>
      </c>
      <c r="P48" s="92"/>
      <c r="Q48" s="29" t="s">
        <v>105</v>
      </c>
      <c r="Y48" s="92" t="s">
        <v>2</v>
      </c>
      <c r="Z48" s="92"/>
      <c r="AA48" s="29" t="s">
        <v>105</v>
      </c>
    </row>
    <row r="49" spans="6:27" ht="17.25">
      <c r="F49" s="91" t="s">
        <v>163</v>
      </c>
      <c r="G49" s="91"/>
      <c r="H49" s="49" t="s">
        <v>148</v>
      </c>
      <c r="O49" s="93" t="s">
        <v>165</v>
      </c>
      <c r="P49" s="91"/>
      <c r="Q49" s="49" t="s">
        <v>162</v>
      </c>
      <c r="Y49" s="93" t="s">
        <v>165</v>
      </c>
      <c r="Z49" s="91"/>
      <c r="AA49" s="49" t="s">
        <v>104</v>
      </c>
    </row>
    <row r="50" spans="6:27" ht="17.25">
      <c r="F50" s="91" t="s">
        <v>164</v>
      </c>
      <c r="G50" s="91"/>
      <c r="H50" s="49" t="s">
        <v>107</v>
      </c>
      <c r="O50" s="93" t="s">
        <v>171</v>
      </c>
      <c r="P50" s="91"/>
      <c r="Q50" s="49" t="s">
        <v>169</v>
      </c>
      <c r="Y50" s="93" t="s">
        <v>167</v>
      </c>
      <c r="Z50" s="91"/>
      <c r="AA50" s="49" t="s">
        <v>168</v>
      </c>
    </row>
    <row r="51" spans="6:27" ht="17.25">
      <c r="F51" s="91" t="s">
        <v>16</v>
      </c>
      <c r="G51" s="91"/>
      <c r="H51" s="49" t="s">
        <v>106</v>
      </c>
      <c r="O51" s="93" t="s">
        <v>171</v>
      </c>
      <c r="P51" s="91"/>
      <c r="Q51" s="79" t="s">
        <v>170</v>
      </c>
      <c r="Y51" s="93" t="s">
        <v>166</v>
      </c>
      <c r="Z51" s="91"/>
      <c r="AA51" s="49" t="s">
        <v>149</v>
      </c>
    </row>
    <row r="53" spans="6:27" ht="19.5">
      <c r="I53" s="42"/>
      <c r="J53" s="42"/>
      <c r="K53" s="80" t="s">
        <v>156</v>
      </c>
      <c r="L53" s="81"/>
      <c r="M53" s="81"/>
      <c r="N53" s="81"/>
      <c r="O53" s="81"/>
      <c r="P53" s="81"/>
      <c r="Q53" s="82"/>
    </row>
    <row r="54" spans="6:27" ht="20.25" thickBot="1">
      <c r="I54" s="42"/>
      <c r="J54" s="42"/>
      <c r="K54" s="42"/>
      <c r="L54" s="42"/>
      <c r="M54" s="42"/>
      <c r="N54" s="42"/>
      <c r="O54" s="42"/>
      <c r="P54" s="42"/>
      <c r="Q54" s="42"/>
    </row>
    <row r="55" spans="6:27" ht="19.5">
      <c r="I55" s="43">
        <f t="shared" ref="I55:I66" si="2">T35</f>
        <v>1</v>
      </c>
      <c r="J55" s="42"/>
      <c r="K55" s="51">
        <f t="shared" ref="K55:K66" si="3">C35</f>
        <v>80.236917180600003</v>
      </c>
      <c r="L55" s="52">
        <f t="shared" ref="L55:L66" si="4">D35</f>
        <v>64.239859006000003</v>
      </c>
      <c r="M55" s="52">
        <f t="shared" ref="M55:M66" si="5">E35</f>
        <v>152.99506978123787</v>
      </c>
      <c r="N55" s="52">
        <f t="shared" ref="N55:O66" si="6">M35</f>
        <v>-0.89438787799999997</v>
      </c>
      <c r="O55" s="52">
        <f t="shared" si="6"/>
        <v>-2.7025167691999998</v>
      </c>
      <c r="P55" s="52">
        <f t="shared" ref="P55:P66" si="7">V35</f>
        <v>17.047103881799998</v>
      </c>
      <c r="Q55" s="53">
        <f t="shared" ref="Q55:Q66" si="8">W35</f>
        <v>-6.1738250255999993</v>
      </c>
    </row>
    <row r="56" spans="6:27" ht="19.5">
      <c r="I56" s="43">
        <f t="shared" si="2"/>
        <v>1</v>
      </c>
      <c r="J56" s="44"/>
      <c r="K56" s="54">
        <f t="shared" si="3"/>
        <v>79.441053788399998</v>
      </c>
      <c r="L56" s="55">
        <f t="shared" si="4"/>
        <v>62.259437114500003</v>
      </c>
      <c r="M56" s="55">
        <f t="shared" si="5"/>
        <v>158.51097957133794</v>
      </c>
      <c r="N56" s="55">
        <f t="shared" si="6"/>
        <v>-10.0408013179</v>
      </c>
      <c r="O56" s="55">
        <f t="shared" si="6"/>
        <v>-7.9534599927999992</v>
      </c>
      <c r="P56" s="55">
        <f t="shared" si="7"/>
        <v>9.3200550079000006</v>
      </c>
      <c r="Q56" s="56">
        <f t="shared" si="8"/>
        <v>0.5612792969</v>
      </c>
    </row>
    <row r="57" spans="6:27" ht="19.5">
      <c r="I57" s="43">
        <f t="shared" si="2"/>
        <v>1</v>
      </c>
      <c r="J57" s="44"/>
      <c r="K57" s="57">
        <f t="shared" si="3"/>
        <v>88.093979274700004</v>
      </c>
      <c r="L57" s="58">
        <f t="shared" si="4"/>
        <v>71.077303460099998</v>
      </c>
      <c r="M57" s="58">
        <f t="shared" si="5"/>
        <v>160.50836029923789</v>
      </c>
      <c r="N57" s="58">
        <f t="shared" si="6"/>
        <v>-2.0353727972</v>
      </c>
      <c r="O57" s="58">
        <f t="shared" si="6"/>
        <v>-5.9496530972000006</v>
      </c>
      <c r="P57" s="58">
        <f t="shared" si="7"/>
        <v>12.145574569700003</v>
      </c>
      <c r="Q57" s="59">
        <f t="shared" si="8"/>
        <v>-0.3204407692000002</v>
      </c>
    </row>
    <row r="58" spans="6:27" ht="19.5">
      <c r="I58" s="43">
        <f t="shared" si="2"/>
        <v>2</v>
      </c>
      <c r="J58" s="44"/>
      <c r="K58" s="60">
        <f t="shared" si="3"/>
        <v>86.458562703200002</v>
      </c>
      <c r="L58" s="61">
        <f t="shared" si="4"/>
        <v>68.026286583299992</v>
      </c>
      <c r="M58" s="61">
        <f t="shared" si="5"/>
        <v>150.25976498173787</v>
      </c>
      <c r="N58" s="61">
        <f t="shared" si="6"/>
        <v>-2.0133754165000002</v>
      </c>
      <c r="O58" s="61">
        <f t="shared" si="6"/>
        <v>1.0980198431999999</v>
      </c>
      <c r="P58" s="61">
        <f t="shared" si="7"/>
        <v>11.9602108002</v>
      </c>
      <c r="Q58" s="62">
        <f t="shared" si="8"/>
        <v>9.7464561461999999</v>
      </c>
    </row>
    <row r="59" spans="6:27" ht="19.5">
      <c r="I59" s="43">
        <f t="shared" si="2"/>
        <v>2</v>
      </c>
      <c r="J59" s="44"/>
      <c r="K59" s="60">
        <f t="shared" si="3"/>
        <v>87.580517096899996</v>
      </c>
      <c r="L59" s="61">
        <f t="shared" si="4"/>
        <v>67.9667720323</v>
      </c>
      <c r="M59" s="61">
        <f t="shared" si="5"/>
        <v>146.3115177255379</v>
      </c>
      <c r="N59" s="61">
        <f t="shared" si="6"/>
        <v>-1.1509060649</v>
      </c>
      <c r="O59" s="61">
        <f t="shared" si="6"/>
        <v>-7.2817786222999992</v>
      </c>
      <c r="P59" s="61">
        <f t="shared" si="7"/>
        <v>4.4330883025999999</v>
      </c>
      <c r="Q59" s="62">
        <f t="shared" si="8"/>
        <v>-1.6432557106000001</v>
      </c>
    </row>
    <row r="60" spans="6:27" ht="19.5">
      <c r="I60" s="43">
        <f t="shared" si="2"/>
        <v>2</v>
      </c>
      <c r="J60" s="44"/>
      <c r="K60" s="60">
        <f t="shared" si="3"/>
        <v>85.795944267099998</v>
      </c>
      <c r="L60" s="61">
        <f t="shared" si="4"/>
        <v>71.113486007700004</v>
      </c>
      <c r="M60" s="61">
        <f t="shared" si="5"/>
        <v>156.18046464233794</v>
      </c>
      <c r="N60" s="61">
        <f t="shared" si="6"/>
        <v>4.3881287765000003</v>
      </c>
      <c r="O60" s="61">
        <f t="shared" si="6"/>
        <v>6.3155151606000004</v>
      </c>
      <c r="P60" s="61">
        <f t="shared" si="7"/>
        <v>2.2252988814999997</v>
      </c>
      <c r="Q60" s="62">
        <f t="shared" si="8"/>
        <v>3.6019716263000001</v>
      </c>
    </row>
    <row r="61" spans="6:27" ht="19.5">
      <c r="I61" s="43">
        <f t="shared" si="2"/>
        <v>3</v>
      </c>
      <c r="J61" s="44"/>
      <c r="K61" s="66">
        <f t="shared" si="3"/>
        <v>86.679477705400004</v>
      </c>
      <c r="L61" s="67">
        <f t="shared" si="4"/>
        <v>71.074259551300003</v>
      </c>
      <c r="M61" s="67">
        <f t="shared" si="5"/>
        <v>146.20375741903791</v>
      </c>
      <c r="N61" s="67">
        <f t="shared" si="6"/>
        <v>-5.1789555000000001E-2</v>
      </c>
      <c r="O61" s="67">
        <f t="shared" si="6"/>
        <v>-1.6424867685000004</v>
      </c>
      <c r="P61" s="67">
        <f t="shared" si="7"/>
        <v>13.084396362300001</v>
      </c>
      <c r="Q61" s="68">
        <f t="shared" si="8"/>
        <v>-1.7112706900000001</v>
      </c>
    </row>
    <row r="62" spans="6:27" ht="19.5">
      <c r="I62" s="43">
        <f t="shared" si="2"/>
        <v>3</v>
      </c>
      <c r="J62" s="44"/>
      <c r="K62" s="69">
        <f t="shared" si="3"/>
        <v>86.800696943000005</v>
      </c>
      <c r="L62" s="70">
        <f t="shared" si="4"/>
        <v>70.207799930500002</v>
      </c>
      <c r="M62" s="70">
        <f t="shared" si="5"/>
        <v>153.73419681143793</v>
      </c>
      <c r="N62" s="70">
        <f t="shared" si="6"/>
        <v>-5.5019331019999997</v>
      </c>
      <c r="O62" s="70">
        <f t="shared" si="6"/>
        <v>-7.3171314857999992</v>
      </c>
      <c r="P62" s="70">
        <f t="shared" si="7"/>
        <v>6.2866640091000008</v>
      </c>
      <c r="Q62" s="71">
        <f t="shared" si="8"/>
        <v>-4.3989859819000001</v>
      </c>
    </row>
    <row r="63" spans="6:27" ht="19.5">
      <c r="I63" s="43">
        <f t="shared" si="2"/>
        <v>3</v>
      </c>
      <c r="J63" s="44"/>
      <c r="K63" s="72">
        <f t="shared" si="3"/>
        <v>87.338273248799993</v>
      </c>
      <c r="L63" s="73">
        <f t="shared" si="4"/>
        <v>72.654156643799993</v>
      </c>
      <c r="M63" s="73">
        <f t="shared" si="5"/>
        <v>140.3208911686379</v>
      </c>
      <c r="N63" s="73">
        <f t="shared" si="6"/>
        <v>-2.729820895</v>
      </c>
      <c r="O63" s="73">
        <f t="shared" si="6"/>
        <v>2.3114219798</v>
      </c>
      <c r="P63" s="73">
        <f t="shared" si="7"/>
        <v>7.1697311400999997</v>
      </c>
      <c r="Q63" s="74">
        <f t="shared" si="8"/>
        <v>-0.35921406749999996</v>
      </c>
    </row>
    <row r="64" spans="6:27" ht="19.5">
      <c r="I64" s="43">
        <f t="shared" si="2"/>
        <v>4</v>
      </c>
      <c r="J64" s="44"/>
      <c r="K64" s="60">
        <f t="shared" si="3"/>
        <v>95.199526310400003</v>
      </c>
      <c r="L64" s="61">
        <f t="shared" si="4"/>
        <v>74.476251403500001</v>
      </c>
      <c r="M64" s="61">
        <f t="shared" si="5"/>
        <v>131.74459463663788</v>
      </c>
      <c r="N64" s="61">
        <f t="shared" si="6"/>
        <v>5.4677501316999999</v>
      </c>
      <c r="O64" s="61">
        <f t="shared" si="6"/>
        <v>-0.45732309000000004</v>
      </c>
      <c r="P64" s="61">
        <f t="shared" si="7"/>
        <v>10.3189506531</v>
      </c>
      <c r="Q64" s="62">
        <f t="shared" si="8"/>
        <v>-1.6303435563999999</v>
      </c>
    </row>
    <row r="65" spans="9:17" ht="19.5">
      <c r="I65" s="43">
        <f t="shared" si="2"/>
        <v>4</v>
      </c>
      <c r="J65" s="44"/>
      <c r="K65" s="60">
        <f t="shared" si="3"/>
        <v>87.818454839300003</v>
      </c>
      <c r="L65" s="61">
        <f t="shared" si="4"/>
        <v>72.303766820700005</v>
      </c>
      <c r="M65" s="61">
        <f t="shared" si="5"/>
        <v>151.48031698673793</v>
      </c>
      <c r="N65" s="61">
        <f t="shared" si="6"/>
        <v>-4.0715190551999996</v>
      </c>
      <c r="O65" s="61">
        <f t="shared" si="6"/>
        <v>-10.450076597700001</v>
      </c>
      <c r="P65" s="61">
        <f t="shared" si="7"/>
        <v>9.2487392425999992</v>
      </c>
      <c r="Q65" s="62">
        <f t="shared" si="8"/>
        <v>2.5524396895999999</v>
      </c>
    </row>
    <row r="66" spans="9:17" ht="20.25" thickBot="1">
      <c r="I66" s="43">
        <f t="shared" si="2"/>
        <v>4</v>
      </c>
      <c r="J66" s="44"/>
      <c r="K66" s="63">
        <f t="shared" si="3"/>
        <v>91.781777992399995</v>
      </c>
      <c r="L66" s="64">
        <f t="shared" si="4"/>
        <v>72.0427403212</v>
      </c>
      <c r="M66" s="64">
        <f t="shared" si="5"/>
        <v>141.11502751923791</v>
      </c>
      <c r="N66" s="64">
        <f t="shared" si="6"/>
        <v>8.0979730252</v>
      </c>
      <c r="O66" s="64">
        <f t="shared" si="6"/>
        <v>-10.085739008199999</v>
      </c>
      <c r="P66" s="64">
        <f t="shared" si="7"/>
        <v>10.6455554962</v>
      </c>
      <c r="Q66" s="65">
        <f t="shared" si="8"/>
        <v>10.109992027300001</v>
      </c>
    </row>
  </sheetData>
  <sheetProtection selectLockedCells="1"/>
  <mergeCells count="68">
    <mergeCell ref="B32:B33"/>
    <mergeCell ref="F48:G48"/>
    <mergeCell ref="F49:G49"/>
    <mergeCell ref="F44:F46"/>
    <mergeCell ref="H44:H46"/>
    <mergeCell ref="F35:F37"/>
    <mergeCell ref="H35:H37"/>
    <mergeCell ref="F38:F40"/>
    <mergeCell ref="H38:H40"/>
    <mergeCell ref="F41:F43"/>
    <mergeCell ref="H41:H43"/>
    <mergeCell ref="G35:G37"/>
    <mergeCell ref="G44:G46"/>
    <mergeCell ref="I41:I43"/>
    <mergeCell ref="I44:I46"/>
    <mergeCell ref="X44:X46"/>
    <mergeCell ref="O35:O37"/>
    <mergeCell ref="P35:P37"/>
    <mergeCell ref="Q38:Q40"/>
    <mergeCell ref="R38:R40"/>
    <mergeCell ref="I35:I37"/>
    <mergeCell ref="I38:I40"/>
    <mergeCell ref="F51:G51"/>
    <mergeCell ref="F50:G50"/>
    <mergeCell ref="Y48:Z48"/>
    <mergeCell ref="Y49:Z49"/>
    <mergeCell ref="Y51:Z51"/>
    <mergeCell ref="O48:P48"/>
    <mergeCell ref="O49:P49"/>
    <mergeCell ref="O50:P50"/>
    <mergeCell ref="Y50:Z50"/>
    <mergeCell ref="O51:P51"/>
    <mergeCell ref="AA41:AA43"/>
    <mergeCell ref="Z44:Z46"/>
    <mergeCell ref="AA44:AA46"/>
    <mergeCell ref="G38:G40"/>
    <mergeCell ref="G41:G43"/>
    <mergeCell ref="Z41:Z43"/>
    <mergeCell ref="O38:O40"/>
    <mergeCell ref="P38:P40"/>
    <mergeCell ref="O41:O43"/>
    <mergeCell ref="P41:P43"/>
    <mergeCell ref="X38:X40"/>
    <mergeCell ref="Y38:Y40"/>
    <mergeCell ref="X41:X43"/>
    <mergeCell ref="Y41:Y43"/>
    <mergeCell ref="Q41:Q43"/>
    <mergeCell ref="R41:R43"/>
    <mergeCell ref="AE37:AI37"/>
    <mergeCell ref="AJ37:AK37"/>
    <mergeCell ref="AD37:AD38"/>
    <mergeCell ref="AA35:AA37"/>
    <mergeCell ref="Z38:Z40"/>
    <mergeCell ref="AA38:AA40"/>
    <mergeCell ref="Z35:Z37"/>
    <mergeCell ref="K53:Q53"/>
    <mergeCell ref="S32:T32"/>
    <mergeCell ref="Y35:Y37"/>
    <mergeCell ref="X35:X37"/>
    <mergeCell ref="Q35:Q37"/>
    <mergeCell ref="R35:R37"/>
    <mergeCell ref="Y44:Y46"/>
    <mergeCell ref="O44:O46"/>
    <mergeCell ref="P44:P46"/>
    <mergeCell ref="Q44:Q46"/>
    <mergeCell ref="R44:R46"/>
    <mergeCell ref="U32:U33"/>
    <mergeCell ref="M32:M33"/>
  </mergeCells>
  <phoneticPr fontId="6" type="noConversion"/>
  <conditionalFormatting sqref="I55:I6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5:Q66">
    <cfRule type="duplicateValues" dxfId="26" priority="49"/>
  </conditionalFormatting>
  <conditionalFormatting sqref="X35:Y35 X38:Y38 X41:Y41 X44:Y44">
    <cfRule type="cellIs" dxfId="25" priority="25" operator="lessThan">
      <formula>-7</formula>
    </cfRule>
    <cfRule type="cellIs" dxfId="24" priority="26" operator="greaterThan">
      <formula>7</formula>
    </cfRule>
  </conditionalFormatting>
  <conditionalFormatting sqref="M35:N46">
    <cfRule type="cellIs" dxfId="23" priority="4" operator="lessThan">
      <formula>-28</formula>
    </cfRule>
    <cfRule type="cellIs" dxfId="22" priority="5" operator="greaterThan">
      <formula>28</formula>
    </cfRule>
    <cfRule type="cellIs" dxfId="21" priority="10" operator="lessThan">
      <formula>-26.6</formula>
    </cfRule>
    <cfRule type="cellIs" dxfId="20" priority="11" operator="greaterThan">
      <formula>26.6</formula>
    </cfRule>
    <cfRule type="duplicateValues" dxfId="19" priority="13"/>
  </conditionalFormatting>
  <conditionalFormatting sqref="E35:E46">
    <cfRule type="cellIs" dxfId="18" priority="24" operator="lessThan">
      <formula>35</formula>
    </cfRule>
  </conditionalFormatting>
  <conditionalFormatting sqref="D35:D46">
    <cfRule type="cellIs" dxfId="17" priority="23" operator="lessThan">
      <formula>45</formula>
    </cfRule>
  </conditionalFormatting>
  <conditionalFormatting sqref="F35:F46">
    <cfRule type="cellIs" dxfId="16" priority="21" operator="lessThan">
      <formula>83</formula>
    </cfRule>
    <cfRule type="cellIs" dxfId="15" priority="22" operator="greaterThan">
      <formula>97</formula>
    </cfRule>
  </conditionalFormatting>
  <conditionalFormatting sqref="L35:L46 B35:B46">
    <cfRule type="uniqueValues" dxfId="14" priority="20"/>
  </conditionalFormatting>
  <conditionalFormatting sqref="L35:L46 U35:U46">
    <cfRule type="uniqueValues" dxfId="13" priority="19"/>
  </conditionalFormatting>
  <conditionalFormatting sqref="V35:W46">
    <cfRule type="cellIs" dxfId="12" priority="15" operator="lessThan">
      <formula>-25</formula>
    </cfRule>
    <cfRule type="cellIs" dxfId="11" priority="16" operator="greaterThan">
      <formula>25</formula>
    </cfRule>
    <cfRule type="cellIs" dxfId="10" priority="17" operator="lessThan">
      <formula>-22.5</formula>
    </cfRule>
    <cfRule type="cellIs" dxfId="9" priority="18" operator="greaterThan">
      <formula>22.5</formula>
    </cfRule>
  </conditionalFormatting>
  <conditionalFormatting sqref="V35:W46">
    <cfRule type="duplicateValues" dxfId="8" priority="14"/>
  </conditionalFormatting>
  <conditionalFormatting sqref="C35:E46">
    <cfRule type="duplicateValues" dxfId="7" priority="12"/>
  </conditionalFormatting>
  <conditionalFormatting sqref="O35:P46">
    <cfRule type="duplicateValues" dxfId="6" priority="2"/>
    <cfRule type="cellIs" dxfId="5" priority="6" operator="lessThan">
      <formula>-12</formula>
    </cfRule>
    <cfRule type="cellIs" dxfId="4" priority="7" operator="greaterThan">
      <formula>12</formula>
    </cfRule>
    <cfRule type="cellIs" dxfId="3" priority="8" operator="lessThan">
      <formula>-10.8</formula>
    </cfRule>
    <cfRule type="cellIs" dxfId="2" priority="9" operator="greaterThan">
      <formula>10.8</formula>
    </cfRule>
  </conditionalFormatting>
  <conditionalFormatting sqref="X35:Y46">
    <cfRule type="duplicateValues" dxfId="1" priority="3"/>
  </conditionalFormatting>
  <conditionalFormatting sqref="F35:H46">
    <cfRule type="duplicateValues" dxfId="0" priority="1"/>
  </conditionalFormatting>
  <dataValidations count="1">
    <dataValidation type="list" allowBlank="1" showInputMessage="1" showErrorMessage="1" sqref="R32">
      <formula1>$AD$39:$AD$43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7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  <c r="AI1" t="s">
        <v>207</v>
      </c>
      <c r="AJ1" t="s">
        <v>208</v>
      </c>
      <c r="AK1" s="17" t="s">
        <v>209</v>
      </c>
    </row>
    <row r="2" spans="1:37">
      <c r="A2" t="s">
        <v>210</v>
      </c>
      <c r="B2" t="s">
        <v>211</v>
      </c>
      <c r="C2" t="s">
        <v>212</v>
      </c>
      <c r="D2" t="s">
        <v>213</v>
      </c>
      <c r="E2">
        <v>3</v>
      </c>
      <c r="F2" t="s">
        <v>214</v>
      </c>
      <c r="G2" t="s">
        <v>215</v>
      </c>
      <c r="H2" t="s">
        <v>216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2111.6056121219999</v>
      </c>
      <c r="S2">
        <v>1519.2025167692</v>
      </c>
      <c r="T2">
        <v>-0.89438787799999997</v>
      </c>
      <c r="U2">
        <v>-6.7025167691999998</v>
      </c>
      <c r="V2">
        <v>6.7619272931000003</v>
      </c>
      <c r="W2">
        <v>732.58</v>
      </c>
      <c r="X2">
        <v>396.31270000000001</v>
      </c>
      <c r="Y2">
        <v>403.92140000000001</v>
      </c>
      <c r="Z2">
        <v>397.72539999999998</v>
      </c>
      <c r="AA2">
        <v>397.13470000000001</v>
      </c>
      <c r="AB2">
        <v>565.67677500000002</v>
      </c>
      <c r="AC2" t="s">
        <v>223</v>
      </c>
      <c r="AD2" t="s">
        <v>224</v>
      </c>
      <c r="AE2" t="s">
        <v>225</v>
      </c>
      <c r="AF2" t="s">
        <v>226</v>
      </c>
      <c r="AG2" t="s">
        <v>227</v>
      </c>
      <c r="AH2">
        <v>8</v>
      </c>
      <c r="AI2" t="s">
        <v>228</v>
      </c>
      <c r="AK2" s="17">
        <v>1</v>
      </c>
    </row>
    <row r="3" spans="1:37">
      <c r="A3" t="s">
        <v>545</v>
      </c>
      <c r="B3" t="s">
        <v>546</v>
      </c>
      <c r="C3" t="s">
        <v>547</v>
      </c>
      <c r="D3" t="s">
        <v>213</v>
      </c>
      <c r="E3">
        <v>3</v>
      </c>
      <c r="F3" t="s">
        <v>214</v>
      </c>
      <c r="G3" t="s">
        <v>215</v>
      </c>
      <c r="H3" t="s">
        <v>216</v>
      </c>
      <c r="I3" t="s">
        <v>217</v>
      </c>
      <c r="K3" t="s">
        <v>548</v>
      </c>
      <c r="L3" t="s">
        <v>549</v>
      </c>
      <c r="M3" t="s">
        <v>550</v>
      </c>
      <c r="N3" t="s">
        <v>551</v>
      </c>
      <c r="O3" t="s">
        <v>552</v>
      </c>
      <c r="P3">
        <v>0</v>
      </c>
      <c r="Q3">
        <v>0</v>
      </c>
      <c r="R3">
        <v>2102.4591986821001</v>
      </c>
      <c r="S3">
        <v>1524.4534599927999</v>
      </c>
      <c r="T3">
        <v>-10.0408013179</v>
      </c>
      <c r="U3">
        <v>-11.953459992799999</v>
      </c>
      <c r="V3">
        <v>15.610986416799999</v>
      </c>
      <c r="W3">
        <v>727.29100000000005</v>
      </c>
      <c r="X3">
        <v>395.82929999999999</v>
      </c>
      <c r="Y3">
        <v>407.92320000000001</v>
      </c>
      <c r="Z3">
        <v>401.33449999999999</v>
      </c>
      <c r="AA3">
        <v>397.06659999999999</v>
      </c>
      <c r="AB3">
        <v>563.91470000000004</v>
      </c>
      <c r="AC3" t="s">
        <v>223</v>
      </c>
      <c r="AD3" t="s">
        <v>224</v>
      </c>
      <c r="AE3" t="s">
        <v>225</v>
      </c>
      <c r="AF3" t="s">
        <v>226</v>
      </c>
      <c r="AG3" t="s">
        <v>227</v>
      </c>
      <c r="AH3">
        <v>8</v>
      </c>
      <c r="AI3" t="s">
        <v>228</v>
      </c>
      <c r="AK3" s="17">
        <v>1</v>
      </c>
    </row>
    <row r="4" spans="1:37">
      <c r="A4" t="s">
        <v>560</v>
      </c>
      <c r="B4" t="s">
        <v>561</v>
      </c>
      <c r="C4" t="s">
        <v>562</v>
      </c>
      <c r="D4" t="s">
        <v>213</v>
      </c>
      <c r="E4">
        <v>3</v>
      </c>
      <c r="F4" t="s">
        <v>214</v>
      </c>
      <c r="G4" t="s">
        <v>215</v>
      </c>
      <c r="H4" t="s">
        <v>216</v>
      </c>
      <c r="I4" t="s">
        <v>217</v>
      </c>
      <c r="K4" t="s">
        <v>563</v>
      </c>
      <c r="L4" t="s">
        <v>564</v>
      </c>
      <c r="M4" t="s">
        <v>565</v>
      </c>
      <c r="N4" t="s">
        <v>566</v>
      </c>
      <c r="O4" t="s">
        <v>567</v>
      </c>
      <c r="P4">
        <v>0</v>
      </c>
      <c r="Q4">
        <v>0</v>
      </c>
      <c r="R4">
        <v>2110.4646272027999</v>
      </c>
      <c r="S4">
        <v>1522.4496530972001</v>
      </c>
      <c r="T4">
        <v>-2.0353727972</v>
      </c>
      <c r="U4">
        <v>-9.9496530972000006</v>
      </c>
      <c r="V4">
        <v>10.155704760300001</v>
      </c>
      <c r="W4">
        <v>745.85649999999998</v>
      </c>
      <c r="X4">
        <v>400.78629999999998</v>
      </c>
      <c r="Y4">
        <v>409.91390000000001</v>
      </c>
      <c r="Z4">
        <v>403.4785</v>
      </c>
      <c r="AA4">
        <v>404.02980000000002</v>
      </c>
      <c r="AB4">
        <v>575.20431250000001</v>
      </c>
      <c r="AC4" t="s">
        <v>223</v>
      </c>
      <c r="AD4" t="s">
        <v>224</v>
      </c>
      <c r="AE4" t="s">
        <v>225</v>
      </c>
      <c r="AF4" t="s">
        <v>226</v>
      </c>
      <c r="AG4" t="s">
        <v>227</v>
      </c>
      <c r="AH4">
        <v>8</v>
      </c>
      <c r="AI4" t="s">
        <v>228</v>
      </c>
      <c r="AK4" s="17">
        <v>1</v>
      </c>
    </row>
    <row r="5" spans="1:37">
      <c r="A5" t="s">
        <v>575</v>
      </c>
      <c r="B5" t="s">
        <v>576</v>
      </c>
      <c r="C5" t="s">
        <v>577</v>
      </c>
      <c r="D5" t="s">
        <v>213</v>
      </c>
      <c r="E5">
        <v>3</v>
      </c>
      <c r="F5" t="s">
        <v>214</v>
      </c>
      <c r="G5" t="s">
        <v>215</v>
      </c>
      <c r="H5" t="s">
        <v>216</v>
      </c>
      <c r="I5" t="s">
        <v>217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2110.4866245835001</v>
      </c>
      <c r="S5">
        <v>1515.4019801567999</v>
      </c>
      <c r="T5">
        <v>-2.0133754165000002</v>
      </c>
      <c r="U5">
        <v>-2.9019801568000001</v>
      </c>
      <c r="V5">
        <v>3.532020583</v>
      </c>
      <c r="W5">
        <v>744.36959999999999</v>
      </c>
      <c r="X5">
        <v>400.55169999999998</v>
      </c>
      <c r="Y5">
        <v>404.74630000000002</v>
      </c>
      <c r="Z5">
        <v>405.42739999999998</v>
      </c>
      <c r="AA5">
        <v>402.93419999999998</v>
      </c>
      <c r="AB5">
        <v>573.89224999999999</v>
      </c>
      <c r="AC5" t="s">
        <v>223</v>
      </c>
      <c r="AD5" t="s">
        <v>224</v>
      </c>
      <c r="AE5" t="s">
        <v>225</v>
      </c>
      <c r="AF5" t="s">
        <v>226</v>
      </c>
      <c r="AG5" t="s">
        <v>227</v>
      </c>
      <c r="AH5">
        <v>8</v>
      </c>
      <c r="AI5" t="s">
        <v>228</v>
      </c>
      <c r="AK5" s="17">
        <v>1</v>
      </c>
    </row>
    <row r="6" spans="1:37">
      <c r="A6" t="s">
        <v>590</v>
      </c>
      <c r="B6" t="s">
        <v>591</v>
      </c>
      <c r="C6" t="s">
        <v>592</v>
      </c>
      <c r="D6" t="s">
        <v>213</v>
      </c>
      <c r="E6">
        <v>3</v>
      </c>
      <c r="F6" t="s">
        <v>214</v>
      </c>
      <c r="G6" t="s">
        <v>215</v>
      </c>
      <c r="H6" t="s">
        <v>216</v>
      </c>
      <c r="I6" t="s">
        <v>217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2111.3490939351</v>
      </c>
      <c r="S6">
        <v>1523.7817786223</v>
      </c>
      <c r="T6">
        <v>-1.1509060649</v>
      </c>
      <c r="U6">
        <v>-11.281778622299999</v>
      </c>
      <c r="V6">
        <v>11.340331285</v>
      </c>
      <c r="W6">
        <v>746.91200000000003</v>
      </c>
      <c r="X6">
        <v>403.71960000000001</v>
      </c>
      <c r="Y6">
        <v>410.20490000000001</v>
      </c>
      <c r="Z6">
        <v>403.90480000000002</v>
      </c>
      <c r="AA6">
        <v>404.73160000000001</v>
      </c>
      <c r="AB6">
        <v>576.27611249999995</v>
      </c>
      <c r="AC6" t="s">
        <v>223</v>
      </c>
      <c r="AD6" t="s">
        <v>224</v>
      </c>
      <c r="AE6" t="s">
        <v>225</v>
      </c>
      <c r="AF6" t="s">
        <v>226</v>
      </c>
      <c r="AG6" t="s">
        <v>227</v>
      </c>
      <c r="AH6">
        <v>8</v>
      </c>
      <c r="AI6" t="s">
        <v>228</v>
      </c>
      <c r="AK6" s="17">
        <v>1</v>
      </c>
    </row>
    <row r="7" spans="1:37">
      <c r="A7" t="s">
        <v>601</v>
      </c>
      <c r="B7" t="s">
        <v>602</v>
      </c>
      <c r="C7" t="s">
        <v>603</v>
      </c>
      <c r="D7" t="s">
        <v>213</v>
      </c>
      <c r="E7">
        <v>3</v>
      </c>
      <c r="F7" t="s">
        <v>214</v>
      </c>
      <c r="G7" t="s">
        <v>215</v>
      </c>
      <c r="H7" t="s">
        <v>216</v>
      </c>
      <c r="I7" t="s">
        <v>217</v>
      </c>
      <c r="K7" t="s">
        <v>604</v>
      </c>
      <c r="L7" t="s">
        <v>605</v>
      </c>
      <c r="M7" t="s">
        <v>606</v>
      </c>
      <c r="N7" t="s">
        <v>607</v>
      </c>
      <c r="O7" t="s">
        <v>608</v>
      </c>
      <c r="P7">
        <v>0</v>
      </c>
      <c r="Q7">
        <v>0</v>
      </c>
      <c r="R7">
        <v>2116.8881287764998</v>
      </c>
      <c r="S7">
        <v>1510.1844848394001</v>
      </c>
      <c r="T7">
        <v>4.3881287765000003</v>
      </c>
      <c r="U7">
        <v>2.3155151606</v>
      </c>
      <c r="V7">
        <v>4.9615808587999997</v>
      </c>
      <c r="W7">
        <v>734.6585</v>
      </c>
      <c r="X7">
        <v>401.7081</v>
      </c>
      <c r="Y7">
        <v>399.84350000000001</v>
      </c>
      <c r="Z7">
        <v>399.74169999999998</v>
      </c>
      <c r="AA7">
        <v>400.72399999999999</v>
      </c>
      <c r="AB7">
        <v>567.58141250000006</v>
      </c>
      <c r="AC7" t="s">
        <v>223</v>
      </c>
      <c r="AD7" t="s">
        <v>224</v>
      </c>
      <c r="AE7" t="s">
        <v>225</v>
      </c>
      <c r="AF7" t="s">
        <v>226</v>
      </c>
      <c r="AG7" t="s">
        <v>227</v>
      </c>
      <c r="AH7">
        <v>8</v>
      </c>
      <c r="AI7" t="s">
        <v>228</v>
      </c>
      <c r="AK7" s="17">
        <v>1</v>
      </c>
    </row>
    <row r="8" spans="1:37">
      <c r="A8" t="s">
        <v>620</v>
      </c>
      <c r="B8" t="s">
        <v>621</v>
      </c>
      <c r="C8" t="s">
        <v>622</v>
      </c>
      <c r="D8" t="s">
        <v>213</v>
      </c>
      <c r="E8">
        <v>3</v>
      </c>
      <c r="F8" t="s">
        <v>214</v>
      </c>
      <c r="G8" t="s">
        <v>215</v>
      </c>
      <c r="H8" t="s">
        <v>216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2112.4482104449999</v>
      </c>
      <c r="S8">
        <v>1518.1424867685</v>
      </c>
      <c r="T8">
        <v>-5.1789555000000001E-2</v>
      </c>
      <c r="U8">
        <v>-5.6424867685000004</v>
      </c>
      <c r="V8">
        <v>5.6427244387000002</v>
      </c>
      <c r="W8">
        <v>733.16060000000004</v>
      </c>
      <c r="X8">
        <v>399.8528</v>
      </c>
      <c r="Y8">
        <v>404.77499999999998</v>
      </c>
      <c r="Z8">
        <v>402.2226</v>
      </c>
      <c r="AA8">
        <v>399.38760000000002</v>
      </c>
      <c r="AB8">
        <v>567.36005</v>
      </c>
      <c r="AC8" t="s">
        <v>223</v>
      </c>
      <c r="AD8" t="s">
        <v>224</v>
      </c>
      <c r="AE8" t="s">
        <v>225</v>
      </c>
      <c r="AF8" t="s">
        <v>226</v>
      </c>
      <c r="AG8" t="s">
        <v>227</v>
      </c>
      <c r="AH8">
        <v>8</v>
      </c>
      <c r="AI8" t="s">
        <v>228</v>
      </c>
      <c r="AK8" s="17">
        <v>1</v>
      </c>
    </row>
    <row r="9" spans="1:37">
      <c r="A9" t="s">
        <v>635</v>
      </c>
      <c r="B9" t="s">
        <v>636</v>
      </c>
      <c r="C9" t="s">
        <v>637</v>
      </c>
      <c r="D9" t="s">
        <v>213</v>
      </c>
      <c r="E9">
        <v>3</v>
      </c>
      <c r="F9" t="s">
        <v>214</v>
      </c>
      <c r="G9" t="s">
        <v>215</v>
      </c>
      <c r="H9" t="s">
        <v>216</v>
      </c>
      <c r="I9" t="s">
        <v>217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2106.9980668980002</v>
      </c>
      <c r="S9">
        <v>1523.8171314858</v>
      </c>
      <c r="T9">
        <v>-5.5019331019999997</v>
      </c>
      <c r="U9">
        <v>-11.317131485799999</v>
      </c>
      <c r="V9">
        <v>12.583669295</v>
      </c>
      <c r="W9">
        <v>747.88099999999997</v>
      </c>
      <c r="X9">
        <v>402.85750000000002</v>
      </c>
      <c r="Y9">
        <v>408.31240000000003</v>
      </c>
      <c r="Z9">
        <v>407.08049999999997</v>
      </c>
      <c r="AA9">
        <v>404.05059999999997</v>
      </c>
      <c r="AB9">
        <v>576.72812499999998</v>
      </c>
      <c r="AC9" t="s">
        <v>223</v>
      </c>
      <c r="AD9" t="s">
        <v>224</v>
      </c>
      <c r="AE9" t="s">
        <v>225</v>
      </c>
      <c r="AF9" t="s">
        <v>226</v>
      </c>
      <c r="AG9" t="s">
        <v>227</v>
      </c>
      <c r="AH9">
        <v>8</v>
      </c>
      <c r="AI9" t="s">
        <v>228</v>
      </c>
      <c r="AK9" s="17">
        <v>1</v>
      </c>
    </row>
    <row r="10" spans="1:37">
      <c r="A10" t="s">
        <v>650</v>
      </c>
      <c r="B10" t="s">
        <v>651</v>
      </c>
      <c r="C10" t="s">
        <v>652</v>
      </c>
      <c r="D10" t="s">
        <v>213</v>
      </c>
      <c r="E10">
        <v>3</v>
      </c>
      <c r="F10" t="s">
        <v>214</v>
      </c>
      <c r="G10" t="s">
        <v>215</v>
      </c>
      <c r="H10" t="s">
        <v>216</v>
      </c>
      <c r="I10" t="s">
        <v>217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2109.7701791049999</v>
      </c>
      <c r="S10">
        <v>1514.1885780202001</v>
      </c>
      <c r="T10">
        <v>-2.729820895</v>
      </c>
      <c r="U10">
        <v>-1.6885780202</v>
      </c>
      <c r="V10">
        <v>3.2098625904000002</v>
      </c>
      <c r="W10">
        <v>735.37860000000001</v>
      </c>
      <c r="X10">
        <v>397.5831</v>
      </c>
      <c r="Y10">
        <v>404.08479999999997</v>
      </c>
      <c r="Z10">
        <v>400.05309999999997</v>
      </c>
      <c r="AA10">
        <v>397.59969999999998</v>
      </c>
      <c r="AB10">
        <v>567.60438750000003</v>
      </c>
      <c r="AC10" t="s">
        <v>223</v>
      </c>
      <c r="AD10" t="s">
        <v>224</v>
      </c>
      <c r="AE10" t="s">
        <v>225</v>
      </c>
      <c r="AF10" t="s">
        <v>226</v>
      </c>
      <c r="AG10" t="s">
        <v>227</v>
      </c>
      <c r="AH10">
        <v>8</v>
      </c>
      <c r="AI10" t="s">
        <v>228</v>
      </c>
      <c r="AK10" s="17">
        <v>1</v>
      </c>
    </row>
    <row r="11" spans="1:37">
      <c r="A11" t="s">
        <v>665</v>
      </c>
      <c r="B11" t="s">
        <v>666</v>
      </c>
      <c r="C11" t="s">
        <v>667</v>
      </c>
      <c r="D11" t="s">
        <v>213</v>
      </c>
      <c r="E11">
        <v>3</v>
      </c>
      <c r="F11" t="s">
        <v>214</v>
      </c>
      <c r="G11" t="s">
        <v>215</v>
      </c>
      <c r="H11" t="s">
        <v>216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2117.9677501317001</v>
      </c>
      <c r="S11">
        <v>1516.95732309</v>
      </c>
      <c r="T11">
        <v>5.4677501316999999</v>
      </c>
      <c r="U11">
        <v>-4.45732309</v>
      </c>
      <c r="V11">
        <v>7.0543618160000001</v>
      </c>
      <c r="W11">
        <v>728.09760000000006</v>
      </c>
      <c r="X11">
        <v>395.93270000000001</v>
      </c>
      <c r="Y11">
        <v>400.4939</v>
      </c>
      <c r="Z11">
        <v>393.71140000000003</v>
      </c>
      <c r="AA11">
        <v>396.62259999999998</v>
      </c>
      <c r="AB11">
        <v>562.39387499999998</v>
      </c>
      <c r="AC11" t="s">
        <v>223</v>
      </c>
      <c r="AD11" t="s">
        <v>224</v>
      </c>
      <c r="AE11" t="s">
        <v>225</v>
      </c>
      <c r="AF11" t="s">
        <v>226</v>
      </c>
      <c r="AG11" t="s">
        <v>227</v>
      </c>
      <c r="AH11">
        <v>8</v>
      </c>
      <c r="AI11" t="s">
        <v>228</v>
      </c>
      <c r="AK11" s="17">
        <v>1</v>
      </c>
    </row>
    <row r="12" spans="1:37">
      <c r="A12" t="s">
        <v>673</v>
      </c>
      <c r="B12" t="s">
        <v>674</v>
      </c>
      <c r="C12" t="s">
        <v>675</v>
      </c>
      <c r="D12" t="s">
        <v>213</v>
      </c>
      <c r="E12">
        <v>3</v>
      </c>
      <c r="F12" t="s">
        <v>214</v>
      </c>
      <c r="G12" t="s">
        <v>215</v>
      </c>
      <c r="H12" t="s">
        <v>216</v>
      </c>
      <c r="I12" t="s">
        <v>217</v>
      </c>
      <c r="K12" t="s">
        <v>676</v>
      </c>
      <c r="L12" t="s">
        <v>677</v>
      </c>
      <c r="M12" t="s">
        <v>678</v>
      </c>
      <c r="N12" t="s">
        <v>679</v>
      </c>
      <c r="O12" t="s">
        <v>680</v>
      </c>
      <c r="P12">
        <v>0</v>
      </c>
      <c r="Q12">
        <v>0</v>
      </c>
      <c r="R12">
        <v>2108.4284809448</v>
      </c>
      <c r="S12">
        <v>1526.9500765977</v>
      </c>
      <c r="T12">
        <v>-4.0715190551999996</v>
      </c>
      <c r="U12">
        <v>-14.450076597700001</v>
      </c>
      <c r="V12">
        <v>15.0127273037</v>
      </c>
      <c r="W12">
        <v>733.99810000000002</v>
      </c>
      <c r="X12">
        <v>395.1979</v>
      </c>
      <c r="Y12">
        <v>408.87430000000001</v>
      </c>
      <c r="Z12">
        <v>401.86599999999999</v>
      </c>
      <c r="AA12">
        <v>399.6379</v>
      </c>
      <c r="AB12">
        <v>567.69606250000004</v>
      </c>
      <c r="AC12" t="s">
        <v>223</v>
      </c>
      <c r="AD12" t="s">
        <v>224</v>
      </c>
      <c r="AE12" t="s">
        <v>225</v>
      </c>
      <c r="AF12" t="s">
        <v>226</v>
      </c>
      <c r="AG12" t="s">
        <v>227</v>
      </c>
      <c r="AH12">
        <v>8</v>
      </c>
      <c r="AI12" t="s">
        <v>228</v>
      </c>
      <c r="AK12" s="17">
        <v>1</v>
      </c>
    </row>
    <row r="13" spans="1:37">
      <c r="A13" t="s">
        <v>695</v>
      </c>
      <c r="B13" t="s">
        <v>696</v>
      </c>
      <c r="C13" t="s">
        <v>697</v>
      </c>
      <c r="D13" t="s">
        <v>213</v>
      </c>
      <c r="E13">
        <v>3</v>
      </c>
      <c r="F13" t="s">
        <v>214</v>
      </c>
      <c r="G13" t="s">
        <v>215</v>
      </c>
      <c r="H13" t="s">
        <v>216</v>
      </c>
      <c r="I13" t="s">
        <v>217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2120.5979730252002</v>
      </c>
      <c r="S13">
        <v>1526.5857390082001</v>
      </c>
      <c r="T13">
        <v>8.0979730252</v>
      </c>
      <c r="U13">
        <v>-14.085739008199999</v>
      </c>
      <c r="V13">
        <v>16.247621688300001</v>
      </c>
      <c r="W13">
        <v>748.68389999999999</v>
      </c>
      <c r="X13">
        <v>404.5711</v>
      </c>
      <c r="Y13">
        <v>415.37889999999999</v>
      </c>
      <c r="Z13">
        <v>406.52519999999998</v>
      </c>
      <c r="AA13">
        <v>408.68810000000002</v>
      </c>
      <c r="AB13">
        <v>578.73736250000002</v>
      </c>
      <c r="AC13" t="s">
        <v>223</v>
      </c>
      <c r="AD13" t="s">
        <v>224</v>
      </c>
      <c r="AE13" t="s">
        <v>225</v>
      </c>
      <c r="AF13" t="s">
        <v>226</v>
      </c>
      <c r="AG13" t="s">
        <v>227</v>
      </c>
      <c r="AH13">
        <v>8</v>
      </c>
      <c r="AI13" t="s">
        <v>228</v>
      </c>
      <c r="AK13" s="17">
        <v>1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11" max="11" width="22.25" customWidth="1"/>
    <col min="51" max="16384" width="8.875" style="17"/>
  </cols>
  <sheetData>
    <row r="1" spans="1:51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236</v>
      </c>
      <c r="Z1" t="s">
        <v>237</v>
      </c>
      <c r="AA1" t="s">
        <v>238</v>
      </c>
      <c r="AB1" t="s">
        <v>239</v>
      </c>
      <c r="AC1" t="s">
        <v>240</v>
      </c>
      <c r="AD1" t="s">
        <v>241</v>
      </c>
      <c r="AE1" t="s">
        <v>242</v>
      </c>
      <c r="AF1" t="s">
        <v>243</v>
      </c>
      <c r="AG1" t="s">
        <v>244</v>
      </c>
      <c r="AH1" t="s">
        <v>245</v>
      </c>
      <c r="AI1" t="s">
        <v>246</v>
      </c>
      <c r="AJ1" t="s">
        <v>247</v>
      </c>
      <c r="AK1" t="s">
        <v>248</v>
      </c>
      <c r="AL1" t="s">
        <v>249</v>
      </c>
      <c r="AM1" t="s">
        <v>250</v>
      </c>
      <c r="AN1" t="s">
        <v>251</v>
      </c>
      <c r="AO1" t="s">
        <v>252</v>
      </c>
      <c r="AP1" t="s">
        <v>253</v>
      </c>
      <c r="AQ1" t="s">
        <v>254</v>
      </c>
      <c r="AR1" t="s">
        <v>255</v>
      </c>
      <c r="AS1" t="s">
        <v>256</v>
      </c>
      <c r="AT1" t="s">
        <v>257</v>
      </c>
      <c r="AU1" t="s">
        <v>258</v>
      </c>
      <c r="AV1" t="s">
        <v>259</v>
      </c>
      <c r="AW1" t="s">
        <v>207</v>
      </c>
      <c r="AX1" t="s">
        <v>208</v>
      </c>
      <c r="AY1" s="17" t="s">
        <v>209</v>
      </c>
    </row>
    <row r="2" spans="1:51">
      <c r="A2" t="s">
        <v>260</v>
      </c>
      <c r="B2" t="s">
        <v>261</v>
      </c>
      <c r="C2" t="s">
        <v>262</v>
      </c>
      <c r="D2" t="s">
        <v>213</v>
      </c>
      <c r="E2">
        <v>3</v>
      </c>
      <c r="F2" t="s">
        <v>214</v>
      </c>
      <c r="G2" t="s">
        <v>215</v>
      </c>
      <c r="H2" t="s">
        <v>263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-3.1471299999999998E-5</v>
      </c>
      <c r="S2">
        <v>20.047103881799998</v>
      </c>
      <c r="T2">
        <v>-3.1738250255999998</v>
      </c>
      <c r="U2">
        <v>1.4517755508000001</v>
      </c>
      <c r="V2">
        <v>5.3660554885999998</v>
      </c>
      <c r="W2">
        <v>-8.5144691466999998</v>
      </c>
      <c r="X2">
        <v>-6.2708244324000004</v>
      </c>
      <c r="Y2">
        <v>0.36899280550000002</v>
      </c>
      <c r="Z2">
        <v>0.76819670200000001</v>
      </c>
      <c r="AA2">
        <v>-0.60339081289999996</v>
      </c>
      <c r="AB2">
        <v>1.0661797523000001</v>
      </c>
      <c r="AC2">
        <v>-1.8838548660000001</v>
      </c>
      <c r="AD2">
        <v>3.1459889412000002</v>
      </c>
      <c r="AE2">
        <v>1.7600907087</v>
      </c>
      <c r="AF2">
        <v>1.2973082065999999</v>
      </c>
      <c r="AG2">
        <v>-0.52830350400000003</v>
      </c>
      <c r="AH2">
        <v>-0.218462348</v>
      </c>
      <c r="AI2">
        <v>7.5055986599999999E-2</v>
      </c>
      <c r="AJ2">
        <v>0.92437148089999999</v>
      </c>
      <c r="AK2">
        <v>-0.59727466110000005</v>
      </c>
      <c r="AL2">
        <v>3.9149330000000002E-4</v>
      </c>
      <c r="AM2">
        <v>6.4853943900000002E-2</v>
      </c>
      <c r="AN2">
        <v>0.37903845310000001</v>
      </c>
      <c r="AO2">
        <v>0.19475786389999999</v>
      </c>
      <c r="AP2">
        <v>0.37903845310000001</v>
      </c>
      <c r="AQ2">
        <v>0.37903845310000001</v>
      </c>
      <c r="AR2">
        <v>20.296786428899999</v>
      </c>
      <c r="AS2" t="s">
        <v>264</v>
      </c>
      <c r="AT2" t="s">
        <v>265</v>
      </c>
      <c r="AU2">
        <v>4</v>
      </c>
      <c r="AV2">
        <v>2.9</v>
      </c>
      <c r="AY2" s="17">
        <v>1</v>
      </c>
    </row>
    <row r="3" spans="1:51">
      <c r="A3" t="s">
        <v>556</v>
      </c>
      <c r="B3" t="s">
        <v>557</v>
      </c>
      <c r="C3" t="s">
        <v>558</v>
      </c>
      <c r="D3" t="s">
        <v>213</v>
      </c>
      <c r="E3">
        <v>3</v>
      </c>
      <c r="F3" t="s">
        <v>214</v>
      </c>
      <c r="G3" t="s">
        <v>215</v>
      </c>
      <c r="H3" t="s">
        <v>263</v>
      </c>
      <c r="I3" t="s">
        <v>217</v>
      </c>
      <c r="K3" t="s">
        <v>548</v>
      </c>
      <c r="L3" t="s">
        <v>549</v>
      </c>
      <c r="M3" t="s">
        <v>550</v>
      </c>
      <c r="N3" t="s">
        <v>551</v>
      </c>
      <c r="O3" t="s">
        <v>552</v>
      </c>
      <c r="P3">
        <v>0</v>
      </c>
      <c r="Q3">
        <v>0</v>
      </c>
      <c r="R3">
        <v>-1.19209E-5</v>
      </c>
      <c r="S3">
        <v>12.320055007900001</v>
      </c>
      <c r="T3">
        <v>3.5612792969</v>
      </c>
      <c r="U3">
        <v>-1.1736562252</v>
      </c>
      <c r="V3">
        <v>7.1049737930000001</v>
      </c>
      <c r="W3">
        <v>-5.6599211693000004</v>
      </c>
      <c r="X3">
        <v>7.4850320799999995E-2</v>
      </c>
      <c r="Y3">
        <v>-0.89781677719999997</v>
      </c>
      <c r="Z3">
        <v>1.7695934771999999</v>
      </c>
      <c r="AA3">
        <v>0.5620482564</v>
      </c>
      <c r="AB3">
        <v>0.45456200839999999</v>
      </c>
      <c r="AC3">
        <v>-3.3106627463999998</v>
      </c>
      <c r="AD3">
        <v>1.3250985146000001</v>
      </c>
      <c r="AE3">
        <v>-0.90805041789999996</v>
      </c>
      <c r="AF3">
        <v>0.87316513060000001</v>
      </c>
      <c r="AG3">
        <v>-0.97782611850000001</v>
      </c>
      <c r="AH3">
        <v>0.2135607004</v>
      </c>
      <c r="AI3">
        <v>-0.66723144050000005</v>
      </c>
      <c r="AJ3">
        <v>-0.46983802320000001</v>
      </c>
      <c r="AK3">
        <v>-3.4322053200000001E-2</v>
      </c>
      <c r="AL3">
        <v>2.102106E-4</v>
      </c>
      <c r="AM3">
        <v>4.6107709400000002E-2</v>
      </c>
      <c r="AN3">
        <v>0.19919118290000001</v>
      </c>
      <c r="AO3">
        <v>0.1219917834</v>
      </c>
      <c r="AP3">
        <v>0.25331965090000003</v>
      </c>
      <c r="AQ3">
        <v>0.25331965090000003</v>
      </c>
      <c r="AR3">
        <v>12.824447965899999</v>
      </c>
      <c r="AS3" t="s">
        <v>264</v>
      </c>
      <c r="AT3" t="s">
        <v>265</v>
      </c>
      <c r="AU3">
        <v>4</v>
      </c>
      <c r="AV3">
        <v>2.9</v>
      </c>
      <c r="AY3" s="17">
        <v>1</v>
      </c>
    </row>
    <row r="4" spans="1:51">
      <c r="A4" t="s">
        <v>571</v>
      </c>
      <c r="B4" t="s">
        <v>572</v>
      </c>
      <c r="C4" t="s">
        <v>573</v>
      </c>
      <c r="D4" t="s">
        <v>213</v>
      </c>
      <c r="E4">
        <v>3</v>
      </c>
      <c r="F4" t="s">
        <v>214</v>
      </c>
      <c r="G4" t="s">
        <v>215</v>
      </c>
      <c r="H4" t="s">
        <v>263</v>
      </c>
      <c r="I4" t="s">
        <v>217</v>
      </c>
      <c r="K4" t="s">
        <v>563</v>
      </c>
      <c r="L4" t="s">
        <v>564</v>
      </c>
      <c r="M4" t="s">
        <v>565</v>
      </c>
      <c r="N4" t="s">
        <v>566</v>
      </c>
      <c r="O4" t="s">
        <v>567</v>
      </c>
      <c r="P4">
        <v>0</v>
      </c>
      <c r="Q4">
        <v>0</v>
      </c>
      <c r="R4">
        <v>6.1035200000000001E-5</v>
      </c>
      <c r="S4">
        <v>15.145574569700001</v>
      </c>
      <c r="T4">
        <v>2.6795592307999998</v>
      </c>
      <c r="U4">
        <v>0.80037975309999998</v>
      </c>
      <c r="V4">
        <v>4.6338930129999998</v>
      </c>
      <c r="W4">
        <v>-9.1545085907000008</v>
      </c>
      <c r="X4">
        <v>-5.3269162178</v>
      </c>
      <c r="Y4">
        <v>-2.0507445335000001</v>
      </c>
      <c r="Z4">
        <v>-5.6400895100000001E-2</v>
      </c>
      <c r="AA4">
        <v>0.68516248459999995</v>
      </c>
      <c r="AB4">
        <v>-3.8052201299999998E-2</v>
      </c>
      <c r="AC4">
        <v>-1.5938830375999999</v>
      </c>
      <c r="AD4">
        <v>2.3647971153</v>
      </c>
      <c r="AE4">
        <v>1.874429822</v>
      </c>
      <c r="AF4">
        <v>1.7633118629</v>
      </c>
      <c r="AG4">
        <v>0.25643253329999999</v>
      </c>
      <c r="AH4">
        <v>0.83281582590000003</v>
      </c>
      <c r="AI4">
        <v>-0.60694187879999995</v>
      </c>
      <c r="AJ4">
        <v>8.7084174200000003E-2</v>
      </c>
      <c r="AK4">
        <v>0.1216200888</v>
      </c>
      <c r="AL4">
        <v>2.1535820000000001E-4</v>
      </c>
      <c r="AM4">
        <v>4.8122532699999998E-2</v>
      </c>
      <c r="AN4">
        <v>0.30025279519999998</v>
      </c>
      <c r="AO4">
        <v>0.14719079430000001</v>
      </c>
      <c r="AP4">
        <v>0.30025279519999998</v>
      </c>
      <c r="AQ4">
        <v>0.30025279519999998</v>
      </c>
      <c r="AR4">
        <v>15.3807823831</v>
      </c>
      <c r="AS4" t="s">
        <v>264</v>
      </c>
      <c r="AT4" t="s">
        <v>265</v>
      </c>
      <c r="AU4">
        <v>3</v>
      </c>
      <c r="AV4">
        <v>2.9</v>
      </c>
      <c r="AY4" s="17">
        <v>1</v>
      </c>
    </row>
    <row r="5" spans="1:51">
      <c r="A5" t="s">
        <v>583</v>
      </c>
      <c r="B5" t="s">
        <v>584</v>
      </c>
      <c r="C5" t="s">
        <v>585</v>
      </c>
      <c r="D5" t="s">
        <v>213</v>
      </c>
      <c r="E5">
        <v>3</v>
      </c>
      <c r="F5" t="s">
        <v>214</v>
      </c>
      <c r="G5" t="s">
        <v>215</v>
      </c>
      <c r="H5" t="s">
        <v>263</v>
      </c>
      <c r="I5" t="s">
        <v>217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1.52588E-5</v>
      </c>
      <c r="S5">
        <v>14.9602108002</v>
      </c>
      <c r="T5">
        <v>12.7464561462</v>
      </c>
      <c r="U5">
        <v>-3.3294787406999999</v>
      </c>
      <c r="V5">
        <v>1.6003174782</v>
      </c>
      <c r="W5">
        <v>-2.6385905743000002</v>
      </c>
      <c r="X5">
        <v>-4.2209558487000001</v>
      </c>
      <c r="Y5">
        <v>-4.9073615074000001</v>
      </c>
      <c r="Z5">
        <v>1.5863511561999999</v>
      </c>
      <c r="AA5">
        <v>-0.62419575449999998</v>
      </c>
      <c r="AB5">
        <v>0.92917197939999996</v>
      </c>
      <c r="AC5">
        <v>7.6816439599999994E-2</v>
      </c>
      <c r="AD5">
        <v>0.85889720920000001</v>
      </c>
      <c r="AE5">
        <v>1.2125462294</v>
      </c>
      <c r="AF5">
        <v>2.3928809165999998</v>
      </c>
      <c r="AG5">
        <v>0.14505842329999999</v>
      </c>
      <c r="AH5">
        <v>-7.6294601000000004E-2</v>
      </c>
      <c r="AI5">
        <v>-0.89599514010000003</v>
      </c>
      <c r="AJ5">
        <v>0.33429849150000002</v>
      </c>
      <c r="AK5">
        <v>3.3508479600000002E-2</v>
      </c>
      <c r="AL5">
        <v>2.5416330000000001E-4</v>
      </c>
      <c r="AM5">
        <v>5.2316069600000001E-2</v>
      </c>
      <c r="AN5">
        <v>0.2343380451</v>
      </c>
      <c r="AO5">
        <v>0.2450597286</v>
      </c>
      <c r="AP5">
        <v>0.34044328330000001</v>
      </c>
      <c r="AQ5">
        <v>0.34044328330000001</v>
      </c>
      <c r="AR5">
        <v>19.654008534500001</v>
      </c>
      <c r="AS5" t="s">
        <v>264</v>
      </c>
      <c r="AT5" t="s">
        <v>265</v>
      </c>
      <c r="AU5">
        <v>4</v>
      </c>
      <c r="AV5">
        <v>2.9</v>
      </c>
      <c r="AY5" s="17">
        <v>1</v>
      </c>
    </row>
    <row r="6" spans="1:51">
      <c r="A6" t="s">
        <v>609</v>
      </c>
      <c r="B6" t="s">
        <v>610</v>
      </c>
      <c r="C6" t="s">
        <v>611</v>
      </c>
      <c r="D6" t="s">
        <v>213</v>
      </c>
      <c r="E6">
        <v>3</v>
      </c>
      <c r="F6" t="s">
        <v>214</v>
      </c>
      <c r="G6" t="s">
        <v>215</v>
      </c>
      <c r="H6" t="s">
        <v>263</v>
      </c>
      <c r="I6" t="s">
        <v>217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-9.7751999999999992E-6</v>
      </c>
      <c r="S6">
        <v>7.4330883025999999</v>
      </c>
      <c r="T6">
        <v>1.3567442893999999</v>
      </c>
      <c r="U6">
        <v>0.59957098959999999</v>
      </c>
      <c r="V6">
        <v>7.0823497772000001</v>
      </c>
      <c r="W6">
        <v>-4.8558802605000002</v>
      </c>
      <c r="X6">
        <v>-2.6379187107000002</v>
      </c>
      <c r="Y6">
        <v>-2.0328595638000002</v>
      </c>
      <c r="Z6">
        <v>1.9147388935</v>
      </c>
      <c r="AA6">
        <v>0.54834699629999994</v>
      </c>
      <c r="AB6">
        <v>-0.45267796519999998</v>
      </c>
      <c r="AC6">
        <v>-1.7727156878000001</v>
      </c>
      <c r="AD6">
        <v>1.5205221175999999</v>
      </c>
      <c r="AE6">
        <v>0.8950692415</v>
      </c>
      <c r="AF6">
        <v>1.4102461338000001</v>
      </c>
      <c r="AG6">
        <v>-0.74584144350000003</v>
      </c>
      <c r="AH6">
        <v>0.41984117030000001</v>
      </c>
      <c r="AI6">
        <v>-0.1515693367</v>
      </c>
      <c r="AJ6">
        <v>-0.59511637689999997</v>
      </c>
      <c r="AK6">
        <v>0.43760648369999999</v>
      </c>
      <c r="AL6">
        <v>1.655092E-4</v>
      </c>
      <c r="AM6">
        <v>4.1759230199999997E-2</v>
      </c>
      <c r="AN6">
        <v>0.1905168891</v>
      </c>
      <c r="AO6">
        <v>7.6545953799999997E-2</v>
      </c>
      <c r="AP6">
        <v>0.247995615</v>
      </c>
      <c r="AQ6">
        <v>0.247995615</v>
      </c>
      <c r="AR6">
        <v>11.513308091200001</v>
      </c>
      <c r="AS6" t="s">
        <v>264</v>
      </c>
      <c r="AT6" t="s">
        <v>265</v>
      </c>
      <c r="AU6">
        <v>3</v>
      </c>
      <c r="AV6">
        <v>2.9</v>
      </c>
      <c r="AY6" s="17">
        <v>1</v>
      </c>
    </row>
    <row r="7" spans="1:51">
      <c r="A7" t="s">
        <v>616</v>
      </c>
      <c r="B7" t="s">
        <v>617</v>
      </c>
      <c r="C7" t="s">
        <v>618</v>
      </c>
      <c r="D7" t="s">
        <v>213</v>
      </c>
      <c r="E7">
        <v>3</v>
      </c>
      <c r="F7" t="s">
        <v>214</v>
      </c>
      <c r="G7" t="s">
        <v>215</v>
      </c>
      <c r="H7" t="s">
        <v>263</v>
      </c>
      <c r="I7" t="s">
        <v>217</v>
      </c>
      <c r="K7" t="s">
        <v>604</v>
      </c>
      <c r="L7" t="s">
        <v>605</v>
      </c>
      <c r="M7" t="s">
        <v>606</v>
      </c>
      <c r="N7" t="s">
        <v>607</v>
      </c>
      <c r="O7" t="s">
        <v>608</v>
      </c>
      <c r="P7">
        <v>0</v>
      </c>
      <c r="Q7">
        <v>0</v>
      </c>
      <c r="R7">
        <v>3.0993999999999999E-6</v>
      </c>
      <c r="S7">
        <v>5.2252988814999997</v>
      </c>
      <c r="T7">
        <v>6.6019716263000001</v>
      </c>
      <c r="U7">
        <v>1.8368433714000001</v>
      </c>
      <c r="V7">
        <v>6.0415501594999999</v>
      </c>
      <c r="W7">
        <v>-2.7087531089999999</v>
      </c>
      <c r="X7">
        <v>-3.5383477211000001</v>
      </c>
      <c r="Y7">
        <v>-4.0565733909999997</v>
      </c>
      <c r="Z7">
        <v>-0.2171126008</v>
      </c>
      <c r="AA7">
        <v>-0.691816926</v>
      </c>
      <c r="AB7">
        <v>-0.50153321029999998</v>
      </c>
      <c r="AC7">
        <v>-2.4711215495999999</v>
      </c>
      <c r="AD7">
        <v>0.91334694620000001</v>
      </c>
      <c r="AE7">
        <v>1.4507588147999999</v>
      </c>
      <c r="AF7">
        <v>1.6859941483000001</v>
      </c>
      <c r="AG7">
        <v>-0.16854187849999999</v>
      </c>
      <c r="AH7">
        <v>0.38719201089999999</v>
      </c>
      <c r="AI7">
        <v>5.6024194000000001E-3</v>
      </c>
      <c r="AJ7">
        <v>-0.35875481370000001</v>
      </c>
      <c r="AK7">
        <v>0.42944481969999998</v>
      </c>
      <c r="AL7">
        <v>1.8166119999999999E-4</v>
      </c>
      <c r="AM7">
        <v>4.3804604599999998E-2</v>
      </c>
      <c r="AN7">
        <v>0.1162086651</v>
      </c>
      <c r="AO7">
        <v>0.17257635299999999</v>
      </c>
      <c r="AP7">
        <v>0.26500952239999997</v>
      </c>
      <c r="AQ7">
        <v>0.26500952239999997</v>
      </c>
      <c r="AR7">
        <v>8.4196067458999995</v>
      </c>
      <c r="AS7" t="s">
        <v>264</v>
      </c>
      <c r="AT7" t="s">
        <v>265</v>
      </c>
      <c r="AU7">
        <v>4</v>
      </c>
      <c r="AV7">
        <v>2.9</v>
      </c>
      <c r="AY7" s="17">
        <v>1</v>
      </c>
    </row>
    <row r="8" spans="1:51">
      <c r="A8" t="s">
        <v>628</v>
      </c>
      <c r="B8" t="s">
        <v>629</v>
      </c>
      <c r="C8" t="s">
        <v>634</v>
      </c>
      <c r="D8" t="s">
        <v>213</v>
      </c>
      <c r="E8">
        <v>3</v>
      </c>
      <c r="F8" t="s">
        <v>214</v>
      </c>
      <c r="G8" t="s">
        <v>215</v>
      </c>
      <c r="H8" t="s">
        <v>263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-2.4557099999999999E-5</v>
      </c>
      <c r="S8">
        <v>16.084396362300001</v>
      </c>
      <c r="T8">
        <v>1.2887293099999999</v>
      </c>
      <c r="U8">
        <v>2.3184762001000001</v>
      </c>
      <c r="V8">
        <v>7.3081970214999998</v>
      </c>
      <c r="W8">
        <v>-7.1064710616999998</v>
      </c>
      <c r="X8">
        <v>-4.7511858939999998</v>
      </c>
      <c r="Y8">
        <v>-1.5534014702000001</v>
      </c>
      <c r="Z8">
        <v>0.29295980929999998</v>
      </c>
      <c r="AA8">
        <v>-0.95746850969999997</v>
      </c>
      <c r="AB8">
        <v>-9.1974973700000004E-2</v>
      </c>
      <c r="AC8">
        <v>-2.9441285132999999</v>
      </c>
      <c r="AD8">
        <v>2.7806596755999999</v>
      </c>
      <c r="AE8">
        <v>1.4280765057</v>
      </c>
      <c r="AF8">
        <v>1.0955139399</v>
      </c>
      <c r="AG8">
        <v>-0.66073614359999999</v>
      </c>
      <c r="AH8">
        <v>0.58531606199999997</v>
      </c>
      <c r="AI8">
        <v>-9.9328368900000005E-2</v>
      </c>
      <c r="AJ8">
        <v>-0.54274535180000005</v>
      </c>
      <c r="AK8">
        <v>0.49639379979999998</v>
      </c>
      <c r="AL8">
        <v>2.1936220000000001E-4</v>
      </c>
      <c r="AM8">
        <v>4.8926416799999997E-2</v>
      </c>
      <c r="AN8">
        <v>0.30421528219999999</v>
      </c>
      <c r="AO8">
        <v>0.1180763692</v>
      </c>
      <c r="AP8">
        <v>0.30489265920000003</v>
      </c>
      <c r="AQ8">
        <v>0.30489265920000003</v>
      </c>
      <c r="AR8">
        <v>16.135942165700001</v>
      </c>
      <c r="AS8" t="s">
        <v>264</v>
      </c>
      <c r="AT8" t="s">
        <v>265</v>
      </c>
      <c r="AU8">
        <v>4</v>
      </c>
      <c r="AV8">
        <v>2.9</v>
      </c>
      <c r="AY8" s="17">
        <v>1</v>
      </c>
    </row>
    <row r="9" spans="1:51">
      <c r="A9" t="s">
        <v>646</v>
      </c>
      <c r="B9" t="s">
        <v>647</v>
      </c>
      <c r="C9" t="s">
        <v>648</v>
      </c>
      <c r="D9" t="s">
        <v>213</v>
      </c>
      <c r="E9">
        <v>3</v>
      </c>
      <c r="F9" t="s">
        <v>214</v>
      </c>
      <c r="G9" t="s">
        <v>215</v>
      </c>
      <c r="H9" t="s">
        <v>263</v>
      </c>
      <c r="I9" t="s">
        <v>217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-1.6450899999999999E-5</v>
      </c>
      <c r="S9">
        <v>9.2866640091000008</v>
      </c>
      <c r="T9">
        <v>-1.3989859818999999</v>
      </c>
      <c r="U9">
        <v>2.1744585036999999</v>
      </c>
      <c r="V9">
        <v>3.5172991752999998</v>
      </c>
      <c r="W9">
        <v>-6.5495414733999997</v>
      </c>
      <c r="X9">
        <v>-4.6525754928999996</v>
      </c>
      <c r="Y9">
        <v>-0.53628444669999997</v>
      </c>
      <c r="Z9">
        <v>-0.15158808230000001</v>
      </c>
      <c r="AA9">
        <v>-0.44859057660000001</v>
      </c>
      <c r="AB9">
        <v>0.96531677250000003</v>
      </c>
      <c r="AC9">
        <v>-1.6813638209999999</v>
      </c>
      <c r="AD9">
        <v>1.8474166393</v>
      </c>
      <c r="AE9">
        <v>1.8332180977000001</v>
      </c>
      <c r="AF9">
        <v>1.3205485344000001</v>
      </c>
      <c r="AG9">
        <v>0.24675187470000001</v>
      </c>
      <c r="AH9">
        <v>-0.51803815360000005</v>
      </c>
      <c r="AI9">
        <v>-0.28823792929999997</v>
      </c>
      <c r="AJ9">
        <v>0.1631603241</v>
      </c>
      <c r="AK9">
        <v>-0.26643469930000002</v>
      </c>
      <c r="AL9">
        <v>2.2712310000000001E-4</v>
      </c>
      <c r="AM9">
        <v>4.9537122199999999E-2</v>
      </c>
      <c r="AN9">
        <v>0.21683621410000001</v>
      </c>
      <c r="AO9">
        <v>0.1318609416</v>
      </c>
      <c r="AP9">
        <v>0.21683621410000001</v>
      </c>
      <c r="AQ9">
        <v>0.21683621410000001</v>
      </c>
      <c r="AR9">
        <v>9.3914477156</v>
      </c>
      <c r="AS9" t="s">
        <v>264</v>
      </c>
      <c r="AT9" t="s">
        <v>265</v>
      </c>
      <c r="AU9">
        <v>3</v>
      </c>
      <c r="AV9">
        <v>2.9</v>
      </c>
      <c r="AY9" s="17">
        <v>1</v>
      </c>
    </row>
    <row r="10" spans="1:51">
      <c r="A10" t="s">
        <v>658</v>
      </c>
      <c r="B10" t="s">
        <v>659</v>
      </c>
      <c r="C10" t="s">
        <v>660</v>
      </c>
      <c r="D10" t="s">
        <v>213</v>
      </c>
      <c r="E10">
        <v>3</v>
      </c>
      <c r="F10" t="s">
        <v>214</v>
      </c>
      <c r="G10" t="s">
        <v>215</v>
      </c>
      <c r="H10" t="s">
        <v>263</v>
      </c>
      <c r="I10" t="s">
        <v>217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-1.0132800000000001E-5</v>
      </c>
      <c r="S10">
        <v>10.1697311401</v>
      </c>
      <c r="T10">
        <v>2.6407859325</v>
      </c>
      <c r="U10">
        <v>2.7390313148000001</v>
      </c>
      <c r="V10">
        <v>5.8574767113000004</v>
      </c>
      <c r="W10">
        <v>-14.1080818176</v>
      </c>
      <c r="X10">
        <v>-3.5815088748999999</v>
      </c>
      <c r="Y10">
        <v>-2.5911779404000002</v>
      </c>
      <c r="Z10">
        <v>0.12650179859999999</v>
      </c>
      <c r="AA10">
        <v>-0.69825214150000003</v>
      </c>
      <c r="AB10">
        <v>-0.55107855800000005</v>
      </c>
      <c r="AC10">
        <v>-2.2941939831</v>
      </c>
      <c r="AD10">
        <v>3.9872844219000001</v>
      </c>
      <c r="AE10">
        <v>1.1093951464</v>
      </c>
      <c r="AF10">
        <v>1.8703429699</v>
      </c>
      <c r="AG10">
        <v>0.1656249464</v>
      </c>
      <c r="AH10">
        <v>-0.58699250219999999</v>
      </c>
      <c r="AI10">
        <v>-0.61849379540000005</v>
      </c>
      <c r="AJ10">
        <v>0.39419305319999998</v>
      </c>
      <c r="AK10">
        <v>0.50049149989999997</v>
      </c>
      <c r="AL10">
        <v>2.8093859999999999E-4</v>
      </c>
      <c r="AM10">
        <v>5.6415431199999998E-2</v>
      </c>
      <c r="AN10">
        <v>0.33099436760000001</v>
      </c>
      <c r="AO10">
        <v>0.22150960559999999</v>
      </c>
      <c r="AP10">
        <v>0.33099436760000001</v>
      </c>
      <c r="AQ10">
        <v>0.33099436760000001</v>
      </c>
      <c r="AR10">
        <v>10.5070063198</v>
      </c>
      <c r="AS10" t="s">
        <v>264</v>
      </c>
      <c r="AT10" t="s">
        <v>265</v>
      </c>
      <c r="AU10">
        <v>3</v>
      </c>
      <c r="AV10">
        <v>2.9</v>
      </c>
      <c r="AY10" s="17">
        <v>1</v>
      </c>
    </row>
    <row r="11" spans="1:51">
      <c r="A11" t="s">
        <v>681</v>
      </c>
      <c r="B11" t="s">
        <v>682</v>
      </c>
      <c r="C11" t="s">
        <v>683</v>
      </c>
      <c r="D11" t="s">
        <v>213</v>
      </c>
      <c r="E11">
        <v>3</v>
      </c>
      <c r="F11" t="s">
        <v>214</v>
      </c>
      <c r="G11" t="s">
        <v>215</v>
      </c>
      <c r="H11" t="s">
        <v>263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-2.1457999999999999E-6</v>
      </c>
      <c r="S11">
        <v>13.3189506531</v>
      </c>
      <c r="T11">
        <v>1.3696564436000001</v>
      </c>
      <c r="U11">
        <v>5.4767599106000002</v>
      </c>
      <c r="V11">
        <v>6.9447116851999997</v>
      </c>
      <c r="W11">
        <v>-8.3395471573000002</v>
      </c>
      <c r="X11">
        <v>-5.3502941132000004</v>
      </c>
      <c r="Y11">
        <v>-1.0603342056</v>
      </c>
      <c r="Z11">
        <v>-1.9758005141999999</v>
      </c>
      <c r="AA11">
        <v>1.2177263497999999</v>
      </c>
      <c r="AB11">
        <v>0.6743254662</v>
      </c>
      <c r="AC11">
        <v>-2.4067730904000002</v>
      </c>
      <c r="AD11">
        <v>2.4772176742999998</v>
      </c>
      <c r="AE11">
        <v>1.807860136</v>
      </c>
      <c r="AF11">
        <v>0.93469643589999996</v>
      </c>
      <c r="AG11">
        <v>0.90779554839999999</v>
      </c>
      <c r="AH11">
        <v>0.33481991290000002</v>
      </c>
      <c r="AI11">
        <v>0.27102896570000001</v>
      </c>
      <c r="AJ11">
        <v>4.5177996200000001E-2</v>
      </c>
      <c r="AK11">
        <v>-9.6999287599999998E-2</v>
      </c>
      <c r="AL11">
        <v>2.661753E-4</v>
      </c>
      <c r="AM11">
        <v>5.3302578599999997E-2</v>
      </c>
      <c r="AN11">
        <v>0.27058410640000002</v>
      </c>
      <c r="AO11">
        <v>0.1342364103</v>
      </c>
      <c r="AP11">
        <v>0.27934104199999998</v>
      </c>
      <c r="AQ11">
        <v>0.27934104199999998</v>
      </c>
      <c r="AR11">
        <v>13.389189866200001</v>
      </c>
      <c r="AS11" t="s">
        <v>264</v>
      </c>
      <c r="AT11" t="s">
        <v>265</v>
      </c>
      <c r="AU11">
        <v>3</v>
      </c>
      <c r="AV11">
        <v>2.9</v>
      </c>
      <c r="AY11" s="17">
        <v>1</v>
      </c>
    </row>
    <row r="12" spans="1:51">
      <c r="A12" t="s">
        <v>684</v>
      </c>
      <c r="B12" t="s">
        <v>685</v>
      </c>
      <c r="C12" t="s">
        <v>686</v>
      </c>
      <c r="D12" t="s">
        <v>213</v>
      </c>
      <c r="E12">
        <v>3</v>
      </c>
      <c r="F12" t="s">
        <v>214</v>
      </c>
      <c r="G12" t="s">
        <v>215</v>
      </c>
      <c r="H12" t="s">
        <v>263</v>
      </c>
      <c r="I12" t="s">
        <v>217</v>
      </c>
      <c r="K12" t="s">
        <v>676</v>
      </c>
      <c r="L12" t="s">
        <v>677</v>
      </c>
      <c r="M12" t="s">
        <v>678</v>
      </c>
      <c r="N12" t="s">
        <v>679</v>
      </c>
      <c r="O12" t="s">
        <v>680</v>
      </c>
      <c r="P12">
        <v>0</v>
      </c>
      <c r="Q12">
        <v>0</v>
      </c>
      <c r="R12">
        <v>1.51396E-5</v>
      </c>
      <c r="S12">
        <v>12.248739242599999</v>
      </c>
      <c r="T12">
        <v>5.5524396895999999</v>
      </c>
      <c r="U12">
        <v>5.0822715759000001</v>
      </c>
      <c r="V12">
        <v>7.5745873451000003</v>
      </c>
      <c r="W12">
        <v>-9.8137512207000004</v>
      </c>
      <c r="X12">
        <v>-4.9961519241000003</v>
      </c>
      <c r="Y12">
        <v>-3.8516912460000001</v>
      </c>
      <c r="Z12">
        <v>-1.1879343986999999</v>
      </c>
      <c r="AA12">
        <v>-0.33805727959999998</v>
      </c>
      <c r="AB12">
        <v>-0.3212695122</v>
      </c>
      <c r="AC12">
        <v>-3.0817399024999999</v>
      </c>
      <c r="AD12">
        <v>2.0250158310000002</v>
      </c>
      <c r="AE12">
        <v>1.4479223489999999</v>
      </c>
      <c r="AF12">
        <v>2.3533010483000001</v>
      </c>
      <c r="AG12">
        <v>0.33270370960000001</v>
      </c>
      <c r="AH12">
        <v>0.21833378079999999</v>
      </c>
      <c r="AI12">
        <v>-0.65204352139999999</v>
      </c>
      <c r="AJ12">
        <v>-0.14352124929999999</v>
      </c>
      <c r="AK12">
        <v>0.39836972949999999</v>
      </c>
      <c r="AL12">
        <v>2.7968349999999998E-4</v>
      </c>
      <c r="AM12">
        <v>5.3226139399999997E-2</v>
      </c>
      <c r="AN12">
        <v>0.28418472410000001</v>
      </c>
      <c r="AO12">
        <v>0.1861315966</v>
      </c>
      <c r="AP12">
        <v>0.34443530439999998</v>
      </c>
      <c r="AQ12">
        <v>0.34443530439999998</v>
      </c>
      <c r="AR12">
        <v>13.448464579199999</v>
      </c>
      <c r="AS12" t="s">
        <v>264</v>
      </c>
      <c r="AT12" t="s">
        <v>265</v>
      </c>
      <c r="AU12">
        <v>4</v>
      </c>
      <c r="AV12">
        <v>2.9</v>
      </c>
      <c r="AY12" s="17">
        <v>1</v>
      </c>
    </row>
    <row r="13" spans="1:51">
      <c r="A13" t="s">
        <v>703</v>
      </c>
      <c r="B13" t="s">
        <v>704</v>
      </c>
      <c r="C13" t="s">
        <v>705</v>
      </c>
      <c r="D13" t="s">
        <v>213</v>
      </c>
      <c r="E13">
        <v>3</v>
      </c>
      <c r="F13" t="s">
        <v>214</v>
      </c>
      <c r="G13" t="s">
        <v>215</v>
      </c>
      <c r="H13" t="s">
        <v>263</v>
      </c>
      <c r="I13" t="s">
        <v>217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2.88486E-5</v>
      </c>
      <c r="S13">
        <v>13.6455554962</v>
      </c>
      <c r="T13">
        <v>13.109992027300001</v>
      </c>
      <c r="U13">
        <v>4.9430036545</v>
      </c>
      <c r="V13">
        <v>7.6084828376999996</v>
      </c>
      <c r="W13">
        <v>-3.3386418819000001</v>
      </c>
      <c r="X13">
        <v>-3.4706797599999999</v>
      </c>
      <c r="Y13">
        <v>-4.5487537384000003</v>
      </c>
      <c r="Z13">
        <v>-0.51797688009999998</v>
      </c>
      <c r="AA13">
        <v>-0.30173361300000001</v>
      </c>
      <c r="AB13">
        <v>1.04292202</v>
      </c>
      <c r="AC13">
        <v>-2.8487496376000001</v>
      </c>
      <c r="AD13">
        <v>1.7001416682999999</v>
      </c>
      <c r="AE13">
        <v>0.4687021971</v>
      </c>
      <c r="AF13">
        <v>1.9422576427</v>
      </c>
      <c r="AG13">
        <v>0.1108074486</v>
      </c>
      <c r="AH13">
        <v>0.64732825760000001</v>
      </c>
      <c r="AI13">
        <v>0.15906000140000001</v>
      </c>
      <c r="AJ13">
        <v>-0.65854179859999995</v>
      </c>
      <c r="AK13">
        <v>-0.46698921920000003</v>
      </c>
      <c r="AL13">
        <v>2.2316290000000001E-4</v>
      </c>
      <c r="AM13">
        <v>4.9955472399999999E-2</v>
      </c>
      <c r="AN13">
        <v>0.2340428531</v>
      </c>
      <c r="AO13">
        <v>0.244423002</v>
      </c>
      <c r="AP13">
        <v>0.39305397869999997</v>
      </c>
      <c r="AQ13">
        <v>0.39305397869999997</v>
      </c>
      <c r="AR13">
        <v>18.922818916699999</v>
      </c>
      <c r="AS13" t="s">
        <v>264</v>
      </c>
      <c r="AT13" t="s">
        <v>265</v>
      </c>
      <c r="AU13">
        <v>4</v>
      </c>
      <c r="AV13">
        <v>2.9</v>
      </c>
      <c r="AY13" s="17">
        <v>1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3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266</v>
      </c>
      <c r="S1" t="s">
        <v>267</v>
      </c>
      <c r="T1" t="s">
        <v>268</v>
      </c>
      <c r="U1" t="s">
        <v>269</v>
      </c>
      <c r="V1" t="s">
        <v>270</v>
      </c>
      <c r="W1" t="s">
        <v>271</v>
      </c>
      <c r="X1" t="s">
        <v>272</v>
      </c>
      <c r="Y1" t="s">
        <v>273</v>
      </c>
      <c r="Z1" t="s">
        <v>274</v>
      </c>
      <c r="AA1" t="s">
        <v>275</v>
      </c>
      <c r="AB1" t="s">
        <v>276</v>
      </c>
      <c r="AC1" t="s">
        <v>277</v>
      </c>
      <c r="AD1" t="s">
        <v>278</v>
      </c>
      <c r="AE1" t="s">
        <v>207</v>
      </c>
      <c r="AF1" t="s">
        <v>208</v>
      </c>
      <c r="AG1" s="17" t="s">
        <v>209</v>
      </c>
    </row>
    <row r="2" spans="1:33">
      <c r="A2" t="s">
        <v>260</v>
      </c>
      <c r="B2" t="s">
        <v>261</v>
      </c>
      <c r="C2" t="s">
        <v>279</v>
      </c>
      <c r="D2" t="s">
        <v>213</v>
      </c>
      <c r="E2">
        <v>3</v>
      </c>
      <c r="F2" t="s">
        <v>214</v>
      </c>
      <c r="G2" t="s">
        <v>215</v>
      </c>
      <c r="H2" t="s">
        <v>263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-10.557184750699999</v>
      </c>
      <c r="S2">
        <v>-72</v>
      </c>
      <c r="T2">
        <v>74.236917180600003</v>
      </c>
      <c r="U2">
        <v>111.43946714</v>
      </c>
      <c r="V2">
        <v>3.5595229115000002</v>
      </c>
      <c r="W2">
        <v>2.6429154000000002E-3</v>
      </c>
      <c r="X2">
        <v>-6.9202999999999995E-5</v>
      </c>
      <c r="Y2">
        <v>3.3488188176000002</v>
      </c>
      <c r="Z2">
        <v>73.335330579499995</v>
      </c>
      <c r="AA2">
        <v>58.239859006000003</v>
      </c>
      <c r="AB2">
        <v>338.49817537130002</v>
      </c>
      <c r="AC2">
        <v>360.41671878260001</v>
      </c>
      <c r="AD2">
        <v>1</v>
      </c>
      <c r="AG2" s="17">
        <v>1</v>
      </c>
    </row>
    <row r="3" spans="1:33">
      <c r="A3" t="s">
        <v>556</v>
      </c>
      <c r="B3" t="s">
        <v>557</v>
      </c>
      <c r="C3" t="s">
        <v>559</v>
      </c>
      <c r="D3" t="s">
        <v>213</v>
      </c>
      <c r="E3">
        <v>3</v>
      </c>
      <c r="F3" t="s">
        <v>214</v>
      </c>
      <c r="G3" t="s">
        <v>215</v>
      </c>
      <c r="H3" t="s">
        <v>263</v>
      </c>
      <c r="I3" t="s">
        <v>217</v>
      </c>
      <c r="K3" t="s">
        <v>548</v>
      </c>
      <c r="L3" t="s">
        <v>549</v>
      </c>
      <c r="M3" t="s">
        <v>550</v>
      </c>
      <c r="N3" t="s">
        <v>551</v>
      </c>
      <c r="O3" t="s">
        <v>552</v>
      </c>
      <c r="P3">
        <v>0</v>
      </c>
      <c r="Q3">
        <v>0</v>
      </c>
      <c r="R3">
        <v>-12.9032258065</v>
      </c>
      <c r="S3">
        <v>-88</v>
      </c>
      <c r="T3">
        <v>73.441053788399998</v>
      </c>
      <c r="U3">
        <v>118.13172296560001</v>
      </c>
      <c r="V3">
        <v>3.5141342233000001</v>
      </c>
      <c r="W3">
        <v>3.0124498000000002E-3</v>
      </c>
      <c r="X3">
        <v>-7.0495599999999996E-5</v>
      </c>
      <c r="Y3">
        <v>3.3232363886999998</v>
      </c>
      <c r="Z3">
        <v>72.738021145600001</v>
      </c>
      <c r="AA3">
        <v>56.259437114500003</v>
      </c>
      <c r="AB3">
        <v>344.01408516139998</v>
      </c>
      <c r="AC3">
        <v>366.18549010240002</v>
      </c>
      <c r="AD3">
        <v>1</v>
      </c>
      <c r="AG3" s="17">
        <v>1</v>
      </c>
    </row>
    <row r="4" spans="1:33">
      <c r="A4" t="s">
        <v>571</v>
      </c>
      <c r="B4" t="s">
        <v>572</v>
      </c>
      <c r="C4" t="s">
        <v>574</v>
      </c>
      <c r="D4" t="s">
        <v>213</v>
      </c>
      <c r="E4">
        <v>3</v>
      </c>
      <c r="F4" t="s">
        <v>214</v>
      </c>
      <c r="G4" t="s">
        <v>215</v>
      </c>
      <c r="H4" t="s">
        <v>263</v>
      </c>
      <c r="I4" t="s">
        <v>217</v>
      </c>
      <c r="K4" t="s">
        <v>563</v>
      </c>
      <c r="L4" t="s">
        <v>564</v>
      </c>
      <c r="M4" t="s">
        <v>565</v>
      </c>
      <c r="N4" t="s">
        <v>566</v>
      </c>
      <c r="O4" t="s">
        <v>567</v>
      </c>
      <c r="P4">
        <v>0</v>
      </c>
      <c r="Q4">
        <v>0</v>
      </c>
      <c r="R4">
        <v>-10.557184750699999</v>
      </c>
      <c r="S4">
        <v>-72</v>
      </c>
      <c r="T4">
        <v>82.093979274700004</v>
      </c>
      <c r="U4">
        <v>118.7737949653</v>
      </c>
      <c r="V4">
        <v>3.5080374302999999</v>
      </c>
      <c r="W4">
        <v>2.5050262000000001E-3</v>
      </c>
      <c r="X4">
        <v>-6.4580399999999996E-5</v>
      </c>
      <c r="Y4">
        <v>3.2871939867000002</v>
      </c>
      <c r="Z4">
        <v>82.093979274700004</v>
      </c>
      <c r="AA4">
        <v>65.077303460099998</v>
      </c>
      <c r="AB4">
        <v>346.01146588939997</v>
      </c>
      <c r="AC4">
        <v>367.62796605450001</v>
      </c>
      <c r="AD4">
        <v>1</v>
      </c>
      <c r="AG4" s="17">
        <v>1</v>
      </c>
    </row>
    <row r="5" spans="1:33">
      <c r="A5" t="s">
        <v>583</v>
      </c>
      <c r="B5" t="s">
        <v>584</v>
      </c>
      <c r="C5" t="s">
        <v>586</v>
      </c>
      <c r="D5" t="s">
        <v>213</v>
      </c>
      <c r="E5">
        <v>3</v>
      </c>
      <c r="F5" t="s">
        <v>214</v>
      </c>
      <c r="G5" t="s">
        <v>215</v>
      </c>
      <c r="H5" t="s">
        <v>263</v>
      </c>
      <c r="I5" t="s">
        <v>217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-9.3841642229000009</v>
      </c>
      <c r="S5">
        <v>-64</v>
      </c>
      <c r="T5">
        <v>80.458562703200002</v>
      </c>
      <c r="U5">
        <v>113.60525277959999</v>
      </c>
      <c r="V5">
        <v>3.5630063929000002</v>
      </c>
      <c r="W5">
        <v>2.6449308E-3</v>
      </c>
      <c r="X5">
        <v>-6.8039899999999999E-5</v>
      </c>
      <c r="Y5">
        <v>3.3588938450999999</v>
      </c>
      <c r="Z5">
        <v>80.457860332699994</v>
      </c>
      <c r="AA5">
        <v>62.026286583299999</v>
      </c>
      <c r="AB5">
        <v>335.76287057190001</v>
      </c>
      <c r="AC5">
        <v>357.86790788640002</v>
      </c>
      <c r="AD5">
        <v>1</v>
      </c>
      <c r="AG5" s="17">
        <v>1</v>
      </c>
    </row>
    <row r="6" spans="1:33">
      <c r="A6" t="s">
        <v>609</v>
      </c>
      <c r="B6" t="s">
        <v>610</v>
      </c>
      <c r="C6" t="s">
        <v>612</v>
      </c>
      <c r="D6" t="s">
        <v>213</v>
      </c>
      <c r="E6">
        <v>3</v>
      </c>
      <c r="F6" t="s">
        <v>214</v>
      </c>
      <c r="G6" t="s">
        <v>215</v>
      </c>
      <c r="H6" t="s">
        <v>263</v>
      </c>
      <c r="I6" t="s">
        <v>217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-9.3841642229000009</v>
      </c>
      <c r="S6">
        <v>-64</v>
      </c>
      <c r="T6">
        <v>81.580517096899996</v>
      </c>
      <c r="U6">
        <v>114.5850633829</v>
      </c>
      <c r="V6">
        <v>3.5442431651000001</v>
      </c>
      <c r="W6">
        <v>2.2750617999999999E-3</v>
      </c>
      <c r="X6">
        <v>-6.6391999999999997E-5</v>
      </c>
      <c r="Y6">
        <v>3.3249857730999999</v>
      </c>
      <c r="Z6">
        <v>81.176304722300003</v>
      </c>
      <c r="AA6">
        <v>61.9667720323</v>
      </c>
      <c r="AB6">
        <v>331.81462331559999</v>
      </c>
      <c r="AC6">
        <v>353.99513011720001</v>
      </c>
      <c r="AD6">
        <v>1</v>
      </c>
      <c r="AG6" s="17">
        <v>1</v>
      </c>
    </row>
    <row r="7" spans="1:33">
      <c r="A7" t="s">
        <v>616</v>
      </c>
      <c r="B7" t="s">
        <v>617</v>
      </c>
      <c r="C7" t="s">
        <v>619</v>
      </c>
      <c r="D7" t="s">
        <v>213</v>
      </c>
      <c r="E7">
        <v>3</v>
      </c>
      <c r="F7" t="s">
        <v>214</v>
      </c>
      <c r="G7" t="s">
        <v>215</v>
      </c>
      <c r="H7" t="s">
        <v>263</v>
      </c>
      <c r="I7" t="s">
        <v>217</v>
      </c>
      <c r="K7" t="s">
        <v>604</v>
      </c>
      <c r="L7" t="s">
        <v>605</v>
      </c>
      <c r="M7" t="s">
        <v>606</v>
      </c>
      <c r="N7" t="s">
        <v>607</v>
      </c>
      <c r="O7" t="s">
        <v>608</v>
      </c>
      <c r="P7">
        <v>0</v>
      </c>
      <c r="Q7">
        <v>0</v>
      </c>
      <c r="R7">
        <v>-10.557184750699999</v>
      </c>
      <c r="S7">
        <v>-72</v>
      </c>
      <c r="T7">
        <v>79.795944267099998</v>
      </c>
      <c r="U7">
        <v>116.63103810779999</v>
      </c>
      <c r="V7">
        <v>3.5260051789000002</v>
      </c>
      <c r="W7">
        <v>2.7698149000000001E-3</v>
      </c>
      <c r="X7">
        <v>-6.8743800000000004E-5</v>
      </c>
      <c r="Y7">
        <v>3.3139279957999999</v>
      </c>
      <c r="Z7">
        <v>77.589298837499996</v>
      </c>
      <c r="AA7">
        <v>65.113486007700004</v>
      </c>
      <c r="AB7">
        <v>341.68357023239997</v>
      </c>
      <c r="AC7">
        <v>363.0425882454</v>
      </c>
      <c r="AD7">
        <v>1</v>
      </c>
      <c r="AG7" s="17">
        <v>1</v>
      </c>
    </row>
    <row r="8" spans="1:33">
      <c r="A8" t="s">
        <v>628</v>
      </c>
      <c r="B8" t="s">
        <v>629</v>
      </c>
      <c r="C8" t="s">
        <v>630</v>
      </c>
      <c r="D8" t="s">
        <v>213</v>
      </c>
      <c r="E8">
        <v>3</v>
      </c>
      <c r="F8" t="s">
        <v>214</v>
      </c>
      <c r="G8" t="s">
        <v>215</v>
      </c>
      <c r="H8" t="s">
        <v>263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-10.557184750699999</v>
      </c>
      <c r="S8">
        <v>-72</v>
      </c>
      <c r="T8">
        <v>80.679477705400004</v>
      </c>
      <c r="U8">
        <v>117.61122936060001</v>
      </c>
      <c r="V8">
        <v>3.5363285582000001</v>
      </c>
      <c r="W8">
        <v>2.8601727E-3</v>
      </c>
      <c r="X8">
        <v>-7.0662199999999996E-5</v>
      </c>
      <c r="Y8">
        <v>3.3498743710999999</v>
      </c>
      <c r="Z8">
        <v>80.377997767099998</v>
      </c>
      <c r="AA8">
        <v>65.074259551300003</v>
      </c>
      <c r="AB8">
        <v>331.7068630091</v>
      </c>
      <c r="AC8">
        <v>353.12808642570002</v>
      </c>
      <c r="AD8">
        <v>1</v>
      </c>
      <c r="AG8" s="17">
        <v>1</v>
      </c>
    </row>
    <row r="9" spans="1:33">
      <c r="A9" t="s">
        <v>646</v>
      </c>
      <c r="B9" t="s">
        <v>647</v>
      </c>
      <c r="C9" t="s">
        <v>649</v>
      </c>
      <c r="D9" t="s">
        <v>213</v>
      </c>
      <c r="E9">
        <v>3</v>
      </c>
      <c r="F9" t="s">
        <v>214</v>
      </c>
      <c r="G9" t="s">
        <v>215</v>
      </c>
      <c r="H9" t="s">
        <v>263</v>
      </c>
      <c r="I9" t="s">
        <v>217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-10.557184750699999</v>
      </c>
      <c r="S9">
        <v>-72</v>
      </c>
      <c r="T9">
        <v>80.800696943000005</v>
      </c>
      <c r="U9">
        <v>117.21796255149999</v>
      </c>
      <c r="V9">
        <v>3.4858191001000001</v>
      </c>
      <c r="W9">
        <v>2.7388198999999998E-3</v>
      </c>
      <c r="X9">
        <v>-6.6220499999999994E-5</v>
      </c>
      <c r="Y9">
        <v>3.2861692713999999</v>
      </c>
      <c r="Z9">
        <v>80.199996493100002</v>
      </c>
      <c r="AA9">
        <v>64.207799930500002</v>
      </c>
      <c r="AB9">
        <v>339.23730240150002</v>
      </c>
      <c r="AC9">
        <v>360.66093160140002</v>
      </c>
      <c r="AD9">
        <v>1</v>
      </c>
      <c r="AG9" s="17">
        <v>1</v>
      </c>
    </row>
    <row r="10" spans="1:33">
      <c r="A10" t="s">
        <v>658</v>
      </c>
      <c r="B10" t="s">
        <v>659</v>
      </c>
      <c r="C10" t="s">
        <v>661</v>
      </c>
      <c r="D10" t="s">
        <v>213</v>
      </c>
      <c r="E10">
        <v>3</v>
      </c>
      <c r="F10" t="s">
        <v>214</v>
      </c>
      <c r="G10" t="s">
        <v>215</v>
      </c>
      <c r="H10" t="s">
        <v>263</v>
      </c>
      <c r="I10" t="s">
        <v>217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-8.2111436950000005</v>
      </c>
      <c r="S10">
        <v>-56</v>
      </c>
      <c r="T10">
        <v>81.338273248799993</v>
      </c>
      <c r="U10">
        <v>110.40022076050001</v>
      </c>
      <c r="V10">
        <v>3.5669049082000002</v>
      </c>
      <c r="W10">
        <v>2.7763872E-3</v>
      </c>
      <c r="X10">
        <v>-7.0859599999999995E-5</v>
      </c>
      <c r="Y10">
        <v>3.3714854194999999</v>
      </c>
      <c r="Z10">
        <v>81.337375443400006</v>
      </c>
      <c r="AA10">
        <v>66.654156643799993</v>
      </c>
      <c r="AB10">
        <v>325.82399675879998</v>
      </c>
      <c r="AC10">
        <v>348.00157379299998</v>
      </c>
      <c r="AD10">
        <v>1</v>
      </c>
      <c r="AG10" s="17">
        <v>1</v>
      </c>
    </row>
    <row r="11" spans="1:33">
      <c r="A11" t="s">
        <v>681</v>
      </c>
      <c r="B11" t="s">
        <v>682</v>
      </c>
      <c r="C11" t="s">
        <v>687</v>
      </c>
      <c r="D11" t="s">
        <v>213</v>
      </c>
      <c r="E11">
        <v>3</v>
      </c>
      <c r="F11" t="s">
        <v>214</v>
      </c>
      <c r="G11" t="s">
        <v>215</v>
      </c>
      <c r="H11" t="s">
        <v>263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-9.3841642229000009</v>
      </c>
      <c r="S11">
        <v>-64</v>
      </c>
      <c r="T11">
        <v>89.199526310400003</v>
      </c>
      <c r="U11">
        <v>121.74958168809999</v>
      </c>
      <c r="V11">
        <v>3.4988903371000002</v>
      </c>
      <c r="W11">
        <v>2.5800965999999998E-3</v>
      </c>
      <c r="X11">
        <v>-6.8848899999999997E-5</v>
      </c>
      <c r="Y11">
        <v>3.3190236789999998</v>
      </c>
      <c r="Z11">
        <v>87.595976275699996</v>
      </c>
      <c r="AA11">
        <v>68.476251403500001</v>
      </c>
      <c r="AB11">
        <v>317.24770022669998</v>
      </c>
      <c r="AC11">
        <v>339.26225536330003</v>
      </c>
      <c r="AD11">
        <v>1</v>
      </c>
      <c r="AG11" s="17">
        <v>1</v>
      </c>
    </row>
    <row r="12" spans="1:33">
      <c r="A12" t="s">
        <v>684</v>
      </c>
      <c r="B12" t="s">
        <v>685</v>
      </c>
      <c r="C12" t="s">
        <v>688</v>
      </c>
      <c r="D12" t="s">
        <v>213</v>
      </c>
      <c r="E12">
        <v>3</v>
      </c>
      <c r="F12" t="s">
        <v>214</v>
      </c>
      <c r="G12" t="s">
        <v>215</v>
      </c>
      <c r="H12" t="s">
        <v>263</v>
      </c>
      <c r="I12" t="s">
        <v>217</v>
      </c>
      <c r="K12" t="s">
        <v>676</v>
      </c>
      <c r="L12" t="s">
        <v>677</v>
      </c>
      <c r="M12" t="s">
        <v>678</v>
      </c>
      <c r="N12" t="s">
        <v>679</v>
      </c>
      <c r="O12" t="s">
        <v>680</v>
      </c>
      <c r="P12">
        <v>0</v>
      </c>
      <c r="Q12">
        <v>0</v>
      </c>
      <c r="R12">
        <v>-8.2111436950000005</v>
      </c>
      <c r="S12">
        <v>-56</v>
      </c>
      <c r="T12">
        <v>81.818454839300003</v>
      </c>
      <c r="U12">
        <v>110.8467810954</v>
      </c>
      <c r="V12">
        <v>3.5622624173999999</v>
      </c>
      <c r="W12">
        <v>2.7277806000000002E-3</v>
      </c>
      <c r="X12">
        <v>-6.8652799999999994E-5</v>
      </c>
      <c r="Y12">
        <v>3.3443697673999999</v>
      </c>
      <c r="Z12">
        <v>81.216986038100003</v>
      </c>
      <c r="AA12">
        <v>66.303766820700005</v>
      </c>
      <c r="AB12">
        <v>336.98342257690001</v>
      </c>
      <c r="AC12">
        <v>358.73941374259999</v>
      </c>
      <c r="AD12">
        <v>1</v>
      </c>
      <c r="AG12" s="17">
        <v>1</v>
      </c>
    </row>
    <row r="13" spans="1:33">
      <c r="A13" t="s">
        <v>703</v>
      </c>
      <c r="B13" t="s">
        <v>704</v>
      </c>
      <c r="C13" t="s">
        <v>706</v>
      </c>
      <c r="D13" t="s">
        <v>213</v>
      </c>
      <c r="E13">
        <v>3</v>
      </c>
      <c r="F13" t="s">
        <v>214</v>
      </c>
      <c r="G13" t="s">
        <v>215</v>
      </c>
      <c r="H13" t="s">
        <v>263</v>
      </c>
      <c r="I13" t="s">
        <v>217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-8.2111436950000005</v>
      </c>
      <c r="S13">
        <v>-56</v>
      </c>
      <c r="T13">
        <v>85.781777992399995</v>
      </c>
      <c r="U13">
        <v>114.5188108654</v>
      </c>
      <c r="V13">
        <v>3.5222011818999999</v>
      </c>
      <c r="W13">
        <v>2.2039002E-3</v>
      </c>
      <c r="X13">
        <v>-6.4437599999999994E-5</v>
      </c>
      <c r="Y13">
        <v>3.3091231285</v>
      </c>
      <c r="Z13">
        <v>85.580477847599994</v>
      </c>
      <c r="AA13">
        <v>66.0427403212</v>
      </c>
      <c r="AB13">
        <v>326.6181331093</v>
      </c>
      <c r="AC13">
        <v>348.08610732850002</v>
      </c>
      <c r="AD13">
        <v>1</v>
      </c>
      <c r="AG13" s="17">
        <v>1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U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81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280</v>
      </c>
      <c r="S1" t="s">
        <v>281</v>
      </c>
      <c r="T1" t="s">
        <v>282</v>
      </c>
      <c r="U1" t="s">
        <v>283</v>
      </c>
      <c r="V1" t="s">
        <v>284</v>
      </c>
      <c r="W1" t="s">
        <v>285</v>
      </c>
      <c r="X1" t="s">
        <v>286</v>
      </c>
      <c r="Y1" t="s">
        <v>287</v>
      </c>
      <c r="Z1" t="s">
        <v>288</v>
      </c>
      <c r="AA1" t="s">
        <v>289</v>
      </c>
      <c r="AB1" t="s">
        <v>290</v>
      </c>
      <c r="AC1" t="s">
        <v>291</v>
      </c>
      <c r="AD1" t="s">
        <v>292</v>
      </c>
      <c r="AE1" t="s">
        <v>293</v>
      </c>
      <c r="AF1" t="s">
        <v>294</v>
      </c>
      <c r="AG1" t="s">
        <v>295</v>
      </c>
      <c r="AH1" t="s">
        <v>296</v>
      </c>
      <c r="AI1" t="s">
        <v>297</v>
      </c>
      <c r="AJ1" t="s">
        <v>298</v>
      </c>
      <c r="AK1" t="s">
        <v>299</v>
      </c>
      <c r="AL1" t="s">
        <v>300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314</v>
      </c>
      <c r="BA1" t="s">
        <v>315</v>
      </c>
      <c r="BB1" t="s">
        <v>316</v>
      </c>
      <c r="BC1" t="s">
        <v>317</v>
      </c>
      <c r="BD1" t="s">
        <v>318</v>
      </c>
      <c r="BE1" t="s">
        <v>319</v>
      </c>
      <c r="BF1" t="s">
        <v>320</v>
      </c>
      <c r="BG1" t="s">
        <v>321</v>
      </c>
      <c r="BH1" t="s">
        <v>322</v>
      </c>
      <c r="BI1" t="s">
        <v>323</v>
      </c>
      <c r="BJ1" t="s">
        <v>324</v>
      </c>
      <c r="BK1" t="s">
        <v>325</v>
      </c>
      <c r="BL1" t="s">
        <v>326</v>
      </c>
      <c r="BM1" t="s">
        <v>327</v>
      </c>
      <c r="BN1" t="s">
        <v>328</v>
      </c>
      <c r="BO1" t="s">
        <v>329</v>
      </c>
      <c r="BP1" t="s">
        <v>330</v>
      </c>
      <c r="BQ1" t="s">
        <v>331</v>
      </c>
      <c r="BR1" t="s">
        <v>332</v>
      </c>
      <c r="BS1" t="s">
        <v>333</v>
      </c>
      <c r="BT1" t="s">
        <v>334</v>
      </c>
      <c r="BU1" t="s">
        <v>335</v>
      </c>
      <c r="BV1" t="s">
        <v>336</v>
      </c>
      <c r="BW1" t="s">
        <v>337</v>
      </c>
      <c r="BX1" t="s">
        <v>338</v>
      </c>
      <c r="BY1" t="s">
        <v>339</v>
      </c>
      <c r="BZ1" t="s">
        <v>340</v>
      </c>
      <c r="CA1" t="s">
        <v>341</v>
      </c>
      <c r="CB1" t="s">
        <v>342</v>
      </c>
      <c r="CC1" t="s">
        <v>343</v>
      </c>
      <c r="CD1" t="s">
        <v>344</v>
      </c>
      <c r="CE1" t="s">
        <v>345</v>
      </c>
      <c r="CF1" t="s">
        <v>346</v>
      </c>
      <c r="CG1" t="s">
        <v>347</v>
      </c>
      <c r="CH1" t="s">
        <v>348</v>
      </c>
      <c r="CI1" t="s">
        <v>349</v>
      </c>
      <c r="CJ1" t="s">
        <v>350</v>
      </c>
      <c r="CK1" t="s">
        <v>351</v>
      </c>
      <c r="CL1" t="s">
        <v>352</v>
      </c>
      <c r="CM1" t="s">
        <v>353</v>
      </c>
      <c r="CN1" t="s">
        <v>354</v>
      </c>
      <c r="CO1" t="s">
        <v>355</v>
      </c>
      <c r="CP1" t="s">
        <v>356</v>
      </c>
      <c r="CQ1" t="s">
        <v>357</v>
      </c>
      <c r="CR1" t="s">
        <v>358</v>
      </c>
      <c r="CS1" t="s">
        <v>359</v>
      </c>
      <c r="CT1" t="s">
        <v>360</v>
      </c>
      <c r="CU1" t="s">
        <v>361</v>
      </c>
      <c r="CV1" t="s">
        <v>362</v>
      </c>
      <c r="CW1" t="s">
        <v>363</v>
      </c>
      <c r="CX1" t="s">
        <v>364</v>
      </c>
      <c r="CY1" t="s">
        <v>365</v>
      </c>
      <c r="CZ1" t="s">
        <v>366</v>
      </c>
      <c r="DA1" t="s">
        <v>367</v>
      </c>
      <c r="DB1" t="s">
        <v>368</v>
      </c>
      <c r="DC1" t="s">
        <v>369</v>
      </c>
      <c r="DD1" t="s">
        <v>370</v>
      </c>
      <c r="DE1" t="s">
        <v>371</v>
      </c>
      <c r="DF1" t="s">
        <v>372</v>
      </c>
      <c r="DG1" t="s">
        <v>373</v>
      </c>
      <c r="DH1" t="s">
        <v>374</v>
      </c>
      <c r="DI1" t="s">
        <v>375</v>
      </c>
      <c r="DJ1" t="s">
        <v>376</v>
      </c>
      <c r="DK1" t="s">
        <v>377</v>
      </c>
      <c r="DL1" t="s">
        <v>378</v>
      </c>
      <c r="DM1" t="s">
        <v>379</v>
      </c>
      <c r="DN1" t="s">
        <v>380</v>
      </c>
      <c r="DO1" t="s">
        <v>381</v>
      </c>
      <c r="DP1" t="s">
        <v>382</v>
      </c>
      <c r="DQ1" t="s">
        <v>383</v>
      </c>
      <c r="DR1" t="s">
        <v>384</v>
      </c>
      <c r="DS1" t="s">
        <v>385</v>
      </c>
      <c r="DT1" t="s">
        <v>386</v>
      </c>
      <c r="DU1" t="s">
        <v>387</v>
      </c>
      <c r="DV1" t="s">
        <v>388</v>
      </c>
      <c r="DW1" t="s">
        <v>389</v>
      </c>
      <c r="DX1" t="s">
        <v>390</v>
      </c>
      <c r="DY1" t="s">
        <v>391</v>
      </c>
      <c r="DZ1" t="s">
        <v>392</v>
      </c>
      <c r="EA1" t="s">
        <v>393</v>
      </c>
      <c r="EB1" t="s">
        <v>394</v>
      </c>
      <c r="EC1" t="s">
        <v>395</v>
      </c>
      <c r="ED1" t="s">
        <v>396</v>
      </c>
      <c r="EE1" t="s">
        <v>397</v>
      </c>
      <c r="EF1" t="s">
        <v>398</v>
      </c>
      <c r="EG1" t="s">
        <v>399</v>
      </c>
      <c r="EH1" t="s">
        <v>400</v>
      </c>
      <c r="EI1" t="s">
        <v>401</v>
      </c>
      <c r="EJ1" t="s">
        <v>402</v>
      </c>
      <c r="EK1" t="s">
        <v>403</v>
      </c>
      <c r="EL1" t="s">
        <v>404</v>
      </c>
      <c r="EM1" t="s">
        <v>405</v>
      </c>
      <c r="EN1" t="s">
        <v>406</v>
      </c>
      <c r="EO1" t="s">
        <v>407</v>
      </c>
      <c r="EP1" t="s">
        <v>408</v>
      </c>
      <c r="EQ1" t="s">
        <v>409</v>
      </c>
      <c r="ER1" t="s">
        <v>410</v>
      </c>
      <c r="ES1" t="s">
        <v>411</v>
      </c>
      <c r="ET1" t="s">
        <v>412</v>
      </c>
      <c r="EU1" t="s">
        <v>413</v>
      </c>
      <c r="EV1" t="s">
        <v>414</v>
      </c>
      <c r="EW1" t="s">
        <v>415</v>
      </c>
      <c r="EX1" t="s">
        <v>416</v>
      </c>
      <c r="EY1" t="s">
        <v>417</v>
      </c>
      <c r="EZ1" t="s">
        <v>418</v>
      </c>
      <c r="FA1" t="s">
        <v>419</v>
      </c>
      <c r="FB1" t="s">
        <v>420</v>
      </c>
      <c r="FC1" t="s">
        <v>421</v>
      </c>
      <c r="FD1" t="s">
        <v>422</v>
      </c>
      <c r="FE1" t="s">
        <v>423</v>
      </c>
      <c r="FF1" t="s">
        <v>424</v>
      </c>
      <c r="FG1" t="s">
        <v>425</v>
      </c>
      <c r="FH1" t="s">
        <v>426</v>
      </c>
      <c r="FI1" t="s">
        <v>427</v>
      </c>
      <c r="FJ1" t="s">
        <v>428</v>
      </c>
      <c r="FK1" t="s">
        <v>429</v>
      </c>
      <c r="FL1" t="s">
        <v>430</v>
      </c>
      <c r="FM1" t="s">
        <v>431</v>
      </c>
      <c r="FN1" t="s">
        <v>432</v>
      </c>
      <c r="FO1" t="s">
        <v>433</v>
      </c>
      <c r="FP1" t="s">
        <v>434</v>
      </c>
      <c r="FQ1" t="s">
        <v>435</v>
      </c>
      <c r="FR1" t="s">
        <v>436</v>
      </c>
      <c r="FS1" t="s">
        <v>437</v>
      </c>
      <c r="FT1" t="s">
        <v>438</v>
      </c>
      <c r="FU1" t="s">
        <v>439</v>
      </c>
      <c r="FV1" t="s">
        <v>440</v>
      </c>
      <c r="FW1" t="s">
        <v>441</v>
      </c>
      <c r="FX1" t="s">
        <v>442</v>
      </c>
      <c r="FY1" t="s">
        <v>443</v>
      </c>
      <c r="FZ1" t="s">
        <v>444</v>
      </c>
      <c r="GA1" t="s">
        <v>445</v>
      </c>
      <c r="GB1" t="s">
        <v>446</v>
      </c>
      <c r="GC1" t="s">
        <v>447</v>
      </c>
      <c r="GD1" t="s">
        <v>448</v>
      </c>
      <c r="GE1" t="s">
        <v>449</v>
      </c>
      <c r="GF1" t="s">
        <v>450</v>
      </c>
      <c r="GG1" t="s">
        <v>451</v>
      </c>
      <c r="GH1" t="s">
        <v>452</v>
      </c>
      <c r="GI1" t="s">
        <v>453</v>
      </c>
      <c r="GJ1" t="s">
        <v>454</v>
      </c>
      <c r="GK1" t="s">
        <v>455</v>
      </c>
      <c r="GL1" t="s">
        <v>456</v>
      </c>
      <c r="GM1" t="s">
        <v>457</v>
      </c>
      <c r="GN1" t="s">
        <v>458</v>
      </c>
      <c r="GO1" t="s">
        <v>459</v>
      </c>
      <c r="GP1" t="s">
        <v>460</v>
      </c>
      <c r="GQ1" t="s">
        <v>461</v>
      </c>
      <c r="GR1" t="s">
        <v>462</v>
      </c>
      <c r="GS1" t="s">
        <v>463</v>
      </c>
      <c r="GT1" t="s">
        <v>464</v>
      </c>
      <c r="GU1" t="s">
        <v>465</v>
      </c>
      <c r="GV1" t="s">
        <v>466</v>
      </c>
      <c r="GW1" t="s">
        <v>467</v>
      </c>
      <c r="GX1" t="s">
        <v>468</v>
      </c>
      <c r="GY1" t="s">
        <v>469</v>
      </c>
      <c r="GZ1" t="s">
        <v>470</v>
      </c>
      <c r="HA1" t="s">
        <v>471</v>
      </c>
      <c r="HB1" t="s">
        <v>472</v>
      </c>
      <c r="HC1" t="s">
        <v>473</v>
      </c>
      <c r="HD1" t="s">
        <v>474</v>
      </c>
      <c r="HE1" t="s">
        <v>475</v>
      </c>
      <c r="HF1" t="s">
        <v>476</v>
      </c>
      <c r="HG1" t="s">
        <v>477</v>
      </c>
      <c r="HH1" t="s">
        <v>478</v>
      </c>
      <c r="HI1" t="s">
        <v>479</v>
      </c>
      <c r="HJ1" t="s">
        <v>480</v>
      </c>
      <c r="HK1" t="s">
        <v>481</v>
      </c>
      <c r="HL1" t="s">
        <v>482</v>
      </c>
      <c r="HM1" t="s">
        <v>483</v>
      </c>
      <c r="HN1" t="s">
        <v>484</v>
      </c>
      <c r="HO1" t="s">
        <v>485</v>
      </c>
      <c r="HP1" t="s">
        <v>486</v>
      </c>
      <c r="HQ1" t="s">
        <v>487</v>
      </c>
      <c r="HR1" t="s">
        <v>488</v>
      </c>
      <c r="HS1" t="s">
        <v>489</v>
      </c>
      <c r="HT1" t="s">
        <v>490</v>
      </c>
      <c r="HU1" t="s">
        <v>491</v>
      </c>
      <c r="HV1" t="s">
        <v>492</v>
      </c>
      <c r="HW1" t="s">
        <v>493</v>
      </c>
      <c r="HX1" t="s">
        <v>494</v>
      </c>
      <c r="HY1" t="s">
        <v>495</v>
      </c>
      <c r="HZ1" t="s">
        <v>496</v>
      </c>
      <c r="IA1" t="s">
        <v>497</v>
      </c>
      <c r="IB1" t="s">
        <v>498</v>
      </c>
      <c r="IC1" t="s">
        <v>499</v>
      </c>
      <c r="ID1" t="s">
        <v>500</v>
      </c>
      <c r="IE1" t="s">
        <v>501</v>
      </c>
      <c r="IF1" t="s">
        <v>502</v>
      </c>
      <c r="IG1" t="s">
        <v>503</v>
      </c>
      <c r="IH1" t="s">
        <v>504</v>
      </c>
      <c r="II1" t="s">
        <v>505</v>
      </c>
      <c r="IJ1" t="s">
        <v>506</v>
      </c>
      <c r="IK1" t="s">
        <v>507</v>
      </c>
      <c r="IL1" t="s">
        <v>508</v>
      </c>
      <c r="IM1" t="s">
        <v>509</v>
      </c>
      <c r="IN1" t="s">
        <v>510</v>
      </c>
      <c r="IO1" t="s">
        <v>511</v>
      </c>
      <c r="IP1" t="s">
        <v>512</v>
      </c>
      <c r="IQ1" t="s">
        <v>513</v>
      </c>
      <c r="IR1" t="s">
        <v>514</v>
      </c>
      <c r="IS1" t="s">
        <v>515</v>
      </c>
      <c r="IT1" t="s">
        <v>516</v>
      </c>
      <c r="IU1" t="s">
        <v>517</v>
      </c>
      <c r="IV1" t="s">
        <v>518</v>
      </c>
      <c r="IW1" t="s">
        <v>519</v>
      </c>
      <c r="IX1" t="s">
        <v>520</v>
      </c>
      <c r="IY1" t="s">
        <v>521</v>
      </c>
      <c r="IZ1" t="s">
        <v>522</v>
      </c>
      <c r="JA1" t="s">
        <v>523</v>
      </c>
      <c r="JB1" t="s">
        <v>524</v>
      </c>
      <c r="JC1" t="s">
        <v>525</v>
      </c>
      <c r="JD1" t="s">
        <v>526</v>
      </c>
      <c r="JE1" t="s">
        <v>527</v>
      </c>
      <c r="JF1" t="s">
        <v>528</v>
      </c>
      <c r="JG1" t="s">
        <v>529</v>
      </c>
      <c r="JH1" t="s">
        <v>530</v>
      </c>
      <c r="JI1" t="s">
        <v>531</v>
      </c>
      <c r="JJ1" t="s">
        <v>532</v>
      </c>
      <c r="JK1" t="s">
        <v>533</v>
      </c>
      <c r="JL1" t="s">
        <v>273</v>
      </c>
      <c r="JM1" t="s">
        <v>534</v>
      </c>
      <c r="JN1" t="s">
        <v>535</v>
      </c>
      <c r="JO1" t="s">
        <v>536</v>
      </c>
      <c r="JP1" t="s">
        <v>537</v>
      </c>
      <c r="JQ1" t="s">
        <v>538</v>
      </c>
      <c r="JR1" s="17" t="s">
        <v>539</v>
      </c>
      <c r="JS1" s="17" t="s">
        <v>207</v>
      </c>
      <c r="JT1" s="17" t="s">
        <v>208</v>
      </c>
      <c r="JU1" s="17" t="s">
        <v>209</v>
      </c>
    </row>
    <row r="2" spans="1:281">
      <c r="A2" t="s">
        <v>540</v>
      </c>
      <c r="B2" t="s">
        <v>541</v>
      </c>
      <c r="C2" t="s">
        <v>542</v>
      </c>
      <c r="D2" t="s">
        <v>213</v>
      </c>
      <c r="E2">
        <v>3</v>
      </c>
      <c r="F2" t="s">
        <v>214</v>
      </c>
      <c r="G2" t="s">
        <v>215</v>
      </c>
      <c r="H2" t="s">
        <v>543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2.0000000004</v>
      </c>
      <c r="S2">
        <v>2.5000000005</v>
      </c>
      <c r="T2">
        <v>2.5999999998000001</v>
      </c>
      <c r="U2">
        <v>2.5999999998000001</v>
      </c>
      <c r="V2">
        <v>2.5000000005</v>
      </c>
      <c r="W2">
        <v>2.6999999991000001</v>
      </c>
      <c r="X2">
        <v>2.8000000001999998</v>
      </c>
      <c r="Y2">
        <v>2.5000000005</v>
      </c>
      <c r="Z2">
        <v>2.5999999998000001</v>
      </c>
      <c r="AA2">
        <v>2.6999999991000001</v>
      </c>
      <c r="AB2">
        <v>2.6999999991000001</v>
      </c>
      <c r="AC2">
        <v>2.8999999994999999</v>
      </c>
      <c r="AD2">
        <v>2.8999999994999999</v>
      </c>
      <c r="AE2">
        <v>2.8999999994999999</v>
      </c>
      <c r="AF2">
        <v>2.8999999994999999</v>
      </c>
      <c r="AG2">
        <v>2.1999999990000001</v>
      </c>
      <c r="AH2">
        <v>0.89999999909999995</v>
      </c>
      <c r="AI2">
        <v>0</v>
      </c>
      <c r="AJ2">
        <v>2.8999999994999999</v>
      </c>
      <c r="AK2">
        <v>9.3999999990000003</v>
      </c>
      <c r="AL2">
        <v>15.799999999200001</v>
      </c>
      <c r="AM2">
        <v>23.1000000003</v>
      </c>
      <c r="AN2">
        <v>30.499999998900002</v>
      </c>
      <c r="AO2">
        <v>38.000000000500002</v>
      </c>
      <c r="AP2">
        <v>45.299999999800001</v>
      </c>
      <c r="AQ2">
        <v>53.299999999599997</v>
      </c>
      <c r="AR2">
        <v>61.200000000099998</v>
      </c>
      <c r="AS2">
        <v>68.199999999699997</v>
      </c>
      <c r="AT2">
        <v>76.199999999499994</v>
      </c>
      <c r="AU2">
        <v>84.499999998999996</v>
      </c>
      <c r="AV2">
        <v>92.399999999499997</v>
      </c>
      <c r="AW2">
        <v>100.50000000049999</v>
      </c>
      <c r="AX2">
        <v>110.0000000006</v>
      </c>
      <c r="AY2">
        <v>118.39999999939999</v>
      </c>
      <c r="AZ2">
        <v>126.50000000030001</v>
      </c>
      <c r="BA2">
        <v>135.0999999995</v>
      </c>
      <c r="BB2">
        <v>143.50000000009999</v>
      </c>
      <c r="BC2">
        <v>151.59999999920001</v>
      </c>
      <c r="BD2">
        <v>160.59999999920001</v>
      </c>
      <c r="BE2">
        <v>168.70000000019999</v>
      </c>
      <c r="BF2">
        <v>176.49999999959999</v>
      </c>
      <c r="BG2">
        <v>184.79999999910001</v>
      </c>
      <c r="BH2">
        <v>193.49999999939999</v>
      </c>
      <c r="BI2">
        <v>201.49999999920001</v>
      </c>
      <c r="BJ2">
        <v>209.9999999991</v>
      </c>
      <c r="BK2">
        <v>218.6000000002</v>
      </c>
      <c r="BL2">
        <v>226.09999999990001</v>
      </c>
      <c r="BM2">
        <v>234.00000000040001</v>
      </c>
      <c r="BN2">
        <v>242.2999999999</v>
      </c>
      <c r="BO2">
        <v>250.39999999899999</v>
      </c>
      <c r="BP2">
        <v>257.99999999980002</v>
      </c>
      <c r="BQ2">
        <v>266.29999999929998</v>
      </c>
      <c r="BR2">
        <v>273.69999999970003</v>
      </c>
      <c r="BS2">
        <v>280.89999999970001</v>
      </c>
      <c r="BT2">
        <v>288.59999999989998</v>
      </c>
      <c r="BU2">
        <v>296.3</v>
      </c>
      <c r="BV2">
        <v>303.5</v>
      </c>
      <c r="BW2">
        <v>310.59999999889999</v>
      </c>
      <c r="BX2">
        <v>318.19999999970003</v>
      </c>
      <c r="BY2">
        <v>325.30000000040002</v>
      </c>
      <c r="BZ2">
        <v>331.50000000019998</v>
      </c>
      <c r="CA2">
        <v>338.40000000049997</v>
      </c>
      <c r="CB2">
        <v>345.19999999970003</v>
      </c>
      <c r="CC2">
        <v>351.99999999900001</v>
      </c>
      <c r="CD2">
        <v>358.39999999920002</v>
      </c>
      <c r="CE2">
        <v>364.90000000049997</v>
      </c>
      <c r="CF2">
        <v>371.60000000039997</v>
      </c>
      <c r="CG2">
        <v>377.89999999949998</v>
      </c>
      <c r="CH2">
        <v>383.40000000060002</v>
      </c>
      <c r="CI2">
        <v>389.29999999889998</v>
      </c>
      <c r="CJ2">
        <v>395.3000000001</v>
      </c>
      <c r="CK2">
        <v>401.49999999990001</v>
      </c>
      <c r="CL2">
        <v>407.40000000010002</v>
      </c>
      <c r="CM2">
        <v>412.89999999939999</v>
      </c>
      <c r="CN2">
        <v>418.59999999910002</v>
      </c>
      <c r="CO2">
        <v>424.49999999919999</v>
      </c>
      <c r="CP2">
        <v>429.70000000060003</v>
      </c>
      <c r="CQ2">
        <v>434.60000000050002</v>
      </c>
      <c r="CR2">
        <v>439.89999999939999</v>
      </c>
      <c r="CS2">
        <v>445.29999999939997</v>
      </c>
      <c r="CT2">
        <v>449.59999999989998</v>
      </c>
      <c r="CU2">
        <v>453.10000000060001</v>
      </c>
      <c r="CV2">
        <v>453.2999999992</v>
      </c>
      <c r="CW2">
        <v>453.1999999999</v>
      </c>
      <c r="CX2">
        <v>453.4000000003</v>
      </c>
      <c r="CY2">
        <v>453.49999999959999</v>
      </c>
      <c r="CZ2">
        <v>453.59999999889999</v>
      </c>
      <c r="DA2">
        <v>453.59999999889999</v>
      </c>
      <c r="DB2">
        <v>453.7</v>
      </c>
      <c r="DC2">
        <v>453.59999999889999</v>
      </c>
      <c r="DD2">
        <v>453.7</v>
      </c>
      <c r="DE2">
        <v>453.7</v>
      </c>
      <c r="DF2">
        <v>453.7</v>
      </c>
      <c r="DG2">
        <v>453.7</v>
      </c>
      <c r="DH2">
        <v>3.1999999992000001</v>
      </c>
      <c r="DI2">
        <v>4.1999999994000001</v>
      </c>
      <c r="DJ2">
        <v>4.3000000004999999</v>
      </c>
      <c r="DK2">
        <v>4.3000000004999999</v>
      </c>
      <c r="DL2">
        <v>4.3000000004999999</v>
      </c>
      <c r="DM2">
        <v>4.3000000004999999</v>
      </c>
      <c r="DN2">
        <v>4.3000000004999999</v>
      </c>
      <c r="DO2">
        <v>4.1999999994000001</v>
      </c>
      <c r="DP2">
        <v>4.4999999990999999</v>
      </c>
      <c r="DQ2">
        <v>4.6000000001999997</v>
      </c>
      <c r="DR2">
        <v>4.3999999998000003</v>
      </c>
      <c r="DS2">
        <v>4.6999999995000001</v>
      </c>
      <c r="DT2">
        <v>4.6000000001999997</v>
      </c>
      <c r="DU2">
        <v>4.4999999990999999</v>
      </c>
      <c r="DV2">
        <v>4.6000000001999997</v>
      </c>
      <c r="DW2">
        <v>3.0000000006</v>
      </c>
      <c r="DX2">
        <v>1.5000000003</v>
      </c>
      <c r="DY2">
        <v>2.1999999990000001</v>
      </c>
      <c r="DZ2">
        <v>6.6999999999000002</v>
      </c>
      <c r="EA2">
        <v>13.300000000500001</v>
      </c>
      <c r="EB2">
        <v>20.699999999100001</v>
      </c>
      <c r="EC2">
        <v>28.200000000700001</v>
      </c>
      <c r="ED2">
        <v>35.400000000699997</v>
      </c>
      <c r="EE2">
        <v>42.799999999299999</v>
      </c>
      <c r="EF2">
        <v>50.499999999400004</v>
      </c>
      <c r="EG2">
        <v>58.4999999992</v>
      </c>
      <c r="EH2">
        <v>65.899999999599999</v>
      </c>
      <c r="EI2">
        <v>73.500000000399993</v>
      </c>
      <c r="EJ2">
        <v>81.899999999200006</v>
      </c>
      <c r="EK2">
        <v>89.700000000399996</v>
      </c>
      <c r="EL2">
        <v>97.599999999100007</v>
      </c>
      <c r="EM2">
        <v>106.2999999995</v>
      </c>
      <c r="EN2">
        <v>114.9999999998</v>
      </c>
      <c r="EO2">
        <v>123.49999999969999</v>
      </c>
      <c r="EP2">
        <v>131.99999999959999</v>
      </c>
      <c r="EQ2">
        <v>140.7999999992</v>
      </c>
      <c r="ER2">
        <v>148.79999999899999</v>
      </c>
      <c r="ES2">
        <v>157.1000000004</v>
      </c>
      <c r="ET2">
        <v>166.1000000004</v>
      </c>
      <c r="EU2">
        <v>173.9999999991</v>
      </c>
      <c r="EV2">
        <v>182.19999999929999</v>
      </c>
      <c r="EW2">
        <v>190.99999999889999</v>
      </c>
      <c r="EX2">
        <v>199.30000000019999</v>
      </c>
      <c r="EY2">
        <v>207.50000000040001</v>
      </c>
      <c r="EZ2">
        <v>216.39999999930001</v>
      </c>
      <c r="FA2">
        <v>224.0000000002</v>
      </c>
      <c r="FB2">
        <v>232</v>
      </c>
      <c r="FC2">
        <v>240.29999999949999</v>
      </c>
      <c r="FD2">
        <v>248.29999999930001</v>
      </c>
      <c r="FE2">
        <v>256.10000000050002</v>
      </c>
      <c r="FF2">
        <v>264.49999999929997</v>
      </c>
      <c r="FG2">
        <v>272.3999999998</v>
      </c>
      <c r="FH2">
        <v>279.59999999979999</v>
      </c>
      <c r="FI2">
        <v>287.09999999960002</v>
      </c>
      <c r="FJ2">
        <v>295.09999999939998</v>
      </c>
      <c r="FK2">
        <v>302.49999999980002</v>
      </c>
      <c r="FL2">
        <v>309.69999999980001</v>
      </c>
      <c r="FM2">
        <v>317.19999999949999</v>
      </c>
      <c r="FN2">
        <v>324.39999999949998</v>
      </c>
      <c r="FO2">
        <v>331.20000000049998</v>
      </c>
      <c r="FP2">
        <v>337.90000000039998</v>
      </c>
      <c r="FQ2">
        <v>344.99999999929997</v>
      </c>
      <c r="FR2">
        <v>351.89999999970001</v>
      </c>
      <c r="FS2">
        <v>358.59999999960002</v>
      </c>
      <c r="FT2">
        <v>364.79999999939997</v>
      </c>
      <c r="FU2">
        <v>371.69999999970003</v>
      </c>
      <c r="FV2">
        <v>378.00000000059998</v>
      </c>
      <c r="FW2">
        <v>383.7999999996</v>
      </c>
      <c r="FX2">
        <v>389.60000000039997</v>
      </c>
      <c r="FY2">
        <v>395.69999999909999</v>
      </c>
      <c r="FZ2">
        <v>402.2000000004</v>
      </c>
      <c r="GA2">
        <v>407.79999999900002</v>
      </c>
      <c r="GB2">
        <v>413.30000000019999</v>
      </c>
      <c r="GC2">
        <v>419.09999999920001</v>
      </c>
      <c r="GD2">
        <v>424.69999999959998</v>
      </c>
      <c r="GE2">
        <v>429.89999999920002</v>
      </c>
      <c r="GF2">
        <v>434.90000000020001</v>
      </c>
      <c r="GG2">
        <v>439.8000000001</v>
      </c>
      <c r="GH2">
        <v>444.90000000039998</v>
      </c>
      <c r="GI2">
        <v>448.89999999939999</v>
      </c>
      <c r="GJ2">
        <v>452.40000000010002</v>
      </c>
      <c r="GK2">
        <v>453.1999999999</v>
      </c>
      <c r="GL2">
        <v>453.1999999999</v>
      </c>
      <c r="GM2">
        <v>453.1999999999</v>
      </c>
      <c r="GN2">
        <v>453.1999999999</v>
      </c>
      <c r="GO2">
        <v>453.2999999992</v>
      </c>
      <c r="GP2">
        <v>453.1999999999</v>
      </c>
      <c r="GQ2">
        <v>453.2999999992</v>
      </c>
      <c r="GR2">
        <v>453.4000000003</v>
      </c>
      <c r="GS2">
        <v>453.49999999959999</v>
      </c>
      <c r="GT2">
        <v>453.4000000003</v>
      </c>
      <c r="GU2">
        <v>453.49999999959999</v>
      </c>
      <c r="GV2">
        <v>453.59999999889999</v>
      </c>
      <c r="GW2">
        <v>453.90000000039998</v>
      </c>
      <c r="GX2">
        <v>1</v>
      </c>
      <c r="GY2">
        <v>109.8000000002</v>
      </c>
      <c r="GZ2">
        <v>110.0000000006</v>
      </c>
      <c r="HA2">
        <v>110.0000000006</v>
      </c>
      <c r="HB2">
        <v>114.9999999998</v>
      </c>
      <c r="HC2">
        <v>111.23953283420001</v>
      </c>
      <c r="HD2">
        <v>-4.9999999991999999</v>
      </c>
      <c r="HE2">
        <v>453.90000000039998</v>
      </c>
      <c r="HF2">
        <v>301.49555971770002</v>
      </c>
      <c r="HG2">
        <v>95.242474659600006</v>
      </c>
      <c r="HH2">
        <v>453.90000000039998</v>
      </c>
      <c r="HI2">
        <v>453.90000000039998</v>
      </c>
      <c r="HJ2">
        <v>453.7</v>
      </c>
      <c r="HK2">
        <v>453.90000000039998</v>
      </c>
      <c r="HL2">
        <v>114.9560117302</v>
      </c>
      <c r="HM2">
        <v>3.3488188176000002</v>
      </c>
      <c r="HN2">
        <v>3.2861332284999998</v>
      </c>
      <c r="HO2">
        <v>3.3283800211000001</v>
      </c>
      <c r="HP2">
        <v>3.2461704277000001</v>
      </c>
      <c r="HQ2">
        <v>3.5595229115000002</v>
      </c>
      <c r="HR2">
        <v>2.2272964727</v>
      </c>
      <c r="HS2">
        <v>15.997058174599999</v>
      </c>
      <c r="HT2">
        <v>-28.152492668600001</v>
      </c>
      <c r="HU2">
        <v>-192</v>
      </c>
      <c r="HV2">
        <v>412.73509255189998</v>
      </c>
      <c r="HW2">
        <v>93.841642228699996</v>
      </c>
      <c r="HX2">
        <v>640</v>
      </c>
      <c r="HY2">
        <v>15.997058174599999</v>
      </c>
      <c r="HZ2">
        <v>-28.152492668600001</v>
      </c>
      <c r="IA2">
        <v>-192</v>
      </c>
      <c r="IB2">
        <v>412.73509255189998</v>
      </c>
      <c r="IC2">
        <v>93.841642228699996</v>
      </c>
      <c r="ID2">
        <v>640</v>
      </c>
      <c r="IE2">
        <v>41.164907448500003</v>
      </c>
      <c r="IF2">
        <v>0.9015866011</v>
      </c>
      <c r="IG2">
        <v>-37.536656891500002</v>
      </c>
      <c r="IH2">
        <v>-256</v>
      </c>
      <c r="II2">
        <v>434.65363596319997</v>
      </c>
      <c r="IJ2">
        <v>103.22580645159999</v>
      </c>
      <c r="IK2">
        <v>704</v>
      </c>
      <c r="IL2">
        <v>396.73803437729998</v>
      </c>
      <c r="IM2">
        <v>121.9941348974</v>
      </c>
      <c r="IN2">
        <v>421.32764433670002</v>
      </c>
      <c r="IO2">
        <v>131.37829912020001</v>
      </c>
      <c r="IP2">
        <v>7.3999999986000002</v>
      </c>
      <c r="IQ2">
        <v>5.9000000001000004</v>
      </c>
      <c r="IR2">
        <v>9.5000000001</v>
      </c>
      <c r="IS2">
        <v>6.4589691828999998</v>
      </c>
      <c r="IT2">
        <v>6.4589691828999998</v>
      </c>
      <c r="IU2">
        <v>3.9000000015</v>
      </c>
      <c r="IV2">
        <v>-30.4985337243</v>
      </c>
      <c r="IW2">
        <v>6.9000000003000004</v>
      </c>
      <c r="IX2">
        <v>89.149560117299998</v>
      </c>
      <c r="IY2">
        <v>6.1000000004999997</v>
      </c>
      <c r="IZ2">
        <v>98.533724340199996</v>
      </c>
      <c r="JA2">
        <v>-33.224500027399998</v>
      </c>
      <c r="JB2">
        <v>0.32778766279999999</v>
      </c>
      <c r="JC2">
        <v>-3.2907409999999998E-4</v>
      </c>
      <c r="JD2">
        <v>6.7909999999999999E-7</v>
      </c>
      <c r="JE2">
        <v>0.29861275110000002</v>
      </c>
      <c r="JF2">
        <v>0.2125633633</v>
      </c>
      <c r="JG2">
        <v>9.9409582900000001E-2</v>
      </c>
      <c r="JH2">
        <v>111.43946714</v>
      </c>
      <c r="JI2">
        <v>3.5595229115000002</v>
      </c>
      <c r="JJ2">
        <v>2.6429154000000002E-3</v>
      </c>
      <c r="JK2">
        <v>-6.9202999999999995E-5</v>
      </c>
      <c r="JL2">
        <v>3.3488188176000002</v>
      </c>
      <c r="JM2">
        <v>1.3146421529000001</v>
      </c>
      <c r="JN2">
        <v>0.5993104306</v>
      </c>
      <c r="JO2">
        <v>3.1542499994000002</v>
      </c>
      <c r="JP2">
        <v>2.514875</v>
      </c>
      <c r="JQ2">
        <v>4.0493750000000004</v>
      </c>
      <c r="JR2" s="17" t="s">
        <v>544</v>
      </c>
      <c r="JU2" s="17">
        <v>1</v>
      </c>
    </row>
    <row r="3" spans="1:281">
      <c r="A3" t="s">
        <v>553</v>
      </c>
      <c r="B3" t="s">
        <v>554</v>
      </c>
      <c r="C3" t="s">
        <v>555</v>
      </c>
      <c r="D3" t="s">
        <v>213</v>
      </c>
      <c r="E3">
        <v>3</v>
      </c>
      <c r="F3" t="s">
        <v>214</v>
      </c>
      <c r="G3" t="s">
        <v>215</v>
      </c>
      <c r="H3" t="s">
        <v>543</v>
      </c>
      <c r="I3" t="s">
        <v>217</v>
      </c>
      <c r="K3" t="s">
        <v>548</v>
      </c>
      <c r="L3" t="s">
        <v>549</v>
      </c>
      <c r="M3" t="s">
        <v>550</v>
      </c>
      <c r="N3" t="s">
        <v>551</v>
      </c>
      <c r="O3" t="s">
        <v>552</v>
      </c>
      <c r="P3">
        <v>0</v>
      </c>
      <c r="Q3">
        <v>0</v>
      </c>
      <c r="R3">
        <v>0</v>
      </c>
      <c r="S3">
        <v>0.20000000039999999</v>
      </c>
      <c r="T3">
        <v>0.50000000010000001</v>
      </c>
      <c r="U3">
        <v>0.20000000039999999</v>
      </c>
      <c r="V3">
        <v>0.29999999970000002</v>
      </c>
      <c r="W3">
        <v>0.50000000010000001</v>
      </c>
      <c r="X3">
        <v>0.29999999970000002</v>
      </c>
      <c r="Y3">
        <v>0.20000000039999999</v>
      </c>
      <c r="Z3">
        <v>0.40000000079999998</v>
      </c>
      <c r="AA3">
        <v>0.50000000010000001</v>
      </c>
      <c r="AB3">
        <v>0.29999999970000002</v>
      </c>
      <c r="AC3">
        <v>0.29999999970000002</v>
      </c>
      <c r="AD3">
        <v>0.29999999970000002</v>
      </c>
      <c r="AE3">
        <v>0.29999999970000002</v>
      </c>
      <c r="AF3">
        <v>0.50000000010000001</v>
      </c>
      <c r="AG3">
        <v>0.7000000005</v>
      </c>
      <c r="AH3">
        <v>0.59999999940000004</v>
      </c>
      <c r="AI3">
        <v>4.1000000000999997</v>
      </c>
      <c r="AJ3">
        <v>10.5000000003</v>
      </c>
      <c r="AK3">
        <v>16.9999999998</v>
      </c>
      <c r="AL3">
        <v>23.600000000400001</v>
      </c>
      <c r="AM3">
        <v>30.200000001100001</v>
      </c>
      <c r="AN3">
        <v>37.200000000700001</v>
      </c>
      <c r="AO3">
        <v>45.099999999399998</v>
      </c>
      <c r="AP3">
        <v>53.200000000300001</v>
      </c>
      <c r="AQ3">
        <v>60.999999999700002</v>
      </c>
      <c r="AR3">
        <v>68.699999999799999</v>
      </c>
      <c r="AS3">
        <v>75.899999999800002</v>
      </c>
      <c r="AT3">
        <v>83.399999999499997</v>
      </c>
      <c r="AU3">
        <v>91.200000000800003</v>
      </c>
      <c r="AV3">
        <v>99.700000000700001</v>
      </c>
      <c r="AW3">
        <v>108.400000001</v>
      </c>
      <c r="AX3">
        <v>117.0000000002</v>
      </c>
      <c r="AY3">
        <v>124.9000000007</v>
      </c>
      <c r="AZ3">
        <v>132.7000000001</v>
      </c>
      <c r="BA3">
        <v>140.40000000020001</v>
      </c>
      <c r="BB3">
        <v>148.8000000008</v>
      </c>
      <c r="BC3">
        <v>157.80000000090001</v>
      </c>
      <c r="BD3">
        <v>166.60000000049999</v>
      </c>
      <c r="BE3">
        <v>174.9</v>
      </c>
      <c r="BF3">
        <v>182.50000000079999</v>
      </c>
      <c r="BG3">
        <v>190.30000000019999</v>
      </c>
      <c r="BH3">
        <v>198.7000000008</v>
      </c>
      <c r="BI3">
        <v>207.3</v>
      </c>
      <c r="BJ3">
        <v>216.09999999959999</v>
      </c>
      <c r="BK3">
        <v>224.2999999999</v>
      </c>
      <c r="BL3">
        <v>232</v>
      </c>
      <c r="BM3">
        <v>239.40000000040001</v>
      </c>
      <c r="BN3">
        <v>246.90000000009999</v>
      </c>
      <c r="BO3">
        <v>255.00000000099999</v>
      </c>
      <c r="BP3">
        <v>263.3999999998</v>
      </c>
      <c r="BQ3">
        <v>271.60000000000002</v>
      </c>
      <c r="BR3">
        <v>279.20000000089999</v>
      </c>
      <c r="BS3">
        <v>286.40000000089998</v>
      </c>
      <c r="BT3">
        <v>293.20000000009998</v>
      </c>
      <c r="BU3">
        <v>300.69999999980001</v>
      </c>
      <c r="BV3">
        <v>308.1000000002</v>
      </c>
      <c r="BW3">
        <v>315.80000000029997</v>
      </c>
      <c r="BX3">
        <v>323.20000000070002</v>
      </c>
      <c r="BY3">
        <v>330.5</v>
      </c>
      <c r="BZ3">
        <v>336.69999999980001</v>
      </c>
      <c r="CA3">
        <v>343.1</v>
      </c>
      <c r="CB3">
        <v>349.29999999990002</v>
      </c>
      <c r="CC3">
        <v>356.29999999950002</v>
      </c>
      <c r="CD3">
        <v>362.90000000010002</v>
      </c>
      <c r="CE3">
        <v>369.89999999970001</v>
      </c>
      <c r="CF3">
        <v>376.50000000030002</v>
      </c>
      <c r="CG3">
        <v>382.79999999939997</v>
      </c>
      <c r="CH3">
        <v>388.6000000002</v>
      </c>
      <c r="CI3">
        <v>394.09999999950003</v>
      </c>
      <c r="CJ3">
        <v>399.80000000109999</v>
      </c>
      <c r="CK3">
        <v>405.50000000080001</v>
      </c>
      <c r="CL3">
        <v>411.59999999950003</v>
      </c>
      <c r="CM3">
        <v>417.4000000003</v>
      </c>
      <c r="CN3">
        <v>423.50000000080001</v>
      </c>
      <c r="CO3">
        <v>429.09999999939998</v>
      </c>
      <c r="CP3">
        <v>434.90000000020001</v>
      </c>
      <c r="CQ3">
        <v>439.8000000001</v>
      </c>
      <c r="CR3">
        <v>444.90000000039998</v>
      </c>
      <c r="CS3">
        <v>449.70000000099998</v>
      </c>
      <c r="CT3">
        <v>453.10000000060001</v>
      </c>
      <c r="CU3">
        <v>453.10000000060001</v>
      </c>
      <c r="CV3">
        <v>453.300000001</v>
      </c>
      <c r="CW3">
        <v>453.300000001</v>
      </c>
      <c r="CX3">
        <v>453.1999999999</v>
      </c>
      <c r="CY3">
        <v>453.1999999999</v>
      </c>
      <c r="CZ3">
        <v>453.300000001</v>
      </c>
      <c r="DA3">
        <v>453.4000000003</v>
      </c>
      <c r="DB3">
        <v>453.4000000003</v>
      </c>
      <c r="DC3">
        <v>453.4000000003</v>
      </c>
      <c r="DD3">
        <v>453.49999999959999</v>
      </c>
      <c r="DE3">
        <v>453.4000000003</v>
      </c>
      <c r="DF3">
        <v>453.4000000003</v>
      </c>
      <c r="DG3">
        <v>453.300000001</v>
      </c>
      <c r="DH3">
        <v>0.90000000089999999</v>
      </c>
      <c r="DI3">
        <v>1.5999999996000001</v>
      </c>
      <c r="DJ3">
        <v>1.5000000003</v>
      </c>
      <c r="DK3">
        <v>1.5000000003</v>
      </c>
      <c r="DL3">
        <v>1.400000001</v>
      </c>
      <c r="DM3">
        <v>1.400000001</v>
      </c>
      <c r="DN3">
        <v>1.5000000003</v>
      </c>
      <c r="DO3">
        <v>1.400000001</v>
      </c>
      <c r="DP3">
        <v>1.2999999999</v>
      </c>
      <c r="DQ3">
        <v>1.2000000006</v>
      </c>
      <c r="DR3">
        <v>1.5999999996000001</v>
      </c>
      <c r="DS3">
        <v>1.5999999996000001</v>
      </c>
      <c r="DT3">
        <v>1.8</v>
      </c>
      <c r="DU3">
        <v>1.7000000007</v>
      </c>
      <c r="DV3">
        <v>1.7000000007</v>
      </c>
      <c r="DW3">
        <v>1.8</v>
      </c>
      <c r="DX3">
        <v>2.8999999994999999</v>
      </c>
      <c r="DY3">
        <v>7.9999999998</v>
      </c>
      <c r="DZ3">
        <v>14.9000000001</v>
      </c>
      <c r="EA3">
        <v>21.300000000299999</v>
      </c>
      <c r="EB3">
        <v>28.200000000700001</v>
      </c>
      <c r="EC3">
        <v>35.100000000999998</v>
      </c>
      <c r="ED3">
        <v>42.6000000007</v>
      </c>
      <c r="EE3">
        <v>50.499999999400004</v>
      </c>
      <c r="EF3">
        <v>58.500000000999997</v>
      </c>
      <c r="EG3">
        <v>66.5000000008</v>
      </c>
      <c r="EH3">
        <v>73.599999999700003</v>
      </c>
      <c r="EI3">
        <v>81.099999999399998</v>
      </c>
      <c r="EJ3">
        <v>88.799999999500002</v>
      </c>
      <c r="EK3">
        <v>96.9000000005</v>
      </c>
      <c r="EL3">
        <v>105.49999999969999</v>
      </c>
      <c r="EM3">
        <v>113.9000000003</v>
      </c>
      <c r="EN3">
        <v>122.3000000009</v>
      </c>
      <c r="EO3">
        <v>130.00000000099999</v>
      </c>
      <c r="EP3">
        <v>137.89999999969999</v>
      </c>
      <c r="EQ3">
        <v>146.3000000003</v>
      </c>
      <c r="ER3">
        <v>154.89999999950001</v>
      </c>
      <c r="ES3">
        <v>163.8000000003</v>
      </c>
      <c r="ET3">
        <v>172.8000000003</v>
      </c>
      <c r="EU3">
        <v>180.09999999959999</v>
      </c>
      <c r="EV3">
        <v>188.00000000009999</v>
      </c>
      <c r="EW3">
        <v>195.99999999990001</v>
      </c>
      <c r="EX3">
        <v>204.70000000019999</v>
      </c>
      <c r="EY3">
        <v>213.60000000100001</v>
      </c>
      <c r="EZ3">
        <v>221.9999999998</v>
      </c>
      <c r="FA3">
        <v>229.9000000003</v>
      </c>
      <c r="FB3">
        <v>237.4</v>
      </c>
      <c r="FC3">
        <v>245.10000000010001</v>
      </c>
      <c r="FD3">
        <v>253.3000000003</v>
      </c>
      <c r="FE3">
        <v>261.50000000049999</v>
      </c>
      <c r="FF3">
        <v>270.0999999997</v>
      </c>
      <c r="FG3">
        <v>277.90000000100002</v>
      </c>
      <c r="FH3">
        <v>285.20000000030001</v>
      </c>
      <c r="FI3">
        <v>292.1999999999</v>
      </c>
      <c r="FJ3">
        <v>299.30000000059999</v>
      </c>
      <c r="FK3">
        <v>307.10000000000002</v>
      </c>
      <c r="FL3">
        <v>314.89999999939999</v>
      </c>
      <c r="FM3">
        <v>322.59999999950003</v>
      </c>
      <c r="FN3">
        <v>330.10000000100001</v>
      </c>
      <c r="FO3">
        <v>336.40000000010002</v>
      </c>
      <c r="FP3">
        <v>342.80000000040002</v>
      </c>
      <c r="FQ3">
        <v>349.29999999990002</v>
      </c>
      <c r="FR3">
        <v>356.20000000020002</v>
      </c>
      <c r="FS3">
        <v>363.30000000090001</v>
      </c>
      <c r="FT3">
        <v>370.10000000010001</v>
      </c>
      <c r="FU3">
        <v>376.59999999960002</v>
      </c>
      <c r="FV3">
        <v>382.99999999980002</v>
      </c>
      <c r="FW3">
        <v>388.89999999989999</v>
      </c>
      <c r="FX3">
        <v>394.59999999960002</v>
      </c>
      <c r="FY3">
        <v>400.2</v>
      </c>
      <c r="FZ3">
        <v>406.0000000009</v>
      </c>
      <c r="GA3">
        <v>412.20000000070002</v>
      </c>
      <c r="GB3">
        <v>417.99999999969998</v>
      </c>
      <c r="GC3">
        <v>424.0000000009</v>
      </c>
      <c r="GD3">
        <v>429.50000000019998</v>
      </c>
      <c r="GE3">
        <v>434.99999999950001</v>
      </c>
      <c r="GF3">
        <v>439.8000000001</v>
      </c>
      <c r="GG3">
        <v>444.60000000069999</v>
      </c>
      <c r="GH3">
        <v>449.20000000089999</v>
      </c>
      <c r="GI3">
        <v>452.49999999940002</v>
      </c>
      <c r="GJ3">
        <v>452.80000000090001</v>
      </c>
      <c r="GK3">
        <v>452.99999999950001</v>
      </c>
      <c r="GL3">
        <v>453.1999999999</v>
      </c>
      <c r="GM3">
        <v>453.10000000060001</v>
      </c>
      <c r="GN3">
        <v>453.1999999999</v>
      </c>
      <c r="GO3">
        <v>453.1999999999</v>
      </c>
      <c r="GP3">
        <v>453.300000001</v>
      </c>
      <c r="GQ3">
        <v>453.300000001</v>
      </c>
      <c r="GR3">
        <v>453.10000000060001</v>
      </c>
      <c r="GS3">
        <v>453.300000001</v>
      </c>
      <c r="GT3">
        <v>453.300000001</v>
      </c>
      <c r="GU3">
        <v>453.4000000003</v>
      </c>
      <c r="GV3">
        <v>453.1999999999</v>
      </c>
      <c r="GW3">
        <v>453.300000001</v>
      </c>
      <c r="GX3">
        <v>1</v>
      </c>
      <c r="GY3">
        <v>119.3000000003</v>
      </c>
      <c r="GZ3">
        <v>117.0000000002</v>
      </c>
      <c r="HA3">
        <v>117.0000000002</v>
      </c>
      <c r="HB3">
        <v>122.3000000009</v>
      </c>
      <c r="HC3">
        <v>118.39864358219999</v>
      </c>
      <c r="HD3">
        <v>-5.3000000006999999</v>
      </c>
      <c r="HE3">
        <v>453.300000001</v>
      </c>
      <c r="HF3">
        <v>299.05649536760001</v>
      </c>
      <c r="HG3">
        <v>101.2170269083</v>
      </c>
      <c r="HH3">
        <v>453.49999999959999</v>
      </c>
      <c r="HI3">
        <v>453.4000000003</v>
      </c>
      <c r="HJ3">
        <v>453.49999999959999</v>
      </c>
      <c r="HK3">
        <v>453.4000000003</v>
      </c>
      <c r="HL3">
        <v>110.26392961880001</v>
      </c>
      <c r="HM3">
        <v>3.3232363886999998</v>
      </c>
      <c r="HN3">
        <v>3.2612369048000001</v>
      </c>
      <c r="HO3">
        <v>3.2890846229999999</v>
      </c>
      <c r="HP3">
        <v>3.1336669144</v>
      </c>
      <c r="HQ3">
        <v>3.5141342233000001</v>
      </c>
      <c r="HR3">
        <v>2.2171140164000001</v>
      </c>
      <c r="HS3">
        <v>17.181616673899999</v>
      </c>
      <c r="HT3">
        <v>-30.4985337243</v>
      </c>
      <c r="HU3">
        <v>-208</v>
      </c>
      <c r="HV3">
        <v>417.45513894980002</v>
      </c>
      <c r="HW3">
        <v>93.841642228699996</v>
      </c>
      <c r="HX3">
        <v>640</v>
      </c>
      <c r="HY3">
        <v>17.181616673899999</v>
      </c>
      <c r="HZ3">
        <v>-30.4985337243</v>
      </c>
      <c r="IA3">
        <v>-208</v>
      </c>
      <c r="IB3">
        <v>417.45513894980002</v>
      </c>
      <c r="IC3">
        <v>93.841642228699996</v>
      </c>
      <c r="ID3">
        <v>640</v>
      </c>
      <c r="IE3">
        <v>35.944861050500002</v>
      </c>
      <c r="IF3">
        <v>0.7030326428</v>
      </c>
      <c r="IG3">
        <v>-39.8826979472</v>
      </c>
      <c r="IH3">
        <v>-272</v>
      </c>
      <c r="II3">
        <v>439.62654389070002</v>
      </c>
      <c r="IJ3">
        <v>103.22580645159999</v>
      </c>
      <c r="IK3">
        <v>704</v>
      </c>
      <c r="IL3">
        <v>400.27352227590001</v>
      </c>
      <c r="IM3">
        <v>124.3401759531</v>
      </c>
      <c r="IN3">
        <v>424.99198279680002</v>
      </c>
      <c r="IO3">
        <v>133.724340176</v>
      </c>
      <c r="IP3">
        <v>6.9000000003000004</v>
      </c>
      <c r="IQ3">
        <v>5.8000000007999999</v>
      </c>
      <c r="IR3">
        <v>9</v>
      </c>
      <c r="IS3">
        <v>5.7189014048000004</v>
      </c>
      <c r="IT3">
        <v>5.7189014048000004</v>
      </c>
      <c r="IU3">
        <v>4.3999999998000003</v>
      </c>
      <c r="IV3">
        <v>-32.844574780099997</v>
      </c>
      <c r="IW3">
        <v>7.2</v>
      </c>
      <c r="IX3">
        <v>75.073313783000003</v>
      </c>
      <c r="IY3">
        <v>5.9999999994</v>
      </c>
      <c r="IZ3">
        <v>98.533724340199996</v>
      </c>
      <c r="JA3">
        <v>-35.974651773300003</v>
      </c>
      <c r="JB3">
        <v>0.33799570779999999</v>
      </c>
      <c r="JC3">
        <v>-3.5490169999999999E-4</v>
      </c>
      <c r="JD3">
        <v>6.9429999999999996E-7</v>
      </c>
      <c r="JE3">
        <v>0.30091148600000001</v>
      </c>
      <c r="JF3">
        <v>0.26691975239999999</v>
      </c>
      <c r="JG3">
        <v>0.14624936390000001</v>
      </c>
      <c r="JH3">
        <v>118.13172296560001</v>
      </c>
      <c r="JI3">
        <v>3.5141342233000001</v>
      </c>
      <c r="JJ3">
        <v>3.0124498000000002E-3</v>
      </c>
      <c r="JK3">
        <v>-7.0495599999999996E-5</v>
      </c>
      <c r="JL3">
        <v>3.3232363886999998</v>
      </c>
      <c r="JM3">
        <v>1.4239158157</v>
      </c>
      <c r="JN3">
        <v>0.61117498599999998</v>
      </c>
      <c r="JO3">
        <v>2.9411250001</v>
      </c>
      <c r="JP3">
        <v>2.4722500002999999</v>
      </c>
      <c r="JQ3">
        <v>3.8362500000000002</v>
      </c>
      <c r="JR3" s="17" t="s">
        <v>544</v>
      </c>
      <c r="JU3" s="17">
        <v>1</v>
      </c>
    </row>
    <row r="4" spans="1:281">
      <c r="A4" t="s">
        <v>568</v>
      </c>
      <c r="B4" t="s">
        <v>569</v>
      </c>
      <c r="C4" t="s">
        <v>570</v>
      </c>
      <c r="D4" t="s">
        <v>213</v>
      </c>
      <c r="E4">
        <v>3</v>
      </c>
      <c r="F4" t="s">
        <v>214</v>
      </c>
      <c r="G4" t="s">
        <v>215</v>
      </c>
      <c r="H4" t="s">
        <v>543</v>
      </c>
      <c r="I4" t="s">
        <v>217</v>
      </c>
      <c r="K4" t="s">
        <v>563</v>
      </c>
      <c r="L4" t="s">
        <v>564</v>
      </c>
      <c r="M4" t="s">
        <v>565</v>
      </c>
      <c r="N4" t="s">
        <v>566</v>
      </c>
      <c r="O4" t="s">
        <v>567</v>
      </c>
      <c r="P4">
        <v>0</v>
      </c>
      <c r="Q4">
        <v>0</v>
      </c>
      <c r="R4">
        <v>1.5000000003</v>
      </c>
      <c r="S4">
        <v>2.1999999990000001</v>
      </c>
      <c r="T4">
        <v>2.0999999997000001</v>
      </c>
      <c r="U4">
        <v>2.3000000000999998</v>
      </c>
      <c r="V4">
        <v>2.1999999990000001</v>
      </c>
      <c r="W4">
        <v>2.3000000000999998</v>
      </c>
      <c r="X4">
        <v>2.3000000000999998</v>
      </c>
      <c r="Y4">
        <v>2.3000000000999998</v>
      </c>
      <c r="Z4">
        <v>2.3999999993999999</v>
      </c>
      <c r="AA4">
        <v>2.4999999986999999</v>
      </c>
      <c r="AB4">
        <v>2.5999999998000001</v>
      </c>
      <c r="AC4">
        <v>2.5999999998000001</v>
      </c>
      <c r="AD4">
        <v>2.6999999991000001</v>
      </c>
      <c r="AE4">
        <v>2.5999999998000001</v>
      </c>
      <c r="AF4">
        <v>1.3999999992000001</v>
      </c>
      <c r="AG4">
        <v>0</v>
      </c>
      <c r="AH4">
        <v>0</v>
      </c>
      <c r="AI4">
        <v>2.0999999997000001</v>
      </c>
      <c r="AJ4">
        <v>9.3999999990000003</v>
      </c>
      <c r="AK4">
        <v>16.799999999400001</v>
      </c>
      <c r="AL4">
        <v>24.499999999500002</v>
      </c>
      <c r="AM4">
        <v>31.499999999100002</v>
      </c>
      <c r="AN4">
        <v>37.999999998600003</v>
      </c>
      <c r="AO4">
        <v>45.500000000199996</v>
      </c>
      <c r="AP4">
        <v>52.700000000199999</v>
      </c>
      <c r="AQ4">
        <v>60.4999999996</v>
      </c>
      <c r="AR4">
        <v>68.499999999400004</v>
      </c>
      <c r="AS4">
        <v>77.199999999699997</v>
      </c>
      <c r="AT4">
        <v>85.100000000199998</v>
      </c>
      <c r="AU4">
        <v>92.300000000300003</v>
      </c>
      <c r="AV4">
        <v>100.4999999986</v>
      </c>
      <c r="AW4">
        <v>108.39999999920001</v>
      </c>
      <c r="AX4">
        <v>116.69999999869999</v>
      </c>
      <c r="AY4">
        <v>126.0999999995</v>
      </c>
      <c r="AZ4">
        <v>134.29999999969999</v>
      </c>
      <c r="BA4">
        <v>141.9999999998</v>
      </c>
      <c r="BB4">
        <v>149.7999999992</v>
      </c>
      <c r="BC4">
        <v>157.6999999997</v>
      </c>
      <c r="BD4">
        <v>166.1999999997</v>
      </c>
      <c r="BE4">
        <v>174.9</v>
      </c>
      <c r="BF4">
        <v>183.69999999960001</v>
      </c>
      <c r="BG4">
        <v>191.69999999940001</v>
      </c>
      <c r="BH4">
        <v>199.19999999909999</v>
      </c>
      <c r="BI4">
        <v>207.19999999890001</v>
      </c>
      <c r="BJ4">
        <v>215.29999999980001</v>
      </c>
      <c r="BK4">
        <v>223.50000000009999</v>
      </c>
      <c r="BL4">
        <v>232.39999999899999</v>
      </c>
      <c r="BM4">
        <v>240.7999999996</v>
      </c>
      <c r="BN4">
        <v>248.09999999889999</v>
      </c>
      <c r="BO4">
        <v>255.4</v>
      </c>
      <c r="BP4">
        <v>263.2999999987</v>
      </c>
      <c r="BQ4">
        <v>270.89999999949998</v>
      </c>
      <c r="BR4">
        <v>278.8</v>
      </c>
      <c r="BS4">
        <v>287.19999999880002</v>
      </c>
      <c r="BT4">
        <v>294.7000000004</v>
      </c>
      <c r="BU4">
        <v>301.1999999999</v>
      </c>
      <c r="BV4">
        <v>307.9999999991</v>
      </c>
      <c r="BW4">
        <v>314.99999999869999</v>
      </c>
      <c r="BX4">
        <v>322.19999999869998</v>
      </c>
      <c r="BY4">
        <v>329.29999999939997</v>
      </c>
      <c r="BZ4">
        <v>336.79999999910001</v>
      </c>
      <c r="CA4">
        <v>343.8999999998</v>
      </c>
      <c r="CB4">
        <v>350.4999999986</v>
      </c>
      <c r="CC4">
        <v>356.49999999990001</v>
      </c>
      <c r="CD4">
        <v>362.69999999970003</v>
      </c>
      <c r="CE4">
        <v>368.89999999949998</v>
      </c>
      <c r="CF4">
        <v>375.50000000009999</v>
      </c>
      <c r="CG4">
        <v>382.09999999889999</v>
      </c>
      <c r="CH4">
        <v>388.69999999949999</v>
      </c>
      <c r="CI4">
        <v>395.0999999997</v>
      </c>
      <c r="CJ4">
        <v>400.79999999939997</v>
      </c>
      <c r="CK4">
        <v>406.19999999940001</v>
      </c>
      <c r="CL4">
        <v>411.59999999950003</v>
      </c>
      <c r="CM4">
        <v>417.0999999988</v>
      </c>
      <c r="CN4">
        <v>422.49999999879998</v>
      </c>
      <c r="CO4">
        <v>428.09999999920001</v>
      </c>
      <c r="CP4">
        <v>433.69999999959998</v>
      </c>
      <c r="CQ4">
        <v>439.89999999939999</v>
      </c>
      <c r="CR4">
        <v>445.29999999939997</v>
      </c>
      <c r="CS4">
        <v>450.69999999940001</v>
      </c>
      <c r="CT4">
        <v>454.99999999990001</v>
      </c>
      <c r="CU4">
        <v>455.69999999859999</v>
      </c>
      <c r="CV4">
        <v>455.5</v>
      </c>
      <c r="CW4">
        <v>455.3999999989</v>
      </c>
      <c r="CX4">
        <v>455.5</v>
      </c>
      <c r="CY4">
        <v>455.3999999989</v>
      </c>
      <c r="CZ4">
        <v>455.3999999989</v>
      </c>
      <c r="DA4">
        <v>455.3999999989</v>
      </c>
      <c r="DB4">
        <v>455.3999999989</v>
      </c>
      <c r="DC4">
        <v>455.2999999996</v>
      </c>
      <c r="DD4">
        <v>455.3999999989</v>
      </c>
      <c r="DE4">
        <v>455.20000000030001</v>
      </c>
      <c r="DF4">
        <v>455.09999999920001</v>
      </c>
      <c r="DG4">
        <v>455.20000000030001</v>
      </c>
      <c r="DH4">
        <v>2.8999999994999999</v>
      </c>
      <c r="DI4">
        <v>3.6999999993000001</v>
      </c>
      <c r="DJ4">
        <v>3.6999999993000001</v>
      </c>
      <c r="DK4">
        <v>3.6999999993000001</v>
      </c>
      <c r="DL4">
        <v>3.6999999993000001</v>
      </c>
      <c r="DM4">
        <v>3.6999999993000001</v>
      </c>
      <c r="DN4">
        <v>3.8999999996999999</v>
      </c>
      <c r="DO4">
        <v>3.6999999993000001</v>
      </c>
      <c r="DP4">
        <v>3.8000000003999999</v>
      </c>
      <c r="DQ4">
        <v>3.8999999996999999</v>
      </c>
      <c r="DR4">
        <v>3.8000000003999999</v>
      </c>
      <c r="DS4">
        <v>3.8000000003999999</v>
      </c>
      <c r="DT4">
        <v>3.8999999996999999</v>
      </c>
      <c r="DU4">
        <v>3.3000000002999998</v>
      </c>
      <c r="DV4">
        <v>1.5999999996000001</v>
      </c>
      <c r="DW4">
        <v>0</v>
      </c>
      <c r="DX4">
        <v>1.5000000003</v>
      </c>
      <c r="DY4">
        <v>6.7999999991999998</v>
      </c>
      <c r="DZ4">
        <v>14.199999999599999</v>
      </c>
      <c r="EA4">
        <v>21.8999999997</v>
      </c>
      <c r="EB4">
        <v>29.300000000099999</v>
      </c>
      <c r="EC4">
        <v>35.799999999699999</v>
      </c>
      <c r="ED4">
        <v>42.799999999299999</v>
      </c>
      <c r="EE4">
        <v>50.4000000001</v>
      </c>
      <c r="EF4">
        <v>57.899999999800002</v>
      </c>
      <c r="EG4">
        <v>65.800000000300003</v>
      </c>
      <c r="EH4">
        <v>74.499999998800007</v>
      </c>
      <c r="EI4">
        <v>82.399999999299993</v>
      </c>
      <c r="EJ4">
        <v>89.699999998600006</v>
      </c>
      <c r="EK4">
        <v>97.399999998699997</v>
      </c>
      <c r="EL4">
        <v>105.2999999993</v>
      </c>
      <c r="EM4">
        <v>113.4000000002</v>
      </c>
      <c r="EN4">
        <v>122.4000000002</v>
      </c>
      <c r="EO4">
        <v>131.09999999870001</v>
      </c>
      <c r="EP4">
        <v>138.99999999920001</v>
      </c>
      <c r="EQ4">
        <v>146.69999999929999</v>
      </c>
      <c r="ER4">
        <v>154.8000000003</v>
      </c>
      <c r="ES4">
        <v>163.09999999979999</v>
      </c>
      <c r="ET4">
        <v>171.699999999</v>
      </c>
      <c r="EU4">
        <v>180.699999999</v>
      </c>
      <c r="EV4">
        <v>189.19999999890001</v>
      </c>
      <c r="EW4">
        <v>196.5999999993</v>
      </c>
      <c r="EX4">
        <v>204.70000000019999</v>
      </c>
      <c r="EY4">
        <v>212.89999999860001</v>
      </c>
      <c r="EZ4">
        <v>221.0999999988</v>
      </c>
      <c r="FA4">
        <v>230.09999999889999</v>
      </c>
      <c r="FB4">
        <v>238.49999999950001</v>
      </c>
      <c r="FC4">
        <v>246.19999999960001</v>
      </c>
      <c r="FD4">
        <v>253.3999999996</v>
      </c>
      <c r="FE4">
        <v>261.199999999</v>
      </c>
      <c r="FF4">
        <v>268.89999999909998</v>
      </c>
      <c r="FG4">
        <v>276.8999999989</v>
      </c>
      <c r="FH4">
        <v>285.39999999880001</v>
      </c>
      <c r="FI4">
        <v>293.29999999939997</v>
      </c>
      <c r="FJ4">
        <v>300.19999999970003</v>
      </c>
      <c r="FK4">
        <v>306.99999999890002</v>
      </c>
      <c r="FL4">
        <v>314.3</v>
      </c>
      <c r="FM4">
        <v>321.5</v>
      </c>
      <c r="FN4">
        <v>328.7</v>
      </c>
      <c r="FO4">
        <v>336.59999999870001</v>
      </c>
      <c r="FP4">
        <v>343.49999999900001</v>
      </c>
      <c r="FQ4">
        <v>350.0999999997</v>
      </c>
      <c r="FR4">
        <v>356.20000000020002</v>
      </c>
      <c r="FS4">
        <v>362.60000000039997</v>
      </c>
      <c r="FT4">
        <v>368.80000000019999</v>
      </c>
      <c r="FU4">
        <v>375.59999999939998</v>
      </c>
      <c r="FV4">
        <v>381.9000000003</v>
      </c>
      <c r="FW4">
        <v>388.89999999989999</v>
      </c>
      <c r="FX4">
        <v>395.0999999997</v>
      </c>
      <c r="FY4">
        <v>401.09999999910002</v>
      </c>
      <c r="FZ4">
        <v>406.3999999998</v>
      </c>
      <c r="GA4">
        <v>411.69999999869998</v>
      </c>
      <c r="GB4">
        <v>417.4000000003</v>
      </c>
      <c r="GC4">
        <v>422.89999999960003</v>
      </c>
      <c r="GD4">
        <v>428.5</v>
      </c>
      <c r="GE4">
        <v>433.9</v>
      </c>
      <c r="GF4">
        <v>439.50000000040001</v>
      </c>
      <c r="GG4">
        <v>444.79999999929998</v>
      </c>
      <c r="GH4">
        <v>449.80000000029997</v>
      </c>
      <c r="GI4">
        <v>454.20000000009998</v>
      </c>
      <c r="GJ4">
        <v>455.09999999920001</v>
      </c>
      <c r="GK4">
        <v>455.20000000030001</v>
      </c>
      <c r="GL4">
        <v>455.20000000030001</v>
      </c>
      <c r="GM4">
        <v>455.09999999920001</v>
      </c>
      <c r="GN4">
        <v>455.20000000030001</v>
      </c>
      <c r="GO4">
        <v>455.2999999996</v>
      </c>
      <c r="GP4">
        <v>455.20000000030001</v>
      </c>
      <c r="GQ4">
        <v>455.2999999996</v>
      </c>
      <c r="GR4">
        <v>455.09999999920001</v>
      </c>
      <c r="GS4">
        <v>455.3999999989</v>
      </c>
      <c r="GT4">
        <v>455.20000000030001</v>
      </c>
      <c r="GU4">
        <v>455.09999999920001</v>
      </c>
      <c r="GV4">
        <v>455.2999999996</v>
      </c>
      <c r="GW4">
        <v>455.20000000030001</v>
      </c>
      <c r="GX4">
        <v>1</v>
      </c>
      <c r="GY4">
        <v>117.2999999999</v>
      </c>
      <c r="GZ4">
        <v>116.69999999869999</v>
      </c>
      <c r="HA4">
        <v>116.69999999869999</v>
      </c>
      <c r="HB4">
        <v>122.4000000002</v>
      </c>
      <c r="HC4">
        <v>118.1961796017</v>
      </c>
      <c r="HD4">
        <v>-5.7000000015000003</v>
      </c>
      <c r="HE4">
        <v>455.20000000030001</v>
      </c>
      <c r="HF4">
        <v>309.90926556239998</v>
      </c>
      <c r="HG4">
        <v>101.1795037871</v>
      </c>
      <c r="HH4">
        <v>455.69999999859999</v>
      </c>
      <c r="HI4">
        <v>455.39997804260003</v>
      </c>
      <c r="HJ4">
        <v>455.69999999859999</v>
      </c>
      <c r="HK4">
        <v>455.3999999989</v>
      </c>
      <c r="HL4">
        <v>112.6099706745</v>
      </c>
      <c r="HM4">
        <v>3.2871939867000002</v>
      </c>
      <c r="HN4">
        <v>3.2274457560999998</v>
      </c>
      <c r="HO4">
        <v>3.2702232143000001</v>
      </c>
      <c r="HP4">
        <v>3.1750277793000001</v>
      </c>
      <c r="HQ4">
        <v>3.5080374302999999</v>
      </c>
      <c r="HR4">
        <v>2.1206839023000001</v>
      </c>
      <c r="HS4">
        <v>17.016675814599999</v>
      </c>
      <c r="HT4">
        <v>-30.4985337243</v>
      </c>
      <c r="HU4">
        <v>-208</v>
      </c>
      <c r="HV4">
        <v>428.105445164</v>
      </c>
      <c r="HW4">
        <v>98.533724340199996</v>
      </c>
      <c r="HX4">
        <v>672</v>
      </c>
      <c r="HY4">
        <v>17.016675814599999</v>
      </c>
      <c r="HZ4">
        <v>-30.4985337243</v>
      </c>
      <c r="IA4">
        <v>-208</v>
      </c>
      <c r="IB4">
        <v>428.105445164</v>
      </c>
      <c r="IC4">
        <v>98.533724340199996</v>
      </c>
      <c r="ID4">
        <v>672</v>
      </c>
      <c r="IE4">
        <v>27.294532878599998</v>
      </c>
      <c r="IF4">
        <v>0</v>
      </c>
      <c r="IG4">
        <v>-39.8826979472</v>
      </c>
      <c r="IH4">
        <v>-272</v>
      </c>
      <c r="II4">
        <v>449.72194532909998</v>
      </c>
      <c r="IJ4">
        <v>107.91788856300001</v>
      </c>
      <c r="IK4">
        <v>736</v>
      </c>
      <c r="IL4">
        <v>411.08876934950001</v>
      </c>
      <c r="IM4">
        <v>129.03225806450001</v>
      </c>
      <c r="IN4">
        <v>437.11403008079998</v>
      </c>
      <c r="IO4">
        <v>138.4164222874</v>
      </c>
      <c r="IP4">
        <v>7.4000000004000004</v>
      </c>
      <c r="IQ4">
        <v>6.1999999998000002</v>
      </c>
      <c r="IR4">
        <v>9.4000000008000004</v>
      </c>
      <c r="IS4">
        <v>7.2403415944000002</v>
      </c>
      <c r="IT4">
        <v>7.2403415944000002</v>
      </c>
      <c r="IU4">
        <v>4.8000000005999999</v>
      </c>
      <c r="IV4">
        <v>-32.844574780099997</v>
      </c>
      <c r="IW4">
        <v>7.2999999992999998</v>
      </c>
      <c r="IX4">
        <v>63.3431085044</v>
      </c>
      <c r="IY4">
        <v>5.8000000007999999</v>
      </c>
      <c r="IZ4">
        <v>103.22580645159999</v>
      </c>
      <c r="JA4">
        <v>-36.1008124337</v>
      </c>
      <c r="JB4">
        <v>0.33714598179999999</v>
      </c>
      <c r="JC4">
        <v>-3.4846520000000002E-4</v>
      </c>
      <c r="JD4">
        <v>6.8759999999999999E-7</v>
      </c>
      <c r="JE4">
        <v>0.30421082659999998</v>
      </c>
      <c r="JF4">
        <v>0.34102255669999998</v>
      </c>
      <c r="JG4">
        <v>0.15549304280000001</v>
      </c>
      <c r="JH4">
        <v>118.7737949653</v>
      </c>
      <c r="JI4">
        <v>3.5080374302999999</v>
      </c>
      <c r="JJ4">
        <v>2.5050262000000001E-3</v>
      </c>
      <c r="JK4">
        <v>-6.4580399999999996E-5</v>
      </c>
      <c r="JL4">
        <v>3.2871939867000002</v>
      </c>
      <c r="JM4">
        <v>1.3433544969</v>
      </c>
      <c r="JN4">
        <v>0.65101906809999999</v>
      </c>
      <c r="JO4">
        <v>3.1542500001999998</v>
      </c>
      <c r="JP4">
        <v>2.6427499998999999</v>
      </c>
      <c r="JQ4">
        <v>4.0067500004000003</v>
      </c>
      <c r="JR4" s="17" t="s">
        <v>544</v>
      </c>
      <c r="JU4" s="17">
        <v>1</v>
      </c>
    </row>
    <row r="5" spans="1:281">
      <c r="A5" t="s">
        <v>587</v>
      </c>
      <c r="B5" t="s">
        <v>588</v>
      </c>
      <c r="C5" t="s">
        <v>589</v>
      </c>
      <c r="D5" t="s">
        <v>213</v>
      </c>
      <c r="E5">
        <v>3</v>
      </c>
      <c r="F5" t="s">
        <v>214</v>
      </c>
      <c r="G5" t="s">
        <v>215</v>
      </c>
      <c r="H5" t="s">
        <v>543</v>
      </c>
      <c r="I5" t="s">
        <v>217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2.1000000015000002</v>
      </c>
      <c r="S5">
        <v>2.3000000000999998</v>
      </c>
      <c r="T5">
        <v>2.2000000007999998</v>
      </c>
      <c r="U5">
        <v>2.2000000007999998</v>
      </c>
      <c r="V5">
        <v>2.1000000015000002</v>
      </c>
      <c r="W5">
        <v>2.2000000007999998</v>
      </c>
      <c r="X5">
        <v>1.9000000011</v>
      </c>
      <c r="Y5">
        <v>2.0000000004</v>
      </c>
      <c r="Z5">
        <v>1.9000000011</v>
      </c>
      <c r="AA5">
        <v>2.0000000004</v>
      </c>
      <c r="AB5">
        <v>1.8</v>
      </c>
      <c r="AC5">
        <v>1.8</v>
      </c>
      <c r="AD5">
        <v>1.6000000014</v>
      </c>
      <c r="AE5">
        <v>1.0000000002</v>
      </c>
      <c r="AF5">
        <v>0.50000000010000001</v>
      </c>
      <c r="AG5">
        <v>0.1000000011</v>
      </c>
      <c r="AH5">
        <v>0</v>
      </c>
      <c r="AI5">
        <v>0.7000000005</v>
      </c>
      <c r="AJ5">
        <v>4.6000000001999997</v>
      </c>
      <c r="AK5">
        <v>11.0000000004</v>
      </c>
      <c r="AL5">
        <v>18.200000000399999</v>
      </c>
      <c r="AM5">
        <v>25.1000000007</v>
      </c>
      <c r="AN5">
        <v>32.300000000799997</v>
      </c>
      <c r="AO5">
        <v>39.700000001200003</v>
      </c>
      <c r="AP5">
        <v>47.4000000013</v>
      </c>
      <c r="AQ5">
        <v>55.000000000299998</v>
      </c>
      <c r="AR5">
        <v>62.900000000799999</v>
      </c>
      <c r="AS5">
        <v>70.600000000899996</v>
      </c>
      <c r="AT5">
        <v>78.600000000700007</v>
      </c>
      <c r="AU5">
        <v>86.400000000099993</v>
      </c>
      <c r="AV5">
        <v>94.500000001100005</v>
      </c>
      <c r="AW5">
        <v>102.80000000059999</v>
      </c>
      <c r="AX5">
        <v>111.90000000169999</v>
      </c>
      <c r="AY5">
        <v>120.2000000012</v>
      </c>
      <c r="AZ5">
        <v>129.10000000010001</v>
      </c>
      <c r="BA5">
        <v>137.09999999990001</v>
      </c>
      <c r="BB5">
        <v>145.50000000049999</v>
      </c>
      <c r="BC5">
        <v>153.9000000012</v>
      </c>
      <c r="BD5">
        <v>162.40000000110001</v>
      </c>
      <c r="BE5">
        <v>170.6000000013</v>
      </c>
      <c r="BF5">
        <v>178.8000000015</v>
      </c>
      <c r="BG5">
        <v>187.20000000030001</v>
      </c>
      <c r="BH5">
        <v>195.3000000012</v>
      </c>
      <c r="BI5">
        <v>203.7</v>
      </c>
      <c r="BJ5">
        <v>212.0000000014</v>
      </c>
      <c r="BK5">
        <v>220.50000000130001</v>
      </c>
      <c r="BL5">
        <v>228.10000000030001</v>
      </c>
      <c r="BM5">
        <v>236.40000000160001</v>
      </c>
      <c r="BN5">
        <v>244.09999999990001</v>
      </c>
      <c r="BO5">
        <v>252.00000000040001</v>
      </c>
      <c r="BP5">
        <v>260.10000000129997</v>
      </c>
      <c r="BQ5">
        <v>268</v>
      </c>
      <c r="BR5">
        <v>275.60000000079998</v>
      </c>
      <c r="BS5">
        <v>283.00000000130001</v>
      </c>
      <c r="BT5">
        <v>290.50000000099999</v>
      </c>
      <c r="BU5">
        <v>297.70000000099998</v>
      </c>
      <c r="BV5">
        <v>305.10000000140002</v>
      </c>
      <c r="BW5">
        <v>312.5</v>
      </c>
      <c r="BX5">
        <v>319.60000000069999</v>
      </c>
      <c r="BY5">
        <v>327.00000000109998</v>
      </c>
      <c r="BZ5">
        <v>333.59999999989998</v>
      </c>
      <c r="CA5">
        <v>340.30000000170003</v>
      </c>
      <c r="CB5">
        <v>347.30000000130002</v>
      </c>
      <c r="CC5">
        <v>353.80000000080003</v>
      </c>
      <c r="CD5">
        <v>360.6</v>
      </c>
      <c r="CE5">
        <v>367.00000000019998</v>
      </c>
      <c r="CF5">
        <v>373.60000000079998</v>
      </c>
      <c r="CG5">
        <v>379.89999999989999</v>
      </c>
      <c r="CH5">
        <v>385.8</v>
      </c>
      <c r="CI5">
        <v>391.70000000009998</v>
      </c>
      <c r="CJ5">
        <v>398.00000000099999</v>
      </c>
      <c r="CK5">
        <v>403.9000000012</v>
      </c>
      <c r="CL5">
        <v>409.60000000090002</v>
      </c>
      <c r="CM5">
        <v>415.50000000099999</v>
      </c>
      <c r="CN5">
        <v>421.20000000070002</v>
      </c>
      <c r="CO5">
        <v>426.80000000109999</v>
      </c>
      <c r="CP5">
        <v>432.40000000150002</v>
      </c>
      <c r="CQ5">
        <v>437.6000000011</v>
      </c>
      <c r="CR5">
        <v>442.60000000029999</v>
      </c>
      <c r="CS5">
        <v>448.3</v>
      </c>
      <c r="CT5">
        <v>453.00000000130001</v>
      </c>
      <c r="CU5">
        <v>455.30000000140001</v>
      </c>
      <c r="CV5">
        <v>455.5</v>
      </c>
      <c r="CW5">
        <v>455.4000000007</v>
      </c>
      <c r="CX5">
        <v>455.5</v>
      </c>
      <c r="CY5">
        <v>455.5</v>
      </c>
      <c r="CZ5">
        <v>455.4000000007</v>
      </c>
      <c r="DA5">
        <v>455.5</v>
      </c>
      <c r="DB5">
        <v>455.5</v>
      </c>
      <c r="DC5">
        <v>455.6000000011</v>
      </c>
      <c r="DD5">
        <v>455.6000000011</v>
      </c>
      <c r="DE5">
        <v>455.6000000011</v>
      </c>
      <c r="DF5">
        <v>455.4000000007</v>
      </c>
      <c r="DG5">
        <v>455.5</v>
      </c>
      <c r="DH5">
        <v>3.0999999999000001</v>
      </c>
      <c r="DI5">
        <v>3.3000000002999998</v>
      </c>
      <c r="DJ5">
        <v>3.3000000002999998</v>
      </c>
      <c r="DK5">
        <v>3.3000000002999998</v>
      </c>
      <c r="DL5">
        <v>3.3000000002999998</v>
      </c>
      <c r="DM5">
        <v>3.3000000002999998</v>
      </c>
      <c r="DN5">
        <v>3.2000000009999998</v>
      </c>
      <c r="DO5">
        <v>3.0999999999000001</v>
      </c>
      <c r="DP5">
        <v>3.0000000006</v>
      </c>
      <c r="DQ5">
        <v>3.0999999999000001</v>
      </c>
      <c r="DR5">
        <v>2.9000000013</v>
      </c>
      <c r="DS5">
        <v>2.9000000013</v>
      </c>
      <c r="DT5">
        <v>2.6000000016000002</v>
      </c>
      <c r="DU5">
        <v>2.1000000015000002</v>
      </c>
      <c r="DV5">
        <v>1.6000000014</v>
      </c>
      <c r="DW5">
        <v>1.1000000013</v>
      </c>
      <c r="DX5">
        <v>0.80000000159999995</v>
      </c>
      <c r="DY5">
        <v>3.0000000006</v>
      </c>
      <c r="DZ5">
        <v>8.7000000002999993</v>
      </c>
      <c r="EA5">
        <v>15.699999999899999</v>
      </c>
      <c r="EB5">
        <v>23.300000000699999</v>
      </c>
      <c r="EC5">
        <v>30.300000000400001</v>
      </c>
      <c r="ED5">
        <v>37.700000000800003</v>
      </c>
      <c r="EE5">
        <v>45.200000000499998</v>
      </c>
      <c r="EF5">
        <v>52.900000000600002</v>
      </c>
      <c r="EG5">
        <v>60.7</v>
      </c>
      <c r="EH5">
        <v>68.000000001100005</v>
      </c>
      <c r="EI5">
        <v>76.6000000003</v>
      </c>
      <c r="EJ5">
        <v>84.000000000699998</v>
      </c>
      <c r="EK5">
        <v>92.100000001699996</v>
      </c>
      <c r="EL5">
        <v>100.50000000049999</v>
      </c>
      <c r="EM5">
        <v>108.7000000007</v>
      </c>
      <c r="EN5">
        <v>117.3000000017</v>
      </c>
      <c r="EO5">
        <v>126.2000000006</v>
      </c>
      <c r="EP5">
        <v>134.50000000009999</v>
      </c>
      <c r="EQ5">
        <v>143</v>
      </c>
      <c r="ER5">
        <v>151.30000000140001</v>
      </c>
      <c r="ES5">
        <v>159.6000000009</v>
      </c>
      <c r="ET5">
        <v>168.4000000005</v>
      </c>
      <c r="EU5">
        <v>176.2000000017</v>
      </c>
      <c r="EV5">
        <v>184.90000000020001</v>
      </c>
      <c r="EW5">
        <v>193.3000000008</v>
      </c>
      <c r="EX5">
        <v>201.70000000140001</v>
      </c>
      <c r="EY5">
        <v>210.1000000002</v>
      </c>
      <c r="EZ5">
        <v>218.6000000002</v>
      </c>
      <c r="FA5">
        <v>226.5000000007</v>
      </c>
      <c r="FB5">
        <v>234.90000000129999</v>
      </c>
      <c r="FC5">
        <v>242.8</v>
      </c>
      <c r="FD5">
        <v>250.80000000160001</v>
      </c>
      <c r="FE5">
        <v>259.1000000011</v>
      </c>
      <c r="FF5">
        <v>267.00000000159997</v>
      </c>
      <c r="FG5">
        <v>275.00000000149998</v>
      </c>
      <c r="FH5">
        <v>282.30000000080003</v>
      </c>
      <c r="FI5">
        <v>290.2000000013</v>
      </c>
      <c r="FJ5">
        <v>297.60000000169998</v>
      </c>
      <c r="FK5">
        <v>305.40000000110001</v>
      </c>
      <c r="FL5">
        <v>312.8000000015</v>
      </c>
      <c r="FM5">
        <v>320.00000000149998</v>
      </c>
      <c r="FN5">
        <v>327.50000000120002</v>
      </c>
      <c r="FO5">
        <v>334.30000000040002</v>
      </c>
      <c r="FP5">
        <v>341.2000000008</v>
      </c>
      <c r="FQ5">
        <v>348.2000000004</v>
      </c>
      <c r="FR5">
        <v>354.60000000060001</v>
      </c>
      <c r="FS5">
        <v>361.7000000013</v>
      </c>
      <c r="FT5">
        <v>368.2000000008</v>
      </c>
      <c r="FU5">
        <v>374.80000000140001</v>
      </c>
      <c r="FV5">
        <v>381.20000000160002</v>
      </c>
      <c r="FW5">
        <v>387.00000000059998</v>
      </c>
      <c r="FX5">
        <v>393.1000000011</v>
      </c>
      <c r="FY5">
        <v>399.5000000014</v>
      </c>
      <c r="FZ5">
        <v>405.09999999989998</v>
      </c>
      <c r="GA5">
        <v>411.20000000049998</v>
      </c>
      <c r="GB5">
        <v>416.90000000020001</v>
      </c>
      <c r="GC5">
        <v>422.50000000059998</v>
      </c>
      <c r="GD5">
        <v>428.20000000030001</v>
      </c>
      <c r="GE5">
        <v>433.39999999989999</v>
      </c>
      <c r="GF5">
        <v>438.60000000129997</v>
      </c>
      <c r="GG5">
        <v>443.30000000080003</v>
      </c>
      <c r="GH5">
        <v>448.3</v>
      </c>
      <c r="GI5">
        <v>452.80000000090001</v>
      </c>
      <c r="GJ5">
        <v>455.30000000140001</v>
      </c>
      <c r="GK5">
        <v>455.4000000007</v>
      </c>
      <c r="GL5">
        <v>455.4000000007</v>
      </c>
      <c r="GM5">
        <v>455.30000000140001</v>
      </c>
      <c r="GN5">
        <v>455.5</v>
      </c>
      <c r="GO5">
        <v>455.4000000007</v>
      </c>
      <c r="GP5">
        <v>455.4000000007</v>
      </c>
      <c r="GQ5">
        <v>455.5</v>
      </c>
      <c r="GR5">
        <v>455.6000000011</v>
      </c>
      <c r="GS5">
        <v>455.5</v>
      </c>
      <c r="GT5">
        <v>455.6000000011</v>
      </c>
      <c r="GU5">
        <v>455.6000000011</v>
      </c>
      <c r="GV5">
        <v>455.5</v>
      </c>
      <c r="GW5">
        <v>455.6000000011</v>
      </c>
      <c r="GX5">
        <v>1</v>
      </c>
      <c r="GY5">
        <v>111.6000000002</v>
      </c>
      <c r="GZ5">
        <v>111.90000000169999</v>
      </c>
      <c r="HA5">
        <v>111.90000000169999</v>
      </c>
      <c r="HB5">
        <v>117.3000000017</v>
      </c>
      <c r="HC5">
        <v>113.2582967533</v>
      </c>
      <c r="HD5">
        <v>-5.4</v>
      </c>
      <c r="HE5">
        <v>455.59998902659999</v>
      </c>
      <c r="HF5">
        <v>302.96313652179998</v>
      </c>
      <c r="HG5">
        <v>94.826020633400006</v>
      </c>
      <c r="HH5">
        <v>455.6000000011</v>
      </c>
      <c r="HI5">
        <v>455.6000000011</v>
      </c>
      <c r="HJ5">
        <v>455.6000000011</v>
      </c>
      <c r="HK5">
        <v>455.6000000011</v>
      </c>
      <c r="HL5">
        <v>112.6099706745</v>
      </c>
      <c r="HM5">
        <v>3.3588938450999999</v>
      </c>
      <c r="HN5">
        <v>3.2731110119000002</v>
      </c>
      <c r="HO5">
        <v>3.3255282495</v>
      </c>
      <c r="HP5">
        <v>3.2523058976999999</v>
      </c>
      <c r="HQ5">
        <v>3.5630063929000002</v>
      </c>
      <c r="HR5">
        <v>2.2618856134000001</v>
      </c>
      <c r="HS5">
        <v>18.432276119899999</v>
      </c>
      <c r="HT5">
        <v>-28.152492668600001</v>
      </c>
      <c r="HU5">
        <v>-192</v>
      </c>
      <c r="HV5">
        <v>416.22143327499998</v>
      </c>
      <c r="HW5">
        <v>93.841642228699996</v>
      </c>
      <c r="HX5">
        <v>640</v>
      </c>
      <c r="HY5">
        <v>18.432276119899999</v>
      </c>
      <c r="HZ5">
        <v>-28.152492668600001</v>
      </c>
      <c r="IA5">
        <v>-192</v>
      </c>
      <c r="IB5">
        <v>416.22143327499998</v>
      </c>
      <c r="IC5">
        <v>93.841642228699996</v>
      </c>
      <c r="ID5">
        <v>640</v>
      </c>
      <c r="IE5">
        <v>39.378566726099997</v>
      </c>
      <c r="IF5">
        <v>7.0237049999999997E-4</v>
      </c>
      <c r="IG5">
        <v>-37.536656891500002</v>
      </c>
      <c r="IH5">
        <v>-256</v>
      </c>
      <c r="II5">
        <v>438.32647058959998</v>
      </c>
      <c r="IJ5">
        <v>103.22580645159999</v>
      </c>
      <c r="IK5">
        <v>704</v>
      </c>
      <c r="IL5">
        <v>397.78915715519997</v>
      </c>
      <c r="IM5">
        <v>121.9941348974</v>
      </c>
      <c r="IN5">
        <v>423.06539727839998</v>
      </c>
      <c r="IO5">
        <v>131.37829912020001</v>
      </c>
      <c r="IP5">
        <v>7.2</v>
      </c>
      <c r="IQ5">
        <v>5.6999999997000002</v>
      </c>
      <c r="IR5">
        <v>9.1000000010999997</v>
      </c>
      <c r="IS5">
        <v>6.1336091904999996</v>
      </c>
      <c r="IT5">
        <v>6.1336091904999996</v>
      </c>
      <c r="IU5">
        <v>4.6999999995000001</v>
      </c>
      <c r="IV5">
        <v>-30.4985337243</v>
      </c>
      <c r="IW5">
        <v>7.9000000005000004</v>
      </c>
      <c r="IX5">
        <v>60.997067448700001</v>
      </c>
      <c r="IY5">
        <v>6.5999999988000004</v>
      </c>
      <c r="IZ5">
        <v>100.87976539589999</v>
      </c>
      <c r="JA5">
        <v>-33.856708979300002</v>
      </c>
      <c r="JB5">
        <v>0.32756789580000001</v>
      </c>
      <c r="JC5">
        <v>-3.2298240000000001E-4</v>
      </c>
      <c r="JD5">
        <v>6.553E-7</v>
      </c>
      <c r="JE5">
        <v>0.29771705990000003</v>
      </c>
      <c r="JF5">
        <v>0.2279765631</v>
      </c>
      <c r="JG5">
        <v>8.77438943E-2</v>
      </c>
      <c r="JH5">
        <v>113.60525277959999</v>
      </c>
      <c r="JI5">
        <v>3.5630063929000002</v>
      </c>
      <c r="JJ5">
        <v>2.6449308E-3</v>
      </c>
      <c r="JK5">
        <v>-6.8039899999999999E-5</v>
      </c>
      <c r="JL5">
        <v>3.3588938450999999</v>
      </c>
      <c r="JM5">
        <v>1.5201122721</v>
      </c>
      <c r="JN5">
        <v>0.56039829480000003</v>
      </c>
      <c r="JO5">
        <v>3.069</v>
      </c>
      <c r="JP5">
        <v>2.4296249999000001</v>
      </c>
      <c r="JQ5">
        <v>3.8788750004999999</v>
      </c>
      <c r="JR5" s="17" t="s">
        <v>544</v>
      </c>
      <c r="JU5" s="17">
        <v>1</v>
      </c>
    </row>
    <row r="6" spans="1:281">
      <c r="A6" t="s">
        <v>598</v>
      </c>
      <c r="B6" t="s">
        <v>599</v>
      </c>
      <c r="C6" t="s">
        <v>600</v>
      </c>
      <c r="D6" t="s">
        <v>213</v>
      </c>
      <c r="E6">
        <v>3</v>
      </c>
      <c r="F6" t="s">
        <v>214</v>
      </c>
      <c r="G6" t="s">
        <v>215</v>
      </c>
      <c r="H6" t="s">
        <v>543</v>
      </c>
      <c r="I6" t="s">
        <v>217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0</v>
      </c>
      <c r="S6">
        <v>0.7000000005</v>
      </c>
      <c r="T6">
        <v>0.60000000119999997</v>
      </c>
      <c r="U6">
        <v>0.7000000005</v>
      </c>
      <c r="V6">
        <v>0.79999999980000003</v>
      </c>
      <c r="W6">
        <v>0.7000000005</v>
      </c>
      <c r="X6">
        <v>1.0000000002</v>
      </c>
      <c r="Y6">
        <v>0.60000000119999997</v>
      </c>
      <c r="Z6">
        <v>0.79999999980000003</v>
      </c>
      <c r="AA6">
        <v>0.90000000089999999</v>
      </c>
      <c r="AB6">
        <v>0.90000000089999999</v>
      </c>
      <c r="AC6">
        <v>1.2000000006</v>
      </c>
      <c r="AD6">
        <v>1.1000000013</v>
      </c>
      <c r="AE6">
        <v>1.0000000002</v>
      </c>
      <c r="AF6">
        <v>1.400000001</v>
      </c>
      <c r="AG6">
        <v>1.400000001</v>
      </c>
      <c r="AH6">
        <v>0.40000000079999998</v>
      </c>
      <c r="AI6">
        <v>2.5999999998000001</v>
      </c>
      <c r="AJ6">
        <v>6.0000000012000001</v>
      </c>
      <c r="AK6">
        <v>13.0000000008</v>
      </c>
      <c r="AL6">
        <v>19.400000000999999</v>
      </c>
      <c r="AM6">
        <v>25.9999999998</v>
      </c>
      <c r="AN6">
        <v>33.6000000007</v>
      </c>
      <c r="AO6">
        <v>41.000000001099998</v>
      </c>
      <c r="AP6">
        <v>48.3999999997</v>
      </c>
      <c r="AQ6">
        <v>56.500000000599996</v>
      </c>
      <c r="AR6">
        <v>64.599999999700003</v>
      </c>
      <c r="AS6">
        <v>72.100000001200002</v>
      </c>
      <c r="AT6">
        <v>79.100000000799994</v>
      </c>
      <c r="AU6">
        <v>87.300000001100003</v>
      </c>
      <c r="AV6">
        <v>95.300000000899999</v>
      </c>
      <c r="AW6">
        <v>103.1999999996</v>
      </c>
      <c r="AX6">
        <v>112.6999999997</v>
      </c>
      <c r="AY6">
        <v>122.00000000119999</v>
      </c>
      <c r="AZ6">
        <v>129.20000000120001</v>
      </c>
      <c r="BA6">
        <v>137.89999999969999</v>
      </c>
      <c r="BB6">
        <v>145.89999999950001</v>
      </c>
      <c r="BC6">
        <v>154.0999999997</v>
      </c>
      <c r="BD6">
        <v>163.20000000089999</v>
      </c>
      <c r="BE6">
        <v>171.9000000012</v>
      </c>
      <c r="BF6">
        <v>179.5000000002</v>
      </c>
      <c r="BG6">
        <v>187.6000000011</v>
      </c>
      <c r="BH6">
        <v>195.70000000019999</v>
      </c>
      <c r="BI6">
        <v>203.80000000109999</v>
      </c>
      <c r="BJ6">
        <v>212.10000000060001</v>
      </c>
      <c r="BK6">
        <v>220.60000000060001</v>
      </c>
      <c r="BL6">
        <v>228.8000000008</v>
      </c>
      <c r="BM6">
        <v>235.80000000039999</v>
      </c>
      <c r="BN6">
        <v>243.90000000129999</v>
      </c>
      <c r="BO6">
        <v>251.70000000069999</v>
      </c>
      <c r="BP6">
        <v>259.29999999969999</v>
      </c>
      <c r="BQ6">
        <v>267.49999999990001</v>
      </c>
      <c r="BR6">
        <v>275.60000000079998</v>
      </c>
      <c r="BS6">
        <v>282.90000000020001</v>
      </c>
      <c r="BT6">
        <v>289.39999999970001</v>
      </c>
      <c r="BU6">
        <v>297.30000000019999</v>
      </c>
      <c r="BV6">
        <v>304.00000000009999</v>
      </c>
      <c r="BW6">
        <v>311.30000000119998</v>
      </c>
      <c r="BX6">
        <v>318.90000000020001</v>
      </c>
      <c r="BY6">
        <v>326.0000000009</v>
      </c>
      <c r="BZ6">
        <v>333.20000000089999</v>
      </c>
      <c r="CA6">
        <v>339.20000000030001</v>
      </c>
      <c r="CB6">
        <v>345.60000000060001</v>
      </c>
      <c r="CC6">
        <v>352.30000000050001</v>
      </c>
      <c r="CD6">
        <v>358.70000000070002</v>
      </c>
      <c r="CE6">
        <v>364.99999999980002</v>
      </c>
      <c r="CF6">
        <v>371.69999999970003</v>
      </c>
      <c r="CG6">
        <v>378.09999999989998</v>
      </c>
      <c r="CH6">
        <v>384.40000000079999</v>
      </c>
      <c r="CI6">
        <v>389.90000000010002</v>
      </c>
      <c r="CJ6">
        <v>395.3000000001</v>
      </c>
      <c r="CK6">
        <v>401.40000000060002</v>
      </c>
      <c r="CL6">
        <v>407.00000000109998</v>
      </c>
      <c r="CM6">
        <v>412.8000000001</v>
      </c>
      <c r="CN6">
        <v>417.99999999969998</v>
      </c>
      <c r="CO6">
        <v>423.8999999998</v>
      </c>
      <c r="CP6">
        <v>429.50000000019998</v>
      </c>
      <c r="CQ6">
        <v>435.00000000130001</v>
      </c>
      <c r="CR6">
        <v>439.8000000001</v>
      </c>
      <c r="CS6">
        <v>444.7</v>
      </c>
      <c r="CT6">
        <v>449.39999999949998</v>
      </c>
      <c r="CU6">
        <v>455.10000000100001</v>
      </c>
      <c r="CV6">
        <v>455.6000000011</v>
      </c>
      <c r="CW6">
        <v>455.5</v>
      </c>
      <c r="CX6">
        <v>455.6000000011</v>
      </c>
      <c r="CY6">
        <v>455.7000000004</v>
      </c>
      <c r="CZ6">
        <v>455.7000000004</v>
      </c>
      <c r="DA6">
        <v>455.90000000079999</v>
      </c>
      <c r="DB6">
        <v>455.79999999969999</v>
      </c>
      <c r="DC6">
        <v>455.79999999969999</v>
      </c>
      <c r="DD6">
        <v>455.79999999969999</v>
      </c>
      <c r="DE6">
        <v>455.79999999969999</v>
      </c>
      <c r="DF6">
        <v>455.79999999969999</v>
      </c>
      <c r="DG6">
        <v>455.79999999969999</v>
      </c>
      <c r="DH6">
        <v>1.400000001</v>
      </c>
      <c r="DI6">
        <v>2.4000000012</v>
      </c>
      <c r="DJ6">
        <v>2.2000000007999998</v>
      </c>
      <c r="DK6">
        <v>2.2000000007999998</v>
      </c>
      <c r="DL6">
        <v>2.4000000012</v>
      </c>
      <c r="DM6">
        <v>2.3000000000999998</v>
      </c>
      <c r="DN6">
        <v>2.3000000000999998</v>
      </c>
      <c r="DO6">
        <v>2.4000000012</v>
      </c>
      <c r="DP6">
        <v>2.4000000012</v>
      </c>
      <c r="DQ6">
        <v>2.5000000005</v>
      </c>
      <c r="DR6">
        <v>2.5000000005</v>
      </c>
      <c r="DS6">
        <v>2.5000000005</v>
      </c>
      <c r="DT6">
        <v>2.7000000008999998</v>
      </c>
      <c r="DU6">
        <v>2.5999999998000001</v>
      </c>
      <c r="DV6">
        <v>2.4000000012</v>
      </c>
      <c r="DW6">
        <v>2.3000000000999998</v>
      </c>
      <c r="DX6">
        <v>2.0000000004</v>
      </c>
      <c r="DY6">
        <v>4.6999999995000001</v>
      </c>
      <c r="DZ6">
        <v>10.8</v>
      </c>
      <c r="EA6">
        <v>17.499999999900002</v>
      </c>
      <c r="EB6">
        <v>23.9000000001</v>
      </c>
      <c r="EC6">
        <v>31.699999999500001</v>
      </c>
      <c r="ED6">
        <v>38.5999999999</v>
      </c>
      <c r="EE6">
        <v>46.099999999600001</v>
      </c>
      <c r="EF6">
        <v>54.000000000100002</v>
      </c>
      <c r="EG6">
        <v>61.900000000600002</v>
      </c>
      <c r="EH6">
        <v>69.900000000399999</v>
      </c>
      <c r="EI6">
        <v>76.900000000000006</v>
      </c>
      <c r="EJ6">
        <v>85.300000000599994</v>
      </c>
      <c r="EK6">
        <v>93.1</v>
      </c>
      <c r="EL6">
        <v>101.09999999990001</v>
      </c>
      <c r="EM6">
        <v>109.5999999998</v>
      </c>
      <c r="EN6">
        <v>119.20000000100001</v>
      </c>
      <c r="EO6">
        <v>127.50000000049999</v>
      </c>
      <c r="EP6">
        <v>135.50000000029999</v>
      </c>
      <c r="EQ6">
        <v>143.79999999980001</v>
      </c>
      <c r="ER6">
        <v>152.10000000119999</v>
      </c>
      <c r="ES6">
        <v>160.7000000004</v>
      </c>
      <c r="ET6">
        <v>169.6000000011</v>
      </c>
      <c r="EU6">
        <v>177.6000000009</v>
      </c>
      <c r="EV6">
        <v>184.90000000020001</v>
      </c>
      <c r="EW6">
        <v>193.80000000090001</v>
      </c>
      <c r="EX6">
        <v>201.69999999960001</v>
      </c>
      <c r="EY6">
        <v>210.1000000002</v>
      </c>
      <c r="EZ6">
        <v>218.8999999998</v>
      </c>
      <c r="FA6">
        <v>227.5000000009</v>
      </c>
      <c r="FB6">
        <v>234.59999999979999</v>
      </c>
      <c r="FC6">
        <v>243.00000000040001</v>
      </c>
      <c r="FD6">
        <v>250.50000000009999</v>
      </c>
      <c r="FE6">
        <v>258.49999999990001</v>
      </c>
      <c r="FF6">
        <v>266.80000000119998</v>
      </c>
      <c r="FG6">
        <v>274.80000000109999</v>
      </c>
      <c r="FH6">
        <v>282.00000000109998</v>
      </c>
      <c r="FI6">
        <v>289.00000000070003</v>
      </c>
      <c r="FJ6">
        <v>297.00000000049999</v>
      </c>
      <c r="FK6">
        <v>303.90000000079999</v>
      </c>
      <c r="FL6">
        <v>311.30000000119998</v>
      </c>
      <c r="FM6">
        <v>318.80000000090001</v>
      </c>
      <c r="FN6">
        <v>326.19999999949999</v>
      </c>
      <c r="FO6">
        <v>333.59999999989998</v>
      </c>
      <c r="FP6">
        <v>339.60000000119999</v>
      </c>
      <c r="FQ6">
        <v>346.40000000039998</v>
      </c>
      <c r="FR6">
        <v>353.10000000029999</v>
      </c>
      <c r="FS6">
        <v>359.90000000129999</v>
      </c>
      <c r="FT6">
        <v>366.1000000011</v>
      </c>
      <c r="FU6">
        <v>372.99999999959999</v>
      </c>
      <c r="FV6">
        <v>379.5000000009</v>
      </c>
      <c r="FW6">
        <v>385.59999999960002</v>
      </c>
      <c r="FX6">
        <v>390.99999999959999</v>
      </c>
      <c r="FY6">
        <v>396.50000000070003</v>
      </c>
      <c r="FZ6">
        <v>402.90000000100002</v>
      </c>
      <c r="GA6">
        <v>408.49999999950001</v>
      </c>
      <c r="GB6">
        <v>414.1</v>
      </c>
      <c r="GC6">
        <v>419.2999999996</v>
      </c>
      <c r="GD6">
        <v>425.30000000080003</v>
      </c>
      <c r="GE6">
        <v>430.7000000008</v>
      </c>
      <c r="GF6">
        <v>435.90000000039998</v>
      </c>
      <c r="GG6">
        <v>440.40000000129999</v>
      </c>
      <c r="GH6">
        <v>444.80000000109999</v>
      </c>
      <c r="GI6">
        <v>449.50000000059998</v>
      </c>
      <c r="GJ6">
        <v>454.10000000079998</v>
      </c>
      <c r="GK6">
        <v>455.4000000007</v>
      </c>
      <c r="GL6">
        <v>455.2999999996</v>
      </c>
      <c r="GM6">
        <v>455.5</v>
      </c>
      <c r="GN6">
        <v>455.5</v>
      </c>
      <c r="GO6">
        <v>455.5</v>
      </c>
      <c r="GP6">
        <v>455.5</v>
      </c>
      <c r="GQ6">
        <v>455.7000000004</v>
      </c>
      <c r="GR6">
        <v>455.6000000011</v>
      </c>
      <c r="GS6">
        <v>455.6000000011</v>
      </c>
      <c r="GT6">
        <v>455.6000000011</v>
      </c>
      <c r="GU6">
        <v>455.7000000004</v>
      </c>
      <c r="GV6">
        <v>455.7000000004</v>
      </c>
      <c r="GW6">
        <v>455.7000000004</v>
      </c>
      <c r="GX6">
        <v>1</v>
      </c>
      <c r="GY6">
        <v>114.7000000001</v>
      </c>
      <c r="GZ6">
        <v>112.6999999997</v>
      </c>
      <c r="HA6">
        <v>112.6999999997</v>
      </c>
      <c r="HB6">
        <v>119.20000000100001</v>
      </c>
      <c r="HC6">
        <v>114.3535212813</v>
      </c>
      <c r="HD6">
        <v>-6.5000000013000001</v>
      </c>
      <c r="HE6">
        <v>455.70001097020003</v>
      </c>
      <c r="HF6">
        <v>299.04161913130002</v>
      </c>
      <c r="HG6">
        <v>94.739776216699994</v>
      </c>
      <c r="HH6">
        <v>455.90000000079999</v>
      </c>
      <c r="HI6">
        <v>455.70001097020003</v>
      </c>
      <c r="HJ6">
        <v>455.90000000079999</v>
      </c>
      <c r="HK6">
        <v>455.7000000004</v>
      </c>
      <c r="HL6">
        <v>114.9560117302</v>
      </c>
      <c r="HM6">
        <v>3.3249857730999999</v>
      </c>
      <c r="HN6">
        <v>3.2407762896999999</v>
      </c>
      <c r="HO6">
        <v>3.2916557127999999</v>
      </c>
      <c r="HP6">
        <v>3.2582863400000002</v>
      </c>
      <c r="HQ6">
        <v>3.5442431651000001</v>
      </c>
      <c r="HR6">
        <v>2.2172397118</v>
      </c>
      <c r="HS6">
        <v>19.6137450646</v>
      </c>
      <c r="HT6">
        <v>-28.152492668600001</v>
      </c>
      <c r="HU6">
        <v>-192</v>
      </c>
      <c r="HV6">
        <v>413.39514041249998</v>
      </c>
      <c r="HW6">
        <v>93.841642228699996</v>
      </c>
      <c r="HX6">
        <v>640</v>
      </c>
      <c r="HY6">
        <v>19.6137450646</v>
      </c>
      <c r="HZ6">
        <v>-28.152492668600001</v>
      </c>
      <c r="IA6">
        <v>-192</v>
      </c>
      <c r="IB6">
        <v>413.39514041249998</v>
      </c>
      <c r="IC6">
        <v>93.841642228699996</v>
      </c>
      <c r="ID6">
        <v>640</v>
      </c>
      <c r="IE6">
        <v>42.304870557599997</v>
      </c>
      <c r="IF6">
        <v>0.40421237469999999</v>
      </c>
      <c r="IG6">
        <v>-37.536656891500002</v>
      </c>
      <c r="IH6">
        <v>-256</v>
      </c>
      <c r="II6">
        <v>435.5756472141</v>
      </c>
      <c r="IJ6">
        <v>103.22580645159999</v>
      </c>
      <c r="IK6">
        <v>704</v>
      </c>
      <c r="IL6">
        <v>393.7813953479</v>
      </c>
      <c r="IM6">
        <v>121.9941348974</v>
      </c>
      <c r="IN6">
        <v>418.66460070160002</v>
      </c>
      <c r="IO6">
        <v>131.37829912020001</v>
      </c>
      <c r="IP6">
        <v>6.9999999996</v>
      </c>
      <c r="IQ6">
        <v>6.0000000012000001</v>
      </c>
      <c r="IR6">
        <v>9.6000000011999997</v>
      </c>
      <c r="IS6">
        <v>6.2775125003000003</v>
      </c>
      <c r="IT6">
        <v>6.2775125003000003</v>
      </c>
      <c r="IU6">
        <v>4.7999999987999997</v>
      </c>
      <c r="IV6">
        <v>-32.844574780099997</v>
      </c>
      <c r="IW6">
        <v>7.9999999998</v>
      </c>
      <c r="IX6">
        <v>77.419354838700002</v>
      </c>
      <c r="IY6">
        <v>6.8000000009999999</v>
      </c>
      <c r="IZ6">
        <v>100.87976539589999</v>
      </c>
      <c r="JA6">
        <v>-34.275951604799999</v>
      </c>
      <c r="JB6">
        <v>0.32904929059999999</v>
      </c>
      <c r="JC6">
        <v>-3.2673629999999999E-4</v>
      </c>
      <c r="JD6">
        <v>6.765E-7</v>
      </c>
      <c r="JE6">
        <v>0.30075316660000001</v>
      </c>
      <c r="JF6">
        <v>0.3079187102</v>
      </c>
      <c r="JG6">
        <v>0.13420285579999999</v>
      </c>
      <c r="JH6">
        <v>114.5850633829</v>
      </c>
      <c r="JI6">
        <v>3.5442431651000001</v>
      </c>
      <c r="JJ6">
        <v>2.2750617999999999E-3</v>
      </c>
      <c r="JK6">
        <v>-6.6391999999999997E-5</v>
      </c>
      <c r="JL6">
        <v>3.3249857730999999</v>
      </c>
      <c r="JM6">
        <v>1.5895138269</v>
      </c>
      <c r="JN6">
        <v>0.64194305770000004</v>
      </c>
      <c r="JO6">
        <v>2.9837499998000001</v>
      </c>
      <c r="JP6">
        <v>2.5575000005000001</v>
      </c>
      <c r="JQ6">
        <v>4.0920000004999997</v>
      </c>
      <c r="JR6" s="17" t="s">
        <v>544</v>
      </c>
      <c r="JU6" s="17">
        <v>1</v>
      </c>
    </row>
    <row r="7" spans="1:281">
      <c r="A7" t="s">
        <v>613</v>
      </c>
      <c r="B7" t="s">
        <v>614</v>
      </c>
      <c r="C7" t="s">
        <v>615</v>
      </c>
      <c r="D7" t="s">
        <v>213</v>
      </c>
      <c r="E7">
        <v>3</v>
      </c>
      <c r="F7" t="s">
        <v>214</v>
      </c>
      <c r="G7" t="s">
        <v>215</v>
      </c>
      <c r="H7" t="s">
        <v>543</v>
      </c>
      <c r="I7" t="s">
        <v>217</v>
      </c>
      <c r="K7" t="s">
        <v>604</v>
      </c>
      <c r="L7" t="s">
        <v>605</v>
      </c>
      <c r="M7" t="s">
        <v>606</v>
      </c>
      <c r="N7" t="s">
        <v>607</v>
      </c>
      <c r="O7" t="s">
        <v>608</v>
      </c>
      <c r="P7">
        <v>0</v>
      </c>
      <c r="Q7">
        <v>0</v>
      </c>
      <c r="R7">
        <v>0</v>
      </c>
      <c r="S7">
        <v>0.20000000039999999</v>
      </c>
      <c r="T7">
        <v>0.20000000039999999</v>
      </c>
      <c r="U7">
        <v>0</v>
      </c>
      <c r="V7">
        <v>9.9999999300000003E-2</v>
      </c>
      <c r="W7">
        <v>0.20000000039999999</v>
      </c>
      <c r="X7">
        <v>0.50000000010000001</v>
      </c>
      <c r="Y7">
        <v>0.29999999970000002</v>
      </c>
      <c r="Z7">
        <v>0.50000000010000001</v>
      </c>
      <c r="AA7">
        <v>0.50000000010000001</v>
      </c>
      <c r="AB7">
        <v>0.50000000010000001</v>
      </c>
      <c r="AC7">
        <v>0.50000000010000001</v>
      </c>
      <c r="AD7">
        <v>0.79999999980000003</v>
      </c>
      <c r="AE7">
        <v>1.0000000002</v>
      </c>
      <c r="AF7">
        <v>1.6999999989000001</v>
      </c>
      <c r="AG7">
        <v>2.1999999990000001</v>
      </c>
      <c r="AH7">
        <v>2.5999999998000001</v>
      </c>
      <c r="AI7">
        <v>2.6999999991000001</v>
      </c>
      <c r="AJ7">
        <v>7.7000000001000002</v>
      </c>
      <c r="AK7">
        <v>14.4999999993</v>
      </c>
      <c r="AL7">
        <v>21.300000000299999</v>
      </c>
      <c r="AM7">
        <v>28.8</v>
      </c>
      <c r="AN7">
        <v>36.099999999399998</v>
      </c>
      <c r="AO7">
        <v>43.4000000005</v>
      </c>
      <c r="AP7">
        <v>51.199999999900001</v>
      </c>
      <c r="AQ7">
        <v>58.399999999899997</v>
      </c>
      <c r="AR7">
        <v>66.699999999400006</v>
      </c>
      <c r="AS7">
        <v>74.199999999100001</v>
      </c>
      <c r="AT7">
        <v>82.099999999600001</v>
      </c>
      <c r="AU7">
        <v>90.500000000200004</v>
      </c>
      <c r="AV7">
        <v>98.3999999989</v>
      </c>
      <c r="AW7">
        <v>106.20000000020001</v>
      </c>
      <c r="AX7">
        <v>114.599999999</v>
      </c>
      <c r="AY7">
        <v>123.0999999989</v>
      </c>
      <c r="AZ7">
        <v>131.10000000049999</v>
      </c>
      <c r="BA7">
        <v>139.79999999899999</v>
      </c>
      <c r="BB7">
        <v>147.99999999920001</v>
      </c>
      <c r="BC7">
        <v>156.4999999991</v>
      </c>
      <c r="BD7">
        <v>164.49999999900001</v>
      </c>
      <c r="BE7">
        <v>173.1</v>
      </c>
      <c r="BF7">
        <v>181.19999999909999</v>
      </c>
      <c r="BG7">
        <v>189.39999999930001</v>
      </c>
      <c r="BH7">
        <v>198.09999999959999</v>
      </c>
      <c r="BI7">
        <v>206.09999999940001</v>
      </c>
      <c r="BJ7">
        <v>214.2999999996</v>
      </c>
      <c r="BK7">
        <v>222.20000000019999</v>
      </c>
      <c r="BL7">
        <v>230.09999999889999</v>
      </c>
      <c r="BM7">
        <v>238.49999999950001</v>
      </c>
      <c r="BN7">
        <v>246.6999999997</v>
      </c>
      <c r="BO7">
        <v>254.19999999940001</v>
      </c>
      <c r="BP7">
        <v>262.49999999890002</v>
      </c>
      <c r="BQ7">
        <v>269.69999999890001</v>
      </c>
      <c r="BR7">
        <v>277.29999999969999</v>
      </c>
      <c r="BS7">
        <v>284.99999999990001</v>
      </c>
      <c r="BT7">
        <v>292.49999999959999</v>
      </c>
      <c r="BU7">
        <v>299.89999999999998</v>
      </c>
      <c r="BV7">
        <v>306.99999999890002</v>
      </c>
      <c r="BW7">
        <v>314.50000000040001</v>
      </c>
      <c r="BX7">
        <v>321.20000000030001</v>
      </c>
      <c r="BY7">
        <v>328.59999999889999</v>
      </c>
      <c r="BZ7">
        <v>335.1000000002</v>
      </c>
      <c r="CA7">
        <v>341.89999999939999</v>
      </c>
      <c r="CB7">
        <v>348.70000000049998</v>
      </c>
      <c r="CC7">
        <v>355.59999999899998</v>
      </c>
      <c r="CD7">
        <v>361.4999999991</v>
      </c>
      <c r="CE7">
        <v>368.0999999997</v>
      </c>
      <c r="CF7">
        <v>374.09999999910002</v>
      </c>
      <c r="CG7">
        <v>380.29999999889998</v>
      </c>
      <c r="CH7">
        <v>386.59999999979999</v>
      </c>
      <c r="CI7">
        <v>392.49999999990001</v>
      </c>
      <c r="CJ7">
        <v>398.4</v>
      </c>
      <c r="CK7">
        <v>404.80000000029997</v>
      </c>
      <c r="CL7">
        <v>410.2999999996</v>
      </c>
      <c r="CM7">
        <v>415.49999999919999</v>
      </c>
      <c r="CN7">
        <v>421.5999999997</v>
      </c>
      <c r="CO7">
        <v>426.90000000039998</v>
      </c>
      <c r="CP7">
        <v>432.49999999900001</v>
      </c>
      <c r="CQ7">
        <v>438.00000000009999</v>
      </c>
      <c r="CR7">
        <v>442.99999999929997</v>
      </c>
      <c r="CS7">
        <v>448.3</v>
      </c>
      <c r="CT7">
        <v>452.69999999980001</v>
      </c>
      <c r="CU7">
        <v>454.29999999939997</v>
      </c>
      <c r="CV7">
        <v>455.09999999920001</v>
      </c>
      <c r="CW7">
        <v>454.99999999990001</v>
      </c>
      <c r="CX7">
        <v>455.09999999920001</v>
      </c>
      <c r="CY7">
        <v>455.09999999920001</v>
      </c>
      <c r="CZ7">
        <v>455.20000000030001</v>
      </c>
      <c r="DA7">
        <v>454.99999999990001</v>
      </c>
      <c r="DB7">
        <v>455.2999999996</v>
      </c>
      <c r="DC7">
        <v>455.20000000030001</v>
      </c>
      <c r="DD7">
        <v>455.09999999920001</v>
      </c>
      <c r="DE7">
        <v>455.20000000030001</v>
      </c>
      <c r="DF7">
        <v>455.09999999920001</v>
      </c>
      <c r="DG7">
        <v>455.09999999920001</v>
      </c>
      <c r="DH7">
        <v>0.39999999899999999</v>
      </c>
      <c r="DI7">
        <v>1.0999999995</v>
      </c>
      <c r="DJ7">
        <v>1.2999999999</v>
      </c>
      <c r="DK7">
        <v>1.0000000002</v>
      </c>
      <c r="DL7">
        <v>1.2999999999</v>
      </c>
      <c r="DM7">
        <v>1.0999999995</v>
      </c>
      <c r="DN7">
        <v>1.3999999992000001</v>
      </c>
      <c r="DO7">
        <v>1.0999999995</v>
      </c>
      <c r="DP7">
        <v>1.2999999999</v>
      </c>
      <c r="DQ7">
        <v>1.3999999992000001</v>
      </c>
      <c r="DR7">
        <v>1.3999999992000001</v>
      </c>
      <c r="DS7">
        <v>1.5000000003</v>
      </c>
      <c r="DT7">
        <v>1.8</v>
      </c>
      <c r="DU7">
        <v>2.1999999990000001</v>
      </c>
      <c r="DV7">
        <v>2.8000000001999998</v>
      </c>
      <c r="DW7">
        <v>3.3000000002999998</v>
      </c>
      <c r="DX7">
        <v>3.6999999993000001</v>
      </c>
      <c r="DY7">
        <v>4.8999999999000003</v>
      </c>
      <c r="DZ7">
        <v>12.300000000300001</v>
      </c>
      <c r="EA7">
        <v>19.399999999199999</v>
      </c>
      <c r="EB7">
        <v>26.799999999600001</v>
      </c>
      <c r="EC7">
        <v>34.099999998900003</v>
      </c>
      <c r="ED7">
        <v>41.199999999699997</v>
      </c>
      <c r="EE7">
        <v>48.999999999099998</v>
      </c>
      <c r="EF7">
        <v>56.399999999499997</v>
      </c>
      <c r="EG7">
        <v>64.3</v>
      </c>
      <c r="EH7">
        <v>71.700000000399996</v>
      </c>
      <c r="EI7">
        <v>79.599999999100007</v>
      </c>
      <c r="EJ7">
        <v>88.099999999000005</v>
      </c>
      <c r="EK7">
        <v>95.699999999900001</v>
      </c>
      <c r="EL7">
        <v>103.79999999899999</v>
      </c>
      <c r="EM7">
        <v>111.69999999949999</v>
      </c>
      <c r="EN7">
        <v>120.19999999940001</v>
      </c>
      <c r="EO7">
        <v>128.69999999929999</v>
      </c>
      <c r="EP7">
        <v>136.99999999880001</v>
      </c>
      <c r="EQ7">
        <v>145.50000000049999</v>
      </c>
      <c r="ER7">
        <v>153.1999999988</v>
      </c>
      <c r="ES7">
        <v>161.5000000002</v>
      </c>
      <c r="ET7">
        <v>170.29999999980001</v>
      </c>
      <c r="EU7">
        <v>178.7000000004</v>
      </c>
      <c r="EV7">
        <v>186.89999999880001</v>
      </c>
      <c r="EW7">
        <v>195.59999999909999</v>
      </c>
      <c r="EX7">
        <v>203.59999999889999</v>
      </c>
      <c r="EY7">
        <v>212.0999999988</v>
      </c>
      <c r="EZ7">
        <v>219.9999999993</v>
      </c>
      <c r="FA7">
        <v>228.4</v>
      </c>
      <c r="FB7">
        <v>236.4999999991</v>
      </c>
      <c r="FC7">
        <v>244.69999999929999</v>
      </c>
      <c r="FD7">
        <v>252.39999999939999</v>
      </c>
      <c r="FE7">
        <v>260.39999999920002</v>
      </c>
      <c r="FF7">
        <v>268</v>
      </c>
      <c r="FG7">
        <v>276.20000000020002</v>
      </c>
      <c r="FH7">
        <v>283.7999999992</v>
      </c>
      <c r="FI7">
        <v>291.49999999940002</v>
      </c>
      <c r="FJ7">
        <v>299.39999999989999</v>
      </c>
      <c r="FK7">
        <v>306.39999999949998</v>
      </c>
      <c r="FL7">
        <v>313.50000000019998</v>
      </c>
      <c r="FM7">
        <v>320.99999999990001</v>
      </c>
      <c r="FN7">
        <v>328.1999999999</v>
      </c>
      <c r="FO7">
        <v>335.19999999949999</v>
      </c>
      <c r="FP7">
        <v>342.09999999979999</v>
      </c>
      <c r="FQ7">
        <v>348.89999999899999</v>
      </c>
      <c r="FR7">
        <v>355.70000000009998</v>
      </c>
      <c r="FS7">
        <v>362.10000000029999</v>
      </c>
      <c r="FT7">
        <v>368.39999999939999</v>
      </c>
      <c r="FU7">
        <v>374.59999999920001</v>
      </c>
      <c r="FV7">
        <v>381.29999999910001</v>
      </c>
      <c r="FW7">
        <v>387.39999999960003</v>
      </c>
      <c r="FX7">
        <v>393.2000000004</v>
      </c>
      <c r="FY7">
        <v>399.29999999910001</v>
      </c>
      <c r="FZ7">
        <v>405.19999999919997</v>
      </c>
      <c r="GA7">
        <v>410.79999999969999</v>
      </c>
      <c r="GB7">
        <v>416.60000000050002</v>
      </c>
      <c r="GC7">
        <v>422.00000000049999</v>
      </c>
      <c r="GD7">
        <v>427.09999999899998</v>
      </c>
      <c r="GE7">
        <v>432.9999999991</v>
      </c>
      <c r="GF7">
        <v>438.09999999939998</v>
      </c>
      <c r="GG7">
        <v>442.99999999929997</v>
      </c>
      <c r="GH7">
        <v>447.89999999920002</v>
      </c>
      <c r="GI7">
        <v>452.10000000039997</v>
      </c>
      <c r="GJ7">
        <v>453.79999999929998</v>
      </c>
      <c r="GK7">
        <v>454.70000000020002</v>
      </c>
      <c r="GL7">
        <v>454.79999999950002</v>
      </c>
      <c r="GM7">
        <v>455.09999999920001</v>
      </c>
      <c r="GN7">
        <v>454.89999999880001</v>
      </c>
      <c r="GO7">
        <v>454.99999999990001</v>
      </c>
      <c r="GP7">
        <v>454.99999999990001</v>
      </c>
      <c r="GQ7">
        <v>454.99999999990001</v>
      </c>
      <c r="GR7">
        <v>455.09999999920001</v>
      </c>
      <c r="GS7">
        <v>455.20000000030001</v>
      </c>
      <c r="GT7">
        <v>455.09999999920001</v>
      </c>
      <c r="GU7">
        <v>455.20000000030001</v>
      </c>
      <c r="GV7">
        <v>454.99999999990001</v>
      </c>
      <c r="GW7">
        <v>455.2999999996</v>
      </c>
      <c r="GX7">
        <v>1</v>
      </c>
      <c r="GY7">
        <v>117.0000000002</v>
      </c>
      <c r="GZ7">
        <v>114.599999999</v>
      </c>
      <c r="HA7">
        <v>114.599999999</v>
      </c>
      <c r="HB7">
        <v>120.19999999940001</v>
      </c>
      <c r="HC7">
        <v>116.044288224</v>
      </c>
      <c r="HD7">
        <v>-5.6000000003999997</v>
      </c>
      <c r="HE7">
        <v>455.2999999996</v>
      </c>
      <c r="HF7">
        <v>305.43522627549999</v>
      </c>
      <c r="HG7">
        <v>101.36182996460001</v>
      </c>
      <c r="HH7">
        <v>455.2999999996</v>
      </c>
      <c r="HI7">
        <v>455.2999999996</v>
      </c>
      <c r="HJ7">
        <v>455.2999999996</v>
      </c>
      <c r="HK7">
        <v>455.2999999996</v>
      </c>
      <c r="HL7">
        <v>114.9560117302</v>
      </c>
      <c r="HM7">
        <v>3.3139279957999999</v>
      </c>
      <c r="HN7">
        <v>3.2500309679999999</v>
      </c>
      <c r="HO7">
        <v>3.2921203877999998</v>
      </c>
      <c r="HP7">
        <v>3.1652261418999998</v>
      </c>
      <c r="HQ7">
        <v>3.5260051789000002</v>
      </c>
      <c r="HR7">
        <v>2.1507805166999998</v>
      </c>
      <c r="HS7">
        <v>14.682458259400001</v>
      </c>
      <c r="HT7">
        <v>-30.4985337243</v>
      </c>
      <c r="HU7">
        <v>-208</v>
      </c>
      <c r="HV7">
        <v>421.4795144995</v>
      </c>
      <c r="HW7">
        <v>96.187683284499997</v>
      </c>
      <c r="HX7">
        <v>656</v>
      </c>
      <c r="HY7">
        <v>14.682458259400001</v>
      </c>
      <c r="HZ7">
        <v>-30.4985337243</v>
      </c>
      <c r="IA7">
        <v>-208</v>
      </c>
      <c r="IB7">
        <v>421.4795144995</v>
      </c>
      <c r="IC7">
        <v>96.187683284499997</v>
      </c>
      <c r="ID7">
        <v>656</v>
      </c>
      <c r="IE7">
        <v>33.820485500099998</v>
      </c>
      <c r="IF7">
        <v>2.2066454296</v>
      </c>
      <c r="IG7">
        <v>-39.8826979472</v>
      </c>
      <c r="IH7">
        <v>-272</v>
      </c>
      <c r="II7">
        <v>442.83853251250002</v>
      </c>
      <c r="IJ7">
        <v>105.57184750730001</v>
      </c>
      <c r="IK7">
        <v>720</v>
      </c>
      <c r="IL7">
        <v>406.79705624010001</v>
      </c>
      <c r="IM7">
        <v>126.6862170088</v>
      </c>
      <c r="IN7">
        <v>429.94326669600002</v>
      </c>
      <c r="IO7">
        <v>136.0703812317</v>
      </c>
      <c r="IP7">
        <v>7.4000000004000004</v>
      </c>
      <c r="IQ7">
        <v>5.9000000001000004</v>
      </c>
      <c r="IR7">
        <v>8.7999999996000007</v>
      </c>
      <c r="IS7">
        <v>6.8353517457999997</v>
      </c>
      <c r="IT7">
        <v>6.8353517457999997</v>
      </c>
      <c r="IU7">
        <v>4.6000000001999997</v>
      </c>
      <c r="IV7">
        <v>-32.844574780099997</v>
      </c>
      <c r="IW7">
        <v>7.2</v>
      </c>
      <c r="IX7">
        <v>79.765395894400001</v>
      </c>
      <c r="IY7">
        <v>6.0999999987000004</v>
      </c>
      <c r="IZ7">
        <v>100.87976539589999</v>
      </c>
      <c r="JA7">
        <v>-35.296819690299998</v>
      </c>
      <c r="JB7">
        <v>0.33566049329999997</v>
      </c>
      <c r="JC7">
        <v>-3.5241130000000001E-4</v>
      </c>
      <c r="JD7">
        <v>7.0080000000000003E-7</v>
      </c>
      <c r="JE7">
        <v>0.30175670719999997</v>
      </c>
      <c r="JF7">
        <v>0.1420111013</v>
      </c>
      <c r="JG7">
        <v>5.6618487100000003E-2</v>
      </c>
      <c r="JH7">
        <v>116.63103810779999</v>
      </c>
      <c r="JI7">
        <v>3.5260051789000002</v>
      </c>
      <c r="JJ7">
        <v>2.7698149000000001E-3</v>
      </c>
      <c r="JK7">
        <v>-6.8743800000000004E-5</v>
      </c>
      <c r="JL7">
        <v>3.3139279957999999</v>
      </c>
      <c r="JM7">
        <v>1.2412576743999999</v>
      </c>
      <c r="JN7">
        <v>0.49889373440000001</v>
      </c>
      <c r="JO7">
        <v>3.1542500001999998</v>
      </c>
      <c r="JP7">
        <v>2.514875</v>
      </c>
      <c r="JQ7">
        <v>3.7509999997999999</v>
      </c>
      <c r="JR7" s="17" t="s">
        <v>544</v>
      </c>
      <c r="JU7" s="17">
        <v>1</v>
      </c>
    </row>
    <row r="8" spans="1:281">
      <c r="A8" t="s">
        <v>631</v>
      </c>
      <c r="B8" t="s">
        <v>632</v>
      </c>
      <c r="C8" t="s">
        <v>633</v>
      </c>
      <c r="D8" t="s">
        <v>213</v>
      </c>
      <c r="E8">
        <v>3</v>
      </c>
      <c r="F8" t="s">
        <v>214</v>
      </c>
      <c r="G8" t="s">
        <v>215</v>
      </c>
      <c r="H8" t="s">
        <v>543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0</v>
      </c>
      <c r="S8">
        <v>0.7000000005</v>
      </c>
      <c r="T8">
        <v>0.79999999980000003</v>
      </c>
      <c r="U8">
        <v>0.79999999980000003</v>
      </c>
      <c r="V8">
        <v>0.7000000005</v>
      </c>
      <c r="W8">
        <v>0.7000000005</v>
      </c>
      <c r="X8">
        <v>0.79999999980000003</v>
      </c>
      <c r="Y8">
        <v>0.89999999909999995</v>
      </c>
      <c r="Z8">
        <v>0.79999999980000003</v>
      </c>
      <c r="AA8">
        <v>0.89999999909999995</v>
      </c>
      <c r="AB8">
        <v>1.0000000002</v>
      </c>
      <c r="AC8">
        <v>1.0999999995</v>
      </c>
      <c r="AD8">
        <v>1.0999999995</v>
      </c>
      <c r="AE8">
        <v>1.2000000006</v>
      </c>
      <c r="AF8">
        <v>1.0000000002</v>
      </c>
      <c r="AG8">
        <v>0.29999999970000002</v>
      </c>
      <c r="AH8">
        <v>0.50000000010000001</v>
      </c>
      <c r="AI8">
        <v>3.3999999995999999</v>
      </c>
      <c r="AJ8">
        <v>8.2999999995000007</v>
      </c>
      <c r="AK8">
        <v>15.4000000002</v>
      </c>
      <c r="AL8">
        <v>22.300000000499999</v>
      </c>
      <c r="AM8">
        <v>29.000000000499998</v>
      </c>
      <c r="AN8">
        <v>36.799999999900002</v>
      </c>
      <c r="AO8">
        <v>44.3999999989</v>
      </c>
      <c r="AP8">
        <v>51.799999999299999</v>
      </c>
      <c r="AQ8">
        <v>59.499999999400004</v>
      </c>
      <c r="AR8">
        <v>67.399999999900004</v>
      </c>
      <c r="AS8">
        <v>75.199999999300005</v>
      </c>
      <c r="AT8">
        <v>82.899999999399995</v>
      </c>
      <c r="AU8">
        <v>91.399999999299993</v>
      </c>
      <c r="AV8">
        <v>99.599999999600001</v>
      </c>
      <c r="AW8">
        <v>107.5999999994</v>
      </c>
      <c r="AX8">
        <v>115.70000000029999</v>
      </c>
      <c r="AY8">
        <v>124.2999999995</v>
      </c>
      <c r="AZ8">
        <v>132.7000000001</v>
      </c>
      <c r="BA8">
        <v>140.9000000003</v>
      </c>
      <c r="BB8">
        <v>149.29999999910001</v>
      </c>
      <c r="BC8">
        <v>157.60000000049999</v>
      </c>
      <c r="BD8">
        <v>165.9999999993</v>
      </c>
      <c r="BE8">
        <v>174.39999999989999</v>
      </c>
      <c r="BF8">
        <v>181.8999999996</v>
      </c>
      <c r="BG8">
        <v>189.89999999939999</v>
      </c>
      <c r="BH8">
        <v>199.39999999950001</v>
      </c>
      <c r="BI8">
        <v>207.5999999997</v>
      </c>
      <c r="BJ8">
        <v>215.5000000002</v>
      </c>
      <c r="BK8">
        <v>223.79999999980001</v>
      </c>
      <c r="BL8">
        <v>231.7999999996</v>
      </c>
      <c r="BM8">
        <v>239.2</v>
      </c>
      <c r="BN8">
        <v>246.90000000009999</v>
      </c>
      <c r="BO8">
        <v>255.90000000009999</v>
      </c>
      <c r="BP8">
        <v>263.3999999998</v>
      </c>
      <c r="BQ8">
        <v>271.49999999890002</v>
      </c>
      <c r="BR8">
        <v>279.0999999997</v>
      </c>
      <c r="BS8">
        <v>285.8999999989</v>
      </c>
      <c r="BT8">
        <v>293.49999999980002</v>
      </c>
      <c r="BU8">
        <v>300.69999999980001</v>
      </c>
      <c r="BV8">
        <v>308.69999999959998</v>
      </c>
      <c r="BW8">
        <v>315.89999999960003</v>
      </c>
      <c r="BX8">
        <v>323.09999999960002</v>
      </c>
      <c r="BY8">
        <v>330.20000000030001</v>
      </c>
      <c r="BZ8">
        <v>336.60000000050002</v>
      </c>
      <c r="CA8">
        <v>342.89999999960003</v>
      </c>
      <c r="CB8">
        <v>349.50000000030002</v>
      </c>
      <c r="CC8">
        <v>357.0999999993</v>
      </c>
      <c r="CD8">
        <v>363.29999999910001</v>
      </c>
      <c r="CE8">
        <v>369.6</v>
      </c>
      <c r="CF8">
        <v>376.00000000019998</v>
      </c>
      <c r="CG8">
        <v>382.40000000039998</v>
      </c>
      <c r="CH8">
        <v>387.99999999900001</v>
      </c>
      <c r="CI8">
        <v>393.89999999909998</v>
      </c>
      <c r="CJ8">
        <v>399.6999999999</v>
      </c>
      <c r="CK8">
        <v>406.1000000002</v>
      </c>
      <c r="CL8">
        <v>411.79999999990002</v>
      </c>
      <c r="CM8">
        <v>417.4000000003</v>
      </c>
      <c r="CN8">
        <v>422.69999999919997</v>
      </c>
      <c r="CO8">
        <v>428.7000000004</v>
      </c>
      <c r="CP8">
        <v>434.29999999900002</v>
      </c>
      <c r="CQ8">
        <v>439.19999999890001</v>
      </c>
      <c r="CR8">
        <v>443.79999999910001</v>
      </c>
      <c r="CS8">
        <v>449.09999999979999</v>
      </c>
      <c r="CT8">
        <v>452.99999999950001</v>
      </c>
      <c r="CU8">
        <v>455.79999999969999</v>
      </c>
      <c r="CV8">
        <v>455.79999999969999</v>
      </c>
      <c r="CW8">
        <v>456.00000000009999</v>
      </c>
      <c r="CX8">
        <v>456.00000000009999</v>
      </c>
      <c r="CY8">
        <v>456.00000000009999</v>
      </c>
      <c r="CZ8">
        <v>456.00000000009999</v>
      </c>
      <c r="DA8">
        <v>456.00000000009999</v>
      </c>
      <c r="DB8">
        <v>456.09999999939998</v>
      </c>
      <c r="DC8">
        <v>456.00000000009999</v>
      </c>
      <c r="DD8">
        <v>455.79999999969999</v>
      </c>
      <c r="DE8">
        <v>456.09999999939998</v>
      </c>
      <c r="DF8">
        <v>456.00000000009999</v>
      </c>
      <c r="DG8">
        <v>456.00000000009999</v>
      </c>
      <c r="DH8">
        <v>1.2000000006</v>
      </c>
      <c r="DI8">
        <v>2.0000000004</v>
      </c>
      <c r="DJ8">
        <v>1.8999999993000001</v>
      </c>
      <c r="DK8">
        <v>1.8999999993000001</v>
      </c>
      <c r="DL8">
        <v>2.0000000004</v>
      </c>
      <c r="DM8">
        <v>2.0000000004</v>
      </c>
      <c r="DN8">
        <v>2.0000000004</v>
      </c>
      <c r="DO8">
        <v>2.0000000004</v>
      </c>
      <c r="DP8">
        <v>1.8999999993000001</v>
      </c>
      <c r="DQ8">
        <v>2.0999999997000001</v>
      </c>
      <c r="DR8">
        <v>1.8999999993000001</v>
      </c>
      <c r="DS8">
        <v>2.0000000004</v>
      </c>
      <c r="DT8">
        <v>2.0999999997000001</v>
      </c>
      <c r="DU8">
        <v>2.0000000004</v>
      </c>
      <c r="DV8">
        <v>1.8</v>
      </c>
      <c r="DW8">
        <v>1.2000000006</v>
      </c>
      <c r="DX8">
        <v>2.6999999991000001</v>
      </c>
      <c r="DY8">
        <v>6.1999999998000002</v>
      </c>
      <c r="DZ8">
        <v>13.1000000001</v>
      </c>
      <c r="EA8">
        <v>20.599999999800001</v>
      </c>
      <c r="EB8">
        <v>27.599999999400001</v>
      </c>
      <c r="EC8">
        <v>34.499999999800004</v>
      </c>
      <c r="ED8">
        <v>42.299999999199997</v>
      </c>
      <c r="EE8">
        <v>49.6000000003</v>
      </c>
      <c r="EF8">
        <v>56.300000000200001</v>
      </c>
      <c r="EG8">
        <v>64.000000000300005</v>
      </c>
      <c r="EH8">
        <v>71.899999999000002</v>
      </c>
      <c r="EI8">
        <v>80.700000000399996</v>
      </c>
      <c r="EJ8">
        <v>88.799999999500002</v>
      </c>
      <c r="EK8">
        <v>96.799999999299999</v>
      </c>
      <c r="EL8">
        <v>104.6999999999</v>
      </c>
      <c r="EM8">
        <v>111.9999999992</v>
      </c>
      <c r="EN8">
        <v>120.8999999999</v>
      </c>
      <c r="EO8">
        <v>129.19999999940001</v>
      </c>
      <c r="EP8">
        <v>138.19999999940001</v>
      </c>
      <c r="EQ8">
        <v>146.89999999969999</v>
      </c>
      <c r="ER8">
        <v>154.99999999880001</v>
      </c>
      <c r="ES8">
        <v>163.09999999979999</v>
      </c>
      <c r="ET8">
        <v>171.3</v>
      </c>
      <c r="EU8">
        <v>179.7000000006</v>
      </c>
      <c r="EV8">
        <v>188.5999999995</v>
      </c>
      <c r="EW8">
        <v>196.89999999899999</v>
      </c>
      <c r="EX8">
        <v>205.09999999920001</v>
      </c>
      <c r="EY8">
        <v>213.2999999994</v>
      </c>
      <c r="EZ8">
        <v>220.6999999999</v>
      </c>
      <c r="FA8">
        <v>228.99999999939999</v>
      </c>
      <c r="FB8">
        <v>237.6000000004</v>
      </c>
      <c r="FC8">
        <v>246.10000000030001</v>
      </c>
      <c r="FD8">
        <v>254.19999999940001</v>
      </c>
      <c r="FE8">
        <v>262.09999999989998</v>
      </c>
      <c r="FF8">
        <v>269.20000000060003</v>
      </c>
      <c r="FG8">
        <v>277.2000000004</v>
      </c>
      <c r="FH8">
        <v>284.59999999899998</v>
      </c>
      <c r="FI8">
        <v>293.20000000009998</v>
      </c>
      <c r="FJ8">
        <v>300.60000000050002</v>
      </c>
      <c r="FK8">
        <v>308.30000000059999</v>
      </c>
      <c r="FL8">
        <v>315.19999999909999</v>
      </c>
      <c r="FM8">
        <v>322.59999999950003</v>
      </c>
      <c r="FN8">
        <v>329.09999999899998</v>
      </c>
      <c r="FO8">
        <v>336.19999999970003</v>
      </c>
      <c r="FP8">
        <v>343.49999999900001</v>
      </c>
      <c r="FQ8">
        <v>350.50000000049999</v>
      </c>
      <c r="FR8">
        <v>357.39999999899999</v>
      </c>
      <c r="FS8">
        <v>363.99999999959999</v>
      </c>
      <c r="FT8">
        <v>370.19999999940001</v>
      </c>
      <c r="FU8">
        <v>376.8</v>
      </c>
      <c r="FV8">
        <v>382.49999999969998</v>
      </c>
      <c r="FW8">
        <v>388.4999999991</v>
      </c>
      <c r="FX8">
        <v>394.69999999890001</v>
      </c>
      <c r="FY8">
        <v>401.20000000020002</v>
      </c>
      <c r="FZ8">
        <v>407.10000000039997</v>
      </c>
      <c r="GA8">
        <v>413.09999999979999</v>
      </c>
      <c r="GB8">
        <v>418.70000000020002</v>
      </c>
      <c r="GC8">
        <v>423.9999999991</v>
      </c>
      <c r="GD8">
        <v>429.29999999979998</v>
      </c>
      <c r="GE8">
        <v>434.10000000039997</v>
      </c>
      <c r="GF8">
        <v>439.50000000040001</v>
      </c>
      <c r="GG8">
        <v>444.10000000060001</v>
      </c>
      <c r="GH8">
        <v>449.00000000049999</v>
      </c>
      <c r="GI8">
        <v>452.69999999980001</v>
      </c>
      <c r="GJ8">
        <v>455.20000000030001</v>
      </c>
      <c r="GK8">
        <v>455.7000000004</v>
      </c>
      <c r="GL8">
        <v>455.89999999899999</v>
      </c>
      <c r="GM8">
        <v>456.00000000009999</v>
      </c>
      <c r="GN8">
        <v>455.89999999899999</v>
      </c>
      <c r="GO8">
        <v>455.7000000004</v>
      </c>
      <c r="GP8">
        <v>455.89999999899999</v>
      </c>
      <c r="GQ8">
        <v>455.79999999969999</v>
      </c>
      <c r="GR8">
        <v>456.00000000009999</v>
      </c>
      <c r="GS8">
        <v>456.20000000049998</v>
      </c>
      <c r="GT8">
        <v>456.00000000009999</v>
      </c>
      <c r="GU8">
        <v>456.09999999939998</v>
      </c>
      <c r="GV8">
        <v>456.09999999939998</v>
      </c>
      <c r="GW8">
        <v>456.09999999939998</v>
      </c>
      <c r="GX8">
        <v>1</v>
      </c>
      <c r="GY8">
        <v>117.8</v>
      </c>
      <c r="GZ8">
        <v>115.70000000029999</v>
      </c>
      <c r="HA8">
        <v>115.70000000029999</v>
      </c>
      <c r="HB8">
        <v>120.8999999999</v>
      </c>
      <c r="HC8">
        <v>117.0487393117</v>
      </c>
      <c r="HD8">
        <v>-5.1999999996000001</v>
      </c>
      <c r="HE8">
        <v>456.09998903690001</v>
      </c>
      <c r="HF8">
        <v>295.33760140279998</v>
      </c>
      <c r="HG8">
        <v>101.4435211576</v>
      </c>
      <c r="HH8">
        <v>456.20000000049998</v>
      </c>
      <c r="HI8">
        <v>456.20000000049998</v>
      </c>
      <c r="HJ8">
        <v>456.09999999939998</v>
      </c>
      <c r="HK8">
        <v>456.20000000049998</v>
      </c>
      <c r="HL8">
        <v>114.9560117302</v>
      </c>
      <c r="HM8">
        <v>3.3498743710999999</v>
      </c>
      <c r="HN8">
        <v>3.2698633929000001</v>
      </c>
      <c r="HO8">
        <v>3.3292352141000001</v>
      </c>
      <c r="HP8">
        <v>3.1646847472999999</v>
      </c>
      <c r="HQ8">
        <v>3.5363285582000001</v>
      </c>
      <c r="HR8">
        <v>2.2850800469000001</v>
      </c>
      <c r="HS8">
        <v>15.605218154099999</v>
      </c>
      <c r="HT8">
        <v>-30.4985337243</v>
      </c>
      <c r="HU8">
        <v>-208</v>
      </c>
      <c r="HV8">
        <v>412.38634071450002</v>
      </c>
      <c r="HW8">
        <v>91.495601172999997</v>
      </c>
      <c r="HX8">
        <v>624</v>
      </c>
      <c r="HY8">
        <v>15.605218154099999</v>
      </c>
      <c r="HZ8">
        <v>-30.4985337243</v>
      </c>
      <c r="IA8">
        <v>-208</v>
      </c>
      <c r="IB8">
        <v>412.38634071450002</v>
      </c>
      <c r="IC8">
        <v>91.495601172999997</v>
      </c>
      <c r="ID8">
        <v>624</v>
      </c>
      <c r="IE8">
        <v>43.813659285999996</v>
      </c>
      <c r="IF8">
        <v>0.30147993830000003</v>
      </c>
      <c r="IG8">
        <v>-39.8826979472</v>
      </c>
      <c r="IH8">
        <v>-272</v>
      </c>
      <c r="II8">
        <v>433.80756413109998</v>
      </c>
      <c r="IJ8">
        <v>100.87976539589999</v>
      </c>
      <c r="IK8">
        <v>688</v>
      </c>
      <c r="IL8">
        <v>396.78112256039998</v>
      </c>
      <c r="IM8">
        <v>121.9941348974</v>
      </c>
      <c r="IN8">
        <v>420.0582766933</v>
      </c>
      <c r="IO8">
        <v>131.37829912020001</v>
      </c>
      <c r="IP8">
        <v>7.4999999997</v>
      </c>
      <c r="IQ8">
        <v>6.0000000012000001</v>
      </c>
      <c r="IR8">
        <v>9.5000000001</v>
      </c>
      <c r="IS8">
        <v>5.6761605051000004</v>
      </c>
      <c r="IT8">
        <v>5.6761605051000004</v>
      </c>
      <c r="IU8">
        <v>4.8000000005999999</v>
      </c>
      <c r="IV8">
        <v>-32.844574780099997</v>
      </c>
      <c r="IW8">
        <v>7.8999999987000002</v>
      </c>
      <c r="IX8">
        <v>70.381231671600005</v>
      </c>
      <c r="IY8">
        <v>6.6000000005999997</v>
      </c>
      <c r="IZ8">
        <v>98.533724340199996</v>
      </c>
      <c r="JA8">
        <v>-35.441411296200002</v>
      </c>
      <c r="JB8">
        <v>0.3326957271</v>
      </c>
      <c r="JC8">
        <v>-3.3600900000000001E-4</v>
      </c>
      <c r="JD8">
        <v>6.6909999999999998E-7</v>
      </c>
      <c r="JE8">
        <v>0.29851865750000001</v>
      </c>
      <c r="JF8">
        <v>0.17262237089999999</v>
      </c>
      <c r="JG8">
        <v>7.9551806599999997E-2</v>
      </c>
      <c r="JH8">
        <v>117.61122936060001</v>
      </c>
      <c r="JI8">
        <v>3.5363285582000001</v>
      </c>
      <c r="JJ8">
        <v>2.8601727E-3</v>
      </c>
      <c r="JK8">
        <v>-7.0662199999999996E-5</v>
      </c>
      <c r="JL8">
        <v>3.3498743710999999</v>
      </c>
      <c r="JM8">
        <v>1.3965892969</v>
      </c>
      <c r="JN8">
        <v>0.47063606289999999</v>
      </c>
      <c r="JO8">
        <v>3.1968749998999999</v>
      </c>
      <c r="JP8">
        <v>2.5575000005000001</v>
      </c>
      <c r="JQ8">
        <v>4.0493750000000004</v>
      </c>
      <c r="JR8" s="17" t="s">
        <v>544</v>
      </c>
      <c r="JU8" s="17">
        <v>1</v>
      </c>
    </row>
    <row r="9" spans="1:281">
      <c r="A9" t="s">
        <v>643</v>
      </c>
      <c r="B9" t="s">
        <v>644</v>
      </c>
      <c r="C9" t="s">
        <v>645</v>
      </c>
      <c r="D9" t="s">
        <v>213</v>
      </c>
      <c r="E9">
        <v>3</v>
      </c>
      <c r="F9" t="s">
        <v>214</v>
      </c>
      <c r="G9" t="s">
        <v>215</v>
      </c>
      <c r="H9" t="s">
        <v>543</v>
      </c>
      <c r="I9" t="s">
        <v>217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1.2999999999</v>
      </c>
      <c r="S9">
        <v>1.1000000013</v>
      </c>
      <c r="T9">
        <v>1.1000000013</v>
      </c>
      <c r="U9">
        <v>1.0000000002</v>
      </c>
      <c r="V9">
        <v>1.1000000013</v>
      </c>
      <c r="W9">
        <v>1.1000000013</v>
      </c>
      <c r="X9">
        <v>1.1000000013</v>
      </c>
      <c r="Y9">
        <v>1.2000000006</v>
      </c>
      <c r="Z9">
        <v>1.1000000013</v>
      </c>
      <c r="AA9">
        <v>1.1000000013</v>
      </c>
      <c r="AB9">
        <v>1.1000000013</v>
      </c>
      <c r="AC9">
        <v>1.1000000013</v>
      </c>
      <c r="AD9">
        <v>1.1000000013</v>
      </c>
      <c r="AE9">
        <v>0.90000000089999999</v>
      </c>
      <c r="AF9">
        <v>0.79999999980000003</v>
      </c>
      <c r="AG9">
        <v>0.60000000119999997</v>
      </c>
      <c r="AH9">
        <v>0</v>
      </c>
      <c r="AI9">
        <v>3.2000000009999998</v>
      </c>
      <c r="AJ9">
        <v>8.9000000007000004</v>
      </c>
      <c r="AK9">
        <v>16.400000000399999</v>
      </c>
      <c r="AL9">
        <v>23.600000000400001</v>
      </c>
      <c r="AM9">
        <v>30.5000000008</v>
      </c>
      <c r="AN9">
        <v>37.700000000800003</v>
      </c>
      <c r="AO9">
        <v>45.100000001200002</v>
      </c>
      <c r="AP9">
        <v>51.900000000399999</v>
      </c>
      <c r="AQ9">
        <v>59.100000000400001</v>
      </c>
      <c r="AR9">
        <v>67.200000001299998</v>
      </c>
      <c r="AS9">
        <v>75.300000000400004</v>
      </c>
      <c r="AT9">
        <v>83.099999999800005</v>
      </c>
      <c r="AU9">
        <v>90.799999999899995</v>
      </c>
      <c r="AV9">
        <v>99.200000000599999</v>
      </c>
      <c r="AW9">
        <v>105.9999999998</v>
      </c>
      <c r="AX9">
        <v>114.9999999998</v>
      </c>
      <c r="AY9">
        <v>124.1000000009</v>
      </c>
      <c r="AZ9">
        <v>132.49999999970001</v>
      </c>
      <c r="BA9">
        <v>140.50000000130001</v>
      </c>
      <c r="BB9">
        <v>148.90000000009999</v>
      </c>
      <c r="BC9">
        <v>156.60000000030001</v>
      </c>
      <c r="BD9">
        <v>164.30000000039999</v>
      </c>
      <c r="BE9">
        <v>172.8000000003</v>
      </c>
      <c r="BF9">
        <v>181.30000000019999</v>
      </c>
      <c r="BG9">
        <v>189.40000000110001</v>
      </c>
      <c r="BH9">
        <v>197.5000000002</v>
      </c>
      <c r="BI9">
        <v>205.6000000011</v>
      </c>
      <c r="BJ9">
        <v>213.2000000001</v>
      </c>
      <c r="BK9">
        <v>221.40000000040001</v>
      </c>
      <c r="BL9">
        <v>229.60000000060001</v>
      </c>
      <c r="BM9">
        <v>237.90000000009999</v>
      </c>
      <c r="BN9">
        <v>245.80000000059999</v>
      </c>
      <c r="BO9">
        <v>253.6</v>
      </c>
      <c r="BP9">
        <v>260.90000000110001</v>
      </c>
      <c r="BQ9">
        <v>268.2000000004</v>
      </c>
      <c r="BR9">
        <v>275.70000000009998</v>
      </c>
      <c r="BS9">
        <v>283.80000000109999</v>
      </c>
      <c r="BT9">
        <v>291.50000000120002</v>
      </c>
      <c r="BU9">
        <v>298.70000000120001</v>
      </c>
      <c r="BV9">
        <v>306.09999999979999</v>
      </c>
      <c r="BW9">
        <v>312.7000000004</v>
      </c>
      <c r="BX9">
        <v>319.5000000014</v>
      </c>
      <c r="BY9">
        <v>326.50000000099999</v>
      </c>
      <c r="BZ9">
        <v>333.50000000059998</v>
      </c>
      <c r="CA9">
        <v>340.79999999990002</v>
      </c>
      <c r="CB9">
        <v>346.99999999980002</v>
      </c>
      <c r="CC9">
        <v>354.00000000120002</v>
      </c>
      <c r="CD9">
        <v>360.20000000099998</v>
      </c>
      <c r="CE9">
        <v>366.29999999969999</v>
      </c>
      <c r="CF9">
        <v>372.30000000090001</v>
      </c>
      <c r="CG9">
        <v>378.6</v>
      </c>
      <c r="CH9">
        <v>384.60000000119999</v>
      </c>
      <c r="CI9">
        <v>391.10000000069999</v>
      </c>
      <c r="CJ9">
        <v>397.00000000080001</v>
      </c>
      <c r="CK9">
        <v>402.90000000100002</v>
      </c>
      <c r="CL9">
        <v>408.7</v>
      </c>
      <c r="CM9">
        <v>414.1</v>
      </c>
      <c r="CN9">
        <v>419.5</v>
      </c>
      <c r="CO9">
        <v>424.60000000029999</v>
      </c>
      <c r="CP9">
        <v>430.00000000030002</v>
      </c>
      <c r="CQ9">
        <v>435.7</v>
      </c>
      <c r="CR9">
        <v>441.30000000040002</v>
      </c>
      <c r="CS9">
        <v>446.5</v>
      </c>
      <c r="CT9">
        <v>451.50000000099999</v>
      </c>
      <c r="CU9">
        <v>456.00000000009999</v>
      </c>
      <c r="CV9">
        <v>456.50000000019998</v>
      </c>
      <c r="CW9">
        <v>456.50000000019998</v>
      </c>
      <c r="CX9">
        <v>456.60000000129997</v>
      </c>
      <c r="CY9">
        <v>456.60000000129997</v>
      </c>
      <c r="CZ9">
        <v>456.60000000129997</v>
      </c>
      <c r="DA9">
        <v>456.70000000060003</v>
      </c>
      <c r="DB9">
        <v>456.60000000129997</v>
      </c>
      <c r="DC9">
        <v>456.90000000100002</v>
      </c>
      <c r="DD9">
        <v>456.79999999990002</v>
      </c>
      <c r="DE9">
        <v>456.79999999990002</v>
      </c>
      <c r="DF9">
        <v>456.90000000100002</v>
      </c>
      <c r="DG9">
        <v>456.70000000060003</v>
      </c>
      <c r="DH9">
        <v>1.9000000011</v>
      </c>
      <c r="DI9">
        <v>2.0999999997000001</v>
      </c>
      <c r="DJ9">
        <v>2.0000000004</v>
      </c>
      <c r="DK9">
        <v>2.0999999997000001</v>
      </c>
      <c r="DL9">
        <v>2.2000000007999998</v>
      </c>
      <c r="DM9">
        <v>2.2000000007999998</v>
      </c>
      <c r="DN9">
        <v>2.2000000007999998</v>
      </c>
      <c r="DO9">
        <v>2.0999999997000001</v>
      </c>
      <c r="DP9">
        <v>2.0999999997000001</v>
      </c>
      <c r="DQ9">
        <v>1.9000000011</v>
      </c>
      <c r="DR9">
        <v>2.0999999997000001</v>
      </c>
      <c r="DS9">
        <v>2.0999999997000001</v>
      </c>
      <c r="DT9">
        <v>2.0999999997000001</v>
      </c>
      <c r="DU9">
        <v>1.8</v>
      </c>
      <c r="DV9">
        <v>1.2000000006</v>
      </c>
      <c r="DW9">
        <v>1.0000000002</v>
      </c>
      <c r="DX9">
        <v>2.2000000007999998</v>
      </c>
      <c r="DY9">
        <v>6.6999999999000002</v>
      </c>
      <c r="DZ9">
        <v>13.8999999999</v>
      </c>
      <c r="EA9">
        <v>21.0999999999</v>
      </c>
      <c r="EB9">
        <v>28.4000000011</v>
      </c>
      <c r="EC9">
        <v>35.400000000699997</v>
      </c>
      <c r="ED9">
        <v>42.6000000007</v>
      </c>
      <c r="EE9">
        <v>49.800000000700003</v>
      </c>
      <c r="EF9">
        <v>57.000000000699998</v>
      </c>
      <c r="EG9">
        <v>64.400000001099997</v>
      </c>
      <c r="EH9">
        <v>72.900000000999995</v>
      </c>
      <c r="EI9">
        <v>80.5</v>
      </c>
      <c r="EJ9">
        <v>88.4000000005</v>
      </c>
      <c r="EK9">
        <v>96.100000000700007</v>
      </c>
      <c r="EL9">
        <v>103.8000000008</v>
      </c>
      <c r="EM9">
        <v>111.7000000013</v>
      </c>
      <c r="EN9">
        <v>120.7000000013</v>
      </c>
      <c r="EO9">
        <v>129.89999999989999</v>
      </c>
      <c r="EP9">
        <v>137.89999999969999</v>
      </c>
      <c r="EQ9">
        <v>146.09999999990001</v>
      </c>
      <c r="ER9">
        <v>154.0999999997</v>
      </c>
      <c r="ES9">
        <v>162.00000000029999</v>
      </c>
      <c r="ET9">
        <v>170.10000000119999</v>
      </c>
      <c r="EU9">
        <v>178.90000000079999</v>
      </c>
      <c r="EV9">
        <v>187.10000000100001</v>
      </c>
      <c r="EW9">
        <v>195.4000000005</v>
      </c>
      <c r="EX9">
        <v>203.60000000069999</v>
      </c>
      <c r="EY9">
        <v>211.50000000130001</v>
      </c>
      <c r="EZ9">
        <v>219.20000000140001</v>
      </c>
      <c r="FA9">
        <v>227.80000000059999</v>
      </c>
      <c r="FB9">
        <v>236.20000000120001</v>
      </c>
      <c r="FC9">
        <v>244.09999999990001</v>
      </c>
      <c r="FD9">
        <v>252.0999999997</v>
      </c>
      <c r="FE9">
        <v>259.79999999979998</v>
      </c>
      <c r="FF9">
        <v>267.20000000020002</v>
      </c>
      <c r="FG9">
        <v>274.80000000109999</v>
      </c>
      <c r="FH9">
        <v>282.90000000020001</v>
      </c>
      <c r="FI9">
        <v>290.89999999999998</v>
      </c>
      <c r="FJ9">
        <v>298.10000000000002</v>
      </c>
      <c r="FK9">
        <v>305.3</v>
      </c>
      <c r="FL9">
        <v>312.5</v>
      </c>
      <c r="FM9">
        <v>319.300000001</v>
      </c>
      <c r="FN9">
        <v>326.39999999989999</v>
      </c>
      <c r="FO9">
        <v>333.80000000029997</v>
      </c>
      <c r="FP9">
        <v>341.00000000030002</v>
      </c>
      <c r="FQ9">
        <v>347.30000000130002</v>
      </c>
      <c r="FR9">
        <v>354.30000000090001</v>
      </c>
      <c r="FS9">
        <v>360.80000000040002</v>
      </c>
      <c r="FT9">
        <v>366.79999999979998</v>
      </c>
      <c r="FU9">
        <v>372.9000000003</v>
      </c>
      <c r="FV9">
        <v>379.3999999998</v>
      </c>
      <c r="FW9">
        <v>385.90000000110001</v>
      </c>
      <c r="FX9">
        <v>392.10000000090002</v>
      </c>
      <c r="FY9">
        <v>398.00000000099999</v>
      </c>
      <c r="FZ9">
        <v>403.9000000012</v>
      </c>
      <c r="GA9">
        <v>409.60000000090002</v>
      </c>
      <c r="GB9">
        <v>415.50000000099999</v>
      </c>
      <c r="GC9">
        <v>420.60000000129997</v>
      </c>
      <c r="GD9">
        <v>425.80000000090001</v>
      </c>
      <c r="GE9">
        <v>431.20000000089999</v>
      </c>
      <c r="GF9">
        <v>436.80000000130002</v>
      </c>
      <c r="GG9">
        <v>441.70000000120001</v>
      </c>
      <c r="GH9">
        <v>447.00000000009999</v>
      </c>
      <c r="GI9">
        <v>451.30000000059999</v>
      </c>
      <c r="GJ9">
        <v>455.30000000140001</v>
      </c>
      <c r="GK9">
        <v>456.60000000129997</v>
      </c>
      <c r="GL9">
        <v>456.60000000129997</v>
      </c>
      <c r="GM9">
        <v>456.60000000129997</v>
      </c>
      <c r="GN9">
        <v>456.60000000129997</v>
      </c>
      <c r="GO9">
        <v>456.60000000129997</v>
      </c>
      <c r="GP9">
        <v>456.70000000060003</v>
      </c>
      <c r="GQ9">
        <v>456.60000000129997</v>
      </c>
      <c r="GR9">
        <v>456.70000000060003</v>
      </c>
      <c r="GS9">
        <v>456.60000000129997</v>
      </c>
      <c r="GT9">
        <v>456.79999999990002</v>
      </c>
      <c r="GU9">
        <v>456.70000000060003</v>
      </c>
      <c r="GV9">
        <v>456.79999999990002</v>
      </c>
      <c r="GW9">
        <v>456.90000000100002</v>
      </c>
      <c r="GX9">
        <v>1</v>
      </c>
      <c r="GY9">
        <v>115.70000000029999</v>
      </c>
      <c r="GZ9">
        <v>114.9999999998</v>
      </c>
      <c r="HA9">
        <v>114.9999999998</v>
      </c>
      <c r="HB9">
        <v>120.7000000013</v>
      </c>
      <c r="HC9">
        <v>116.4703841525</v>
      </c>
      <c r="HD9">
        <v>-5.7000000015000003</v>
      </c>
      <c r="HE9">
        <v>456.89997811199999</v>
      </c>
      <c r="HF9">
        <v>303.56761519200001</v>
      </c>
      <c r="HG9">
        <v>99.877487139999999</v>
      </c>
      <c r="HH9">
        <v>456.90000000100002</v>
      </c>
      <c r="HI9">
        <v>456.89997811199999</v>
      </c>
      <c r="HJ9">
        <v>456.90000000100002</v>
      </c>
      <c r="HK9">
        <v>456.90000000100002</v>
      </c>
      <c r="HL9">
        <v>114.9560117302</v>
      </c>
      <c r="HM9">
        <v>3.2861692713999999</v>
      </c>
      <c r="HN9">
        <v>3.2067908104999998</v>
      </c>
      <c r="HO9">
        <v>3.2552039474000001</v>
      </c>
      <c r="HP9">
        <v>3.1339720901999999</v>
      </c>
      <c r="HQ9">
        <v>3.4858191001000001</v>
      </c>
      <c r="HR9">
        <v>2.1746710115000001</v>
      </c>
      <c r="HS9">
        <v>16.592897012600002</v>
      </c>
      <c r="HT9">
        <v>-30.4985337243</v>
      </c>
      <c r="HU9">
        <v>-208</v>
      </c>
      <c r="HV9">
        <v>420.03799934450001</v>
      </c>
      <c r="HW9">
        <v>96.187683284499997</v>
      </c>
      <c r="HX9">
        <v>656</v>
      </c>
      <c r="HY9">
        <v>16.592897012600002</v>
      </c>
      <c r="HZ9">
        <v>-30.4985337243</v>
      </c>
      <c r="IA9">
        <v>-208</v>
      </c>
      <c r="IB9">
        <v>420.03799934450001</v>
      </c>
      <c r="IC9">
        <v>96.187683284499997</v>
      </c>
      <c r="ID9">
        <v>656</v>
      </c>
      <c r="IE9">
        <v>36.861978767499998</v>
      </c>
      <c r="IF9">
        <v>0.60070044990000004</v>
      </c>
      <c r="IG9">
        <v>-39.8826979472</v>
      </c>
      <c r="IH9">
        <v>-272</v>
      </c>
      <c r="II9">
        <v>441.4616285445</v>
      </c>
      <c r="IJ9">
        <v>105.57184750730001</v>
      </c>
      <c r="IK9">
        <v>720</v>
      </c>
      <c r="IL9">
        <v>403.44510233189999</v>
      </c>
      <c r="IM9">
        <v>126.6862170088</v>
      </c>
      <c r="IN9">
        <v>427.54384371219999</v>
      </c>
      <c r="IO9">
        <v>136.0703812317</v>
      </c>
      <c r="IP9">
        <v>7.4999999997</v>
      </c>
      <c r="IQ9">
        <v>5.6999999997000002</v>
      </c>
      <c r="IR9">
        <v>9.1999999985999992</v>
      </c>
      <c r="IS9">
        <v>6.7489151379000001</v>
      </c>
      <c r="IT9">
        <v>6.7489151379000001</v>
      </c>
      <c r="IU9">
        <v>4.9999999991999999</v>
      </c>
      <c r="IV9">
        <v>-32.844574780099997</v>
      </c>
      <c r="IW9">
        <v>7.4999999997</v>
      </c>
      <c r="IX9">
        <v>65.689149560100006</v>
      </c>
      <c r="IY9">
        <v>6.8000000009999999</v>
      </c>
      <c r="IZ9">
        <v>103.22580645159999</v>
      </c>
      <c r="JA9">
        <v>-35.884980518399999</v>
      </c>
      <c r="JB9">
        <v>0.33902217839999998</v>
      </c>
      <c r="JC9">
        <v>-3.5010670000000001E-4</v>
      </c>
      <c r="JD9">
        <v>6.9220000000000002E-7</v>
      </c>
      <c r="JE9">
        <v>0.30430568769999999</v>
      </c>
      <c r="JF9">
        <v>0.32087942409999998</v>
      </c>
      <c r="JG9">
        <v>0.118649491</v>
      </c>
      <c r="JH9">
        <v>117.21796255149999</v>
      </c>
      <c r="JI9">
        <v>3.4858191001000001</v>
      </c>
      <c r="JJ9">
        <v>2.7388198999999998E-3</v>
      </c>
      <c r="JK9">
        <v>-6.6220499999999994E-5</v>
      </c>
      <c r="JL9">
        <v>3.2861692713999999</v>
      </c>
      <c r="JM9">
        <v>1.697923643</v>
      </c>
      <c r="JN9">
        <v>0.65986694219999997</v>
      </c>
      <c r="JO9">
        <v>3.1968749998999999</v>
      </c>
      <c r="JP9">
        <v>2.4296249999000001</v>
      </c>
      <c r="JQ9">
        <v>3.9214999993999999</v>
      </c>
      <c r="JR9" s="17" t="s">
        <v>544</v>
      </c>
      <c r="JU9" s="17">
        <v>1</v>
      </c>
    </row>
    <row r="10" spans="1:281">
      <c r="A10" t="s">
        <v>662</v>
      </c>
      <c r="B10" t="s">
        <v>663</v>
      </c>
      <c r="C10" t="s">
        <v>664</v>
      </c>
      <c r="D10" t="s">
        <v>213</v>
      </c>
      <c r="E10">
        <v>3</v>
      </c>
      <c r="F10" t="s">
        <v>214</v>
      </c>
      <c r="G10" t="s">
        <v>215</v>
      </c>
      <c r="H10" t="s">
        <v>543</v>
      </c>
      <c r="I10" t="s">
        <v>217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4.3000000004999999</v>
      </c>
      <c r="S10">
        <v>4.7000000013000003</v>
      </c>
      <c r="T10">
        <v>4.7000000013000003</v>
      </c>
      <c r="U10">
        <v>4.6000000001999997</v>
      </c>
      <c r="V10">
        <v>5.0000000010000001</v>
      </c>
      <c r="W10">
        <v>4.7000000013000003</v>
      </c>
      <c r="X10">
        <v>5.0000000010000001</v>
      </c>
      <c r="Y10">
        <v>4.8999999999000003</v>
      </c>
      <c r="Z10">
        <v>5.0000000010000001</v>
      </c>
      <c r="AA10">
        <v>4.8999999999000003</v>
      </c>
      <c r="AB10">
        <v>4.0000000008000001</v>
      </c>
      <c r="AC10">
        <v>3.3999999995999999</v>
      </c>
      <c r="AD10">
        <v>2.4000000012</v>
      </c>
      <c r="AE10">
        <v>1.7000000007</v>
      </c>
      <c r="AF10">
        <v>1.0000000002</v>
      </c>
      <c r="AG10">
        <v>0.50000000010000001</v>
      </c>
      <c r="AH10">
        <v>0</v>
      </c>
      <c r="AI10">
        <v>0</v>
      </c>
      <c r="AJ10">
        <v>1.5999999996000001</v>
      </c>
      <c r="AK10">
        <v>8.2000000001999993</v>
      </c>
      <c r="AL10">
        <v>14.5000000011</v>
      </c>
      <c r="AM10">
        <v>21.8999999997</v>
      </c>
      <c r="AN10">
        <v>29.000000000499998</v>
      </c>
      <c r="AO10">
        <v>37.000000000299998</v>
      </c>
      <c r="AP10">
        <v>44.6000000011</v>
      </c>
      <c r="AQ10">
        <v>52.200000000099998</v>
      </c>
      <c r="AR10">
        <v>59.900000000200002</v>
      </c>
      <c r="AS10">
        <v>67.200000001299998</v>
      </c>
      <c r="AT10">
        <v>75.3999999997</v>
      </c>
      <c r="AU10">
        <v>83.099999999800005</v>
      </c>
      <c r="AV10">
        <v>91.9000000013</v>
      </c>
      <c r="AW10">
        <v>100.2000000008</v>
      </c>
      <c r="AX10">
        <v>108.9000000011</v>
      </c>
      <c r="AY10">
        <v>117.400000001</v>
      </c>
      <c r="AZ10">
        <v>125.29999999970001</v>
      </c>
      <c r="BA10">
        <v>133.70000000030001</v>
      </c>
      <c r="BB10">
        <v>142.40000000059999</v>
      </c>
      <c r="BC10">
        <v>150.80000000129999</v>
      </c>
      <c r="BD10">
        <v>159.70000000019999</v>
      </c>
      <c r="BE10">
        <v>167.7</v>
      </c>
      <c r="BF10">
        <v>175.3000000008</v>
      </c>
      <c r="BG10">
        <v>184.1000000004</v>
      </c>
      <c r="BH10">
        <v>192.39999999989999</v>
      </c>
      <c r="BI10">
        <v>201.30000000059999</v>
      </c>
      <c r="BJ10">
        <v>209.39999999969999</v>
      </c>
      <c r="BK10">
        <v>217.5000000007</v>
      </c>
      <c r="BL10">
        <v>225.2000000008</v>
      </c>
      <c r="BM10">
        <v>233.400000001</v>
      </c>
      <c r="BN10">
        <v>241.40000000079999</v>
      </c>
      <c r="BO10">
        <v>249.9000000007</v>
      </c>
      <c r="BP10">
        <v>257.70000000009998</v>
      </c>
      <c r="BQ10">
        <v>265.6999999999</v>
      </c>
      <c r="BR10">
        <v>273.19999999959998</v>
      </c>
      <c r="BS10">
        <v>280.39999999960003</v>
      </c>
      <c r="BT10">
        <v>288.09999999979999</v>
      </c>
      <c r="BU10">
        <v>295.79999999990002</v>
      </c>
      <c r="BV10">
        <v>303.2999999996</v>
      </c>
      <c r="BW10">
        <v>310.90000000039998</v>
      </c>
      <c r="BX10">
        <v>318.00000000109998</v>
      </c>
      <c r="BY10">
        <v>324.89999999960003</v>
      </c>
      <c r="BZ10">
        <v>331.29999999979998</v>
      </c>
      <c r="CA10">
        <v>338.10000000079998</v>
      </c>
      <c r="CB10">
        <v>345.00000000120002</v>
      </c>
      <c r="CC10">
        <v>351.89999999970001</v>
      </c>
      <c r="CD10">
        <v>358.70000000070002</v>
      </c>
      <c r="CE10">
        <v>365.20000000020002</v>
      </c>
      <c r="CF10">
        <v>371.4</v>
      </c>
      <c r="CG10">
        <v>377.50000000049999</v>
      </c>
      <c r="CH10">
        <v>383.40000000060002</v>
      </c>
      <c r="CI10">
        <v>389.50000000109998</v>
      </c>
      <c r="CJ10">
        <v>395.80000000019999</v>
      </c>
      <c r="CK10">
        <v>401.6000000011</v>
      </c>
      <c r="CL10">
        <v>407.69999999970003</v>
      </c>
      <c r="CM10">
        <v>413.50000000059998</v>
      </c>
      <c r="CN10">
        <v>419.20000000030001</v>
      </c>
      <c r="CO10">
        <v>424.69999999959998</v>
      </c>
      <c r="CP10">
        <v>429.90000000100002</v>
      </c>
      <c r="CQ10">
        <v>435.00000000130001</v>
      </c>
      <c r="CR10">
        <v>440.09999999979999</v>
      </c>
      <c r="CS10">
        <v>445.60000000090002</v>
      </c>
      <c r="CT10">
        <v>448.9000000012</v>
      </c>
      <c r="CU10">
        <v>450.80000000050001</v>
      </c>
      <c r="CV10">
        <v>450.8999999998</v>
      </c>
      <c r="CW10">
        <v>450.8999999998</v>
      </c>
      <c r="CX10">
        <v>450.8999999998</v>
      </c>
      <c r="CY10">
        <v>450.8999999998</v>
      </c>
      <c r="CZ10">
        <v>450.8999999998</v>
      </c>
      <c r="DA10">
        <v>450.8999999998</v>
      </c>
      <c r="DB10">
        <v>450.8999999998</v>
      </c>
      <c r="DC10">
        <v>450.8999999998</v>
      </c>
      <c r="DD10">
        <v>451.0000000009</v>
      </c>
      <c r="DE10">
        <v>451.0000000009</v>
      </c>
      <c r="DF10">
        <v>451.1000000002</v>
      </c>
      <c r="DG10">
        <v>451.0000000009</v>
      </c>
      <c r="DH10">
        <v>5.1000000002999997</v>
      </c>
      <c r="DI10">
        <v>5.8000000007999999</v>
      </c>
      <c r="DJ10">
        <v>5.8000000007999999</v>
      </c>
      <c r="DK10">
        <v>6.0000000012000001</v>
      </c>
      <c r="DL10">
        <v>5.9000000001000004</v>
      </c>
      <c r="DM10">
        <v>6.1000000004999997</v>
      </c>
      <c r="DN10">
        <v>5.9000000001000004</v>
      </c>
      <c r="DO10">
        <v>6.0000000012000001</v>
      </c>
      <c r="DP10">
        <v>6.1999999998000002</v>
      </c>
      <c r="DQ10">
        <v>5.6000000003999997</v>
      </c>
      <c r="DR10">
        <v>5.0000000010000001</v>
      </c>
      <c r="DS10">
        <v>4.0000000008000001</v>
      </c>
      <c r="DT10">
        <v>3.2000000009999998</v>
      </c>
      <c r="DU10">
        <v>2.4000000012</v>
      </c>
      <c r="DV10">
        <v>1.8</v>
      </c>
      <c r="DW10">
        <v>1.2000000006</v>
      </c>
      <c r="DX10">
        <v>0.90000000089999999</v>
      </c>
      <c r="DY10">
        <v>0.7000000005</v>
      </c>
      <c r="DZ10">
        <v>5.4</v>
      </c>
      <c r="EA10">
        <v>12.0999999999</v>
      </c>
      <c r="EB10">
        <v>19.400000000999999</v>
      </c>
      <c r="EC10">
        <v>26.6000000011</v>
      </c>
      <c r="ED10">
        <v>34.300000001199997</v>
      </c>
      <c r="EE10">
        <v>42.100000000599998</v>
      </c>
      <c r="EF10">
        <v>49.6000000003</v>
      </c>
      <c r="EG10">
        <v>57.300000000399997</v>
      </c>
      <c r="EH10">
        <v>64.700000000800003</v>
      </c>
      <c r="EI10">
        <v>72.400000000899993</v>
      </c>
      <c r="EJ10">
        <v>80.6000000011</v>
      </c>
      <c r="EK10">
        <v>88.700000000200006</v>
      </c>
      <c r="EL10">
        <v>97.100000000899996</v>
      </c>
      <c r="EM10">
        <v>105.49999999969999</v>
      </c>
      <c r="EN10">
        <v>114.10000000070001</v>
      </c>
      <c r="EO10">
        <v>122.4000000002</v>
      </c>
      <c r="EP10">
        <v>131.10000000049999</v>
      </c>
      <c r="EQ10">
        <v>139.4</v>
      </c>
      <c r="ER10">
        <v>148.19999999960001</v>
      </c>
      <c r="ES10">
        <v>156.50000000099999</v>
      </c>
      <c r="ET10">
        <v>165.0000000009</v>
      </c>
      <c r="EU10">
        <v>172.8999999996</v>
      </c>
      <c r="EV10">
        <v>181.09999999979999</v>
      </c>
      <c r="EW10">
        <v>189.5999999997</v>
      </c>
      <c r="EX10">
        <v>198.5999999997</v>
      </c>
      <c r="EY10">
        <v>207.00000000029999</v>
      </c>
      <c r="EZ10">
        <v>215.400000001</v>
      </c>
      <c r="FA10">
        <v>223.1000000011</v>
      </c>
      <c r="FB10">
        <v>231.30000000129999</v>
      </c>
      <c r="FC10">
        <v>239.49999999970001</v>
      </c>
      <c r="FD10">
        <v>247.60000000060001</v>
      </c>
      <c r="FE10">
        <v>256.00000000120002</v>
      </c>
      <c r="FF10">
        <v>263.80000000059999</v>
      </c>
      <c r="FG10">
        <v>271.39999999960003</v>
      </c>
      <c r="FH10">
        <v>278.59999999960002</v>
      </c>
      <c r="FI10">
        <v>286.20000000049998</v>
      </c>
      <c r="FJ10">
        <v>293.99999999990001</v>
      </c>
      <c r="FK10">
        <v>301.99999999969998</v>
      </c>
      <c r="FL10">
        <v>309.30000000080003</v>
      </c>
      <c r="FM10">
        <v>316.80000000050001</v>
      </c>
      <c r="FN10">
        <v>323.8000000001</v>
      </c>
      <c r="FO10">
        <v>330.4000000007</v>
      </c>
      <c r="FP10">
        <v>337.4000000003</v>
      </c>
      <c r="FQ10">
        <v>344.4</v>
      </c>
      <c r="FR10">
        <v>351.20000000099998</v>
      </c>
      <c r="FS10">
        <v>358.29999999990002</v>
      </c>
      <c r="FT10">
        <v>364.49999999969998</v>
      </c>
      <c r="FU10">
        <v>371.19999999959998</v>
      </c>
      <c r="FV10">
        <v>377.3000000001</v>
      </c>
      <c r="FW10">
        <v>383.40000000060002</v>
      </c>
      <c r="FX10">
        <v>389.30000000069998</v>
      </c>
      <c r="FY10">
        <v>395.50000000049999</v>
      </c>
      <c r="FZ10">
        <v>401.6000000011</v>
      </c>
      <c r="GA10">
        <v>407.80000000090001</v>
      </c>
      <c r="GB10">
        <v>413.70000000099998</v>
      </c>
      <c r="GC10">
        <v>419.20000000030001</v>
      </c>
      <c r="GD10">
        <v>424.50000000099999</v>
      </c>
      <c r="GE10">
        <v>429.60000000129997</v>
      </c>
      <c r="GF10">
        <v>434.50000000120002</v>
      </c>
      <c r="GG10">
        <v>439.5999999997</v>
      </c>
      <c r="GH10">
        <v>444.60000000069999</v>
      </c>
      <c r="GI10">
        <v>448.09999999960002</v>
      </c>
      <c r="GJ10">
        <v>450.39999999970001</v>
      </c>
      <c r="GK10">
        <v>450.70000000120001</v>
      </c>
      <c r="GL10">
        <v>450.70000000120001</v>
      </c>
      <c r="GM10">
        <v>450.60000000010001</v>
      </c>
      <c r="GN10">
        <v>450.70000000120001</v>
      </c>
      <c r="GO10">
        <v>450.70000000120001</v>
      </c>
      <c r="GP10">
        <v>450.80000000050001</v>
      </c>
      <c r="GQ10">
        <v>450.8999999998</v>
      </c>
      <c r="GR10">
        <v>450.8999999998</v>
      </c>
      <c r="GS10">
        <v>450.80000000050001</v>
      </c>
      <c r="GT10">
        <v>451.0000000009</v>
      </c>
      <c r="GU10">
        <v>450.8999999998</v>
      </c>
      <c r="GV10">
        <v>451.1000000002</v>
      </c>
      <c r="GW10">
        <v>451.2000000013</v>
      </c>
      <c r="GX10">
        <v>1</v>
      </c>
      <c r="GY10">
        <v>106.600000001</v>
      </c>
      <c r="GZ10">
        <v>108.9000000011</v>
      </c>
      <c r="HA10">
        <v>108.9000000011</v>
      </c>
      <c r="HB10">
        <v>114.10000000070001</v>
      </c>
      <c r="HC10">
        <v>110.1853025947</v>
      </c>
      <c r="HD10">
        <v>-5.1999999996000001</v>
      </c>
      <c r="HE10">
        <v>451.2000000013</v>
      </c>
      <c r="HF10">
        <v>296.97696741290002</v>
      </c>
      <c r="HG10">
        <v>95.501185989700005</v>
      </c>
      <c r="HH10">
        <v>451.2000000013</v>
      </c>
      <c r="HI10">
        <v>451.2000000013</v>
      </c>
      <c r="HJ10">
        <v>451.1000000002</v>
      </c>
      <c r="HK10">
        <v>451.2000000013</v>
      </c>
      <c r="HL10">
        <v>112.6099706745</v>
      </c>
      <c r="HM10">
        <v>3.3714854194999999</v>
      </c>
      <c r="HN10">
        <v>3.2985218553000002</v>
      </c>
      <c r="HO10">
        <v>3.3353270992000001</v>
      </c>
      <c r="HP10">
        <v>3.2420984328000002</v>
      </c>
      <c r="HQ10">
        <v>3.5669049082000002</v>
      </c>
      <c r="HR10">
        <v>2.2953678465</v>
      </c>
      <c r="HS10">
        <v>14.684116605</v>
      </c>
      <c r="HT10">
        <v>-28.152492668600001</v>
      </c>
      <c r="HU10">
        <v>-192</v>
      </c>
      <c r="HV10">
        <v>407.16227000750001</v>
      </c>
      <c r="HW10">
        <v>91.495601172999997</v>
      </c>
      <c r="HX10">
        <v>624</v>
      </c>
      <c r="HY10">
        <v>14.684116605</v>
      </c>
      <c r="HZ10">
        <v>-28.152492668600001</v>
      </c>
      <c r="IA10">
        <v>-192</v>
      </c>
      <c r="IB10">
        <v>407.16227000750001</v>
      </c>
      <c r="IC10">
        <v>91.495601172999997</v>
      </c>
      <c r="ID10">
        <v>624</v>
      </c>
      <c r="IE10">
        <v>44.037729993799999</v>
      </c>
      <c r="IF10">
        <v>8.9780540000000003E-4</v>
      </c>
      <c r="IG10">
        <v>-37.536656891500002</v>
      </c>
      <c r="IH10">
        <v>-256</v>
      </c>
      <c r="II10">
        <v>429.3398470418</v>
      </c>
      <c r="IJ10">
        <v>100.87976539589999</v>
      </c>
      <c r="IK10">
        <v>688</v>
      </c>
      <c r="IL10">
        <v>392.47815340250003</v>
      </c>
      <c r="IM10">
        <v>119.6480938416</v>
      </c>
      <c r="IN10">
        <v>417.13142318849998</v>
      </c>
      <c r="IO10">
        <v>129.03225806450001</v>
      </c>
      <c r="IP10">
        <v>7.3000000010999999</v>
      </c>
      <c r="IQ10">
        <v>5.5000000011000001</v>
      </c>
      <c r="IR10">
        <v>9</v>
      </c>
      <c r="IS10">
        <v>5.9877646552000003</v>
      </c>
      <c r="IT10">
        <v>5.9877646552000003</v>
      </c>
      <c r="IU10">
        <v>3.8999999996999999</v>
      </c>
      <c r="IV10">
        <v>-30.4985337243</v>
      </c>
      <c r="IW10">
        <v>6.4000000002000004</v>
      </c>
      <c r="IX10">
        <v>72.727272727300004</v>
      </c>
      <c r="IY10">
        <v>5.3000000006999999</v>
      </c>
      <c r="IZ10">
        <v>98.533724340199996</v>
      </c>
      <c r="JA10">
        <v>-32.8053511986</v>
      </c>
      <c r="JB10">
        <v>0.32563668159999998</v>
      </c>
      <c r="JC10">
        <v>-3.2019749999999999E-4</v>
      </c>
      <c r="JD10">
        <v>6.6469999999999996E-7</v>
      </c>
      <c r="JE10">
        <v>0.29660516819999999</v>
      </c>
      <c r="JF10">
        <v>0.23153661989999999</v>
      </c>
      <c r="JG10">
        <v>9.2452681800000006E-2</v>
      </c>
      <c r="JH10">
        <v>110.40022076050001</v>
      </c>
      <c r="JI10">
        <v>3.5669049082000002</v>
      </c>
      <c r="JJ10">
        <v>2.7763872E-3</v>
      </c>
      <c r="JK10">
        <v>-7.0859599999999995E-5</v>
      </c>
      <c r="JL10">
        <v>3.3714854194999999</v>
      </c>
      <c r="JM10">
        <v>1.4384986930000001</v>
      </c>
      <c r="JN10">
        <v>0.54919072710000005</v>
      </c>
      <c r="JO10">
        <v>3.1116250005000001</v>
      </c>
      <c r="JP10">
        <v>2.3443750004999999</v>
      </c>
      <c r="JQ10">
        <v>3.8362500000000002</v>
      </c>
      <c r="JR10" s="17" t="s">
        <v>544</v>
      </c>
      <c r="JU10" s="17">
        <v>1</v>
      </c>
    </row>
    <row r="11" spans="1:281">
      <c r="A11" t="s">
        <v>689</v>
      </c>
      <c r="B11" t="s">
        <v>690</v>
      </c>
      <c r="C11" t="s">
        <v>691</v>
      </c>
      <c r="D11" t="s">
        <v>213</v>
      </c>
      <c r="E11">
        <v>3</v>
      </c>
      <c r="F11" t="s">
        <v>214</v>
      </c>
      <c r="G11" t="s">
        <v>215</v>
      </c>
      <c r="H11" t="s">
        <v>543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0</v>
      </c>
      <c r="S11">
        <v>0.79999999980000003</v>
      </c>
      <c r="T11">
        <v>1.1000000013</v>
      </c>
      <c r="U11">
        <v>1.1000000013</v>
      </c>
      <c r="V11">
        <v>1.1000000013</v>
      </c>
      <c r="W11">
        <v>1.0000000002</v>
      </c>
      <c r="X11">
        <v>1.0000000002</v>
      </c>
      <c r="Y11">
        <v>1.1000000013</v>
      </c>
      <c r="Z11">
        <v>1.2000000006</v>
      </c>
      <c r="AA11">
        <v>1.2000000006</v>
      </c>
      <c r="AB11">
        <v>1.2000000006</v>
      </c>
      <c r="AC11">
        <v>1.5000000003</v>
      </c>
      <c r="AD11">
        <v>1.5000000003</v>
      </c>
      <c r="AE11">
        <v>1.6000000014</v>
      </c>
      <c r="AF11">
        <v>1.400000001</v>
      </c>
      <c r="AG11">
        <v>1.6000000014</v>
      </c>
      <c r="AH11">
        <v>3.0000000006</v>
      </c>
      <c r="AI11">
        <v>7.2</v>
      </c>
      <c r="AJ11">
        <v>13.3999999998</v>
      </c>
      <c r="AK11">
        <v>20.400000001199999</v>
      </c>
      <c r="AL11">
        <v>27.799999999800001</v>
      </c>
      <c r="AM11">
        <v>34.200000000099998</v>
      </c>
      <c r="AN11">
        <v>41.600000000500003</v>
      </c>
      <c r="AO11">
        <v>48.899999999800002</v>
      </c>
      <c r="AP11">
        <v>56.000000000500002</v>
      </c>
      <c r="AQ11">
        <v>63.600000001300003</v>
      </c>
      <c r="AR11">
        <v>71.100000000999998</v>
      </c>
      <c r="AS11">
        <v>79.4000000005</v>
      </c>
      <c r="AT11">
        <v>87.000000001399997</v>
      </c>
      <c r="AU11">
        <v>94.700000001500001</v>
      </c>
      <c r="AV11">
        <v>102.7000000013</v>
      </c>
      <c r="AW11">
        <v>110.5000000007</v>
      </c>
      <c r="AX11">
        <v>119.09999999990001</v>
      </c>
      <c r="AY11">
        <v>128.6</v>
      </c>
      <c r="AZ11">
        <v>137.09999999990001</v>
      </c>
      <c r="BA11">
        <v>144.90000000110001</v>
      </c>
      <c r="BB11">
        <v>153.0000000002</v>
      </c>
      <c r="BC11">
        <v>161.20000000050001</v>
      </c>
      <c r="BD11">
        <v>169.4000000007</v>
      </c>
      <c r="BE11">
        <v>177.3000000012</v>
      </c>
      <c r="BF11">
        <v>185.7</v>
      </c>
      <c r="BG11">
        <v>193.80000000090001</v>
      </c>
      <c r="BH11">
        <v>201.9</v>
      </c>
      <c r="BI11">
        <v>209.70000000120001</v>
      </c>
      <c r="BJ11">
        <v>217.5000000007</v>
      </c>
      <c r="BK11">
        <v>225.4000000012</v>
      </c>
      <c r="BL11">
        <v>233.70000000069999</v>
      </c>
      <c r="BM11">
        <v>241.60000000119999</v>
      </c>
      <c r="BN11">
        <v>249.20000000019999</v>
      </c>
      <c r="BO11">
        <v>256.800000001</v>
      </c>
      <c r="BP11">
        <v>264.30000000069998</v>
      </c>
      <c r="BQ11">
        <v>271.89999999970001</v>
      </c>
      <c r="BR11">
        <v>279.3000000001</v>
      </c>
      <c r="BS11">
        <v>286.90000000100002</v>
      </c>
      <c r="BT11">
        <v>294.6000000011</v>
      </c>
      <c r="BU11">
        <v>301.60000000069999</v>
      </c>
      <c r="BV11">
        <v>308.60000000029999</v>
      </c>
      <c r="BW11">
        <v>315.70000000099998</v>
      </c>
      <c r="BX11">
        <v>322.79999999990002</v>
      </c>
      <c r="BY11">
        <v>329.49999999980002</v>
      </c>
      <c r="BZ11">
        <v>336.10000000039997</v>
      </c>
      <c r="CA11">
        <v>343.39999999970001</v>
      </c>
      <c r="CB11">
        <v>350.10000000150001</v>
      </c>
      <c r="CC11">
        <v>356.30000000130002</v>
      </c>
      <c r="CD11">
        <v>362.50000000109998</v>
      </c>
      <c r="CE11">
        <v>369.00000000059998</v>
      </c>
      <c r="CF11">
        <v>375.1000000011</v>
      </c>
      <c r="CG11">
        <v>381.10000000050002</v>
      </c>
      <c r="CH11">
        <v>386.90000000129999</v>
      </c>
      <c r="CI11">
        <v>392.9000000007</v>
      </c>
      <c r="CJ11">
        <v>399.19999999980001</v>
      </c>
      <c r="CK11">
        <v>404.80000000029997</v>
      </c>
      <c r="CL11">
        <v>410.4000000007</v>
      </c>
      <c r="CM11">
        <v>415.70000000139999</v>
      </c>
      <c r="CN11">
        <v>421.20000000070002</v>
      </c>
      <c r="CO11">
        <v>426.5000000014</v>
      </c>
      <c r="CP11">
        <v>431.80000000029997</v>
      </c>
      <c r="CQ11">
        <v>436.70000000020002</v>
      </c>
      <c r="CR11">
        <v>442.1000000002</v>
      </c>
      <c r="CS11">
        <v>447.40000000089998</v>
      </c>
      <c r="CT11">
        <v>450.20000000110002</v>
      </c>
      <c r="CU11">
        <v>450.50000000080001</v>
      </c>
      <c r="CV11">
        <v>450.60000000010001</v>
      </c>
      <c r="CW11">
        <v>450.60000000010001</v>
      </c>
      <c r="CX11">
        <v>450.70000000120001</v>
      </c>
      <c r="CY11">
        <v>450.60000000010001</v>
      </c>
      <c r="CZ11">
        <v>450.70000000120001</v>
      </c>
      <c r="DA11">
        <v>450.60000000010001</v>
      </c>
      <c r="DB11">
        <v>450.60000000010001</v>
      </c>
      <c r="DC11">
        <v>450.60000000010001</v>
      </c>
      <c r="DD11">
        <v>450.60000000010001</v>
      </c>
      <c r="DE11">
        <v>450.80000000050001</v>
      </c>
      <c r="DF11">
        <v>450.70000000120001</v>
      </c>
      <c r="DG11">
        <v>450.70000000120001</v>
      </c>
      <c r="DH11">
        <v>1.0000000002</v>
      </c>
      <c r="DI11">
        <v>2.0000000004</v>
      </c>
      <c r="DJ11">
        <v>2.0999999997000001</v>
      </c>
      <c r="DK11">
        <v>2.2000000007999998</v>
      </c>
      <c r="DL11">
        <v>2.0999999997000001</v>
      </c>
      <c r="DM11">
        <v>2.2000000007999998</v>
      </c>
      <c r="DN11">
        <v>2.0000000004</v>
      </c>
      <c r="DO11">
        <v>2.0999999997000001</v>
      </c>
      <c r="DP11">
        <v>2.0999999997000001</v>
      </c>
      <c r="DQ11">
        <v>2.0999999997000001</v>
      </c>
      <c r="DR11">
        <v>2.0999999997000001</v>
      </c>
      <c r="DS11">
        <v>2.3000000000999998</v>
      </c>
      <c r="DT11">
        <v>2.3000000000999998</v>
      </c>
      <c r="DU11">
        <v>2.5000000005</v>
      </c>
      <c r="DV11">
        <v>2.5000000005</v>
      </c>
      <c r="DW11">
        <v>2.4000000012</v>
      </c>
      <c r="DX11">
        <v>6.0000000012000001</v>
      </c>
      <c r="DY11">
        <v>12.0000000006</v>
      </c>
      <c r="DZ11">
        <v>18.9000000009</v>
      </c>
      <c r="EA11">
        <v>26.6000000011</v>
      </c>
      <c r="EB11">
        <v>33.300000001000001</v>
      </c>
      <c r="EC11">
        <v>40.200000001299998</v>
      </c>
      <c r="ED11">
        <v>47.300000000200001</v>
      </c>
      <c r="EE11">
        <v>54.799999999900002</v>
      </c>
      <c r="EF11">
        <v>62.200000000300001</v>
      </c>
      <c r="EG11">
        <v>69.600000000700007</v>
      </c>
      <c r="EH11">
        <v>78.000000001299995</v>
      </c>
      <c r="EI11">
        <v>85.399999999900004</v>
      </c>
      <c r="EJ11">
        <v>93.200000001199996</v>
      </c>
      <c r="EK11">
        <v>100.9000000013</v>
      </c>
      <c r="EL11">
        <v>108.8</v>
      </c>
      <c r="EM11">
        <v>116.90000000089999</v>
      </c>
      <c r="EN11">
        <v>126.0000000002</v>
      </c>
      <c r="EO11">
        <v>135.50000000029999</v>
      </c>
      <c r="EP11">
        <v>143.1000000011</v>
      </c>
      <c r="EQ11">
        <v>151.49999999990001</v>
      </c>
      <c r="ER11">
        <v>159.4999999998</v>
      </c>
      <c r="ES11">
        <v>167.5000000014</v>
      </c>
      <c r="ET11">
        <v>175.69999999980001</v>
      </c>
      <c r="EU11">
        <v>184.40000000009999</v>
      </c>
      <c r="EV11">
        <v>192.39999999989999</v>
      </c>
      <c r="EW11">
        <v>200.60000000010001</v>
      </c>
      <c r="EX11">
        <v>208.70000000100001</v>
      </c>
      <c r="EY11">
        <v>216.5999999997</v>
      </c>
      <c r="EZ11">
        <v>224.8</v>
      </c>
      <c r="FA11">
        <v>232.70000000050001</v>
      </c>
      <c r="FB11">
        <v>241.2000000004</v>
      </c>
      <c r="FC11">
        <v>248.8000000012</v>
      </c>
      <c r="FD11">
        <v>256.50000000130001</v>
      </c>
      <c r="FE11">
        <v>264.50000000109998</v>
      </c>
      <c r="FF11">
        <v>272.20000000120001</v>
      </c>
      <c r="FG11">
        <v>279.70000000099998</v>
      </c>
      <c r="FH11">
        <v>287.7000000008</v>
      </c>
      <c r="FI11">
        <v>295.40000000089998</v>
      </c>
      <c r="FJ11">
        <v>302.30000000119998</v>
      </c>
      <c r="FK11">
        <v>309.69999999980001</v>
      </c>
      <c r="FL11">
        <v>316.70000000120001</v>
      </c>
      <c r="FM11">
        <v>323.7000000008</v>
      </c>
      <c r="FN11">
        <v>330.7000000004</v>
      </c>
      <c r="FO11">
        <v>337.80000000119998</v>
      </c>
      <c r="FP11">
        <v>345.00000000120002</v>
      </c>
      <c r="FQ11">
        <v>351.6</v>
      </c>
      <c r="FR11">
        <v>357.90000000089998</v>
      </c>
      <c r="FS11">
        <v>364.49999999969998</v>
      </c>
      <c r="FT11">
        <v>371.00000000099999</v>
      </c>
      <c r="FU11">
        <v>377.0999999997</v>
      </c>
      <c r="FV11">
        <v>383.20000000020002</v>
      </c>
      <c r="FW11">
        <v>389.50000000109998</v>
      </c>
      <c r="FX11">
        <v>395.70000000089999</v>
      </c>
      <c r="FY11">
        <v>402</v>
      </c>
      <c r="FZ11">
        <v>407.30000000080003</v>
      </c>
      <c r="GA11">
        <v>413.00000000049999</v>
      </c>
      <c r="GB11">
        <v>418.40000000049997</v>
      </c>
      <c r="GC11">
        <v>423.70000000120001</v>
      </c>
      <c r="GD11">
        <v>428.90000000079999</v>
      </c>
      <c r="GE11">
        <v>433.70000000139999</v>
      </c>
      <c r="GF11">
        <v>438.60000000129997</v>
      </c>
      <c r="GG11">
        <v>443.40000000010002</v>
      </c>
      <c r="GH11">
        <v>447.90000000100002</v>
      </c>
      <c r="GI11">
        <v>450.1</v>
      </c>
      <c r="GJ11">
        <v>450.30000000040002</v>
      </c>
      <c r="GK11">
        <v>450.39999999970001</v>
      </c>
      <c r="GL11">
        <v>450.30000000040002</v>
      </c>
      <c r="GM11">
        <v>450.30000000040002</v>
      </c>
      <c r="GN11">
        <v>450.39999999970001</v>
      </c>
      <c r="GO11">
        <v>450.39999999970001</v>
      </c>
      <c r="GP11">
        <v>450.30000000040002</v>
      </c>
      <c r="GQ11">
        <v>450.39999999970001</v>
      </c>
      <c r="GR11">
        <v>450.39999999970001</v>
      </c>
      <c r="GS11">
        <v>450.60000000010001</v>
      </c>
      <c r="GT11">
        <v>450.50000000080001</v>
      </c>
      <c r="GU11">
        <v>450.50000000080001</v>
      </c>
      <c r="GV11">
        <v>450.50000000080001</v>
      </c>
      <c r="GW11">
        <v>450.70000000120001</v>
      </c>
      <c r="GX11">
        <v>1</v>
      </c>
      <c r="GY11">
        <v>121.4</v>
      </c>
      <c r="GZ11">
        <v>119.09999999990001</v>
      </c>
      <c r="HA11">
        <v>119.09999999990001</v>
      </c>
      <c r="HB11">
        <v>126.0000000002</v>
      </c>
      <c r="HC11">
        <v>120.9761814954</v>
      </c>
      <c r="HD11">
        <v>-6.9000000003000004</v>
      </c>
      <c r="HE11">
        <v>450.70000000120001</v>
      </c>
      <c r="HF11">
        <v>285.47104504169999</v>
      </c>
      <c r="HG11">
        <v>100.2529065885</v>
      </c>
      <c r="HH11">
        <v>450.80000000050001</v>
      </c>
      <c r="HI11">
        <v>450.70000000120001</v>
      </c>
      <c r="HJ11">
        <v>450.80000000050001</v>
      </c>
      <c r="HK11">
        <v>450.70000000120001</v>
      </c>
      <c r="HL11">
        <v>110.26392961880001</v>
      </c>
      <c r="HM11">
        <v>3.3190236789999998</v>
      </c>
      <c r="HN11">
        <v>3.2285265198999999</v>
      </c>
      <c r="HO11">
        <v>3.2808155236999998</v>
      </c>
      <c r="HP11">
        <v>3.1493903540999999</v>
      </c>
      <c r="HQ11">
        <v>3.4988903371000002</v>
      </c>
      <c r="HR11">
        <v>2.3173590851000001</v>
      </c>
      <c r="HS11">
        <v>20.723274907</v>
      </c>
      <c r="HT11">
        <v>-30.4985337243</v>
      </c>
      <c r="HU11">
        <v>-208</v>
      </c>
      <c r="HV11">
        <v>406.44722653709999</v>
      </c>
      <c r="HW11">
        <v>89.149560117299998</v>
      </c>
      <c r="HX11">
        <v>608</v>
      </c>
      <c r="HY11">
        <v>20.723274907</v>
      </c>
      <c r="HZ11">
        <v>-30.4985337243</v>
      </c>
      <c r="IA11">
        <v>-208</v>
      </c>
      <c r="IB11">
        <v>406.44722653709999</v>
      </c>
      <c r="IC11">
        <v>89.149560117299998</v>
      </c>
      <c r="ID11">
        <v>608</v>
      </c>
      <c r="IE11">
        <v>44.252773464100002</v>
      </c>
      <c r="IF11">
        <v>1.6035500347</v>
      </c>
      <c r="IG11">
        <v>-39.8826979472</v>
      </c>
      <c r="IH11">
        <v>-272</v>
      </c>
      <c r="II11">
        <v>428.46178167369999</v>
      </c>
      <c r="IJ11">
        <v>98.533724340199996</v>
      </c>
      <c r="IK11">
        <v>672</v>
      </c>
      <c r="IL11">
        <v>385.72395163020002</v>
      </c>
      <c r="IM11">
        <v>119.6480938416</v>
      </c>
      <c r="IN11">
        <v>410.45342800129998</v>
      </c>
      <c r="IO11">
        <v>129.03225806450001</v>
      </c>
      <c r="IP11">
        <v>7.0000000014000001</v>
      </c>
      <c r="IQ11">
        <v>5.4999999992999999</v>
      </c>
      <c r="IR11">
        <v>9.5000000001</v>
      </c>
      <c r="IS11">
        <v>5.5224679257</v>
      </c>
      <c r="IT11">
        <v>5.5224679257</v>
      </c>
      <c r="IU11">
        <v>5.5000000011000001</v>
      </c>
      <c r="IV11">
        <v>-32.844574780099997</v>
      </c>
      <c r="IW11">
        <v>9.0999999992999996</v>
      </c>
      <c r="IX11">
        <v>86.803519061599999</v>
      </c>
      <c r="IY11">
        <v>7.9999999998</v>
      </c>
      <c r="IZ11">
        <v>96.187683284499997</v>
      </c>
      <c r="JA11">
        <v>-37.099990857000002</v>
      </c>
      <c r="JB11">
        <v>0.33684621380000002</v>
      </c>
      <c r="JC11">
        <v>-3.3814110000000001E-4</v>
      </c>
      <c r="JD11">
        <v>6.7280000000000004E-7</v>
      </c>
      <c r="JE11">
        <v>0.30129342139999998</v>
      </c>
      <c r="JF11">
        <v>0.29324877869999999</v>
      </c>
      <c r="JG11">
        <v>0.1333468068</v>
      </c>
      <c r="JH11">
        <v>121.74958168809999</v>
      </c>
      <c r="JI11">
        <v>3.4988903371000002</v>
      </c>
      <c r="JJ11">
        <v>2.5800965999999998E-3</v>
      </c>
      <c r="JK11">
        <v>-6.8848899999999997E-5</v>
      </c>
      <c r="JL11">
        <v>3.3190236789999998</v>
      </c>
      <c r="JM11">
        <v>1.441575791</v>
      </c>
      <c r="JN11">
        <v>0.65737984630000001</v>
      </c>
      <c r="JO11">
        <v>2.9837500006000002</v>
      </c>
      <c r="JP11">
        <v>2.3443749996999999</v>
      </c>
      <c r="JQ11">
        <v>4.0493750000000004</v>
      </c>
      <c r="JR11" s="17" t="s">
        <v>544</v>
      </c>
      <c r="JU11" s="17">
        <v>1</v>
      </c>
    </row>
    <row r="12" spans="1:281">
      <c r="A12" t="s">
        <v>692</v>
      </c>
      <c r="B12" t="s">
        <v>693</v>
      </c>
      <c r="C12" t="s">
        <v>694</v>
      </c>
      <c r="D12" t="s">
        <v>213</v>
      </c>
      <c r="E12">
        <v>3</v>
      </c>
      <c r="F12" t="s">
        <v>214</v>
      </c>
      <c r="G12" t="s">
        <v>215</v>
      </c>
      <c r="H12" t="s">
        <v>543</v>
      </c>
      <c r="I12" t="s">
        <v>217</v>
      </c>
      <c r="K12" t="s">
        <v>676</v>
      </c>
      <c r="L12" t="s">
        <v>677</v>
      </c>
      <c r="M12" t="s">
        <v>678</v>
      </c>
      <c r="N12" t="s">
        <v>679</v>
      </c>
      <c r="O12" t="s">
        <v>680</v>
      </c>
      <c r="P12">
        <v>0</v>
      </c>
      <c r="Q12">
        <v>0</v>
      </c>
      <c r="R12">
        <v>1.9000000011</v>
      </c>
      <c r="S12">
        <v>2.3000000000999998</v>
      </c>
      <c r="T12">
        <v>2.5000000005</v>
      </c>
      <c r="U12">
        <v>2.5000000005</v>
      </c>
      <c r="V12">
        <v>2.5000000005</v>
      </c>
      <c r="W12">
        <v>2.3999999993999999</v>
      </c>
      <c r="X12">
        <v>2.3000000000999998</v>
      </c>
      <c r="Y12">
        <v>2.5999999998000001</v>
      </c>
      <c r="Z12">
        <v>2.7000000008999998</v>
      </c>
      <c r="AA12">
        <v>2.5999999998000001</v>
      </c>
      <c r="AB12">
        <v>2.5999999998000001</v>
      </c>
      <c r="AC12">
        <v>2.5000000005</v>
      </c>
      <c r="AD12">
        <v>2.5999999998000001</v>
      </c>
      <c r="AE12">
        <v>2.5000000005</v>
      </c>
      <c r="AF12">
        <v>1.9000000011</v>
      </c>
      <c r="AG12">
        <v>1.2999999999</v>
      </c>
      <c r="AH12">
        <v>0.59999999940000004</v>
      </c>
      <c r="AI12">
        <v>0</v>
      </c>
      <c r="AJ12">
        <v>2.0999999997000001</v>
      </c>
      <c r="AK12">
        <v>8.2000000001999993</v>
      </c>
      <c r="AL12">
        <v>15.300000000900001</v>
      </c>
      <c r="AM12">
        <v>23.000000001</v>
      </c>
      <c r="AN12">
        <v>29.800000000299999</v>
      </c>
      <c r="AO12">
        <v>37.200000000700001</v>
      </c>
      <c r="AP12">
        <v>44.799999999699999</v>
      </c>
      <c r="AQ12">
        <v>52.299999999400001</v>
      </c>
      <c r="AR12">
        <v>59.600000000500003</v>
      </c>
      <c r="AS12">
        <v>67.900000000000006</v>
      </c>
      <c r="AT12">
        <v>76.199999999499994</v>
      </c>
      <c r="AU12">
        <v>83.899999999599999</v>
      </c>
      <c r="AV12">
        <v>91.700000000900005</v>
      </c>
      <c r="AW12">
        <v>100.00000000039999</v>
      </c>
      <c r="AX12">
        <v>108.400000001</v>
      </c>
      <c r="AY12">
        <v>117.8</v>
      </c>
      <c r="AZ12">
        <v>126.0999999995</v>
      </c>
      <c r="BA12">
        <v>134.79999999980001</v>
      </c>
      <c r="BB12">
        <v>142.7999999996</v>
      </c>
      <c r="BC12">
        <v>150.9999999998</v>
      </c>
      <c r="BD12">
        <v>159.29999999930001</v>
      </c>
      <c r="BE12">
        <v>167.7</v>
      </c>
      <c r="BF12">
        <v>176.1999999999</v>
      </c>
      <c r="BG12">
        <v>184.80000000090001</v>
      </c>
      <c r="BH12">
        <v>193.00000000110001</v>
      </c>
      <c r="BI12">
        <v>201.50000000099999</v>
      </c>
      <c r="BJ12">
        <v>209.39999999969999</v>
      </c>
      <c r="BK12">
        <v>217.20000000100001</v>
      </c>
      <c r="BL12">
        <v>225.80000000019999</v>
      </c>
      <c r="BM12">
        <v>234.0999999997</v>
      </c>
      <c r="BN12">
        <v>242.2999999999</v>
      </c>
      <c r="BO12">
        <v>250</v>
      </c>
      <c r="BP12">
        <v>257.90000000049997</v>
      </c>
      <c r="BQ12">
        <v>265.800000001</v>
      </c>
      <c r="BR12">
        <v>273.50000000109998</v>
      </c>
      <c r="BS12">
        <v>281.1000000002</v>
      </c>
      <c r="BT12">
        <v>288.80000000029997</v>
      </c>
      <c r="BU12">
        <v>296.40000000110001</v>
      </c>
      <c r="BV12">
        <v>303.7000000004</v>
      </c>
      <c r="BW12">
        <v>310.90000000039998</v>
      </c>
      <c r="BX12">
        <v>318.19999999970003</v>
      </c>
      <c r="BY12">
        <v>324.89999999960003</v>
      </c>
      <c r="BZ12">
        <v>332.40000000110001</v>
      </c>
      <c r="CA12">
        <v>339.20000000030001</v>
      </c>
      <c r="CB12">
        <v>346.2</v>
      </c>
      <c r="CC12">
        <v>352.69999999949999</v>
      </c>
      <c r="CD12">
        <v>359.39999999939999</v>
      </c>
      <c r="CE12">
        <v>365.60000000100001</v>
      </c>
      <c r="CF12">
        <v>371.80000000080003</v>
      </c>
      <c r="CG12">
        <v>378.30000000029997</v>
      </c>
      <c r="CH12">
        <v>384.70000000049998</v>
      </c>
      <c r="CI12">
        <v>390.60000000060001</v>
      </c>
      <c r="CJ12">
        <v>397.00000000080001</v>
      </c>
      <c r="CK12">
        <v>402.70000000060003</v>
      </c>
      <c r="CL12">
        <v>408.49999999950001</v>
      </c>
      <c r="CM12">
        <v>414.20000000110002</v>
      </c>
      <c r="CN12">
        <v>419.7000000004</v>
      </c>
      <c r="CO12">
        <v>425.10000000039997</v>
      </c>
      <c r="CP12">
        <v>430.50000000040001</v>
      </c>
      <c r="CQ12">
        <v>436.20000000009998</v>
      </c>
      <c r="CR12">
        <v>441.39999999970001</v>
      </c>
      <c r="CS12">
        <v>445.60000000090002</v>
      </c>
      <c r="CT12">
        <v>450.00000000070003</v>
      </c>
      <c r="CU12">
        <v>452.60000000050002</v>
      </c>
      <c r="CV12">
        <v>452.90000000020001</v>
      </c>
      <c r="CW12">
        <v>452.80000000090001</v>
      </c>
      <c r="CX12">
        <v>452.69999999980001</v>
      </c>
      <c r="CY12">
        <v>452.69999999980001</v>
      </c>
      <c r="CZ12">
        <v>452.69999999980001</v>
      </c>
      <c r="DA12">
        <v>452.80000000090001</v>
      </c>
      <c r="DB12">
        <v>452.80000000090001</v>
      </c>
      <c r="DC12">
        <v>452.80000000090001</v>
      </c>
      <c r="DD12">
        <v>452.69999999980001</v>
      </c>
      <c r="DE12">
        <v>452.60000000050002</v>
      </c>
      <c r="DF12">
        <v>452.90000000020001</v>
      </c>
      <c r="DG12">
        <v>452.60000000050002</v>
      </c>
      <c r="DH12">
        <v>2.8000000001999998</v>
      </c>
      <c r="DI12">
        <v>3.8000000003999999</v>
      </c>
      <c r="DJ12">
        <v>3.8999999996999999</v>
      </c>
      <c r="DK12">
        <v>3.8000000003999999</v>
      </c>
      <c r="DL12">
        <v>3.8999999996999999</v>
      </c>
      <c r="DM12">
        <v>3.8000000003999999</v>
      </c>
      <c r="DN12">
        <v>3.8999999996999999</v>
      </c>
      <c r="DO12">
        <v>3.8000000003999999</v>
      </c>
      <c r="DP12">
        <v>3.8999999996999999</v>
      </c>
      <c r="DQ12">
        <v>3.8999999996999999</v>
      </c>
      <c r="DR12">
        <v>3.8999999996999999</v>
      </c>
      <c r="DS12">
        <v>3.8999999996999999</v>
      </c>
      <c r="DT12">
        <v>3.8999999996999999</v>
      </c>
      <c r="DU12">
        <v>3.6</v>
      </c>
      <c r="DV12">
        <v>2.7000000008999998</v>
      </c>
      <c r="DW12">
        <v>2.0000000004</v>
      </c>
      <c r="DX12">
        <v>1.2999999999</v>
      </c>
      <c r="DY12">
        <v>1.5999999996000001</v>
      </c>
      <c r="DZ12">
        <v>5.6000000003999997</v>
      </c>
      <c r="EA12">
        <v>12.700000001099999</v>
      </c>
      <c r="EB12">
        <v>20.700000000900001</v>
      </c>
      <c r="EC12">
        <v>27.500000000099998</v>
      </c>
      <c r="ED12">
        <v>34.600000000900003</v>
      </c>
      <c r="EE12">
        <v>42.400000000299997</v>
      </c>
      <c r="EF12">
        <v>50.100000000400001</v>
      </c>
      <c r="EG12">
        <v>57.200000001100001</v>
      </c>
      <c r="EH12">
        <v>65.399999999499997</v>
      </c>
      <c r="EI12">
        <v>73.599999999700003</v>
      </c>
      <c r="EJ12">
        <v>81.500000000200004</v>
      </c>
      <c r="EK12">
        <v>89.299999999600004</v>
      </c>
      <c r="EL12">
        <v>97.600000000999998</v>
      </c>
      <c r="EM12">
        <v>105.7999999994</v>
      </c>
      <c r="EN12">
        <v>114.3000000011</v>
      </c>
      <c r="EO12">
        <v>123.3000000011</v>
      </c>
      <c r="EP12">
        <v>131.9000000003</v>
      </c>
      <c r="EQ12">
        <v>139.99999999939999</v>
      </c>
      <c r="ER12">
        <v>148.30000000070001</v>
      </c>
      <c r="ES12">
        <v>156.9</v>
      </c>
      <c r="ET12">
        <v>164.8999999998</v>
      </c>
      <c r="EU12">
        <v>174.0000000009</v>
      </c>
      <c r="EV12">
        <v>182.20000000109999</v>
      </c>
      <c r="EW12">
        <v>190.70000000100001</v>
      </c>
      <c r="EX12">
        <v>198.89999999939999</v>
      </c>
      <c r="EY12">
        <v>207.20000000069999</v>
      </c>
      <c r="EZ12">
        <v>215.09999999940001</v>
      </c>
      <c r="FA12">
        <v>223.70000000050001</v>
      </c>
      <c r="FB12">
        <v>231.7999999996</v>
      </c>
      <c r="FC12">
        <v>240.20000000019999</v>
      </c>
      <c r="FD12">
        <v>248.10000000069999</v>
      </c>
      <c r="FE12">
        <v>255.99999999939999</v>
      </c>
      <c r="FF12">
        <v>264.00000000099999</v>
      </c>
      <c r="FG12">
        <v>271.50000000070003</v>
      </c>
      <c r="FH12">
        <v>279.80000000029997</v>
      </c>
      <c r="FI12">
        <v>287.3</v>
      </c>
      <c r="FJ12">
        <v>295.09999999939998</v>
      </c>
      <c r="FK12">
        <v>302.40000000049997</v>
      </c>
      <c r="FL12">
        <v>309.69999999980001</v>
      </c>
      <c r="FM12">
        <v>316.80000000050001</v>
      </c>
      <c r="FN12">
        <v>323.89999999939999</v>
      </c>
      <c r="FO12">
        <v>331.40000000089998</v>
      </c>
      <c r="FP12">
        <v>338.20000000009998</v>
      </c>
      <c r="FQ12">
        <v>345.49999999940002</v>
      </c>
      <c r="FR12">
        <v>351.89999999970001</v>
      </c>
      <c r="FS12">
        <v>358.70000000070002</v>
      </c>
      <c r="FT12">
        <v>364.90000000049997</v>
      </c>
      <c r="FU12">
        <v>371.30000000069998</v>
      </c>
      <c r="FV12">
        <v>377.59999999979999</v>
      </c>
      <c r="FW12">
        <v>384.1000000011</v>
      </c>
      <c r="FX12">
        <v>390.19999999980001</v>
      </c>
      <c r="FY12">
        <v>396.50000000070003</v>
      </c>
      <c r="FZ12">
        <v>402.2000000004</v>
      </c>
      <c r="GA12">
        <v>408.1999999999</v>
      </c>
      <c r="GB12">
        <v>413.80000000029997</v>
      </c>
      <c r="GC12">
        <v>419.20000000030001</v>
      </c>
      <c r="GD12">
        <v>424.9</v>
      </c>
      <c r="GE12">
        <v>430.09999999960002</v>
      </c>
      <c r="GF12">
        <v>435.60000000069999</v>
      </c>
      <c r="GG12">
        <v>440.70000000099998</v>
      </c>
      <c r="GH12">
        <v>444.80000000109999</v>
      </c>
      <c r="GI12">
        <v>448.8000000001</v>
      </c>
      <c r="GJ12">
        <v>452.19999999970003</v>
      </c>
      <c r="GK12">
        <v>452.40000000010002</v>
      </c>
      <c r="GL12">
        <v>452.60000000050002</v>
      </c>
      <c r="GM12">
        <v>452.60000000050002</v>
      </c>
      <c r="GN12">
        <v>452.60000000050002</v>
      </c>
      <c r="GO12">
        <v>452.69999999980001</v>
      </c>
      <c r="GP12">
        <v>452.49999999940002</v>
      </c>
      <c r="GQ12">
        <v>452.49999999940002</v>
      </c>
      <c r="GR12">
        <v>452.69999999980001</v>
      </c>
      <c r="GS12">
        <v>452.60000000050002</v>
      </c>
      <c r="GT12">
        <v>452.69999999980001</v>
      </c>
      <c r="GU12">
        <v>452.69999999980001</v>
      </c>
      <c r="GV12">
        <v>452.60000000050002</v>
      </c>
      <c r="GW12">
        <v>452.80000000090001</v>
      </c>
      <c r="GX12">
        <v>1</v>
      </c>
      <c r="GY12">
        <v>108.6999999989</v>
      </c>
      <c r="GZ12">
        <v>108.400000001</v>
      </c>
      <c r="HA12">
        <v>108.400000001</v>
      </c>
      <c r="HB12">
        <v>114.3000000011</v>
      </c>
      <c r="HC12">
        <v>109.851054667</v>
      </c>
      <c r="HD12">
        <v>-5.9000000001000004</v>
      </c>
      <c r="HE12">
        <v>452.79997791369999</v>
      </c>
      <c r="HF12">
        <v>308.95082274919997</v>
      </c>
      <c r="HG12">
        <v>94.3363666483</v>
      </c>
      <c r="HH12">
        <v>452.90000000020001</v>
      </c>
      <c r="HI12">
        <v>452.79997791369999</v>
      </c>
      <c r="HJ12">
        <v>452.90000000020001</v>
      </c>
      <c r="HK12">
        <v>452.80000000090001</v>
      </c>
      <c r="HL12">
        <v>112.6099706745</v>
      </c>
      <c r="HM12">
        <v>3.3443697673999999</v>
      </c>
      <c r="HN12">
        <v>3.2885064484000002</v>
      </c>
      <c r="HO12">
        <v>3.3208903099999998</v>
      </c>
      <c r="HP12">
        <v>3.2454397307999998</v>
      </c>
      <c r="HQ12">
        <v>3.5622624173999999</v>
      </c>
      <c r="HR12">
        <v>2.1814778271000002</v>
      </c>
      <c r="HS12">
        <v>15.514688018599999</v>
      </c>
      <c r="HT12">
        <v>-28.152492668600001</v>
      </c>
      <c r="HU12">
        <v>-192</v>
      </c>
      <c r="HV12">
        <v>418.80187741610001</v>
      </c>
      <c r="HW12">
        <v>96.187683284499997</v>
      </c>
      <c r="HX12">
        <v>656</v>
      </c>
      <c r="HY12">
        <v>15.514688018599999</v>
      </c>
      <c r="HZ12">
        <v>-28.152492668600001</v>
      </c>
      <c r="IA12">
        <v>-192</v>
      </c>
      <c r="IB12">
        <v>418.80187741610001</v>
      </c>
      <c r="IC12">
        <v>96.187683284499997</v>
      </c>
      <c r="ID12">
        <v>656</v>
      </c>
      <c r="IE12">
        <v>33.998100497599999</v>
      </c>
      <c r="IF12">
        <v>0.60146880120000001</v>
      </c>
      <c r="IG12">
        <v>-37.536656891500002</v>
      </c>
      <c r="IH12">
        <v>-256</v>
      </c>
      <c r="II12">
        <v>440.55786858189998</v>
      </c>
      <c r="IJ12">
        <v>105.57184750730001</v>
      </c>
      <c r="IK12">
        <v>720</v>
      </c>
      <c r="IL12">
        <v>403.28718939750001</v>
      </c>
      <c r="IM12">
        <v>124.3401759531</v>
      </c>
      <c r="IN12">
        <v>427.69249033670002</v>
      </c>
      <c r="IO12">
        <v>133.724340176</v>
      </c>
      <c r="IP12">
        <v>7.9999999998</v>
      </c>
      <c r="IQ12">
        <v>5.6999999997000002</v>
      </c>
      <c r="IR12">
        <v>9.3999999990000003</v>
      </c>
      <c r="IS12">
        <v>6.9119024918000003</v>
      </c>
      <c r="IT12">
        <v>6.9119024918000003</v>
      </c>
      <c r="IU12">
        <v>4.5000000009000001</v>
      </c>
      <c r="IV12">
        <v>-30.4985337243</v>
      </c>
      <c r="IW12">
        <v>6.5000000013000001</v>
      </c>
      <c r="IX12">
        <v>63.3431085044</v>
      </c>
      <c r="IY12">
        <v>5.1000000002999997</v>
      </c>
      <c r="IZ12">
        <v>103.22580645159999</v>
      </c>
      <c r="JA12">
        <v>-33.069762472100003</v>
      </c>
      <c r="JB12">
        <v>0.32865528329999999</v>
      </c>
      <c r="JC12">
        <v>-3.3505409999999997E-4</v>
      </c>
      <c r="JD12">
        <v>6.8390000000000003E-7</v>
      </c>
      <c r="JE12">
        <v>0.29900999880000001</v>
      </c>
      <c r="JF12">
        <v>0.21648224629999999</v>
      </c>
      <c r="JG12">
        <v>9.4406419599999999E-2</v>
      </c>
      <c r="JH12">
        <v>110.8467810954</v>
      </c>
      <c r="JI12">
        <v>3.5622624173999999</v>
      </c>
      <c r="JJ12">
        <v>2.7277806000000002E-3</v>
      </c>
      <c r="JK12">
        <v>-6.8652799999999994E-5</v>
      </c>
      <c r="JL12">
        <v>3.3443697673999999</v>
      </c>
      <c r="JM12">
        <v>1.3370150006999999</v>
      </c>
      <c r="JN12">
        <v>0.62474339779999999</v>
      </c>
      <c r="JO12">
        <v>3.4099999999000001</v>
      </c>
      <c r="JP12">
        <v>2.4296249999000001</v>
      </c>
      <c r="JQ12">
        <v>4.0067499996000002</v>
      </c>
      <c r="JR12" s="17" t="s">
        <v>544</v>
      </c>
      <c r="JU12" s="17">
        <v>1</v>
      </c>
    </row>
    <row r="13" spans="1:281">
      <c r="A13" t="s">
        <v>707</v>
      </c>
      <c r="B13" t="s">
        <v>708</v>
      </c>
      <c r="C13" t="s">
        <v>709</v>
      </c>
      <c r="D13" t="s">
        <v>213</v>
      </c>
      <c r="E13">
        <v>3</v>
      </c>
      <c r="F13" t="s">
        <v>214</v>
      </c>
      <c r="G13" t="s">
        <v>215</v>
      </c>
      <c r="H13" t="s">
        <v>543</v>
      </c>
      <c r="I13" t="s">
        <v>217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0</v>
      </c>
      <c r="S13">
        <v>0.59999999940000004</v>
      </c>
      <c r="T13">
        <v>0.79999999980000003</v>
      </c>
      <c r="U13">
        <v>0.7000000005</v>
      </c>
      <c r="V13">
        <v>0.79999999980000003</v>
      </c>
      <c r="W13">
        <v>0.79999999980000003</v>
      </c>
      <c r="X13">
        <v>0.7000000005</v>
      </c>
      <c r="Y13">
        <v>0.89999999909999995</v>
      </c>
      <c r="Z13">
        <v>1.0000000002</v>
      </c>
      <c r="AA13">
        <v>1.0000000002</v>
      </c>
      <c r="AB13">
        <v>1.0000000002</v>
      </c>
      <c r="AC13">
        <v>1.0000000002</v>
      </c>
      <c r="AD13">
        <v>1.0999999995</v>
      </c>
      <c r="AE13">
        <v>1.0999999995</v>
      </c>
      <c r="AF13">
        <v>1.0999999995</v>
      </c>
      <c r="AG13">
        <v>0.79999999980000003</v>
      </c>
      <c r="AH13">
        <v>0.20000000039999999</v>
      </c>
      <c r="AI13">
        <v>1.8999999993000001</v>
      </c>
      <c r="AJ13">
        <v>6.6000000005999997</v>
      </c>
      <c r="AK13">
        <v>12.800000000400001</v>
      </c>
      <c r="AL13">
        <v>19.500000000299998</v>
      </c>
      <c r="AM13">
        <v>26.700000000300001</v>
      </c>
      <c r="AN13">
        <v>33.999999999700002</v>
      </c>
      <c r="AO13">
        <v>41.600000000500003</v>
      </c>
      <c r="AP13">
        <v>49.300000000600001</v>
      </c>
      <c r="AQ13">
        <v>56.699999999200003</v>
      </c>
      <c r="AR13">
        <v>64.200000000700001</v>
      </c>
      <c r="AS13">
        <v>71.200000000299994</v>
      </c>
      <c r="AT13">
        <v>79.799999999500002</v>
      </c>
      <c r="AU13">
        <v>87.400000000299997</v>
      </c>
      <c r="AV13">
        <v>95.699999999900001</v>
      </c>
      <c r="AW13">
        <v>104.1999999998</v>
      </c>
      <c r="AX13">
        <v>112.6000000004</v>
      </c>
      <c r="AY13">
        <v>121.1000000003</v>
      </c>
      <c r="AZ13">
        <v>128.99999999900001</v>
      </c>
      <c r="BA13">
        <v>137.69999999929999</v>
      </c>
      <c r="BB13">
        <v>146.1999999992</v>
      </c>
      <c r="BC13">
        <v>154.69999999909999</v>
      </c>
      <c r="BD13">
        <v>163.00000000049999</v>
      </c>
      <c r="BE13">
        <v>171.20000000069999</v>
      </c>
      <c r="BF13">
        <v>178.4000000007</v>
      </c>
      <c r="BG13">
        <v>187.09999999920001</v>
      </c>
      <c r="BH13">
        <v>195.4000000005</v>
      </c>
      <c r="BI13">
        <v>203.7</v>
      </c>
      <c r="BJ13">
        <v>211.90000000020001</v>
      </c>
      <c r="BK13">
        <v>219.8000000008</v>
      </c>
      <c r="BL13">
        <v>227.30000000050001</v>
      </c>
      <c r="BM13">
        <v>234.89999999950001</v>
      </c>
      <c r="BN13">
        <v>243.199999999</v>
      </c>
      <c r="BO13">
        <v>251.2999999999</v>
      </c>
      <c r="BP13">
        <v>259.0999999993</v>
      </c>
      <c r="BQ13">
        <v>266.90000000049997</v>
      </c>
      <c r="BR13">
        <v>274.29999999910001</v>
      </c>
      <c r="BS13">
        <v>281.30000000059999</v>
      </c>
      <c r="BT13">
        <v>288.39999999949998</v>
      </c>
      <c r="BU13">
        <v>296.3</v>
      </c>
      <c r="BV13">
        <v>303.7000000004</v>
      </c>
      <c r="BW13">
        <v>310.90000000039998</v>
      </c>
      <c r="BX13">
        <v>317.89999999999998</v>
      </c>
      <c r="BY13">
        <v>324.80000000029997</v>
      </c>
      <c r="BZ13">
        <v>331.50000000019998</v>
      </c>
      <c r="CA13">
        <v>337.79999999929998</v>
      </c>
      <c r="CB13">
        <v>344.90000000010002</v>
      </c>
      <c r="CC13">
        <v>351.50000000070003</v>
      </c>
      <c r="CD13">
        <v>358.00000000019998</v>
      </c>
      <c r="CE13">
        <v>364.59999999899998</v>
      </c>
      <c r="CF13">
        <v>370.89999999989999</v>
      </c>
      <c r="CG13">
        <v>377.00000000040001</v>
      </c>
      <c r="CH13">
        <v>382.99999999980002</v>
      </c>
      <c r="CI13">
        <v>388.80000000059999</v>
      </c>
      <c r="CJ13">
        <v>394.59999999960002</v>
      </c>
      <c r="CK13">
        <v>400.70000000009998</v>
      </c>
      <c r="CL13">
        <v>406.30000000059999</v>
      </c>
      <c r="CM13">
        <v>412.09999999960002</v>
      </c>
      <c r="CN13">
        <v>417.7</v>
      </c>
      <c r="CO13">
        <v>423.19999999930002</v>
      </c>
      <c r="CP13">
        <v>428.5</v>
      </c>
      <c r="CQ13">
        <v>433.80000000069998</v>
      </c>
      <c r="CR13">
        <v>439.09999999960002</v>
      </c>
      <c r="CS13">
        <v>443.10000000039997</v>
      </c>
      <c r="CT13">
        <v>446.7000000004</v>
      </c>
      <c r="CU13">
        <v>449.69999999919997</v>
      </c>
      <c r="CV13">
        <v>450.00000000070003</v>
      </c>
      <c r="CW13">
        <v>449.89999999960003</v>
      </c>
      <c r="CX13">
        <v>449.89999999960003</v>
      </c>
      <c r="CY13">
        <v>450.1</v>
      </c>
      <c r="CZ13">
        <v>450.1</v>
      </c>
      <c r="DA13">
        <v>450.00000000070003</v>
      </c>
      <c r="DB13">
        <v>450.00000000070003</v>
      </c>
      <c r="DC13">
        <v>450.00000000070003</v>
      </c>
      <c r="DD13">
        <v>449.89999999960003</v>
      </c>
      <c r="DE13">
        <v>449.89999999960003</v>
      </c>
      <c r="DF13">
        <v>449.89999999960003</v>
      </c>
      <c r="DG13">
        <v>449.80000000029997</v>
      </c>
      <c r="DH13">
        <v>1.0999999995</v>
      </c>
      <c r="DI13">
        <v>2.0999999997000001</v>
      </c>
      <c r="DJ13">
        <v>2.0999999997000001</v>
      </c>
      <c r="DK13">
        <v>2.1999999990000001</v>
      </c>
      <c r="DL13">
        <v>2.3000000000999998</v>
      </c>
      <c r="DM13">
        <v>2.3999999993999999</v>
      </c>
      <c r="DN13">
        <v>2.3999999993999999</v>
      </c>
      <c r="DO13">
        <v>2.3999999993999999</v>
      </c>
      <c r="DP13">
        <v>2.3000000000999998</v>
      </c>
      <c r="DQ13">
        <v>2.0999999997000001</v>
      </c>
      <c r="DR13">
        <v>2.3000000000999998</v>
      </c>
      <c r="DS13">
        <v>2.1999999990000001</v>
      </c>
      <c r="DT13">
        <v>2.5000000005</v>
      </c>
      <c r="DU13">
        <v>2.3000000000999998</v>
      </c>
      <c r="DV13">
        <v>2.0000000004</v>
      </c>
      <c r="DW13">
        <v>1.5999999996000001</v>
      </c>
      <c r="DX13">
        <v>1.0999999995</v>
      </c>
      <c r="DY13">
        <v>4.1999999994000001</v>
      </c>
      <c r="DZ13">
        <v>10.700000000699999</v>
      </c>
      <c r="EA13">
        <v>16.9999999998</v>
      </c>
      <c r="EB13">
        <v>24.400000000199999</v>
      </c>
      <c r="EC13">
        <v>31.800000000699999</v>
      </c>
      <c r="ED13">
        <v>39.300000000399997</v>
      </c>
      <c r="EE13">
        <v>46.899999999400002</v>
      </c>
      <c r="EF13">
        <v>54.700000000599999</v>
      </c>
      <c r="EG13">
        <v>61.999999999899998</v>
      </c>
      <c r="EH13">
        <v>68.999999999500005</v>
      </c>
      <c r="EI13">
        <v>76.4999999992</v>
      </c>
      <c r="EJ13">
        <v>85.100000000199998</v>
      </c>
      <c r="EK13">
        <v>93.1</v>
      </c>
      <c r="EL13">
        <v>101.6</v>
      </c>
      <c r="EM13">
        <v>109.5999999998</v>
      </c>
      <c r="EN13">
        <v>118.0999999997</v>
      </c>
      <c r="EO13">
        <v>126.2000000006</v>
      </c>
      <c r="EP13">
        <v>135.0000000002</v>
      </c>
      <c r="EQ13">
        <v>143.59999999940001</v>
      </c>
      <c r="ER13">
        <v>151.90000000079999</v>
      </c>
      <c r="ES13">
        <v>160.5</v>
      </c>
      <c r="ET13">
        <v>168.59999999909999</v>
      </c>
      <c r="EU13">
        <v>176.1999999999</v>
      </c>
      <c r="EV13">
        <v>184.40000000009999</v>
      </c>
      <c r="EW13">
        <v>192.9999999993</v>
      </c>
      <c r="EX13">
        <v>201.49999999920001</v>
      </c>
      <c r="EY13">
        <v>209.8999999998</v>
      </c>
      <c r="EZ13">
        <v>217.80000000039999</v>
      </c>
      <c r="FA13">
        <v>225.69999999909999</v>
      </c>
      <c r="FB13">
        <v>233.2000000006</v>
      </c>
      <c r="FC13">
        <v>241.59999999940001</v>
      </c>
      <c r="FD13">
        <v>249.9000000007</v>
      </c>
      <c r="FE13">
        <v>257.99999999980002</v>
      </c>
      <c r="FF13">
        <v>265.6999999999</v>
      </c>
      <c r="FG13">
        <v>273.39999999999998</v>
      </c>
      <c r="FH13">
        <v>280.60000000000002</v>
      </c>
      <c r="FI13">
        <v>287.7000000008</v>
      </c>
      <c r="FJ13">
        <v>295.29999999979998</v>
      </c>
      <c r="FK13">
        <v>303.09999999920001</v>
      </c>
      <c r="FL13">
        <v>310.60000000069999</v>
      </c>
      <c r="FM13">
        <v>317.60000000029999</v>
      </c>
      <c r="FN13">
        <v>324.69999999919997</v>
      </c>
      <c r="FO13">
        <v>331.79999999990002</v>
      </c>
      <c r="FP13">
        <v>337.7</v>
      </c>
      <c r="FQ13">
        <v>345.19999999970003</v>
      </c>
      <c r="FR13">
        <v>351.69999999930002</v>
      </c>
      <c r="FS13">
        <v>358.50000000030002</v>
      </c>
      <c r="FT13">
        <v>365.09999999910002</v>
      </c>
      <c r="FU13">
        <v>371.4</v>
      </c>
      <c r="FV13">
        <v>377.39999999939999</v>
      </c>
      <c r="FW13">
        <v>384</v>
      </c>
      <c r="FX13">
        <v>389.60000000039997</v>
      </c>
      <c r="FY13">
        <v>395.59999999979999</v>
      </c>
      <c r="FZ13">
        <v>401.59999999920001</v>
      </c>
      <c r="GA13">
        <v>406.99999999919999</v>
      </c>
      <c r="GB13">
        <v>413.00000000049999</v>
      </c>
      <c r="GC13">
        <v>418.40000000049997</v>
      </c>
      <c r="GD13">
        <v>423.49999999900001</v>
      </c>
      <c r="GE13">
        <v>428.89999999899999</v>
      </c>
      <c r="GF13">
        <v>434.10000000039997</v>
      </c>
      <c r="GG13">
        <v>439.09999999960002</v>
      </c>
      <c r="GH13">
        <v>442.99999999929997</v>
      </c>
      <c r="GI13">
        <v>446.4000000007</v>
      </c>
      <c r="GJ13">
        <v>449.30000000019999</v>
      </c>
      <c r="GK13">
        <v>449.69999999919997</v>
      </c>
      <c r="GL13">
        <v>449.50000000059998</v>
      </c>
      <c r="GM13">
        <v>449.59999999989998</v>
      </c>
      <c r="GN13">
        <v>449.80000000029997</v>
      </c>
      <c r="GO13">
        <v>449.69999999919997</v>
      </c>
      <c r="GP13">
        <v>449.80000000029997</v>
      </c>
      <c r="GQ13">
        <v>449.80000000029997</v>
      </c>
      <c r="GR13">
        <v>449.69999999919997</v>
      </c>
      <c r="GS13">
        <v>449.69999999919997</v>
      </c>
      <c r="GT13">
        <v>449.80000000029997</v>
      </c>
      <c r="GU13">
        <v>449.80000000029997</v>
      </c>
      <c r="GV13">
        <v>449.80000000029997</v>
      </c>
      <c r="GW13">
        <v>449.69999999919997</v>
      </c>
      <c r="GX13">
        <v>1</v>
      </c>
      <c r="GY13">
        <v>114.8000000012</v>
      </c>
      <c r="GZ13">
        <v>112.6000000004</v>
      </c>
      <c r="HA13">
        <v>112.6000000004</v>
      </c>
      <c r="HB13">
        <v>118.0999999997</v>
      </c>
      <c r="HC13">
        <v>114.0099899991</v>
      </c>
      <c r="HD13">
        <v>-5.4999999992999999</v>
      </c>
      <c r="HE13">
        <v>449.70004444860001</v>
      </c>
      <c r="HF13">
        <v>298.3899211026</v>
      </c>
      <c r="HG13">
        <v>94.270952327900005</v>
      </c>
      <c r="HH13">
        <v>450.1</v>
      </c>
      <c r="HI13">
        <v>449.80002222500002</v>
      </c>
      <c r="HJ13">
        <v>450.1</v>
      </c>
      <c r="HK13">
        <v>449.80000000029997</v>
      </c>
      <c r="HL13">
        <v>112.6099706745</v>
      </c>
      <c r="HM13">
        <v>3.3091231285</v>
      </c>
      <c r="HN13">
        <v>3.2434302411</v>
      </c>
      <c r="HO13">
        <v>3.2903289892999998</v>
      </c>
      <c r="HP13">
        <v>3.2448981625000002</v>
      </c>
      <c r="HQ13">
        <v>3.5222011818999999</v>
      </c>
      <c r="HR13">
        <v>2.2334758196000002</v>
      </c>
      <c r="HS13">
        <v>19.739037671199998</v>
      </c>
      <c r="HT13">
        <v>-28.152492668600001</v>
      </c>
      <c r="HU13">
        <v>-192</v>
      </c>
      <c r="HV13">
        <v>412.39991110170001</v>
      </c>
      <c r="HW13">
        <v>93.841642228699996</v>
      </c>
      <c r="HX13">
        <v>640</v>
      </c>
      <c r="HY13">
        <v>19.739037671199998</v>
      </c>
      <c r="HZ13">
        <v>-28.152492668600001</v>
      </c>
      <c r="IA13">
        <v>-192</v>
      </c>
      <c r="IB13">
        <v>412.39991110170001</v>
      </c>
      <c r="IC13">
        <v>93.841642228699996</v>
      </c>
      <c r="ID13">
        <v>640</v>
      </c>
      <c r="IE13">
        <v>37.4001111233</v>
      </c>
      <c r="IF13">
        <v>0.20130014490000001</v>
      </c>
      <c r="IG13">
        <v>-37.536656891500002</v>
      </c>
      <c r="IH13">
        <v>-256</v>
      </c>
      <c r="II13">
        <v>433.86788532100002</v>
      </c>
      <c r="IJ13">
        <v>103.22580645159999</v>
      </c>
      <c r="IK13">
        <v>704</v>
      </c>
      <c r="IL13">
        <v>392.66087343049998</v>
      </c>
      <c r="IM13">
        <v>121.9941348974</v>
      </c>
      <c r="IN13">
        <v>416.44284920389998</v>
      </c>
      <c r="IO13">
        <v>131.37829912020001</v>
      </c>
      <c r="IP13">
        <v>6.6999999999000002</v>
      </c>
      <c r="IQ13">
        <v>5.4999999992999999</v>
      </c>
      <c r="IR13">
        <v>8.7999999996000007</v>
      </c>
      <c r="IS13">
        <v>6.3850953605000003</v>
      </c>
      <c r="IT13">
        <v>6.3850953605000003</v>
      </c>
      <c r="IU13">
        <v>4.1999999994000001</v>
      </c>
      <c r="IV13">
        <v>-30.4985337243</v>
      </c>
      <c r="IW13">
        <v>7.4000000004000004</v>
      </c>
      <c r="IX13">
        <v>68.035190615800005</v>
      </c>
      <c r="IY13">
        <v>5.7999999989999997</v>
      </c>
      <c r="IZ13">
        <v>98.533724340199996</v>
      </c>
      <c r="JA13">
        <v>-34.428253642199998</v>
      </c>
      <c r="JB13">
        <v>0.3299684839</v>
      </c>
      <c r="JC13">
        <v>-3.2112770000000001E-4</v>
      </c>
      <c r="JD13">
        <v>6.6670000000000001E-7</v>
      </c>
      <c r="JE13">
        <v>0.30219485979999999</v>
      </c>
      <c r="JF13">
        <v>0.3356389145</v>
      </c>
      <c r="JG13">
        <v>0.11462487659999999</v>
      </c>
      <c r="JH13">
        <v>114.5188108654</v>
      </c>
      <c r="JI13">
        <v>3.5222011818999999</v>
      </c>
      <c r="JJ13">
        <v>2.2039002E-3</v>
      </c>
      <c r="JK13">
        <v>-6.4437599999999994E-5</v>
      </c>
      <c r="JL13">
        <v>3.3091231285</v>
      </c>
      <c r="JM13">
        <v>1.5400394672</v>
      </c>
      <c r="JN13">
        <v>0.61373584719999996</v>
      </c>
      <c r="JO13">
        <v>2.8558750000000002</v>
      </c>
      <c r="JP13">
        <v>2.3443749996999999</v>
      </c>
      <c r="JQ13">
        <v>3.7509999997999999</v>
      </c>
      <c r="JR13" s="17" t="s">
        <v>544</v>
      </c>
      <c r="JU13" s="17">
        <v>1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7" t="s">
        <v>24</v>
      </c>
      <c r="C4" s="3"/>
    </row>
    <row r="5" spans="1:7">
      <c r="B5" s="98"/>
      <c r="C5" s="3"/>
    </row>
    <row r="6" spans="1:7">
      <c r="B6" s="98"/>
      <c r="C6" s="3"/>
    </row>
    <row r="7" spans="1:7">
      <c r="B7" s="99"/>
      <c r="C7" s="3"/>
    </row>
    <row r="8" spans="1:7">
      <c r="B8" s="100" t="s">
        <v>25</v>
      </c>
      <c r="C8" s="3"/>
    </row>
    <row r="9" spans="1:7">
      <c r="B9" s="100"/>
      <c r="C9" s="3"/>
    </row>
    <row r="10" spans="1:7">
      <c r="B10" s="100"/>
      <c r="C10" s="3"/>
    </row>
    <row r="11" spans="1:7">
      <c r="B11" s="100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109</v>
      </c>
    </row>
    <row r="16" spans="1:7">
      <c r="A16" s="1" t="s">
        <v>29</v>
      </c>
      <c r="C16" s="8">
        <f>'Summary(3pcs)'!D35</f>
        <v>64.239859006000003</v>
      </c>
      <c r="D16" s="9">
        <f>AVERAGE(C18:C20)</f>
        <v>69.023454025233335</v>
      </c>
      <c r="E16" s="1" t="s">
        <v>31</v>
      </c>
      <c r="G16" s="7" t="s">
        <v>110</v>
      </c>
    </row>
    <row r="17" spans="1:7" ht="17.25" thickBot="1">
      <c r="A17" s="1" t="s">
        <v>29</v>
      </c>
      <c r="C17" s="10">
        <f>'Summary(3pcs)'!D36</f>
        <v>62.259437114500003</v>
      </c>
      <c r="D17" s="9">
        <f>AVERAGE(C21:C23)</f>
        <v>70.79851516316667</v>
      </c>
      <c r="E17" s="1" t="s">
        <v>32</v>
      </c>
      <c r="G17" s="7" t="s">
        <v>111</v>
      </c>
    </row>
    <row r="18" spans="1:7" ht="17.25" thickBot="1">
      <c r="A18" s="1" t="s">
        <v>33</v>
      </c>
      <c r="C18" s="5">
        <f>'Summary(3pcs)'!D37</f>
        <v>71.077303460099998</v>
      </c>
      <c r="D18" s="11">
        <f>AVERAGE(C24:C26)</f>
        <v>73.144724956000005</v>
      </c>
      <c r="E18" s="1" t="s">
        <v>34</v>
      </c>
      <c r="G18" s="7" t="s">
        <v>112</v>
      </c>
    </row>
    <row r="19" spans="1:7">
      <c r="A19" s="1" t="s">
        <v>33</v>
      </c>
      <c r="C19" s="8">
        <f>'Summary(3pcs)'!D38</f>
        <v>68.026286583299992</v>
      </c>
      <c r="D19" s="6">
        <f>AVERAGE('Summary(3pcs)'!E35:E36)</f>
        <v>155.75302467628791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'Summary(3pcs)'!D39</f>
        <v>67.9667720323</v>
      </c>
      <c r="D20" s="9">
        <f>AVERAGE('Summary(3pcs)'!E37:E39)</f>
        <v>152.35988100217122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'Summary(3pcs)'!D40</f>
        <v>71.113486007700004</v>
      </c>
      <c r="D21" s="9">
        <f>AVERAGE('Summary(3pcs)'!E40:E42)</f>
        <v>152.0394729576046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'Summary(3pcs)'!D41</f>
        <v>71.074259551300003</v>
      </c>
      <c r="D22" s="11">
        <f>AVERAGE('Summary(3pcs)'!E43:E45)</f>
        <v>141.18193426400458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'Summary(3pcs)'!D42</f>
        <v>70.207799930500002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'Summary(3pcs)'!D43</f>
        <v>72.654156643799993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'Summary(3pcs)'!D44</f>
        <v>74.476251403500001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'Summary(3pcs)'!D45</f>
        <v>72.303766820700005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-0.89438787799999997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-10.0408013179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-2.0133754165000002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-1.1509060649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4.3881287765000003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-5.5019331019999997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-2.729820895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5.4677501316999999</v>
      </c>
      <c r="E38" s="1" t="s">
        <v>52</v>
      </c>
      <c r="G38" s="1" t="s">
        <v>52</v>
      </c>
    </row>
    <row r="39" spans="1:7" ht="17.25" thickBot="1">
      <c r="A39" s="1" t="s">
        <v>49</v>
      </c>
      <c r="B39" s="94">
        <f>AVERAGE(C39:C42)</f>
        <v>-3.5248676693250003</v>
      </c>
      <c r="C39" s="5">
        <f>'Summary(3pcs)'!M35</f>
        <v>-0.89438787799999997</v>
      </c>
      <c r="D39" s="11">
        <f t="shared" si="0"/>
        <v>-4.0715190551999996</v>
      </c>
      <c r="E39" s="1" t="s">
        <v>52</v>
      </c>
      <c r="G39" s="1" t="s">
        <v>52</v>
      </c>
    </row>
    <row r="40" spans="1:7">
      <c r="A40" s="1" t="s">
        <v>49</v>
      </c>
      <c r="B40" s="95"/>
      <c r="C40" s="8">
        <f>'Summary(3pcs)'!M36</f>
        <v>-10.0408013179</v>
      </c>
      <c r="D40" s="6">
        <f t="shared" si="0"/>
        <v>8.0979730252</v>
      </c>
      <c r="E40" s="1" t="s">
        <v>53</v>
      </c>
      <c r="G40" s="1" t="s">
        <v>53</v>
      </c>
    </row>
    <row r="41" spans="1:7" ht="17.25" thickBot="1">
      <c r="A41" s="1" t="s">
        <v>49</v>
      </c>
      <c r="B41" s="95"/>
      <c r="C41" s="10">
        <f>'Summary(3pcs)'!M38</f>
        <v>-2.0133754165000002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6"/>
      <c r="C42" s="5">
        <f>'Summary(3pcs)'!M39</f>
        <v>-1.1509060649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4">
        <f>AVERAGE(C43:C46)</f>
        <v>0.40603122780000012</v>
      </c>
      <c r="C43" s="8">
        <f>'Summary(3pcs)'!M40</f>
        <v>4.3881287765000003</v>
      </c>
      <c r="D43" s="6">
        <f t="shared" ref="D43:D54" si="2">C55</f>
        <v>-2.7025167691999998</v>
      </c>
      <c r="E43" s="1" t="s">
        <v>55</v>
      </c>
      <c r="G43" s="1" t="s">
        <v>55</v>
      </c>
    </row>
    <row r="44" spans="1:7" ht="17.25" thickBot="1">
      <c r="A44" s="1" t="s">
        <v>51</v>
      </c>
      <c r="B44" s="95"/>
      <c r="C44" s="10">
        <f>'Summary(3pcs)'!M42</f>
        <v>-5.5019331019999997</v>
      </c>
      <c r="D44" s="9">
        <f t="shared" si="2"/>
        <v>-7.9534599927999992</v>
      </c>
      <c r="E44" s="1" t="s">
        <v>55</v>
      </c>
      <c r="G44" s="1" t="s">
        <v>55</v>
      </c>
    </row>
    <row r="45" spans="1:7" ht="17.25" thickBot="1">
      <c r="A45" s="1" t="s">
        <v>52</v>
      </c>
      <c r="B45" s="95"/>
      <c r="C45" s="5">
        <f>'Summary(3pcs)'!M43</f>
        <v>-2.729820895</v>
      </c>
      <c r="D45" s="11">
        <f t="shared" si="2"/>
        <v>1.0980198431999999</v>
      </c>
      <c r="E45" s="1" t="s">
        <v>55</v>
      </c>
      <c r="G45" s="1" t="s">
        <v>55</v>
      </c>
    </row>
    <row r="46" spans="1:7">
      <c r="A46" s="1" t="s">
        <v>52</v>
      </c>
      <c r="B46" s="96"/>
      <c r="C46" s="8">
        <f>'Summary(3pcs)'!M44</f>
        <v>5.4677501316999999</v>
      </c>
      <c r="D46" s="6">
        <f t="shared" si="2"/>
        <v>-7.2817786222999992</v>
      </c>
      <c r="E46" s="1" t="s">
        <v>59</v>
      </c>
      <c r="G46" s="1" t="s">
        <v>59</v>
      </c>
    </row>
    <row r="47" spans="1:7" ht="17.25" thickBot="1">
      <c r="A47" s="1" t="s">
        <v>52</v>
      </c>
      <c r="B47" s="94" t="e">
        <f>AVERAGE(C47:C50)</f>
        <v>#REF!</v>
      </c>
      <c r="C47" s="10">
        <f>'Summary(3pcs)'!M45</f>
        <v>-4.0715190551999996</v>
      </c>
      <c r="D47" s="9">
        <f t="shared" si="2"/>
        <v>6.3155151606000004</v>
      </c>
      <c r="E47" s="1" t="s">
        <v>59</v>
      </c>
      <c r="G47" s="1" t="s">
        <v>59</v>
      </c>
    </row>
    <row r="48" spans="1:7" ht="17.25" thickBot="1">
      <c r="A48" s="1" t="s">
        <v>53</v>
      </c>
      <c r="B48" s="95"/>
      <c r="C48" s="5">
        <f>'Summary(3pcs)'!M46</f>
        <v>8.0979730252</v>
      </c>
      <c r="D48" s="11">
        <f t="shared" si="2"/>
        <v>-7.3171314857999992</v>
      </c>
      <c r="E48" s="1" t="s">
        <v>59</v>
      </c>
      <c r="G48" s="1" t="s">
        <v>59</v>
      </c>
    </row>
    <row r="49" spans="1:7">
      <c r="A49" s="1" t="s">
        <v>53</v>
      </c>
      <c r="B49" s="95"/>
      <c r="C49" s="8" t="e">
        <f>'Summary(3pcs)'!#REF!</f>
        <v>#REF!</v>
      </c>
      <c r="D49" s="6">
        <f t="shared" si="2"/>
        <v>2.3114219798</v>
      </c>
      <c r="E49" s="1" t="s">
        <v>63</v>
      </c>
      <c r="G49" s="1" t="s">
        <v>63</v>
      </c>
    </row>
    <row r="50" spans="1:7" ht="17.25" thickBot="1">
      <c r="A50" s="1" t="s">
        <v>53</v>
      </c>
      <c r="B50" s="96"/>
      <c r="C50" s="10" t="e">
        <f>'Summary(3pcs)'!#REF!</f>
        <v>#REF!</v>
      </c>
      <c r="D50" s="9">
        <f t="shared" si="2"/>
        <v>-0.45732309000000004</v>
      </c>
      <c r="E50" s="1" t="s">
        <v>63</v>
      </c>
      <c r="G50" s="1" t="s">
        <v>63</v>
      </c>
    </row>
    <row r="51" spans="1:7" ht="17.25" thickBot="1">
      <c r="B51" s="94">
        <f>AVERAGE(C51:C54)</f>
        <v>0</v>
      </c>
      <c r="C51" s="12">
        <f>[2]Result!Z15</f>
        <v>0</v>
      </c>
      <c r="D51" s="11">
        <f t="shared" si="2"/>
        <v>-10.450076597700001</v>
      </c>
      <c r="E51" s="1" t="s">
        <v>63</v>
      </c>
      <c r="G51" s="1" t="s">
        <v>63</v>
      </c>
    </row>
    <row r="52" spans="1:7">
      <c r="B52" s="95"/>
      <c r="C52" s="8">
        <f>[2]Result!Z16</f>
        <v>0</v>
      </c>
      <c r="D52" s="6">
        <f t="shared" si="2"/>
        <v>-10.085739008199999</v>
      </c>
      <c r="E52" s="1" t="s">
        <v>65</v>
      </c>
      <c r="G52" s="1" t="s">
        <v>65</v>
      </c>
    </row>
    <row r="53" spans="1:7">
      <c r="B53" s="95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6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4">
        <f>AVERAGE(C55:C58)</f>
        <v>-4.2099338852749995</v>
      </c>
      <c r="C55" s="5">
        <f>'Summary(3pcs)'!N35</f>
        <v>-2.7025167691999998</v>
      </c>
      <c r="D55" s="6">
        <f>AVERAGE(D31:D33)</f>
        <v>-4.3161882041333337</v>
      </c>
      <c r="E55" s="1" t="s">
        <v>66</v>
      </c>
      <c r="G55" s="1" t="s">
        <v>67</v>
      </c>
    </row>
    <row r="56" spans="1:7">
      <c r="A56" s="1" t="s">
        <v>55</v>
      </c>
      <c r="B56" s="95"/>
      <c r="C56" s="8">
        <f>'Summary(3pcs)'!N36</f>
        <v>-7.9534599927999992</v>
      </c>
      <c r="D56" s="9">
        <f>AVERAGE(D34:D36)</f>
        <v>-0.75490346346666648</v>
      </c>
      <c r="E56" s="1" t="s">
        <v>68</v>
      </c>
      <c r="G56" s="1" t="s">
        <v>69</v>
      </c>
    </row>
    <row r="57" spans="1:7" ht="17.25" thickBot="1">
      <c r="A57" s="1" t="s">
        <v>55</v>
      </c>
      <c r="B57" s="95"/>
      <c r="C57" s="10">
        <f>'Summary(3pcs)'!N38</f>
        <v>1.0980198431999999</v>
      </c>
      <c r="D57" s="9">
        <f>AVERAGE(D37:D39)</f>
        <v>-0.44452993949999992</v>
      </c>
      <c r="E57" s="1" t="s">
        <v>70</v>
      </c>
      <c r="G57" s="1" t="s">
        <v>71</v>
      </c>
    </row>
    <row r="58" spans="1:7">
      <c r="A58" s="1" t="s">
        <v>59</v>
      </c>
      <c r="B58" s="96"/>
      <c r="C58" s="5">
        <f>'Summary(3pcs)'!N39</f>
        <v>-7.2817786222999992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4">
        <f>AVERAGE(C59:C62)</f>
        <v>0.21312064115000029</v>
      </c>
      <c r="C59" s="8">
        <f>'Summary(3pcs)'!N40</f>
        <v>6.3155151606000004</v>
      </c>
      <c r="D59" s="9">
        <f>AVERAGE(D43:D45)</f>
        <v>-3.1859856395999997</v>
      </c>
      <c r="E59" s="1" t="s">
        <v>74</v>
      </c>
      <c r="G59" s="1" t="s">
        <v>75</v>
      </c>
    </row>
    <row r="60" spans="1:7" ht="17.25" thickBot="1">
      <c r="A60" s="1" t="s">
        <v>59</v>
      </c>
      <c r="B60" s="95"/>
      <c r="C60" s="10">
        <f>'Summary(3pcs)'!N42</f>
        <v>-7.3171314857999992</v>
      </c>
      <c r="D60" s="9">
        <f>AVERAGE(D46:D48)</f>
        <v>-2.761131649166666</v>
      </c>
      <c r="E60" s="7" t="s">
        <v>113</v>
      </c>
      <c r="G60" s="1" t="s">
        <v>77</v>
      </c>
    </row>
    <row r="61" spans="1:7">
      <c r="A61" s="1" t="s">
        <v>63</v>
      </c>
      <c r="B61" s="95"/>
      <c r="C61" s="5">
        <f>'Summary(3pcs)'!N43</f>
        <v>2.3114219798</v>
      </c>
      <c r="D61" s="9">
        <f>AVERAGE(D49:D51)</f>
        <v>-2.8653259026333338</v>
      </c>
      <c r="E61" s="1" t="s">
        <v>76</v>
      </c>
      <c r="G61" s="1" t="s">
        <v>77</v>
      </c>
    </row>
    <row r="62" spans="1:7" ht="17.25" thickBot="1">
      <c r="A62" s="1" t="s">
        <v>63</v>
      </c>
      <c r="B62" s="96"/>
      <c r="C62" s="8">
        <f>'Summary(3pcs)'!N44</f>
        <v>-0.45732309000000004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4" t="e">
        <f>AVERAGE(C63:C66)</f>
        <v>#REF!</v>
      </c>
      <c r="C63" s="10">
        <f>'Summary(3pcs)'!N45</f>
        <v>-10.450076597700001</v>
      </c>
      <c r="D63" s="6">
        <f>AVERAGE(C71:C73)</f>
        <v>12.837577819800002</v>
      </c>
      <c r="E63" s="1" t="s">
        <v>80</v>
      </c>
      <c r="G63" s="1" t="s">
        <v>80</v>
      </c>
    </row>
    <row r="64" spans="1:7">
      <c r="A64" s="1" t="s">
        <v>65</v>
      </c>
      <c r="B64" s="95"/>
      <c r="C64" s="5">
        <f>'Summary(3pcs)'!N46</f>
        <v>-10.085739008199999</v>
      </c>
      <c r="D64" s="9">
        <f>AVERAGE(C74:C76)</f>
        <v>6.2061993280999994</v>
      </c>
      <c r="E64" s="1" t="s">
        <v>81</v>
      </c>
      <c r="G64" s="1" t="s">
        <v>81</v>
      </c>
    </row>
    <row r="65" spans="1:7">
      <c r="A65" s="1" t="s">
        <v>65</v>
      </c>
      <c r="B65" s="95"/>
      <c r="C65" s="8" t="e">
        <f>'Summary(3pcs)'!#REF!</f>
        <v>#REF!</v>
      </c>
      <c r="D65" s="9">
        <f>AVERAGE(C77:C79)</f>
        <v>8.8469305038333346</v>
      </c>
      <c r="E65" s="1" t="s">
        <v>82</v>
      </c>
      <c r="G65" s="1" t="s">
        <v>82</v>
      </c>
    </row>
    <row r="66" spans="1:7" ht="17.25" thickBot="1">
      <c r="A66" s="1" t="s">
        <v>65</v>
      </c>
      <c r="B66" s="96"/>
      <c r="C66" s="10" t="e">
        <f>'Summary(3pcs)'!#REF!</f>
        <v>#REF!</v>
      </c>
      <c r="D66" s="11">
        <f>AVERAGE(C80:C82)</f>
        <v>10.0710817973</v>
      </c>
      <c r="E66" s="1" t="s">
        <v>83</v>
      </c>
      <c r="G66" s="1" t="s">
        <v>83</v>
      </c>
    </row>
    <row r="67" spans="1:7">
      <c r="B67" s="94">
        <f>AVERAGE(C67:C70)</f>
        <v>0</v>
      </c>
      <c r="C67" s="12">
        <f>[2]Result!AA15</f>
        <v>0</v>
      </c>
      <c r="D67" s="6">
        <f>AVERAGE(C87:C89)</f>
        <v>-1.9776621659666664</v>
      </c>
      <c r="E67" s="1" t="s">
        <v>84</v>
      </c>
      <c r="G67" s="1" t="s">
        <v>84</v>
      </c>
    </row>
    <row r="68" spans="1:7">
      <c r="B68" s="95"/>
      <c r="C68" s="8">
        <f>[2]Result!AA16</f>
        <v>0</v>
      </c>
      <c r="D68" s="9">
        <f>AVERAGE(C90:C92)</f>
        <v>3.9017240206333335</v>
      </c>
      <c r="E68" s="1" t="s">
        <v>85</v>
      </c>
      <c r="G68" s="1" t="s">
        <v>85</v>
      </c>
    </row>
    <row r="69" spans="1:7">
      <c r="B69" s="95"/>
      <c r="C69" s="8">
        <f>[2]Result!AA17</f>
        <v>0</v>
      </c>
      <c r="D69" s="9">
        <f>AVERAGE(C93:C95)</f>
        <v>-2.1564902464666669</v>
      </c>
      <c r="E69" s="1" t="s">
        <v>86</v>
      </c>
      <c r="G69" s="1" t="s">
        <v>86</v>
      </c>
    </row>
    <row r="70" spans="1:7" ht="17.25" thickBot="1">
      <c r="B70" s="96"/>
      <c r="C70" s="13">
        <f>[2]Result!AA18</f>
        <v>0</v>
      </c>
      <c r="D70" s="11">
        <f>AVERAGE(C96:C98)</f>
        <v>3.6773627201666668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'Summary(3pcs)'!V35</f>
        <v>17.047103881799998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'Summary(3pcs)'!V36</f>
        <v>9.3200550079000006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'Summary(3pcs)'!V37</f>
        <v>12.145574569700003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'Summary(3pcs)'!V38</f>
        <v>11.9602108002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'Summary(3pcs)'!V39</f>
        <v>4.4330883025999999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'Summary(3pcs)'!V40</f>
        <v>2.2252988814999997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'Summary(3pcs)'!V41</f>
        <v>13.084396362300001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'Summary(3pcs)'!V42</f>
        <v>6.2866640091000008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'Summary(3pcs)'!V43</f>
        <v>7.1697311400999997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'Summary(3pcs)'!V44</f>
        <v>10.3189506531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'Summary(3pcs)'!V45</f>
        <v>9.2487392425999992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'Summary(3pcs)'!V46</f>
        <v>10.6455554962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'Summary(3pcs)'!W35</f>
        <v>-6.1738250255999993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'Summary(3pcs)'!W36</f>
        <v>0.5612792969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'Summary(3pcs)'!W37</f>
        <v>-0.3204407692000002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'Summary(3pcs)'!W38</f>
        <v>9.7464561461999999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'Summary(3pcs)'!W39</f>
        <v>-1.6432557106000001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'Summary(3pcs)'!W40</f>
        <v>3.6019716263000001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'Summary(3pcs)'!W41</f>
        <v>-1.7112706900000001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'Summary(3pcs)'!W42</f>
        <v>-4.3989859819000001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'Summary(3pcs)'!W43</f>
        <v>-0.35921406749999996</v>
      </c>
    </row>
    <row r="96" spans="1:7">
      <c r="A96" s="1" t="s">
        <v>87</v>
      </c>
      <c r="C96" s="5">
        <f>'Summary(3pcs)'!W44</f>
        <v>-1.6303435563999999</v>
      </c>
    </row>
    <row r="97" spans="1:3">
      <c r="A97" s="1" t="s">
        <v>87</v>
      </c>
      <c r="C97" s="8">
        <f>'Summary(3pcs)'!W45</f>
        <v>2.5524396895999999</v>
      </c>
    </row>
    <row r="98" spans="1:3" ht="17.25" thickBot="1">
      <c r="A98" s="1" t="s">
        <v>87</v>
      </c>
      <c r="C98" s="10">
        <f>'Summary(3pcs)'!W46</f>
        <v>10.109992027300001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6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40"/>
      <c r="B1" s="40" t="s">
        <v>147</v>
      </c>
      <c r="C1" s="40" t="s">
        <v>138</v>
      </c>
      <c r="D1" s="40" t="s">
        <v>139</v>
      </c>
    </row>
    <row r="2" spans="1:4">
      <c r="A2" s="40">
        <v>4</v>
      </c>
      <c r="B2" s="40">
        <v>0</v>
      </c>
      <c r="C2" s="40">
        <v>0</v>
      </c>
      <c r="D2" s="40">
        <v>0</v>
      </c>
    </row>
    <row r="3" spans="1:4">
      <c r="A3" s="40">
        <v>5</v>
      </c>
      <c r="B3" s="40">
        <v>0</v>
      </c>
      <c r="C3" s="40">
        <v>-1</v>
      </c>
      <c r="D3" s="40">
        <v>0</v>
      </c>
    </row>
    <row r="4" spans="1:4">
      <c r="A4" s="40">
        <v>6</v>
      </c>
      <c r="B4" s="40">
        <v>-8</v>
      </c>
      <c r="C4" s="40">
        <v>0</v>
      </c>
      <c r="D4" s="40">
        <v>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2022-09-23T14:30:51Z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