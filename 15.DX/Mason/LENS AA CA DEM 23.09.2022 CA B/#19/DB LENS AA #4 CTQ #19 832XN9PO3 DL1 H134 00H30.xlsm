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<sst xmlns="http://schemas.openxmlformats.org/spreadsheetml/2006/main" count="1290" uniqueCount="665">
  <si>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</si>
  <si>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</si>
  <si>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</si>
  <si>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</si>
  <si>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</si>
  <si>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</si>
  <si>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</si>
  <si>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</si>
  <si>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</si>
  <si>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</si>
  <si>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</si>
  <si>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</si>
  <si>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</si>
  <si>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</si>
  <si>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</si>
  <si>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</si>
  <si>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</si>
  <si>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</si>
  <si>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</si>
  <si>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</si>
  <si>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</si>
  <si>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</si>
  <si>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</si>
  <si>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</si>
  <si>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</si>
  <si>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</si>
  <si>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</si>
  <si>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</si>
  <si>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</si>
  <si>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</si>
  <si>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</si>
  <si>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</si>
  <si>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</si>
  <si>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</si>
  <si>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</si>
  <si>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</si>
  <si>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</si>
  <si>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</si>
  <si>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</si>
  <si>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</si>
  <si>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</si>
  <si>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</si>
  <si>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</si>
  <si>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</si>
  <si>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</si>
  <si>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</si>
  <si>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</si>
  <si>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</si>
  <si>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</si>
  <si>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</si>
  <si>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</si>
  <si>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</si>
  <si>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</si>
  <si>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</si>
  <si>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</si>
  <si>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</si>
  <si>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</si>
  <si>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</si>
  <si>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</si>
  <si>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</si>
  <si>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</si>
  <si>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</si>
  <si>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</si>
  <si>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</si>
  <si>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</si>
  <si>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</si>
  <si>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</si>
  <si>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</si>
  <si>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</si>
  <si>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</si>
  <si>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</si>
  <si>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</si>
  <si>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</si>
  <si>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</si>
  <si>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</si>
  <si>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</si>
  <si>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</si>
  <si>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</si>
  <si>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</si>
  <si>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</si>
  <si>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</si>
  <si>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</si>
  <si>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</si>
  <si>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</si>
  <si>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</si>
  <si>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</si>
  <si>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</si>
  <si>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</si>
  <si>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</si>
  <si>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</si>
  <si>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</si>
  <si>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</si>
  <si>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</si>
  <si>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</si>
  <si>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</si>
  <si>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</si>
  <si>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</si>
  <si>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</si>
  <si>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</si>
  <si>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</si>
  <si>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</si>
  <si>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</si>
  <si>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</si>
  <si>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</si>
  <si>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</si>
  <si>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</si>
  <si>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</si>
  <si>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</si>
  <si>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</si>
  <si>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</si>
  <si>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</si>
  <si>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</si>
  <si>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</si>
  <si>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</si>
  <si>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</si>
  <si>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</si>
  <si>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</si>
  <si>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</si>
  <si>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</si>
  <si>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</si>
  <si>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</si>
  <si>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</si>
  <si>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</si>
  <si>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</si>
  <si>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</si>
  <si>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</si>
  <si>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</si>
  <si>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</si>
  <si>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</si>
  <si>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</si>
  <si>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</si>
  <si>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</si>
  <si>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</si>
  <si>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</si>
  <si>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</si>
  <si>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</si>
  <si>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</si>
  <si>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</si>
  <si>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</si>
  <si>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</si>
  <si>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</si>
  <si>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</si>
  <si>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</si>
  <si>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</si>
  <si>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</si>
  <si>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</si>
  <si>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</si>
  <si>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</si>
  <si>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</si>
  <si>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</si>
  <si>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</si>
  <si>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</si>
  <si>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</si>
  <si>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</si>
  <si>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</si>
  <si>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</si>
  <si>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</si>
  <si>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</si>
  <si>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</si>
  <si>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</si>
  <si>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</si>
  <si>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</si>
  <si>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</si>
  <si>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</si>
  <si>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</si>
  <si>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</si>
  <si>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</si>
  <si>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</si>
  <si>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</si>
  <si>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</si>
  <si>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</si>
  <si>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</si>
  <si>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D:\EVMS\TP\ELOG\VSY832XN9P03_2022092322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</si>
  <si>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</si>
  <si>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</si>
  <si>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</si>
  <si>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</si>
  <si>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</si>
  <si>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</si>
  <si>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</si>
  <si>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</si>
  <si>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</si>
  <si>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</si>
  <si>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</si>
  <si>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</si>
  <si>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</si>
  <si>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</si>
  <si>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</si>
  <si>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</si>
  <si>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</si>
  <si>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</si>
  <si>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</si>
  <si>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</si>
  <si>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</si>
  <si>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</si>
  <si>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</si>
  <si>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</si>
  <si>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</si>
  <si>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</si>
  <si>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</si>
  <si>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</si>
  <si>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</si>
  <si>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</si>
  <si>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</si>
  <si>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</si>
  <si>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</si>
  <si>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</si>
  <si>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</si>
  <si>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</si>
  <si>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</si>
  <si>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T220923222437988VCMLEBC040</t>
  </si>
  <si>
    <t>'20220923222439</t>
  </si>
  <si>
    <t>'2022-09-23 22:24:46:906</t>
  </si>
  <si>
    <t>VCMLEBC040A</t>
  </si>
  <si>
    <t>DB_M_C2001</t>
  </si>
  <si>
    <t>220217A</t>
  </si>
  <si>
    <t>EPSSWEXCEPTION_POR_R22A_OC_MFG_C20_22051701_5d43eac</t>
  </si>
  <si>
    <t>VSY832XN9P03</t>
  </si>
  <si>
    <t>22cb59110885</t>
  </si>
  <si>
    <t>0x52801562b1e43501</t>
  </si>
  <si>
    <t>MFEC373EB9T3B3B6B939012141</t>
  </si>
  <si>
    <t>MF4C3664AKMY13A7A632</t>
  </si>
  <si>
    <t>DNA22301074490F04A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</si>
  <si>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</si>
  <si>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</si>
  <si>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</si>
  <si>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</si>
  <si>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</si>
  <si>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</si>
  <si>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T220923222553907VCMLEBC040</t>
  </si>
  <si>
    <t>'20220923222555</t>
  </si>
  <si>
    <t>'2022-09-23 22:26:03:202</t>
  </si>
  <si>
    <t>22cb59110953</t>
  </si>
  <si>
    <t>0x52801862b24b9e08</t>
  </si>
  <si>
    <t>MFAC357AA2KT21B6B735017017</t>
  </si>
  <si>
    <t>MF4C3664AKMJ13A7A633</t>
  </si>
  <si>
    <t>DNA22246061110G03A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</si>
  <si>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</si>
  <si>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</si>
  <si>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</si>
  <si>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</si>
  <si>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</si>
  <si>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</si>
  <si>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</si>
  <si>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</si>
  <si>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</si>
  <si>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</si>
  <si>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</si>
  <si>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</si>
  <si>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</si>
  <si>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</si>
  <si>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</si>
  <si>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</si>
  <si>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</si>
  <si>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</si>
  <si>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</si>
  <si>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</si>
  <si>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</si>
  <si>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</si>
  <si>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</si>
  <si>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</si>
  <si>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</si>
  <si>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</si>
  <si>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</si>
  <si>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</si>
  <si>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</si>
  <si>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</si>
  <si>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</si>
  <si>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T220923222504467VCMLEBC040</t>
  </si>
  <si>
    <t>'20220923222506</t>
  </si>
  <si>
    <t>'2022-09-23 22:25:33:618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</si>
  <si>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</si>
  <si>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</si>
  <si>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</si>
  <si>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</si>
  <si>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</si>
  <si>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</si>
  <si>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</si>
  <si>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</si>
  <si>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</si>
  <si>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</si>
  <si>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</si>
  <si>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</si>
  <si>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</si>
  <si>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</si>
  <si>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</si>
  <si>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</si>
  <si>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22:25:23:590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</si>
  <si>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</si>
  <si>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</si>
  <si>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</si>
  <si>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</si>
  <si>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</si>
  <si>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</si>
  <si>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</si>
  <si>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</si>
  <si>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</si>
  <si>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</si>
  <si>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</si>
  <si>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</si>
  <si>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</si>
  <si>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</si>
  <si>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</si>
  <si>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</si>
  <si>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</si>
  <si>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</si>
  <si>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</si>
  <si>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</si>
  <si>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</si>
  <si>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</si>
  <si>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</si>
  <si>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</si>
  <si>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</si>
  <si>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</si>
  <si>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</si>
  <si>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</si>
  <si>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</si>
  <si>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</si>
  <si>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</si>
  <si>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</si>
  <si>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</si>
  <si>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</si>
  <si>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</si>
  <si>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</si>
  <si>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</si>
  <si>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</si>
  <si>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</si>
  <si>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</si>
  <si>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</si>
  <si>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</si>
  <si>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</si>
  <si>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</si>
  <si>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</si>
  <si>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</si>
  <si>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</si>
  <si>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</si>
  <si>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</si>
  <si>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</si>
  <si>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</si>
  <si>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</si>
  <si>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</si>
  <si>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</si>
  <si>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</si>
  <si>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</si>
  <si>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</si>
  <si>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</si>
  <si>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</si>
  <si>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</si>
  <si>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</si>
  <si>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</si>
  <si>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</si>
  <si>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</si>
  <si>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</si>
  <si>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</si>
  <si>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</si>
  <si>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</si>
  <si>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</si>
  <si>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</si>
  <si>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</si>
  <si>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</si>
  <si>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</si>
  <si>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</si>
  <si>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</si>
  <si>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</si>
  <si>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</si>
  <si>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</si>
  <si>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</si>
  <si>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</si>
  <si>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</si>
  <si>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</si>
  <si>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</si>
  <si>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</si>
  <si>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</si>
  <si>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</si>
  <si>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</si>
  <si>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</si>
  <si>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</si>
  <si>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</si>
  <si>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</si>
  <si>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</si>
  <si>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</si>
  <si>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</si>
  <si>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</si>
  <si>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</si>
  <si>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</si>
  <si>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</si>
  <si>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</si>
  <si>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</si>
  <si>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</si>
  <si>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</si>
  <si>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</si>
  <si>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</si>
  <si>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</si>
  <si>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</si>
  <si>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</si>
  <si>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</si>
  <si>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</si>
  <si>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</si>
  <si>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</si>
  <si>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</si>
  <si>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</si>
  <si>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</si>
  <si>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</si>
  <si>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</si>
  <si>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</si>
  <si>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</si>
  <si>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</si>
  <si>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</si>
  <si>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</si>
  <si>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</si>
  <si>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</si>
  <si>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</si>
  <si>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</si>
  <si>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</si>
  <si>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</si>
  <si>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</si>
  <si>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</si>
  <si>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</si>
  <si>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</si>
  <si>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</si>
  <si>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</si>
  <si>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</si>
  <si>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</si>
  <si>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</si>
  <si>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</si>
  <si>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</si>
  <si>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</si>
  <si>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</si>
  <si>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</si>
  <si>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</si>
  <si>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</si>
  <si>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</si>
  <si>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</si>
  <si>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</si>
  <si>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</si>
  <si>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</si>
  <si>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</si>
  <si>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</si>
  <si>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</si>
  <si>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</si>
  <si>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</si>
  <si>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</si>
  <si>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</si>
  <si>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</si>
  <si>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</si>
  <si>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</si>
  <si>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</si>
  <si>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</si>
  <si>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</si>
  <si>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</si>
  <si>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</si>
  <si>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</si>
  <si>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</si>
  <si>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</si>
  <si>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</si>
  <si>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</si>
  <si>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</si>
  <si>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</si>
  <si>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</si>
  <si>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</si>
  <si>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</si>
  <si>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</si>
  <si>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</si>
  <si>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</si>
  <si>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</si>
  <si>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</si>
  <si>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</si>
  <si>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</si>
  <si>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</si>
  <si>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</si>
  <si>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</si>
  <si>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</si>
  <si>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</si>
  <si>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</si>
  <si>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</si>
  <si>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</si>
  <si>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</si>
  <si>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</si>
  <si>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</si>
  <si>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</si>
  <si>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</si>
  <si>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</si>
  <si>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</si>
  <si>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</si>
  <si>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</si>
  <si>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</si>
  <si>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</si>
  <si>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</si>
  <si>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</si>
  <si>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</si>
  <si>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</si>
  <si>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</si>
  <si>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</si>
  <si>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</si>
  <si>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</si>
  <si>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</si>
  <si>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</si>
  <si>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</si>
  <si>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</si>
  <si>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</si>
  <si>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</si>
  <si>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</si>
  <si>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</si>
  <si>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</si>
  <si>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</si>
  <si>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</si>
  <si>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</si>
  <si>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</si>
  <si>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</si>
  <si>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</si>
  <si>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</si>
  <si>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</si>
  <si>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</si>
  <si>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</si>
  <si>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</si>
  <si>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</si>
  <si>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</si>
  <si>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</si>
  <si>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</si>
  <si>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</si>
  <si>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</si>
  <si>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</si>
  <si>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</si>
  <si>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</si>
  <si>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</si>
  <si>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</si>
  <si>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</si>
  <si>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</si>
  <si>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</si>
  <si>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</si>
  <si>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</si>
  <si>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</si>
  <si>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</si>
  <si>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</si>
  <si>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</si>
  <si>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</si>
  <si>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</si>
  <si>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</si>
  <si>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</si>
  <si>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</si>
  <si>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</si>
  <si>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</si>
  <si>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</si>
  <si>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</si>
  <si>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</si>
  <si>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</si>
  <si>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</si>
  <si>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</si>
  <si>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T220923222449663VCMLEBC040</t>
  </si>
  <si>
    <t>'20220923222451</t>
  </si>
  <si>
    <t>'2022-09-23 22:25:02:221</t>
  </si>
  <si>
    <t>EPSSWEXCEPTION_POR_R22A_IPQC_MFG_Laser_C20_22051701_5d43eac</t>
  </si>
  <si>
    <t>v9p402</t>
  </si>
  <si>
    <t>T220923222605993VCMLEBC040</t>
  </si>
  <si>
    <t>'20220923222607</t>
  </si>
  <si>
    <t>'2022-09-23 22:26:18:549</t>
  </si>
  <si>
    <t>T220923222707839VCMLEBC040</t>
  </si>
  <si>
    <t>'20220923222709</t>
  </si>
  <si>
    <t>'2022-09-23 22:27:16:734</t>
  </si>
  <si>
    <t>22cb59110927</t>
  </si>
  <si>
    <t>0x52801862b24bdc03</t>
  </si>
  <si>
    <t>MFEC373EB9ZBB3B6C139009120</t>
  </si>
  <si>
    <t>MF4C3664AKMU13A7A654</t>
  </si>
  <si>
    <t>DNA22312031810M13A</t>
  </si>
  <si>
    <t>T220923222912406VCMLEBC040</t>
  </si>
  <si>
    <t>'20220923222914</t>
  </si>
  <si>
    <t>'2022-09-23 22:29:21:235</t>
  </si>
  <si>
    <t>22cb59110122</t>
  </si>
  <si>
    <t>0x52801562b1e4cf01</t>
  </si>
  <si>
    <t>MFAC357AA2LE21B6B738023021</t>
  </si>
  <si>
    <t>MF4C3664AKML13A7A656</t>
  </si>
  <si>
    <t>DNA22312033700F03A</t>
  </si>
  <si>
    <t>T220923223017763VCMLEBC040</t>
  </si>
  <si>
    <t>'20220923223019</t>
  </si>
  <si>
    <t>'2022-09-23 22:30:27:100</t>
  </si>
  <si>
    <t>22cb59110910</t>
  </si>
  <si>
    <t>0x52801862b24f2004</t>
  </si>
  <si>
    <t>MFEC373EB9YYB3B6A842108113</t>
  </si>
  <si>
    <t>MF4C3664AKMS13A7A632</t>
  </si>
  <si>
    <t>DNA22301074490E04A</t>
  </si>
  <si>
    <t>T220923223123697VCMLEBC040</t>
  </si>
  <si>
    <t>'20220923223125</t>
  </si>
  <si>
    <t>'2022-09-23 22:31:32:503</t>
  </si>
  <si>
    <t>22cb59110911</t>
  </si>
  <si>
    <t>0x52801862b24bf402</t>
  </si>
  <si>
    <t>MFEC373EB9YPB3B6B239009129</t>
  </si>
  <si>
    <t>MF4C3664AKN013A7A652</t>
  </si>
  <si>
    <t>DNA22312031810M08A</t>
  </si>
  <si>
    <t>T220923223244561VCMLEBC040</t>
  </si>
  <si>
    <t>'20220923223246</t>
  </si>
  <si>
    <t>'2022-09-23 22:32:53:509</t>
  </si>
  <si>
    <t>22cb59110909</t>
  </si>
  <si>
    <t>0x52801862b24ba203</t>
  </si>
  <si>
    <t>MFEC373EB9YTB3B6B638000147</t>
  </si>
  <si>
    <t>MF4C3664AKMT13A7A650</t>
  </si>
  <si>
    <t>DNA22301074670M07A</t>
  </si>
  <si>
    <t>T220923223354761VCMLEBC040</t>
  </si>
  <si>
    <t>'20220923223356</t>
  </si>
  <si>
    <t>'2022-09-23 22:34:03:729</t>
  </si>
  <si>
    <t>22cb59100236</t>
  </si>
  <si>
    <t>0x52801862b24f3506</t>
  </si>
  <si>
    <t>MF9C3569B1UK34B6B439047124</t>
  </si>
  <si>
    <t>MF4C3324BL6R17A7A628</t>
  </si>
  <si>
    <t>DNA22244053920K02A</t>
  </si>
  <si>
    <t>T220923223505088VCMLEBC040</t>
  </si>
  <si>
    <t>'20220923223506</t>
  </si>
  <si>
    <t>'2022-09-23 22:35:14:068</t>
  </si>
  <si>
    <t>22cb59110461</t>
  </si>
  <si>
    <t>0x52801862b24f3102</t>
  </si>
  <si>
    <t>MFAC357AA2LD21B6A937001101</t>
  </si>
  <si>
    <t>MF4C3664AKMP13A7A652</t>
  </si>
  <si>
    <t>DNA22312031810L13A</t>
  </si>
  <si>
    <t>T220923222620802VCMLEBC040</t>
  </si>
  <si>
    <t>'20220923222622</t>
  </si>
  <si>
    <t>'2022-09-23 22:26:50:045</t>
  </si>
  <si>
    <t>T220923222734280VCMLEBC040</t>
  </si>
  <si>
    <t>'20220923222735</t>
  </si>
  <si>
    <t>'2022-09-23 22:28:03:599</t>
  </si>
  <si>
    <t>T220923222938763VCMLEBC040</t>
  </si>
  <si>
    <t>'20220923222940</t>
  </si>
  <si>
    <t>'2022-09-23 22:30:07:584</t>
  </si>
  <si>
    <t>T220923223044579VCMLEBC040</t>
  </si>
  <si>
    <t>'20220923223046</t>
  </si>
  <si>
    <t>'2022-09-23 22:31:14:211</t>
  </si>
  <si>
    <t>T220923223150091VCMLEBC040</t>
  </si>
  <si>
    <t>'20220923223151</t>
  </si>
  <si>
    <t>'2022-09-23 22:32:19:750</t>
  </si>
  <si>
    <t>T220923223311008VCMLEBC040</t>
  </si>
  <si>
    <t>'20220923223312</t>
  </si>
  <si>
    <t>'2022-09-23 22:33:40:078</t>
  </si>
  <si>
    <t>T220923223421341VCMLEBC040</t>
  </si>
  <si>
    <t>'20220923223422</t>
  </si>
  <si>
    <t>'2022-09-23 22:34:50:274</t>
  </si>
  <si>
    <t>T220923223531679VCMLEBC040</t>
  </si>
  <si>
    <t>'20220923223533</t>
  </si>
  <si>
    <t>'2022-09-23 22:36:01:396</t>
  </si>
  <si>
    <t>'2022-09-23 22:26:40:019</t>
  </si>
  <si>
    <t>'2022-09-23 22:27:53:578</t>
  </si>
  <si>
    <t>'2022-09-23 22:29:57:559</t>
  </si>
  <si>
    <t>'2022-09-23 22:31:04:185</t>
  </si>
  <si>
    <t>'2022-09-23 22:32:09:726</t>
  </si>
  <si>
    <t>'2022-09-23 22:33:30:055</t>
  </si>
  <si>
    <t>'2022-09-23 22:34:40:247</t>
  </si>
  <si>
    <t>'2022-09-23 22:35:51:373</t>
  </si>
  <si>
    <t>T220923222719559VCMLEBC040</t>
  </si>
  <si>
    <t>'20220923222721</t>
  </si>
  <si>
    <t>'2022-09-23 22:27:32:113</t>
  </si>
  <si>
    <t>T220923222924053VCMLEBC040</t>
  </si>
  <si>
    <t>'20220923222925</t>
  </si>
  <si>
    <t>'2022-09-23 22:29:36:606</t>
  </si>
  <si>
    <t>T220923223029864VCMLEBC040</t>
  </si>
  <si>
    <t>'20220923223031</t>
  </si>
  <si>
    <t>'2022-09-23 22:30:42:415</t>
  </si>
  <si>
    <t>T220923223135289VCMLEBC040</t>
  </si>
  <si>
    <t>'20220923223136</t>
  </si>
  <si>
    <t>'2022-09-23 22:31:47:853</t>
  </si>
  <si>
    <t>T220923223256270VCMLEBC040</t>
  </si>
  <si>
    <t>'20220923223257</t>
  </si>
  <si>
    <t>'2022-09-23 22:33:08:825</t>
  </si>
  <si>
    <t>T220923223406536VCMLEBC040</t>
  </si>
  <si>
    <t>'20220923223408</t>
  </si>
  <si>
    <t>'2022-09-23 22:34:19:095</t>
  </si>
  <si>
    <t>T220923223516866VCMLEBC040</t>
  </si>
  <si>
    <t>'20220923223518</t>
  </si>
  <si>
    <t>'2022-09-23 22:35:29:425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</si>
</sst>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-8.3160648945000002</c:v>
                </c:pt>
                <c:pt idx="1">
                  <c:v>-8.8191577372999994</c:v>
                </c:pt>
                <c:pt idx="2">
                  <c:v>-4.8452074658999997</c:v>
                </c:pt>
                <c:pt idx="3">
                  <c:v>-4.7476590693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1.20638172</c:v>
                </c:pt>
                <c:pt idx="1">
                  <c:v>-3.9593904374999997</c:v>
                </c:pt>
                <c:pt idx="2">
                  <c:v>-2.0551794377999997</c:v>
                </c:pt>
                <c:pt idx="3">
                  <c:v>6.5015856423000002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-7.3268100325666659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-1.6027293851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48480"/>
        <c:axId val="59350016"/>
      </c:scatterChart>
      <c:valAx>
        <c:axId val="593484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350016"/>
        <c:crosses val="autoZero"/>
        <c:crossBetween val="midCat"/>
        <c:majorUnit val="10"/>
      </c:valAx>
      <c:valAx>
        <c:axId val="593500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348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-0.64096169140000003</c:v>
                </c:pt>
                <c:pt idx="1">
                  <c:v>-2.1956376039999999</c:v>
                </c:pt>
                <c:pt idx="2">
                  <c:v>-2.2689530099000002</c:v>
                </c:pt>
                <c:pt idx="3">
                  <c:v>-5.8573014780000001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3.4933598974</c:v>
                </c:pt>
                <c:pt idx="1">
                  <c:v>1.3219256776999999</c:v>
                </c:pt>
                <c:pt idx="2">
                  <c:v>-3.5354380500999998</c:v>
                </c:pt>
                <c:pt idx="3">
                  <c:v>5.2668855034000002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-2.5280861215666666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3.7722904057999997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1456"/>
        <c:axId val="59421440"/>
      </c:scatterChart>
      <c:valAx>
        <c:axId val="594114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21440"/>
        <c:crosses val="autoZero"/>
        <c:crossBetween val="midCat"/>
        <c:majorUnit val="10"/>
      </c:valAx>
      <c:valAx>
        <c:axId val="59421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1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-2.3788370000000001E-4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-6.0502277019000008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-2.7088307905333338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-1.4395934162000001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57152"/>
        <c:axId val="74258688"/>
      </c:scatterChart>
      <c:valAx>
        <c:axId val="742571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258688"/>
        <c:crosses val="autoZero"/>
        <c:crossBetween val="midCat"/>
        <c:majorUnit val="10"/>
      </c:valAx>
      <c:valAx>
        <c:axId val="742586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257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'Summary(3pcs)'!$N$46:$N$46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11936"/>
        <c:axId val="61345792"/>
      </c:scatterChart>
      <c:valAx>
        <c:axId val="743119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45792"/>
        <c:crosses val="autoZero"/>
        <c:crossBetween val="midCat"/>
        <c:majorUnit val="10"/>
      </c:valAx>
      <c:valAx>
        <c:axId val="61345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31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88.884463311700003</c:v>
                </c:pt>
                <c:pt idx="1">
                  <c:v>88.627020531699998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89.84538588800001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4192"/>
        <c:axId val="61385728"/>
      </c:scatterChart>
      <c:valAx>
        <c:axId val="61384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85728"/>
        <c:crosses val="autoZero"/>
        <c:crossBetween val="midCat"/>
      </c:valAx>
      <c:valAx>
        <c:axId val="6138572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38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92.0246738206</c:v>
                </c:pt>
                <c:pt idx="1">
                  <c:v>78.222906134400006</c:v>
                </c:pt>
                <c:pt idx="2">
                  <c:v>93.164213360399998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88.815381762033326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33728"/>
        <c:axId val="61435264"/>
      </c:scatterChart>
      <c:valAx>
        <c:axId val="61433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35264"/>
        <c:crosses val="autoZero"/>
        <c:crossBetween val="midCat"/>
      </c:valAx>
      <c:valAx>
        <c:axId val="614352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33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95.059025791300002</c:v>
                </c:pt>
                <c:pt idx="1">
                  <c:v>96.715794967500003</c:v>
                </c:pt>
                <c:pt idx="2">
                  <c:v>94.396578618600003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95.052527381199994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75840"/>
        <c:axId val="61485824"/>
      </c:scatterChart>
      <c:valAx>
        <c:axId val="6147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85824"/>
        <c:crosses val="autoZero"/>
        <c:crossBetween val="midCat"/>
      </c:valAx>
      <c:valAx>
        <c:axId val="6148582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758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94.045208557500004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18208"/>
        <c:axId val="61519744"/>
      </c:scatterChart>
      <c:valAx>
        <c:axId val="61518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519744"/>
        <c:crosses val="autoZero"/>
        <c:crossBetween val="midCat"/>
      </c:valAx>
      <c:valAx>
        <c:axId val="615197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518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1.7907781601000003</c:v>
                </c:pt>
                <c:pt idx="1">
                  <c:v>5.2564516068000007</c:v>
                </c:pt>
                <c:pt idx="2">
                  <c:v>3.6369585990999997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2.5954513549999998</c:v>
                </c:pt>
                <c:pt idx="1">
                  <c:v>-0.7168812752</c:v>
                </c:pt>
                <c:pt idx="2">
                  <c:v>1.9808001517999996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3.5613961220000001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1.2864567438666665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44320"/>
        <c:axId val="74345856"/>
      </c:scatterChart>
      <c:valAx>
        <c:axId val="7434432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345856"/>
        <c:crosses val="autoZero"/>
        <c:crossBetween val="midCat"/>
        <c:majorUnit val="10"/>
      </c:valAx>
      <c:valAx>
        <c:axId val="743458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34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1.9571804999999998</c:v>
                </c:pt>
                <c:pt idx="1">
                  <c:v>1.1161098479999998</c:v>
                </c:pt>
                <c:pt idx="2">
                  <c:v>2.4318757056999996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-3.9969375729999999</c:v>
                </c:pt>
                <c:pt idx="1">
                  <c:v>-0.22057151789999985</c:v>
                </c:pt>
                <c:pt idx="2">
                  <c:v>3.6457228660999998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1.835055351233333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-0.19059540826666677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72832"/>
        <c:axId val="74486912"/>
      </c:scatterChart>
      <c:valAx>
        <c:axId val="744728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486912"/>
        <c:crosses val="autoZero"/>
        <c:crossBetween val="midCat"/>
        <c:majorUnit val="10"/>
      </c:valAx>
      <c:valAx>
        <c:axId val="744869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472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-3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396800"/>
        <c:axId val="74398336"/>
      </c:scatterChart>
      <c:valAx>
        <c:axId val="743968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398336"/>
        <c:crosses val="autoZero"/>
        <c:crossBetween val="midCat"/>
        <c:majorUnit val="10"/>
      </c:valAx>
      <c:valAx>
        <c:axId val="743983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396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0.37303304669999982</c:v>
                </c:pt>
                <c:pt idx="1">
                  <c:v>-3.5186228752000002</c:v>
                </c:pt>
                <c:pt idx="2">
                  <c:v>3.3138899802999999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6.7595024108999997</c:v>
                </c:pt>
                <c:pt idx="1">
                  <c:v>4.5188035964999997</c:v>
                </c:pt>
                <c:pt idx="2">
                  <c:v>2.0625925063999997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5.6100050599999861E-2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4.4469661712666664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443392"/>
        <c:axId val="92672384"/>
      </c:scatterChart>
      <c:valAx>
        <c:axId val="744433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2672384"/>
        <c:crosses val="autoZero"/>
        <c:crossBetween val="midCat"/>
        <c:majorUnit val="10"/>
      </c:valAx>
      <c:valAx>
        <c:axId val="926723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74443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D:\EVMS\TP\ELOG\VSY832XN9P03_2022092322_D50_ON_OC.csv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D:\EVMS\TP\ELOG\VSY832XN9P03_2022092322_FPDC_INFD_normal.csv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D:\EVMS\TP\ELOG\VSY832XN9P03_2022092322_INFDMargin_IPQC.csv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D:\EVMS\TP\ELOG\VSY832XN9P03_2022092322_VCM_MEASURE.csv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172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157</v>
      </c>
      <c r="S32" s="83" t="s">
        <v>159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22cb59110885</v>
      </c>
      <c r="C35" s="50">
        <f>IPQC!T2+VLOOKUP($R$32,$AD$39:$AK$43,6,FALSE)+VLOOKUP('File location'!$B$1,'Tester offset'!$A$2:$D$4,2,FALSE)</f>
        <v>88.884463311700003</v>
      </c>
      <c r="D35" s="50">
        <f>IPQC!AA2+VLOOKUP($R$32,$AD$39:$AK$43,6,FALSE)</f>
        <v>67.1195041605</v>
      </c>
      <c r="E35" s="50">
        <f>VCM!HV2-'Summary(3pcs)'!C35-'Summary(3pcs)'!$D$33</f>
        <v>138.54513147263788</v>
      </c>
      <c r="F35" s="86">
        <f>AVERAGEIF($A$35:$A$46,1,$C$35:$C$46)</f>
        <v>89.84538588800001</v>
      </c>
      <c r="G35" s="90">
        <f>AVERAGEIF($A$35:$A$46,1,$D$35:$D$46)</f>
        <v>72.130541141000009</v>
      </c>
      <c r="H35" s="90">
        <f>AVERAGEIF($A$35:$A$46,1,$E$35:$E$46)</f>
        <v>145.11031680713788</v>
      </c>
      <c r="I35" s="90">
        <f>85-F35</f>
        <v>-4.8453858880000098</v>
      </c>
      <c r="K35" s="78">
        <f>T35</f>
        <v>1</v>
      </c>
      <c r="L35" s="79" t="str">
        <f>OC!K2</f>
        <v>22cb59110885</v>
      </c>
      <c r="M35" s="50">
        <f>OC!T2+VLOOKUP($R$32,$AD$39:$AK$43,4,FALSE)</f>
        <v>-8.3160648945000002</v>
      </c>
      <c r="N35" s="50">
        <f>OC!U2+VLOOKUP($R$32,$AD$39:$AK$43,5,FALSE)</f>
        <v>1.20638172</v>
      </c>
      <c r="O35" s="85">
        <f>AVERAGEIF($K$35:$K$46,1,$M$35:$M$46)</f>
        <v>-7.3268100325666659</v>
      </c>
      <c r="P35" s="85">
        <f>AVERAGEIF($K$35:$K$46,1,$N$35:$N$46)</f>
        <v>-1.6027293851</v>
      </c>
      <c r="Q35" s="86">
        <f>P35*0.001</f>
        <v>-1.6027293851000001E-3</v>
      </c>
      <c r="R35" s="86">
        <f>O35*0.001</f>
        <v>-7.326810032566666E-3</v>
      </c>
      <c r="S35" s="34"/>
      <c r="T35" s="78">
        <v>1</v>
      </c>
      <c r="U35" s="79" t="str">
        <f>FPDC!K2</f>
        <v>22cb59110885</v>
      </c>
      <c r="V35" s="76">
        <f>FPDC!S2+VLOOKUP($R$32,$AD$39:$AK$43,2,FALSE)+VLOOKUP($R$32,$AD$39:$AK$43,7,FALSE)+VLOOKUP('File location'!$B$1,'Tester offset'!$A$2:$D$4,3,FALSE)</f>
        <v>0.37303304669999982</v>
      </c>
      <c r="W35" s="77">
        <f>FPDC!T2+VLOOKUP($R$32,$AD$39:$AK$43,3,FALSE)+VLOOKUP($R$32,$AD$39:$AK$43,8,FALSE)+VLOOKUP('File location'!$B$1,'Tester offset'!$A$2:$D$4,4,FALSE)</f>
        <v>6.7595024108999997</v>
      </c>
      <c r="X35" s="85">
        <f>AVERAGEIF($T$35:$T$46,1,$V$35:$V$46)</f>
        <v>5.6100050599999861E-2</v>
      </c>
      <c r="Y35" s="85">
        <f>AVERAGEIF($T$35:$T$46,1,$W$35:$W$46)</f>
        <v>4.4469661712666664</v>
      </c>
      <c r="Z35" s="86">
        <f>(X35*-0.01)/4</f>
        <v>-1.4025012649999965E-4</v>
      </c>
      <c r="AA35" s="86">
        <f>(Y35*-0.01)/4</f>
        <v>-1.1117415428166666E-2</v>
      </c>
    </row>
    <row r="36" spans="1:37" ht="17.100000000000001" customHeight="1">
      <c r="A36" s="78">
        <f t="shared" ref="A36:A46" si="0">T36</f>
        <v>1</v>
      </c>
      <c r="B36" s="79" t="str">
        <f>IPQC!K3</f>
        <v>22cb59110953</v>
      </c>
      <c r="C36" s="50">
        <f>IPQC!T3+VLOOKUP($R$32,$AD$39:$AK$43,6,FALSE)+VLOOKUP('File location'!$B$1,'Tester offset'!$A$2:$D$4,2,FALSE)</f>
        <v>88.627020531699998</v>
      </c>
      <c r="D36" s="50">
        <f>IPQC!AA3+VLOOKUP($R$32,$AD$39:$AK$43,6,FALSE)</f>
        <v>73.260996434800006</v>
      </c>
      <c r="E36" s="50">
        <f>VCM!HV3-'Summary(3pcs)'!C36-'Summary(3pcs)'!$D$33</f>
        <v>145.1244740977379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22cb59110953</v>
      </c>
      <c r="M36" s="50">
        <f>OC!T3+VLOOKUP($R$32,$AD$39:$AK$43,4,FALSE)</f>
        <v>-8.8191577372999994</v>
      </c>
      <c r="N36" s="50">
        <f>OC!U3+VLOOKUP($R$32,$AD$39:$AK$43,5,FALSE)</f>
        <v>-3.9593904374999997</v>
      </c>
      <c r="O36" s="85"/>
      <c r="P36" s="85"/>
      <c r="Q36" s="86"/>
      <c r="R36" s="86"/>
      <c r="S36" s="34"/>
      <c r="T36" s="78">
        <v>1</v>
      </c>
      <c r="U36" s="79" t="str">
        <f>FPDC!K3</f>
        <v>22cb59110953</v>
      </c>
      <c r="V36" s="76">
        <f>FPDC!S3+VLOOKUP($R$32,$AD$39:$AK$43,2,FALSE)+VLOOKUP($R$32,$AD$39:$AK$43,7,FALSE)+VLOOKUP('File location'!$B$1,'Tester offset'!$A$2:$D$4,3,FALSE)</f>
        <v>-3.5186228752000002</v>
      </c>
      <c r="W36" s="77">
        <f>FPDC!T3+VLOOKUP($R$32,$AD$39:$AK$43,3,FALSE)+VLOOKUP($R$32,$AD$39:$AK$43,8,FALSE)+VLOOKUP('File location'!$B$1,'Tester offset'!$A$2:$D$4,4,FALSE)</f>
        <v>4.5188035964999997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22cb59110927</v>
      </c>
      <c r="C37" s="50">
        <f>IPQC!T4+VLOOKUP($R$32,$AD$39:$AK$43,6,FALSE)+VLOOKUP('File location'!$B$1,'Tester offset'!$A$2:$D$4,2,FALSE)</f>
        <v>92.0246738206</v>
      </c>
      <c r="D37" s="50">
        <f>IPQC!AA4+VLOOKUP($R$32,$AD$39:$AK$43,6,FALSE)</f>
        <v>76.011122827700007</v>
      </c>
      <c r="E37" s="50">
        <f>VCM!HV4-'Summary(3pcs)'!C37-'Summary(3pcs)'!$D$33</f>
        <v>151.66134485103788</v>
      </c>
      <c r="F37" s="86"/>
      <c r="G37" s="90"/>
      <c r="H37" s="90"/>
      <c r="I37" s="90"/>
      <c r="K37" s="78">
        <f t="shared" si="1"/>
        <v>1</v>
      </c>
      <c r="L37" s="79" t="str">
        <f>OC!K4</f>
        <v>22cb59110927</v>
      </c>
      <c r="M37" s="50">
        <f>OC!T4+VLOOKUP($R$32,$AD$39:$AK$43,4,FALSE)</f>
        <v>-4.8452074658999997</v>
      </c>
      <c r="N37" s="50">
        <f>OC!U4+VLOOKUP($R$32,$AD$39:$AK$43,5,FALSE)</f>
        <v>-2.0551794377999997</v>
      </c>
      <c r="O37" s="85"/>
      <c r="P37" s="85"/>
      <c r="Q37" s="86"/>
      <c r="R37" s="86"/>
      <c r="S37" s="34"/>
      <c r="T37" s="78">
        <v>1</v>
      </c>
      <c r="U37" s="79" t="str">
        <f>FPDC!K4</f>
        <v>22cb59110927</v>
      </c>
      <c r="V37" s="76">
        <f>FPDC!S4+VLOOKUP($R$32,$AD$39:$AK$43,2,FALSE)+VLOOKUP($R$32,$AD$39:$AK$43,7,FALSE)+VLOOKUP('File location'!$B$1,'Tester offset'!$A$2:$D$4,3,FALSE)</f>
        <v>3.3138899802999999</v>
      </c>
      <c r="W37" s="77">
        <f>FPDC!T4+VLOOKUP($R$32,$AD$39:$AK$43,3,FALSE)+VLOOKUP($R$32,$AD$39:$AK$43,8,FALSE)+VLOOKUP('File location'!$B$1,'Tester offset'!$A$2:$D$4,4,FALSE)</f>
        <v>2.0625925063999997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22cb59110122</v>
      </c>
      <c r="C38" s="50">
        <f>IPQC!T5+VLOOKUP($R$32,$AD$39:$AK$43,6,FALSE)+VLOOKUP('File location'!$B$1,'Tester offset'!$A$2:$D$4,2,FALSE)</f>
        <v>78.222906134400006</v>
      </c>
      <c r="D38" s="50">
        <f>IPQC!AA5+VLOOKUP($R$32,$AD$39:$AK$43,6,FALSE)</f>
        <v>60.626890457099996</v>
      </c>
      <c r="E38" s="50">
        <f>VCM!HV5-'Summary(3pcs)'!C38-'Summary(3pcs)'!$D$33</f>
        <v>158.87451081013785</v>
      </c>
      <c r="F38" s="86">
        <f>AVERAGEIF($A$35:$A$46,2,$C$35:$C$46)</f>
        <v>88.815381762033326</v>
      </c>
      <c r="G38" s="90">
        <f>AVERAGEIF($A$35:$A$46,2,$D$35:$D$46)</f>
        <v>71.431587186900003</v>
      </c>
      <c r="H38" s="90">
        <f>AVERAGEIF($A$35:$A$46,2,$E$35:$E$46)</f>
        <v>141.87726461740456</v>
      </c>
      <c r="I38" s="90">
        <f>85-F38</f>
        <v>-3.8153817620333257</v>
      </c>
      <c r="K38" s="78">
        <f t="shared" si="1"/>
        <v>2</v>
      </c>
      <c r="L38" s="79" t="str">
        <f>OC!K5</f>
        <v>22cb59110122</v>
      </c>
      <c r="M38" s="50">
        <f>OC!T5+VLOOKUP($R$32,$AD$39:$AK$43,4,FALSE)</f>
        <v>-4.7476590693</v>
      </c>
      <c r="N38" s="50">
        <f>OC!U5+VLOOKUP($R$32,$AD$39:$AK$43,5,FALSE)</f>
        <v>6.5015856423000002</v>
      </c>
      <c r="O38" s="85">
        <f>AVERAGEIF($K$35:$K$46,2,$M$35:$M$46)</f>
        <v>-2.5280861215666666</v>
      </c>
      <c r="P38" s="85">
        <f>AVERAGEIF($K$35:$K$46,2,$N$35:$N$46)</f>
        <v>3.7722904057999997</v>
      </c>
      <c r="Q38" s="86">
        <f>P38*0.001</f>
        <v>3.7722904057999997E-3</v>
      </c>
      <c r="R38" s="86">
        <f>O38*0.001</f>
        <v>-2.5280861215666666E-3</v>
      </c>
      <c r="S38" s="34"/>
      <c r="T38" s="78">
        <v>2</v>
      </c>
      <c r="U38" s="79" t="str">
        <f>FPDC!K5</f>
        <v>22cb59110122</v>
      </c>
      <c r="V38" s="76">
        <f>FPDC!S5+VLOOKUP($R$32,$AD$39:$AK$43,2,FALSE)+VLOOKUP($R$32,$AD$39:$AK$43,7,FALSE)+VLOOKUP('File location'!$B$1,'Tester offset'!$A$2:$D$4,3,FALSE)</f>
        <v>1.7907781601000003</v>
      </c>
      <c r="W38" s="77">
        <f>FPDC!T5+VLOOKUP($R$32,$AD$39:$AK$43,3,FALSE)+VLOOKUP($R$32,$AD$39:$AK$43,8,FALSE)+VLOOKUP('File location'!$B$1,'Tester offset'!$A$2:$D$4,4,FALSE)</f>
        <v>2.5954513549999998</v>
      </c>
      <c r="X38" s="85">
        <f>AVERAGEIF($T$35:$T$46,2,$V$35:$V$46)</f>
        <v>3.5613961220000001</v>
      </c>
      <c r="Y38" s="85">
        <f>AVERAGEIF($T$35:$T$46,2,$W$35:$W$46)</f>
        <v>1.2864567438666665</v>
      </c>
      <c r="Z38" s="86">
        <f>(X38*-0.01)/4</f>
        <v>-8.903490305000001E-3</v>
      </c>
      <c r="AA38" s="86">
        <f>(Y38*-0.01)/4</f>
        <v>-3.2161418596666665E-3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22cb59110910</v>
      </c>
      <c r="C39" s="50">
        <f>IPQC!T6+VLOOKUP($R$32,$AD$39:$AK$43,6,FALSE)+VLOOKUP('File location'!$B$1,'Tester offset'!$A$2:$D$4,2,FALSE)</f>
        <v>93.164213360399998</v>
      </c>
      <c r="D39" s="50">
        <f>IPQC!AA6+VLOOKUP($R$32,$AD$39:$AK$43,6,FALSE)</f>
        <v>79.175998837600005</v>
      </c>
      <c r="E39" s="50">
        <f>VCM!HV6-'Summary(3pcs)'!C39-'Summary(3pcs)'!$D$33</f>
        <v>134.37572894213793</v>
      </c>
      <c r="F39" s="86"/>
      <c r="G39" s="90"/>
      <c r="H39" s="90"/>
      <c r="I39" s="90"/>
      <c r="K39" s="78">
        <f t="shared" si="1"/>
        <v>2</v>
      </c>
      <c r="L39" s="79" t="str">
        <f>OC!K6</f>
        <v>22cb59110910</v>
      </c>
      <c r="M39" s="50">
        <f>OC!T6+VLOOKUP($R$32,$AD$39:$AK$43,4,FALSE)</f>
        <v>-0.64096169140000003</v>
      </c>
      <c r="N39" s="50">
        <f>OC!U6+VLOOKUP($R$32,$AD$39:$AK$43,5,FALSE)</f>
        <v>3.4933598974</v>
      </c>
      <c r="O39" s="85"/>
      <c r="P39" s="85"/>
      <c r="Q39" s="86"/>
      <c r="R39" s="86"/>
      <c r="S39" s="34"/>
      <c r="T39" s="78">
        <v>2</v>
      </c>
      <c r="U39" s="79" t="str">
        <f>FPDC!K6</f>
        <v>22cb59110910</v>
      </c>
      <c r="V39" s="76">
        <f>FPDC!S6+VLOOKUP($R$32,$AD$39:$AK$43,2,FALSE)+VLOOKUP($R$32,$AD$39:$AK$43,7,FALSE)+VLOOKUP('File location'!$B$1,'Tester offset'!$A$2:$D$4,3,FALSE)</f>
        <v>5.2564516068000007</v>
      </c>
      <c r="W39" s="77">
        <f>FPDC!T6+VLOOKUP($R$32,$AD$39:$AK$43,3,FALSE)+VLOOKUP($R$32,$AD$39:$AK$43,8,FALSE)+VLOOKUP('File location'!$B$1,'Tester offset'!$A$2:$D$4,4,FALSE)</f>
        <v>-0.7168812752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22cb59110911</v>
      </c>
      <c r="C40" s="50">
        <f>IPQC!T7+VLOOKUP($R$32,$AD$39:$AK$43,6,FALSE)+VLOOKUP('File location'!$B$1,'Tester offset'!$A$2:$D$4,2,FALSE)</f>
        <v>95.059025791300002</v>
      </c>
      <c r="D40" s="50">
        <f>IPQC!AA7+VLOOKUP($R$32,$AD$39:$AK$43,6,FALSE)</f>
        <v>74.491872266000001</v>
      </c>
      <c r="E40" s="50">
        <f>VCM!HV7-'Summary(3pcs)'!C40-'Summary(3pcs)'!$D$33</f>
        <v>132.38155409993794</v>
      </c>
      <c r="F40" s="86"/>
      <c r="G40" s="90"/>
      <c r="H40" s="90"/>
      <c r="I40" s="90"/>
      <c r="K40" s="78">
        <f t="shared" si="1"/>
        <v>2</v>
      </c>
      <c r="L40" s="79" t="str">
        <f>OC!K7</f>
        <v>22cb59110911</v>
      </c>
      <c r="M40" s="50">
        <f>OC!T7+VLOOKUP($R$32,$AD$39:$AK$43,4,FALSE)</f>
        <v>-2.1956376039999999</v>
      </c>
      <c r="N40" s="50">
        <f>OC!U7+VLOOKUP($R$32,$AD$39:$AK$43,5,FALSE)</f>
        <v>1.3219256776999999</v>
      </c>
      <c r="O40" s="85"/>
      <c r="P40" s="85"/>
      <c r="Q40" s="86"/>
      <c r="R40" s="86"/>
      <c r="S40" s="34"/>
      <c r="T40" s="78">
        <v>2</v>
      </c>
      <c r="U40" s="79" t="str">
        <f>FPDC!K7</f>
        <v>22cb59110911</v>
      </c>
      <c r="V40" s="76">
        <f>FPDC!S7+VLOOKUP($R$32,$AD$39:$AK$43,2,FALSE)+VLOOKUP($R$32,$AD$39:$AK$43,7,FALSE)+VLOOKUP('File location'!$B$1,'Tester offset'!$A$2:$D$4,3,FALSE)</f>
        <v>3.6369585990999997</v>
      </c>
      <c r="W40" s="77">
        <f>FPDC!T7+VLOOKUP($R$32,$AD$39:$AK$43,3,FALSE)+VLOOKUP($R$32,$AD$39:$AK$43,8,FALSE)+VLOOKUP('File location'!$B$1,'Tester offset'!$A$2:$D$4,4,FALSE)</f>
        <v>1.9808001517999996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22cb59110909</v>
      </c>
      <c r="C41" s="50">
        <f>IPQC!T8+VLOOKUP($R$32,$AD$39:$AK$43,6,FALSE)+VLOOKUP('File location'!$B$1,'Tester offset'!$A$2:$D$4,2,FALSE)</f>
        <v>96.715794967500003</v>
      </c>
      <c r="D41" s="50">
        <f>IPQC!AA8+VLOOKUP($R$32,$AD$39:$AK$43,6,FALSE)</f>
        <v>73.745750046300003</v>
      </c>
      <c r="E41" s="50">
        <f>VCM!HV8-'Summary(3pcs)'!C41-'Summary(3pcs)'!$D$33</f>
        <v>143.50263992653788</v>
      </c>
      <c r="F41" s="86">
        <f>AVERAGEIF($A$35:$A$46,3,$C$35:$C$46)</f>
        <v>95.052527381199994</v>
      </c>
      <c r="G41" s="90">
        <f>AVERAGEIF($A$35:$A$46,3,$D$35:$D$46)</f>
        <v>74.631648829900001</v>
      </c>
      <c r="H41" s="90">
        <f>AVERAGEIF($A$35:$A$46,3,$E$35:$E$46)</f>
        <v>144.46407561040456</v>
      </c>
      <c r="I41" s="90">
        <f>85-F41</f>
        <v>-10.052527381199994</v>
      </c>
      <c r="K41" s="78">
        <f t="shared" si="1"/>
        <v>3</v>
      </c>
      <c r="L41" s="79" t="str">
        <f>OC!K8</f>
        <v>22cb59110909</v>
      </c>
      <c r="M41" s="50">
        <f>OC!T8+VLOOKUP($R$32,$AD$39:$AK$43,4,FALSE)</f>
        <v>-2.2689530099000002</v>
      </c>
      <c r="N41" s="50">
        <f>OC!U8+VLOOKUP($R$32,$AD$39:$AK$43,5,FALSE)</f>
        <v>-3.5354380500999998</v>
      </c>
      <c r="O41" s="85">
        <f>AVERAGEIF($K$35:$K$46,3,$M$35:$M$46)</f>
        <v>-2.7088307905333338</v>
      </c>
      <c r="P41" s="85">
        <f>AVERAGEIF($K$35:$K$46,3,$N$35:$N$46)</f>
        <v>-1.4395934162000001</v>
      </c>
      <c r="Q41" s="86">
        <f>P41*0.001</f>
        <v>-1.4395934162000001E-3</v>
      </c>
      <c r="R41" s="86">
        <f>O41*0.001</f>
        <v>-2.7088307905333339E-3</v>
      </c>
      <c r="S41" s="34"/>
      <c r="T41" s="78">
        <v>3</v>
      </c>
      <c r="U41" s="79" t="str">
        <f>FPDC!K8</f>
        <v>22cb59110909</v>
      </c>
      <c r="V41" s="76">
        <f>FPDC!S8+VLOOKUP($R$32,$AD$39:$AK$43,2,FALSE)+VLOOKUP($R$32,$AD$39:$AK$43,7,FALSE)+VLOOKUP('File location'!$B$1,'Tester offset'!$A$2:$D$4,3,FALSE)</f>
        <v>1.9571804999999998</v>
      </c>
      <c r="W41" s="77">
        <f>FPDC!T8+VLOOKUP($R$32,$AD$39:$AK$43,3,FALSE)+VLOOKUP($R$32,$AD$39:$AK$43,8,FALSE)+VLOOKUP('File location'!$B$1,'Tester offset'!$A$2:$D$4,4,FALSE)</f>
        <v>-3.9969375729999999</v>
      </c>
      <c r="X41" s="85">
        <f>AVERAGEIF($T$35:$T$46,3,$V$35:$V$46)</f>
        <v>1.835055351233333</v>
      </c>
      <c r="Y41" s="85">
        <f>AVERAGEIF($T$35:$T$46,3,$W$35:$W$46)</f>
        <v>-0.19059540826666677</v>
      </c>
      <c r="Z41" s="86">
        <f>(X41*-0.01)/4</f>
        <v>-4.5876383780833327E-3</v>
      </c>
      <c r="AA41" s="86">
        <f>(Y41*-0.01)/4</f>
        <v>4.7648852066666691E-4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22cb59100236</v>
      </c>
      <c r="C42" s="50">
        <f>IPQC!T9+VLOOKUP($R$32,$AD$39:$AK$43,6,FALSE)+VLOOKUP('File location'!$B$1,'Tester offset'!$A$2:$D$4,2,FALSE)</f>
        <v>94.396578618600003</v>
      </c>
      <c r="D42" s="50">
        <f>IPQC!AA9+VLOOKUP($R$32,$AD$39:$AK$43,6,FALSE)</f>
        <v>76.2549888705</v>
      </c>
      <c r="E42" s="50">
        <f>VCM!HV9-'Summary(3pcs)'!C42-'Summary(3pcs)'!$D$33</f>
        <v>151.5978616691379</v>
      </c>
      <c r="F42" s="86"/>
      <c r="G42" s="90"/>
      <c r="H42" s="90"/>
      <c r="I42" s="90"/>
      <c r="K42" s="78">
        <f t="shared" si="1"/>
        <v>3</v>
      </c>
      <c r="L42" s="79" t="str">
        <f>OC!K9</f>
        <v>22cb59100236</v>
      </c>
      <c r="M42" s="50">
        <f>OC!T9+VLOOKUP($R$32,$AD$39:$AK$43,4,FALSE)</f>
        <v>-5.8573014780000001</v>
      </c>
      <c r="N42" s="50">
        <f>OC!U9+VLOOKUP($R$32,$AD$39:$AK$43,5,FALSE)</f>
        <v>5.2668855034000002</v>
      </c>
      <c r="O42" s="85"/>
      <c r="P42" s="85"/>
      <c r="Q42" s="86"/>
      <c r="R42" s="86"/>
      <c r="S42" s="34"/>
      <c r="T42" s="78">
        <v>3</v>
      </c>
      <c r="U42" s="79" t="str">
        <f>FPDC!K9</f>
        <v>22cb59100236</v>
      </c>
      <c r="V42" s="76">
        <f>FPDC!S9+VLOOKUP($R$32,$AD$39:$AK$43,2,FALSE)+VLOOKUP($R$32,$AD$39:$AK$43,7,FALSE)+VLOOKUP('File location'!$B$1,'Tester offset'!$A$2:$D$4,3,FALSE)</f>
        <v>1.1161098479999998</v>
      </c>
      <c r="W42" s="77">
        <f>FPDC!T9+VLOOKUP($R$32,$AD$39:$AK$43,3,FALSE)+VLOOKUP($R$32,$AD$39:$AK$43,8,FALSE)+VLOOKUP('File location'!$B$1,'Tester offset'!$A$2:$D$4,4,FALSE)</f>
        <v>-0.22057151789999985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22cb59110461</v>
      </c>
      <c r="C43" s="50">
        <f>IPQC!T10+VLOOKUP($R$32,$AD$39:$AK$43,6,FALSE)+VLOOKUP('File location'!$B$1,'Tester offset'!$A$2:$D$4,2,FALSE)</f>
        <v>94.045208557500004</v>
      </c>
      <c r="D43" s="50">
        <f>IPQC!AA10+VLOOKUP($R$32,$AD$39:$AK$43,6,FALSE)</f>
        <v>73.894207572900001</v>
      </c>
      <c r="E43" s="50">
        <f>VCM!HV10-'Summary(3pcs)'!C43-'Summary(3pcs)'!$D$33</f>
        <v>138.29172523553791</v>
      </c>
      <c r="F43" s="86"/>
      <c r="G43" s="90"/>
      <c r="H43" s="90"/>
      <c r="I43" s="90"/>
      <c r="K43" s="78">
        <f t="shared" si="1"/>
        <v>3</v>
      </c>
      <c r="L43" s="79" t="str">
        <f>OC!K10</f>
        <v>22cb59110461</v>
      </c>
      <c r="M43" s="50">
        <f>OC!T10+VLOOKUP($R$32,$AD$39:$AK$43,4,FALSE)</f>
        <v>-2.3788370000000001E-4</v>
      </c>
      <c r="N43" s="50">
        <f>OC!U10+VLOOKUP($R$32,$AD$39:$AK$43,5,FALSE)</f>
        <v>-6.0502277019000008</v>
      </c>
      <c r="O43" s="85"/>
      <c r="P43" s="85"/>
      <c r="Q43" s="86"/>
      <c r="R43" s="86"/>
      <c r="S43" s="34"/>
      <c r="T43" s="78">
        <v>3</v>
      </c>
      <c r="U43" s="79" t="str">
        <f>FPDC!K10</f>
        <v>22cb59110461</v>
      </c>
      <c r="V43" s="76">
        <f>FPDC!S10+VLOOKUP($R$32,$AD$39:$AK$43,2,FALSE)+VLOOKUP($R$32,$AD$39:$AK$43,7,FALSE)+VLOOKUP('File location'!$B$1,'Tester offset'!$A$2:$D$4,3,FALSE)</f>
        <v>2.4318757056999996</v>
      </c>
      <c r="W43" s="77">
        <f>FPDC!T10+VLOOKUP($R$32,$AD$39:$AK$43,3,FALSE)+VLOOKUP($R$32,$AD$39:$AK$43,8,FALSE)+VLOOKUP('File location'!$B$1,'Tester offset'!$A$2:$D$4,4,FALSE)</f>
        <v>3.6457228660999998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>
        <f>IPQC!K11</f>
        <v>0</v>
      </c>
      <c r="C44" s="50">
        <f>IPQC!T11+VLOOKUP($R$32,$AD$39:$AK$43,6,FALSE)+VLOOKUP('File location'!$B$1,'Tester offset'!$A$2:$D$4,2,FALSE)</f>
        <v>6</v>
      </c>
      <c r="D44" s="50">
        <f>IPQC!AA11+VLOOKUP($R$32,$AD$39:$AK$43,6,FALSE)</f>
        <v>6</v>
      </c>
      <c r="E44" s="50">
        <f>VCM!HV11-'Summary(3pcs)'!C44-'Summary(3pcs)'!$D$33</f>
        <v>-185.50310559006209</v>
      </c>
      <c r="F44" s="86">
        <f>AVERAGEIF($A$35:$A$46,4,$C$35:$C$46)</f>
        <v>6</v>
      </c>
      <c r="G44" s="90">
        <f>AVERAGEIF($A$35:$A$46,4,$D$35:$D$46)</f>
        <v>6</v>
      </c>
      <c r="H44" s="90">
        <f>AVERAGEIF($A$35:$A$46,4,$E$35:$E$46)</f>
        <v>-185.50310559006209</v>
      </c>
      <c r="I44" s="90">
        <f>85-F44</f>
        <v>79</v>
      </c>
      <c r="K44" s="78">
        <f t="shared" si="1"/>
        <v>4</v>
      </c>
      <c r="L44" s="79">
        <f>OC!K11</f>
        <v>0</v>
      </c>
      <c r="M44" s="50">
        <f>OC!T11+VLOOKUP($R$32,$AD$39:$AK$43,4,FALSE)</f>
        <v>0</v>
      </c>
      <c r="N44" s="50">
        <f>OC!U11+VLOOKUP($R$32,$AD$39:$AK$43,5,FALSE)</f>
        <v>4</v>
      </c>
      <c r="O44" s="85">
        <f>AVERAGEIF($K$35:$K$46,4,$M$35:$M$46)</f>
        <v>0</v>
      </c>
      <c r="P44" s="85">
        <f>AVERAGEIF($K$35:$K$46,4,$N$35:$N$46)</f>
        <v>4</v>
      </c>
      <c r="Q44" s="86">
        <f>P44*0.001</f>
        <v>4.0000000000000001E-3</v>
      </c>
      <c r="R44" s="86">
        <f>O44*0.001</f>
        <v>0</v>
      </c>
      <c r="S44" s="34"/>
      <c r="T44" s="78">
        <v>4</v>
      </c>
      <c r="U44" s="79">
        <f>FPDC!K11</f>
        <v>0</v>
      </c>
      <c r="V44" s="76">
        <f>FPDC!S11+VLOOKUP($R$32,$AD$39:$AK$43,2,FALSE)+VLOOKUP($R$32,$AD$39:$AK$43,7,FALSE)+VLOOKUP('File location'!$B$1,'Tester offset'!$A$2:$D$4,3,FALSE)</f>
        <v>-3</v>
      </c>
      <c r="W44" s="77">
        <f>FPDC!T11+VLOOKUP($R$32,$AD$39:$AK$43,3,FALSE)+VLOOKUP($R$32,$AD$39:$AK$43,8,FALSE)+VLOOKUP('File location'!$B$1,'Tester offset'!$A$2:$D$4,4,FALSE)</f>
        <v>-3</v>
      </c>
      <c r="X44" s="85">
        <f>AVERAGEIF($T$35:$T$46,4,$V$35:$V$46)</f>
        <v>-3</v>
      </c>
      <c r="Y44" s="85">
        <f>AVERAGEIF($T$35:$T$46,4,$W$35:$W$46)</f>
        <v>-3</v>
      </c>
      <c r="Z44" s="86">
        <f>(X44*-0.01)/4</f>
        <v>7.4999999999999997E-3</v>
      </c>
      <c r="AA44" s="86">
        <f>(Y44*-0.01)/4</f>
        <v>7.4999999999999997E-3</v>
      </c>
    </row>
    <row r="45" spans="1:37" ht="17.100000000000001" customHeight="1">
      <c r="A45" s="78">
        <f t="shared" si="0"/>
        <v>4</v>
      </c>
      <c r="B45" s="79">
        <f>IPQC!K12</f>
        <v>0</v>
      </c>
      <c r="C45" s="50">
        <f>IPQC!T12+VLOOKUP($R$32,$AD$39:$AK$43,6,FALSE)+VLOOKUP('File location'!$B$1,'Tester offset'!$A$2:$D$4,2,FALSE)</f>
        <v>6</v>
      </c>
      <c r="D45" s="50">
        <f>IPQC!AA12+VLOOKUP($R$32,$AD$39:$AK$43,6,FALSE)</f>
        <v>6</v>
      </c>
      <c r="E45" s="50">
        <f>VCM!HV12-'Summary(3pcs)'!C45-'Summary(3pcs)'!$D$33</f>
        <v>-185.50310559006209</v>
      </c>
      <c r="F45" s="86"/>
      <c r="G45" s="90"/>
      <c r="H45" s="90"/>
      <c r="I45" s="90"/>
      <c r="K45" s="78">
        <f t="shared" si="1"/>
        <v>4</v>
      </c>
      <c r="L45" s="79">
        <f>OC!K12</f>
        <v>0</v>
      </c>
      <c r="M45" s="50">
        <f>OC!T12+VLOOKUP($R$32,$AD$39:$AK$43,4,FALSE)</f>
        <v>0</v>
      </c>
      <c r="N45" s="50">
        <f>OC!U12+VLOOKUP($R$32,$AD$39:$AK$43,5,FALSE)</f>
        <v>4</v>
      </c>
      <c r="O45" s="85"/>
      <c r="P45" s="85"/>
      <c r="Q45" s="86"/>
      <c r="R45" s="86"/>
      <c r="S45" s="34"/>
      <c r="T45" s="78">
        <v>4</v>
      </c>
      <c r="U45" s="79">
        <f>FPDC!K12</f>
        <v>0</v>
      </c>
      <c r="V45" s="76">
        <f>FPDC!S12+VLOOKUP($R$32,$AD$39:$AK$43,2,FALSE)+VLOOKUP($R$32,$AD$39:$AK$43,7,FALSE)+VLOOKUP('File location'!$B$1,'Tester offset'!$A$2:$D$4,3,FALSE)</f>
        <v>-3</v>
      </c>
      <c r="W45" s="77">
        <f>FPDC!T12+VLOOKUP($R$32,$AD$39:$AK$43,3,FALSE)+VLOOKUP($R$32,$AD$39:$AK$43,8,FALSE)+VLOOKUP('File location'!$B$1,'Tester offset'!$A$2:$D$4,4,FALSE)</f>
        <v>-3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>
        <f>IPQC!K13</f>
        <v>0</v>
      </c>
      <c r="C46" s="50">
        <f>IPQC!T13+VLOOKUP($R$32,$AD$39:$AK$43,6,FALSE)+VLOOKUP('File location'!$B$1,'Tester offset'!$A$2:$D$4,2,FALSE)</f>
        <v>6</v>
      </c>
      <c r="D46" s="50">
        <f>IPQC!AA13+VLOOKUP($R$32,$AD$39:$AK$43,6,FALSE)</f>
        <v>6</v>
      </c>
      <c r="E46" s="50">
        <f>VCM!HV13-'Summary(3pcs)'!C46-'Summary(3pcs)'!$D$33</f>
        <v>-185.50310559006209</v>
      </c>
      <c r="F46" s="86"/>
      <c r="G46" s="90"/>
      <c r="H46" s="90"/>
      <c r="I46" s="90"/>
      <c r="K46" s="78">
        <f t="shared" si="1"/>
        <v>4</v>
      </c>
      <c r="L46" s="79">
        <f>OC!K13</f>
        <v>0</v>
      </c>
      <c r="M46" s="50">
        <f>OC!T13+VLOOKUP($R$32,$AD$39:$AK$43,4,FALSE)</f>
        <v>0</v>
      </c>
      <c r="N46" s="50">
        <f>OC!U13+VLOOKUP($R$32,$AD$39:$AK$43,5,FALSE)</f>
        <v>4</v>
      </c>
      <c r="O46" s="85"/>
      <c r="P46" s="85"/>
      <c r="Q46" s="86"/>
      <c r="R46" s="86"/>
      <c r="S46" s="34"/>
      <c r="T46" s="78">
        <v>4</v>
      </c>
      <c r="U46" s="79">
        <f>FPDC!K13</f>
        <v>0</v>
      </c>
      <c r="V46" s="76">
        <f>FPDC!S13+VLOOKUP($R$32,$AD$39:$AK$43,2,FALSE)+VLOOKUP($R$32,$AD$39:$AK$43,7,FALSE)+VLOOKUP('File location'!$B$1,'Tester offset'!$A$2:$D$4,3,FALSE)</f>
        <v>-3</v>
      </c>
      <c r="W46" s="77">
        <f>FPDC!T13+VLOOKUP($R$32,$AD$39:$AK$43,3,FALSE)+VLOOKUP($R$32,$AD$39:$AK$43,8,FALSE)+VLOOKUP('File location'!$B$1,'Tester offset'!$A$2:$D$4,4,FALSE)</f>
        <v>-3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163</v>
      </c>
      <c r="G49" s="91"/>
      <c r="H49" s="49" t="s">
        <v>148</v>
      </c>
      <c r="O49" s="93" t="s">
        <v>165</v>
      </c>
      <c r="P49" s="91"/>
      <c r="Q49" s="49" t="s">
        <v>162</v>
      </c>
      <c r="Y49" s="93" t="s">
        <v>165</v>
      </c>
      <c r="Z49" s="91"/>
      <c r="AA49" s="49" t="s">
        <v>104</v>
      </c>
    </row>
    <row r="50" spans="6:27" ht="17.25">
      <c r="F50" s="91" t="s">
        <v>164</v>
      </c>
      <c r="G50" s="91"/>
      <c r="H50" s="49" t="s">
        <v>107</v>
      </c>
      <c r="O50" s="93" t="s">
        <v>171</v>
      </c>
      <c r="P50" s="91"/>
      <c r="Q50" s="49" t="s">
        <v>169</v>
      </c>
      <c r="Y50" s="93" t="s">
        <v>167</v>
      </c>
      <c r="Z50" s="91"/>
      <c r="AA50" s="49" t="s">
        <v>168</v>
      </c>
    </row>
    <row r="51" spans="6:27" ht="17.25">
      <c r="F51" s="91" t="s">
        <v>16</v>
      </c>
      <c r="G51" s="91"/>
      <c r="H51" s="49" t="s">
        <v>106</v>
      </c>
      <c r="O51" s="93" t="s">
        <v>171</v>
      </c>
      <c r="P51" s="91"/>
      <c r="Q51" s="79" t="s">
        <v>170</v>
      </c>
      <c r="Y51" s="93" t="s">
        <v>166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88.884463311700003</v>
      </c>
      <c r="L55" s="52">
        <f t="shared" ref="L55:L66" si="4">D35</f>
        <v>67.1195041605</v>
      </c>
      <c r="M55" s="52">
        <f t="shared" ref="M55:M66" si="5">E35</f>
        <v>138.54513147263788</v>
      </c>
      <c r="N55" s="52">
        <f t="shared" ref="N55:O66" si="6">M35</f>
        <v>-8.3160648945000002</v>
      </c>
      <c r="O55" s="52">
        <f t="shared" si="6"/>
        <v>1.20638172</v>
      </c>
      <c r="P55" s="52">
        <f t="shared" ref="P55:P66" si="7">V35</f>
        <v>0.37303304669999982</v>
      </c>
      <c r="Q55" s="53">
        <f t="shared" ref="Q55:Q66" si="8">W35</f>
        <v>6.7595024108999997</v>
      </c>
    </row>
    <row r="56" spans="6:27" ht="19.5">
      <c r="I56" s="43">
        <f t="shared" si="2"/>
        <v>1</v>
      </c>
      <c r="J56" s="44"/>
      <c r="K56" s="54">
        <f t="shared" si="3"/>
        <v>88.627020531699998</v>
      </c>
      <c r="L56" s="55">
        <f t="shared" si="4"/>
        <v>73.260996434800006</v>
      </c>
      <c r="M56" s="55">
        <f t="shared" si="5"/>
        <v>145.1244740977379</v>
      </c>
      <c r="N56" s="55">
        <f t="shared" si="6"/>
        <v>-8.8191577372999994</v>
      </c>
      <c r="O56" s="55">
        <f t="shared" si="6"/>
        <v>-3.9593904374999997</v>
      </c>
      <c r="P56" s="55">
        <f t="shared" si="7"/>
        <v>-3.5186228752000002</v>
      </c>
      <c r="Q56" s="56">
        <f t="shared" si="8"/>
        <v>4.5188035964999997</v>
      </c>
    </row>
    <row r="57" spans="6:27" ht="19.5">
      <c r="I57" s="43">
        <f t="shared" si="2"/>
        <v>1</v>
      </c>
      <c r="J57" s="44"/>
      <c r="K57" s="57">
        <f t="shared" si="3"/>
        <v>92.0246738206</v>
      </c>
      <c r="L57" s="58">
        <f t="shared" si="4"/>
        <v>76.011122827700007</v>
      </c>
      <c r="M57" s="58">
        <f t="shared" si="5"/>
        <v>151.66134485103788</v>
      </c>
      <c r="N57" s="58">
        <f t="shared" si="6"/>
        <v>-4.8452074658999997</v>
      </c>
      <c r="O57" s="58">
        <f t="shared" si="6"/>
        <v>-2.0551794377999997</v>
      </c>
      <c r="P57" s="58">
        <f t="shared" si="7"/>
        <v>3.3138899802999999</v>
      </c>
      <c r="Q57" s="59">
        <f t="shared" si="8"/>
        <v>2.0625925063999997</v>
      </c>
    </row>
    <row r="58" spans="6:27" ht="19.5">
      <c r="I58" s="43">
        <f t="shared" si="2"/>
        <v>2</v>
      </c>
      <c r="J58" s="44"/>
      <c r="K58" s="60">
        <f t="shared" si="3"/>
        <v>78.222906134400006</v>
      </c>
      <c r="L58" s="61">
        <f t="shared" si="4"/>
        <v>60.626890457099996</v>
      </c>
      <c r="M58" s="61">
        <f t="shared" si="5"/>
        <v>158.87451081013785</v>
      </c>
      <c r="N58" s="61">
        <f t="shared" si="6"/>
        <v>-4.7476590693</v>
      </c>
      <c r="O58" s="61">
        <f t="shared" si="6"/>
        <v>6.5015856423000002</v>
      </c>
      <c r="P58" s="61">
        <f t="shared" si="7"/>
        <v>1.7907781601000003</v>
      </c>
      <c r="Q58" s="62">
        <f t="shared" si="8"/>
        <v>2.5954513549999998</v>
      </c>
    </row>
    <row r="59" spans="6:27" ht="19.5">
      <c r="I59" s="43">
        <f t="shared" si="2"/>
        <v>2</v>
      </c>
      <c r="J59" s="44"/>
      <c r="K59" s="60">
        <f t="shared" si="3"/>
        <v>93.164213360399998</v>
      </c>
      <c r="L59" s="61">
        <f t="shared" si="4"/>
        <v>79.175998837600005</v>
      </c>
      <c r="M59" s="61">
        <f t="shared" si="5"/>
        <v>134.37572894213793</v>
      </c>
      <c r="N59" s="61">
        <f t="shared" si="6"/>
        <v>-0.64096169140000003</v>
      </c>
      <c r="O59" s="61">
        <f t="shared" si="6"/>
        <v>3.4933598974</v>
      </c>
      <c r="P59" s="61">
        <f t="shared" si="7"/>
        <v>5.2564516068000007</v>
      </c>
      <c r="Q59" s="62">
        <f t="shared" si="8"/>
        <v>-0.7168812752</v>
      </c>
    </row>
    <row r="60" spans="6:27" ht="19.5">
      <c r="I60" s="43">
        <f t="shared" si="2"/>
        <v>2</v>
      </c>
      <c r="J60" s="44"/>
      <c r="K60" s="60">
        <f t="shared" si="3"/>
        <v>95.059025791300002</v>
      </c>
      <c r="L60" s="61">
        <f t="shared" si="4"/>
        <v>74.491872266000001</v>
      </c>
      <c r="M60" s="61">
        <f t="shared" si="5"/>
        <v>132.38155409993794</v>
      </c>
      <c r="N60" s="61">
        <f t="shared" si="6"/>
        <v>-2.1956376039999999</v>
      </c>
      <c r="O60" s="61">
        <f t="shared" si="6"/>
        <v>1.3219256776999999</v>
      </c>
      <c r="P60" s="61">
        <f t="shared" si="7"/>
        <v>3.6369585990999997</v>
      </c>
      <c r="Q60" s="62">
        <f t="shared" si="8"/>
        <v>1.9808001517999996</v>
      </c>
    </row>
    <row r="61" spans="6:27" ht="19.5">
      <c r="I61" s="43">
        <f t="shared" si="2"/>
        <v>3</v>
      </c>
      <c r="J61" s="44"/>
      <c r="K61" s="66">
        <f t="shared" si="3"/>
        <v>96.715794967500003</v>
      </c>
      <c r="L61" s="67">
        <f t="shared" si="4"/>
        <v>73.745750046300003</v>
      </c>
      <c r="M61" s="67">
        <f t="shared" si="5"/>
        <v>143.50263992653788</v>
      </c>
      <c r="N61" s="67">
        <f t="shared" si="6"/>
        <v>-2.2689530099000002</v>
      </c>
      <c r="O61" s="67">
        <f t="shared" si="6"/>
        <v>-3.5354380500999998</v>
      </c>
      <c r="P61" s="67">
        <f t="shared" si="7"/>
        <v>1.9571804999999998</v>
      </c>
      <c r="Q61" s="68">
        <f t="shared" si="8"/>
        <v>-3.9969375729999999</v>
      </c>
    </row>
    <row r="62" spans="6:27" ht="19.5">
      <c r="I62" s="43">
        <f t="shared" si="2"/>
        <v>3</v>
      </c>
      <c r="J62" s="44"/>
      <c r="K62" s="69">
        <f t="shared" si="3"/>
        <v>94.396578618600003</v>
      </c>
      <c r="L62" s="70">
        <f t="shared" si="4"/>
        <v>76.2549888705</v>
      </c>
      <c r="M62" s="70">
        <f t="shared" si="5"/>
        <v>151.5978616691379</v>
      </c>
      <c r="N62" s="70">
        <f t="shared" si="6"/>
        <v>-5.8573014780000001</v>
      </c>
      <c r="O62" s="70">
        <f t="shared" si="6"/>
        <v>5.2668855034000002</v>
      </c>
      <c r="P62" s="70">
        <f t="shared" si="7"/>
        <v>1.1161098479999998</v>
      </c>
      <c r="Q62" s="71">
        <f t="shared" si="8"/>
        <v>-0.22057151789999985</v>
      </c>
    </row>
    <row r="63" spans="6:27" ht="19.5">
      <c r="I63" s="43">
        <f t="shared" si="2"/>
        <v>3</v>
      </c>
      <c r="J63" s="44"/>
      <c r="K63" s="72">
        <f t="shared" si="3"/>
        <v>94.045208557500004</v>
      </c>
      <c r="L63" s="73">
        <f t="shared" si="4"/>
        <v>73.894207572900001</v>
      </c>
      <c r="M63" s="73">
        <f t="shared" si="5"/>
        <v>138.29172523553791</v>
      </c>
      <c r="N63" s="73">
        <f t="shared" si="6"/>
        <v>-2.3788370000000001E-4</v>
      </c>
      <c r="O63" s="73">
        <f t="shared" si="6"/>
        <v>-6.0502277019000008</v>
      </c>
      <c r="P63" s="73">
        <f t="shared" si="7"/>
        <v>2.4318757056999996</v>
      </c>
      <c r="Q63" s="74">
        <f t="shared" si="8"/>
        <v>3.6457228660999998</v>
      </c>
    </row>
    <row r="64" spans="6:27" ht="19.5">
      <c r="I64" s="43">
        <f t="shared" si="2"/>
        <v>4</v>
      </c>
      <c r="J64" s="44"/>
      <c r="K64" s="60">
        <f t="shared" si="3"/>
        <v>6</v>
      </c>
      <c r="L64" s="61">
        <f t="shared" si="4"/>
        <v>6</v>
      </c>
      <c r="M64" s="61">
        <f t="shared" si="5"/>
        <v>-185.50310559006209</v>
      </c>
      <c r="N64" s="61">
        <f t="shared" si="6"/>
        <v>0</v>
      </c>
      <c r="O64" s="61">
        <f t="shared" si="6"/>
        <v>4</v>
      </c>
      <c r="P64" s="61">
        <f t="shared" si="7"/>
        <v>-3</v>
      </c>
      <c r="Q64" s="62">
        <f t="shared" si="8"/>
        <v>-3</v>
      </c>
    </row>
    <row r="65" spans="9:17" ht="19.5">
      <c r="I65" s="43">
        <f t="shared" si="2"/>
        <v>4</v>
      </c>
      <c r="J65" s="44"/>
      <c r="K65" s="60">
        <f t="shared" si="3"/>
        <v>6</v>
      </c>
      <c r="L65" s="61">
        <f t="shared" si="4"/>
        <v>6</v>
      </c>
      <c r="M65" s="61">
        <f t="shared" si="5"/>
        <v>-185.50310559006209</v>
      </c>
      <c r="N65" s="61">
        <f t="shared" si="6"/>
        <v>0</v>
      </c>
      <c r="O65" s="61">
        <f t="shared" si="6"/>
        <v>4</v>
      </c>
      <c r="P65" s="61">
        <f t="shared" si="7"/>
        <v>-3</v>
      </c>
      <c r="Q65" s="62">
        <f t="shared" si="8"/>
        <v>-3</v>
      </c>
    </row>
    <row r="66" spans="9:17" ht="20.25" thickBot="1">
      <c r="I66" s="43">
        <f t="shared" si="2"/>
        <v>4</v>
      </c>
      <c r="J66" s="44"/>
      <c r="K66" s="63">
        <f t="shared" si="3"/>
        <v>6</v>
      </c>
      <c r="L66" s="64">
        <f t="shared" si="4"/>
        <v>6</v>
      </c>
      <c r="M66" s="64">
        <f t="shared" si="5"/>
        <v>-185.50310559006209</v>
      </c>
      <c r="N66" s="64">
        <f t="shared" si="6"/>
        <v>0</v>
      </c>
      <c r="O66" s="64">
        <f t="shared" si="6"/>
        <v>4</v>
      </c>
      <c r="P66" s="64">
        <f t="shared" si="7"/>
        <v>-3</v>
      </c>
      <c r="Q66" s="65">
        <f t="shared" si="8"/>
        <v>-3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0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190</v>
      </c>
      <c r="S1" t="s">
        <v>191</v>
      </c>
      <c r="T1" t="s">
        <v>192</v>
      </c>
      <c r="U1" t="s">
        <v>193</v>
      </c>
      <c r="V1" t="s">
        <v>194</v>
      </c>
      <c r="W1" t="s">
        <v>195</v>
      </c>
      <c r="X1" t="s">
        <v>196</v>
      </c>
      <c r="Y1" t="s">
        <v>197</v>
      </c>
      <c r="Z1" t="s">
        <v>198</v>
      </c>
      <c r="AA1" t="s">
        <v>199</v>
      </c>
      <c r="AB1" t="s">
        <v>200</v>
      </c>
      <c r="AC1" t="s">
        <v>201</v>
      </c>
      <c r="AD1" t="s">
        <v>202</v>
      </c>
      <c r="AE1" t="s">
        <v>203</v>
      </c>
      <c r="AF1" t="s">
        <v>204</v>
      </c>
      <c r="AG1" t="s">
        <v>205</v>
      </c>
      <c r="AH1" t="s">
        <v>206</v>
      </c>
      <c r="AI1" t="s">
        <v>207</v>
      </c>
      <c r="AJ1" t="s">
        <v>208</v>
      </c>
      <c r="AK1" s="17" t="s">
        <v>209</v>
      </c>
    </row>
    <row r="2" spans="1:37">
      <c r="A2" t="s">
        <v>210</v>
      </c>
      <c r="B2" t="s">
        <v>211</v>
      </c>
      <c r="C2" t="s">
        <v>212</v>
      </c>
      <c r="D2" t="s">
        <v>213</v>
      </c>
      <c r="E2">
        <v>3</v>
      </c>
      <c r="F2" t="s">
        <v>214</v>
      </c>
      <c r="G2" t="s">
        <v>215</v>
      </c>
      <c r="H2" t="s">
        <v>216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2104.1839351055</v>
      </c>
      <c r="S2">
        <v>1515.2936182799999</v>
      </c>
      <c r="T2">
        <v>-8.3160648945000002</v>
      </c>
      <c r="U2">
        <v>-2.79361828</v>
      </c>
      <c r="V2">
        <v>8.7727554634999994</v>
      </c>
      <c r="W2">
        <v>732.57249999999999</v>
      </c>
      <c r="X2">
        <v>394.52100000000002</v>
      </c>
      <c r="Y2">
        <v>399.15789999999998</v>
      </c>
      <c r="Z2">
        <v>398.31979999999999</v>
      </c>
      <c r="AA2">
        <v>391.82049999999998</v>
      </c>
      <c r="AB2">
        <v>564.26364999999998</v>
      </c>
      <c r="AC2" t="s">
        <v>223</v>
      </c>
      <c r="AD2" t="s">
        <v>224</v>
      </c>
      <c r="AE2" t="s">
        <v>225</v>
      </c>
      <c r="AF2" t="s">
        <v>226</v>
      </c>
      <c r="AG2" t="s">
        <v>227</v>
      </c>
      <c r="AH2">
        <v>8</v>
      </c>
      <c r="AI2" t="s">
        <v>228</v>
      </c>
      <c r="AK2" s="17">
        <v>1</v>
      </c>
    </row>
    <row r="3" spans="1:37">
      <c r="A3" t="s">
        <v>229</v>
      </c>
      <c r="B3" t="s">
        <v>230</v>
      </c>
      <c r="C3" t="s">
        <v>231</v>
      </c>
      <c r="D3" t="s">
        <v>213</v>
      </c>
      <c r="E3">
        <v>3</v>
      </c>
      <c r="F3" t="s">
        <v>214</v>
      </c>
      <c r="G3" t="s">
        <v>215</v>
      </c>
      <c r="H3" t="s">
        <v>216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2103.6808422627</v>
      </c>
      <c r="S3">
        <v>1520.4593904374999</v>
      </c>
      <c r="T3">
        <v>-8.8191577372999994</v>
      </c>
      <c r="U3">
        <v>-7.9593904374999997</v>
      </c>
      <c r="V3">
        <v>11.879791215899999</v>
      </c>
      <c r="W3">
        <v>734.82680000000005</v>
      </c>
      <c r="X3">
        <v>397.32139999999998</v>
      </c>
      <c r="Y3">
        <v>402.15300000000002</v>
      </c>
      <c r="Z3">
        <v>399.9667</v>
      </c>
      <c r="AA3">
        <v>393.39019999999999</v>
      </c>
      <c r="AB3">
        <v>566.5173125</v>
      </c>
      <c r="AC3" t="s">
        <v>223</v>
      </c>
      <c r="AD3" t="s">
        <v>224</v>
      </c>
      <c r="AE3" t="s">
        <v>225</v>
      </c>
      <c r="AF3" t="s">
        <v>226</v>
      </c>
      <c r="AG3" t="s">
        <v>227</v>
      </c>
      <c r="AH3">
        <v>8</v>
      </c>
      <c r="AI3" t="s">
        <v>228</v>
      </c>
      <c r="AK3" s="17">
        <v>1</v>
      </c>
    </row>
    <row r="4" spans="1:37">
      <c r="A4" t="s">
        <v>556</v>
      </c>
      <c r="B4" t="s">
        <v>557</v>
      </c>
      <c r="C4" t="s">
        <v>558</v>
      </c>
      <c r="D4" t="s">
        <v>213</v>
      </c>
      <c r="E4">
        <v>3</v>
      </c>
      <c r="F4" t="s">
        <v>214</v>
      </c>
      <c r="G4" t="s">
        <v>215</v>
      </c>
      <c r="H4" t="s">
        <v>216</v>
      </c>
      <c r="I4" t="s">
        <v>217</v>
      </c>
      <c r="K4" t="s">
        <v>559</v>
      </c>
      <c r="L4" t="s">
        <v>560</v>
      </c>
      <c r="M4" t="s">
        <v>561</v>
      </c>
      <c r="N4" t="s">
        <v>562</v>
      </c>
      <c r="O4" t="s">
        <v>563</v>
      </c>
      <c r="P4">
        <v>0</v>
      </c>
      <c r="Q4">
        <v>0</v>
      </c>
      <c r="R4">
        <v>2107.6547925341001</v>
      </c>
      <c r="S4">
        <v>1518.5551794378</v>
      </c>
      <c r="T4">
        <v>-4.8452074658999997</v>
      </c>
      <c r="U4">
        <v>-6.0551794377999997</v>
      </c>
      <c r="V4">
        <v>7.7550779113999999</v>
      </c>
      <c r="W4">
        <v>742.13750000000005</v>
      </c>
      <c r="X4">
        <v>399.48489999999998</v>
      </c>
      <c r="Y4">
        <v>404.89980000000003</v>
      </c>
      <c r="Z4">
        <v>402.07190000000003</v>
      </c>
      <c r="AA4">
        <v>399.40800000000002</v>
      </c>
      <c r="AB4">
        <v>571.80182500000001</v>
      </c>
      <c r="AC4" t="s">
        <v>223</v>
      </c>
      <c r="AD4" t="s">
        <v>224</v>
      </c>
      <c r="AE4" t="s">
        <v>225</v>
      </c>
      <c r="AF4" t="s">
        <v>226</v>
      </c>
      <c r="AG4" t="s">
        <v>227</v>
      </c>
      <c r="AH4">
        <v>8</v>
      </c>
      <c r="AI4" t="s">
        <v>228</v>
      </c>
      <c r="AK4" s="17">
        <v>1</v>
      </c>
    </row>
    <row r="5" spans="1:37">
      <c r="A5" t="s">
        <v>564</v>
      </c>
      <c r="B5" t="s">
        <v>565</v>
      </c>
      <c r="C5" t="s">
        <v>566</v>
      </c>
      <c r="D5" t="s">
        <v>213</v>
      </c>
      <c r="E5">
        <v>3</v>
      </c>
      <c r="F5" t="s">
        <v>214</v>
      </c>
      <c r="G5" t="s">
        <v>215</v>
      </c>
      <c r="H5" t="s">
        <v>216</v>
      </c>
      <c r="I5" t="s">
        <v>217</v>
      </c>
      <c r="K5" t="s">
        <v>567</v>
      </c>
      <c r="L5" t="s">
        <v>568</v>
      </c>
      <c r="M5" t="s">
        <v>569</v>
      </c>
      <c r="N5" t="s">
        <v>570</v>
      </c>
      <c r="O5" t="s">
        <v>571</v>
      </c>
      <c r="P5">
        <v>0</v>
      </c>
      <c r="Q5">
        <v>0</v>
      </c>
      <c r="R5">
        <v>2107.7523409307</v>
      </c>
      <c r="S5">
        <v>1509.9984143577001</v>
      </c>
      <c r="T5">
        <v>-4.7476590693</v>
      </c>
      <c r="U5">
        <v>2.5015856422999998</v>
      </c>
      <c r="V5">
        <v>5.3663951926999998</v>
      </c>
      <c r="W5">
        <v>742.80880000000002</v>
      </c>
      <c r="X5">
        <v>405.00139999999999</v>
      </c>
      <c r="Y5">
        <v>402.92239999999998</v>
      </c>
      <c r="Z5">
        <v>402.87490000000003</v>
      </c>
      <c r="AA5">
        <v>401.96159999999998</v>
      </c>
      <c r="AB5">
        <v>572.9994375</v>
      </c>
      <c r="AC5" t="s">
        <v>223</v>
      </c>
      <c r="AD5" t="s">
        <v>224</v>
      </c>
      <c r="AE5" t="s">
        <v>225</v>
      </c>
      <c r="AF5" t="s">
        <v>226</v>
      </c>
      <c r="AG5" t="s">
        <v>227</v>
      </c>
      <c r="AH5">
        <v>8</v>
      </c>
      <c r="AI5" t="s">
        <v>228</v>
      </c>
      <c r="AK5" s="17">
        <v>1</v>
      </c>
    </row>
    <row r="6" spans="1:37">
      <c r="A6" t="s">
        <v>572</v>
      </c>
      <c r="B6" t="s">
        <v>573</v>
      </c>
      <c r="C6" t="s">
        <v>574</v>
      </c>
      <c r="D6" t="s">
        <v>213</v>
      </c>
      <c r="E6">
        <v>3</v>
      </c>
      <c r="F6" t="s">
        <v>214</v>
      </c>
      <c r="G6" t="s">
        <v>215</v>
      </c>
      <c r="H6" t="s">
        <v>216</v>
      </c>
      <c r="I6" t="s">
        <v>217</v>
      </c>
      <c r="K6" t="s">
        <v>575</v>
      </c>
      <c r="L6" t="s">
        <v>576</v>
      </c>
      <c r="M6" t="s">
        <v>577</v>
      </c>
      <c r="N6" t="s">
        <v>578</v>
      </c>
      <c r="O6" t="s">
        <v>579</v>
      </c>
      <c r="P6">
        <v>0</v>
      </c>
      <c r="Q6">
        <v>0</v>
      </c>
      <c r="R6">
        <v>2111.8590383085998</v>
      </c>
      <c r="S6">
        <v>1513.0066401025999</v>
      </c>
      <c r="T6">
        <v>-0.64096169140000003</v>
      </c>
      <c r="U6">
        <v>-0.50664010260000003</v>
      </c>
      <c r="V6">
        <v>0.8170165747</v>
      </c>
      <c r="W6">
        <v>734.98710000000005</v>
      </c>
      <c r="X6">
        <v>396.06209999999999</v>
      </c>
      <c r="Y6">
        <v>395.50009999999997</v>
      </c>
      <c r="Z6">
        <v>395.54469999999998</v>
      </c>
      <c r="AA6">
        <v>394.34660000000002</v>
      </c>
      <c r="AB6">
        <v>565.17523749999998</v>
      </c>
      <c r="AC6" t="s">
        <v>223</v>
      </c>
      <c r="AD6" t="s">
        <v>224</v>
      </c>
      <c r="AE6" t="s">
        <v>225</v>
      </c>
      <c r="AF6" t="s">
        <v>226</v>
      </c>
      <c r="AG6" t="s">
        <v>227</v>
      </c>
      <c r="AH6">
        <v>8</v>
      </c>
      <c r="AI6" t="s">
        <v>228</v>
      </c>
      <c r="AK6" s="17">
        <v>1</v>
      </c>
    </row>
    <row r="7" spans="1:37">
      <c r="A7" t="s">
        <v>580</v>
      </c>
      <c r="B7" t="s">
        <v>581</v>
      </c>
      <c r="C7" t="s">
        <v>582</v>
      </c>
      <c r="D7" t="s">
        <v>213</v>
      </c>
      <c r="E7">
        <v>3</v>
      </c>
      <c r="F7" t="s">
        <v>214</v>
      </c>
      <c r="G7" t="s">
        <v>215</v>
      </c>
      <c r="H7" t="s">
        <v>216</v>
      </c>
      <c r="I7" t="s">
        <v>217</v>
      </c>
      <c r="K7" t="s">
        <v>583</v>
      </c>
      <c r="L7" t="s">
        <v>584</v>
      </c>
      <c r="M7" t="s">
        <v>585</v>
      </c>
      <c r="N7" t="s">
        <v>586</v>
      </c>
      <c r="O7" t="s">
        <v>587</v>
      </c>
      <c r="P7">
        <v>0</v>
      </c>
      <c r="Q7">
        <v>0</v>
      </c>
      <c r="R7">
        <v>2110.3043623960002</v>
      </c>
      <c r="S7">
        <v>1515.1780743223001</v>
      </c>
      <c r="T7">
        <v>-2.1956376039999999</v>
      </c>
      <c r="U7">
        <v>-2.6780743223000001</v>
      </c>
      <c r="V7">
        <v>3.4630776145</v>
      </c>
      <c r="W7">
        <v>729.48310000000004</v>
      </c>
      <c r="X7">
        <v>394.11059999999998</v>
      </c>
      <c r="Y7">
        <v>398.20940000000002</v>
      </c>
      <c r="Z7">
        <v>394.85120000000001</v>
      </c>
      <c r="AA7">
        <v>394.52100000000002</v>
      </c>
      <c r="AB7">
        <v>562.45307500000001</v>
      </c>
      <c r="AC7" t="s">
        <v>223</v>
      </c>
      <c r="AD7" t="s">
        <v>224</v>
      </c>
      <c r="AE7" t="s">
        <v>225</v>
      </c>
      <c r="AF7" t="s">
        <v>226</v>
      </c>
      <c r="AG7" t="s">
        <v>227</v>
      </c>
      <c r="AH7">
        <v>8</v>
      </c>
      <c r="AI7" t="s">
        <v>228</v>
      </c>
      <c r="AK7" s="17">
        <v>1</v>
      </c>
    </row>
    <row r="8" spans="1:37">
      <c r="A8" t="s">
        <v>588</v>
      </c>
      <c r="B8" t="s">
        <v>589</v>
      </c>
      <c r="C8" t="s">
        <v>590</v>
      </c>
      <c r="D8" t="s">
        <v>213</v>
      </c>
      <c r="E8">
        <v>3</v>
      </c>
      <c r="F8" t="s">
        <v>214</v>
      </c>
      <c r="G8" t="s">
        <v>215</v>
      </c>
      <c r="H8" t="s">
        <v>216</v>
      </c>
      <c r="I8" t="s">
        <v>217</v>
      </c>
      <c r="K8" t="s">
        <v>591</v>
      </c>
      <c r="L8" t="s">
        <v>592</v>
      </c>
      <c r="M8" t="s">
        <v>593</v>
      </c>
      <c r="N8" t="s">
        <v>594</v>
      </c>
      <c r="O8" t="s">
        <v>595</v>
      </c>
      <c r="P8">
        <v>0</v>
      </c>
      <c r="Q8">
        <v>0</v>
      </c>
      <c r="R8">
        <v>2110.2310469900999</v>
      </c>
      <c r="S8">
        <v>1520.0354380501001</v>
      </c>
      <c r="T8">
        <v>-2.2689530099000002</v>
      </c>
      <c r="U8">
        <v>-7.5354380500999998</v>
      </c>
      <c r="V8">
        <v>7.8696235214000003</v>
      </c>
      <c r="W8">
        <v>721.43209999999999</v>
      </c>
      <c r="X8">
        <v>387.32690000000002</v>
      </c>
      <c r="Y8">
        <v>391.4563</v>
      </c>
      <c r="Z8">
        <v>389.61810000000003</v>
      </c>
      <c r="AA8">
        <v>387.81079999999997</v>
      </c>
      <c r="AB8">
        <v>555.24256249999996</v>
      </c>
      <c r="AC8" t="s">
        <v>223</v>
      </c>
      <c r="AD8" t="s">
        <v>224</v>
      </c>
      <c r="AE8" t="s">
        <v>225</v>
      </c>
      <c r="AF8" t="s">
        <v>226</v>
      </c>
      <c r="AG8" t="s">
        <v>227</v>
      </c>
      <c r="AH8">
        <v>8</v>
      </c>
      <c r="AI8" t="s">
        <v>228</v>
      </c>
      <c r="AK8" s="17">
        <v>1</v>
      </c>
    </row>
    <row r="9" spans="1:37">
      <c r="A9" t="s">
        <v>596</v>
      </c>
      <c r="B9" t="s">
        <v>597</v>
      </c>
      <c r="C9" t="s">
        <v>598</v>
      </c>
      <c r="D9" t="s">
        <v>213</v>
      </c>
      <c r="E9">
        <v>3</v>
      </c>
      <c r="F9" t="s">
        <v>214</v>
      </c>
      <c r="G9" t="s">
        <v>215</v>
      </c>
      <c r="H9" t="s">
        <v>216</v>
      </c>
      <c r="I9" t="s">
        <v>217</v>
      </c>
      <c r="K9" t="s">
        <v>599</v>
      </c>
      <c r="L9" t="s">
        <v>600</v>
      </c>
      <c r="M9" t="s">
        <v>601</v>
      </c>
      <c r="N9" t="s">
        <v>602</v>
      </c>
      <c r="O9" t="s">
        <v>603</v>
      </c>
      <c r="P9">
        <v>0</v>
      </c>
      <c r="Q9">
        <v>0</v>
      </c>
      <c r="R9">
        <v>2106.642698522</v>
      </c>
      <c r="S9">
        <v>1511.2331144965999</v>
      </c>
      <c r="T9">
        <v>-5.8573014780000001</v>
      </c>
      <c r="U9">
        <v>1.2668855033999999</v>
      </c>
      <c r="V9">
        <v>5.9927439027</v>
      </c>
      <c r="W9">
        <v>738.85609999999997</v>
      </c>
      <c r="X9">
        <v>400.68279999999999</v>
      </c>
      <c r="Y9">
        <v>400.22359999999998</v>
      </c>
      <c r="Z9">
        <v>398.79480000000001</v>
      </c>
      <c r="AA9">
        <v>396.26220000000001</v>
      </c>
      <c r="AB9">
        <v>568.92347500000005</v>
      </c>
      <c r="AC9" t="s">
        <v>223</v>
      </c>
      <c r="AD9" t="s">
        <v>224</v>
      </c>
      <c r="AE9" t="s">
        <v>225</v>
      </c>
      <c r="AF9" t="s">
        <v>226</v>
      </c>
      <c r="AG9" t="s">
        <v>227</v>
      </c>
      <c r="AH9">
        <v>8</v>
      </c>
      <c r="AI9" t="s">
        <v>228</v>
      </c>
      <c r="AK9" s="17">
        <v>1</v>
      </c>
    </row>
    <row r="10" spans="1:37">
      <c r="A10" t="s">
        <v>604</v>
      </c>
      <c r="B10" t="s">
        <v>605</v>
      </c>
      <c r="C10" t="s">
        <v>606</v>
      </c>
      <c r="D10" t="s">
        <v>213</v>
      </c>
      <c r="E10">
        <v>3</v>
      </c>
      <c r="F10" t="s">
        <v>214</v>
      </c>
      <c r="G10" t="s">
        <v>215</v>
      </c>
      <c r="H10" t="s">
        <v>216</v>
      </c>
      <c r="I10" t="s">
        <v>217</v>
      </c>
      <c r="K10" t="s">
        <v>607</v>
      </c>
      <c r="L10" t="s">
        <v>608</v>
      </c>
      <c r="M10" t="s">
        <v>609</v>
      </c>
      <c r="N10" t="s">
        <v>610</v>
      </c>
      <c r="O10" t="s">
        <v>611</v>
      </c>
      <c r="P10">
        <v>0</v>
      </c>
      <c r="Q10">
        <v>0</v>
      </c>
      <c r="R10">
        <v>2112.4997621163002</v>
      </c>
      <c r="S10">
        <v>1522.5502277019</v>
      </c>
      <c r="T10">
        <v>-2.3788370000000001E-4</v>
      </c>
      <c r="U10">
        <v>-10.050227701900001</v>
      </c>
      <c r="V10">
        <v>10.050227704699999</v>
      </c>
      <c r="W10">
        <v>739.92880000000002</v>
      </c>
      <c r="X10">
        <v>398.12349999999998</v>
      </c>
      <c r="Y10">
        <v>400.70940000000002</v>
      </c>
      <c r="Z10">
        <v>399.42520000000002</v>
      </c>
      <c r="AA10">
        <v>397.21289999999999</v>
      </c>
      <c r="AB10">
        <v>569.39827500000001</v>
      </c>
      <c r="AC10" t="s">
        <v>223</v>
      </c>
      <c r="AD10" t="s">
        <v>224</v>
      </c>
      <c r="AE10" t="s">
        <v>225</v>
      </c>
      <c r="AF10" t="s">
        <v>226</v>
      </c>
      <c r="AG10" t="s">
        <v>227</v>
      </c>
      <c r="AH10">
        <v>8</v>
      </c>
      <c r="AI10" t="s">
        <v>228</v>
      </c>
      <c r="AK10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0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237</v>
      </c>
      <c r="S1" t="s">
        <v>238</v>
      </c>
      <c r="T1" t="s">
        <v>239</v>
      </c>
      <c r="U1" t="s">
        <v>240</v>
      </c>
      <c r="V1" t="s">
        <v>241</v>
      </c>
      <c r="W1" t="s">
        <v>242</v>
      </c>
      <c r="X1" t="s">
        <v>243</v>
      </c>
      <c r="Y1" t="s">
        <v>244</v>
      </c>
      <c r="Z1" t="s">
        <v>245</v>
      </c>
      <c r="AA1" t="s">
        <v>246</v>
      </c>
      <c r="AB1" t="s">
        <v>247</v>
      </c>
      <c r="AC1" t="s">
        <v>248</v>
      </c>
      <c r="AD1" t="s">
        <v>249</v>
      </c>
      <c r="AE1" t="s">
        <v>250</v>
      </c>
      <c r="AF1" t="s">
        <v>251</v>
      </c>
      <c r="AG1" t="s">
        <v>252</v>
      </c>
      <c r="AH1" t="s">
        <v>253</v>
      </c>
      <c r="AI1" t="s">
        <v>254</v>
      </c>
      <c r="AJ1" t="s">
        <v>255</v>
      </c>
      <c r="AK1" t="s">
        <v>256</v>
      </c>
      <c r="AL1" t="s">
        <v>257</v>
      </c>
      <c r="AM1" t="s">
        <v>258</v>
      </c>
      <c r="AN1" t="s">
        <v>259</v>
      </c>
      <c r="AO1" t="s">
        <v>260</v>
      </c>
      <c r="AP1" t="s">
        <v>261</v>
      </c>
      <c r="AQ1" t="s">
        <v>262</v>
      </c>
      <c r="AR1" t="s">
        <v>263</v>
      </c>
      <c r="AS1" t="s">
        <v>264</v>
      </c>
      <c r="AT1" t="s">
        <v>265</v>
      </c>
      <c r="AU1" t="s">
        <v>266</v>
      </c>
      <c r="AV1" t="s">
        <v>267</v>
      </c>
      <c r="AW1" t="s">
        <v>207</v>
      </c>
      <c r="AX1" t="s">
        <v>208</v>
      </c>
      <c r="AY1" s="17" t="s">
        <v>209</v>
      </c>
    </row>
    <row r="2" spans="1:51">
      <c r="A2" t="s">
        <v>268</v>
      </c>
      <c r="B2" t="s">
        <v>269</v>
      </c>
      <c r="C2" t="s">
        <v>270</v>
      </c>
      <c r="D2" t="s">
        <v>213</v>
      </c>
      <c r="E2">
        <v>3</v>
      </c>
      <c r="F2" t="s">
        <v>214</v>
      </c>
      <c r="G2" t="s">
        <v>215</v>
      </c>
      <c r="H2" t="s">
        <v>271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-4.6492000000000003E-6</v>
      </c>
      <c r="S2">
        <v>3.3730330466999998</v>
      </c>
      <c r="T2">
        <v>9.7595024108999997</v>
      </c>
      <c r="U2">
        <v>5.1177606582999999</v>
      </c>
      <c r="V2">
        <v>6.3101449013000002</v>
      </c>
      <c r="W2">
        <v>-2.5554425716</v>
      </c>
      <c r="X2">
        <v>-1.1467915772999999</v>
      </c>
      <c r="Y2">
        <v>-3.9282190799999999</v>
      </c>
      <c r="Z2">
        <v>-0.82466769220000002</v>
      </c>
      <c r="AA2">
        <v>-5.6339740800000003E-2</v>
      </c>
      <c r="AB2">
        <v>-0.82992303369999998</v>
      </c>
      <c r="AC2">
        <v>-2.9274873734</v>
      </c>
      <c r="AD2">
        <v>0.45190358159999999</v>
      </c>
      <c r="AE2">
        <v>0.3708413243</v>
      </c>
      <c r="AF2">
        <v>1.1428139209999999</v>
      </c>
      <c r="AG2">
        <v>0.42323949929999999</v>
      </c>
      <c r="AH2">
        <v>-0.1536504477</v>
      </c>
      <c r="AI2">
        <v>-0.77965831760000004</v>
      </c>
      <c r="AJ2">
        <v>6.1219335000000001E-3</v>
      </c>
      <c r="AK2">
        <v>0.85982656479999997</v>
      </c>
      <c r="AL2">
        <v>1.788782E-4</v>
      </c>
      <c r="AM2">
        <v>4.3810412299999997E-2</v>
      </c>
      <c r="AN2">
        <v>7.6555758700000004E-2</v>
      </c>
      <c r="AO2">
        <v>0.23544770479999999</v>
      </c>
      <c r="AP2">
        <v>0.27568894620000001</v>
      </c>
      <c r="AQ2">
        <v>0.27568894620000001</v>
      </c>
      <c r="AR2">
        <v>10.3259497986</v>
      </c>
      <c r="AS2" t="s">
        <v>272</v>
      </c>
      <c r="AT2" t="s">
        <v>273</v>
      </c>
      <c r="AU2">
        <v>4</v>
      </c>
      <c r="AV2">
        <v>2.9</v>
      </c>
      <c r="AY2" s="17">
        <v>1</v>
      </c>
    </row>
    <row r="3" spans="1:51">
      <c r="A3" t="s">
        <v>612</v>
      </c>
      <c r="B3" t="s">
        <v>613</v>
      </c>
      <c r="C3" t="s">
        <v>614</v>
      </c>
      <c r="D3" t="s">
        <v>213</v>
      </c>
      <c r="E3">
        <v>3</v>
      </c>
      <c r="F3" t="s">
        <v>214</v>
      </c>
      <c r="G3" t="s">
        <v>215</v>
      </c>
      <c r="H3" t="s">
        <v>271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-6.1989000000000001E-6</v>
      </c>
      <c r="S3">
        <v>-0.51862287520000006</v>
      </c>
      <c r="T3">
        <v>7.5188035964999997</v>
      </c>
      <c r="U3">
        <v>8.8718738556000005</v>
      </c>
      <c r="V3">
        <v>9.4334592818999994</v>
      </c>
      <c r="W3">
        <v>-5.0351896286000004</v>
      </c>
      <c r="X3">
        <v>-1.762857914</v>
      </c>
      <c r="Y3">
        <v>-2.7185292244000001</v>
      </c>
      <c r="Z3">
        <v>-1.7354066372000001</v>
      </c>
      <c r="AA3">
        <v>-0.22711169719999999</v>
      </c>
      <c r="AB3">
        <v>-0.49577337500000002</v>
      </c>
      <c r="AC3">
        <v>-3.3041851521000001</v>
      </c>
      <c r="AD3">
        <v>0.70953607559999998</v>
      </c>
      <c r="AE3">
        <v>0.74553418159999996</v>
      </c>
      <c r="AF3">
        <v>0.78138720989999999</v>
      </c>
      <c r="AG3">
        <v>0.28635740279999999</v>
      </c>
      <c r="AH3">
        <v>-0.13703736659999999</v>
      </c>
      <c r="AI3">
        <v>-0.49072390789999998</v>
      </c>
      <c r="AJ3">
        <v>2.4118542699999999E-2</v>
      </c>
      <c r="AK3">
        <v>0.42588800189999998</v>
      </c>
      <c r="AL3">
        <v>1.219985E-4</v>
      </c>
      <c r="AM3">
        <v>3.5806208800000003E-2</v>
      </c>
      <c r="AN3">
        <v>6.8118147599999998E-2</v>
      </c>
      <c r="AO3">
        <v>0.16081416609999999</v>
      </c>
      <c r="AP3">
        <v>0.28163293</v>
      </c>
      <c r="AQ3">
        <v>0.28163293</v>
      </c>
      <c r="AR3">
        <v>7.5366688404</v>
      </c>
      <c r="AS3" t="s">
        <v>272</v>
      </c>
      <c r="AT3" t="s">
        <v>273</v>
      </c>
      <c r="AU3">
        <v>3</v>
      </c>
      <c r="AV3">
        <v>2.9</v>
      </c>
      <c r="AY3" s="17">
        <v>1</v>
      </c>
    </row>
    <row r="4" spans="1:51">
      <c r="A4" t="s">
        <v>615</v>
      </c>
      <c r="B4" t="s">
        <v>616</v>
      </c>
      <c r="C4" t="s">
        <v>617</v>
      </c>
      <c r="D4" t="s">
        <v>213</v>
      </c>
      <c r="E4">
        <v>3</v>
      </c>
      <c r="F4" t="s">
        <v>214</v>
      </c>
      <c r="G4" t="s">
        <v>215</v>
      </c>
      <c r="H4" t="s">
        <v>271</v>
      </c>
      <c r="I4" t="s">
        <v>217</v>
      </c>
      <c r="K4" t="s">
        <v>559</v>
      </c>
      <c r="L4" t="s">
        <v>560</v>
      </c>
      <c r="M4" t="s">
        <v>561</v>
      </c>
      <c r="N4" t="s">
        <v>562</v>
      </c>
      <c r="O4" t="s">
        <v>563</v>
      </c>
      <c r="P4">
        <v>0</v>
      </c>
      <c r="Q4">
        <v>0</v>
      </c>
      <c r="R4">
        <v>-1.6331700000000002E-5</v>
      </c>
      <c r="S4">
        <v>6.3138899802999999</v>
      </c>
      <c r="T4">
        <v>5.0625925063999997</v>
      </c>
      <c r="U4">
        <v>4.7421984672999997</v>
      </c>
      <c r="V4">
        <v>4.0500459671</v>
      </c>
      <c r="W4">
        <v>-7.0907669066999999</v>
      </c>
      <c r="X4">
        <v>-2.0124683380000001</v>
      </c>
      <c r="Y4">
        <v>-3.7831649779999998</v>
      </c>
      <c r="Z4">
        <v>-1.070160985</v>
      </c>
      <c r="AA4">
        <v>-1.4296489954</v>
      </c>
      <c r="AB4">
        <v>-8.5057616200000005E-2</v>
      </c>
      <c r="AC4">
        <v>-0.9609826803</v>
      </c>
      <c r="AD4">
        <v>1.8646143675</v>
      </c>
      <c r="AE4">
        <v>0.7485159039</v>
      </c>
      <c r="AF4">
        <v>1.1710865498</v>
      </c>
      <c r="AG4">
        <v>0.13419061900000001</v>
      </c>
      <c r="AH4">
        <v>-0.1299752891</v>
      </c>
      <c r="AI4">
        <v>-0.13532388209999999</v>
      </c>
      <c r="AJ4">
        <v>0.53848588470000003</v>
      </c>
      <c r="AK4">
        <v>0.59913933279999998</v>
      </c>
      <c r="AL4">
        <v>1.5727720000000001E-4</v>
      </c>
      <c r="AM4">
        <v>4.2452998499999998E-2</v>
      </c>
      <c r="AN4">
        <v>0.18543824549999999</v>
      </c>
      <c r="AO4">
        <v>0.1685911417</v>
      </c>
      <c r="AP4">
        <v>0.19563171269999999</v>
      </c>
      <c r="AQ4">
        <v>0.19563171269999999</v>
      </c>
      <c r="AR4">
        <v>8.0929011837000004</v>
      </c>
      <c r="AS4" t="s">
        <v>272</v>
      </c>
      <c r="AT4" t="s">
        <v>273</v>
      </c>
      <c r="AU4">
        <v>3</v>
      </c>
      <c r="AV4">
        <v>2.9</v>
      </c>
      <c r="AY4" s="17">
        <v>1</v>
      </c>
    </row>
    <row r="5" spans="1:51">
      <c r="A5" t="s">
        <v>618</v>
      </c>
      <c r="B5" t="s">
        <v>619</v>
      </c>
      <c r="C5" t="s">
        <v>620</v>
      </c>
      <c r="D5" t="s">
        <v>213</v>
      </c>
      <c r="E5">
        <v>3</v>
      </c>
      <c r="F5" t="s">
        <v>214</v>
      </c>
      <c r="G5" t="s">
        <v>215</v>
      </c>
      <c r="H5" t="s">
        <v>271</v>
      </c>
      <c r="I5" t="s">
        <v>217</v>
      </c>
      <c r="K5" t="s">
        <v>567</v>
      </c>
      <c r="L5" t="s">
        <v>568</v>
      </c>
      <c r="M5" t="s">
        <v>569</v>
      </c>
      <c r="N5" t="s">
        <v>570</v>
      </c>
      <c r="O5" t="s">
        <v>571</v>
      </c>
      <c r="P5">
        <v>0</v>
      </c>
      <c r="Q5">
        <v>0</v>
      </c>
      <c r="R5">
        <v>-3.5763E-6</v>
      </c>
      <c r="S5">
        <v>4.7907781601000003</v>
      </c>
      <c r="T5">
        <v>5.5954513549999998</v>
      </c>
      <c r="U5">
        <v>2.7546484470000001</v>
      </c>
      <c r="V5">
        <v>3.3200891017999998</v>
      </c>
      <c r="W5">
        <v>-6.8404192924</v>
      </c>
      <c r="X5">
        <v>-1.7373658419</v>
      </c>
      <c r="Y5">
        <v>-2.7283182144000002</v>
      </c>
      <c r="Z5">
        <v>0.28755971790000001</v>
      </c>
      <c r="AA5">
        <v>0.98766261339999994</v>
      </c>
      <c r="AB5">
        <v>-6.8605542199999994E-2</v>
      </c>
      <c r="AC5">
        <v>-0.60961109400000002</v>
      </c>
      <c r="AD5">
        <v>1.9716969728</v>
      </c>
      <c r="AE5">
        <v>0.43752759699999999</v>
      </c>
      <c r="AF5">
        <v>1.5191516876</v>
      </c>
      <c r="AG5">
        <v>0.12699705359999999</v>
      </c>
      <c r="AH5">
        <v>-0.85188657050000005</v>
      </c>
      <c r="AI5">
        <v>-0.4971430302</v>
      </c>
      <c r="AJ5">
        <v>-0.55684566499999999</v>
      </c>
      <c r="AK5">
        <v>0.27664923670000002</v>
      </c>
      <c r="AL5">
        <v>2.262748E-4</v>
      </c>
      <c r="AM5">
        <v>5.1373664300000003E-2</v>
      </c>
      <c r="AN5">
        <v>0.14745490250000001</v>
      </c>
      <c r="AO5">
        <v>0.1674247086</v>
      </c>
      <c r="AP5">
        <v>0.17515863479999999</v>
      </c>
      <c r="AQ5">
        <v>0.17515863479999999</v>
      </c>
      <c r="AR5">
        <v>7.3661815919000002</v>
      </c>
      <c r="AS5" t="s">
        <v>272</v>
      </c>
      <c r="AT5" t="s">
        <v>273</v>
      </c>
      <c r="AU5">
        <v>3</v>
      </c>
      <c r="AV5">
        <v>2.9</v>
      </c>
      <c r="AY5" s="17">
        <v>1</v>
      </c>
    </row>
    <row r="6" spans="1:51">
      <c r="A6" t="s">
        <v>621</v>
      </c>
      <c r="B6" t="s">
        <v>622</v>
      </c>
      <c r="C6" t="s">
        <v>623</v>
      </c>
      <c r="D6" t="s">
        <v>213</v>
      </c>
      <c r="E6">
        <v>3</v>
      </c>
      <c r="F6" t="s">
        <v>214</v>
      </c>
      <c r="G6" t="s">
        <v>215</v>
      </c>
      <c r="H6" t="s">
        <v>271</v>
      </c>
      <c r="I6" t="s">
        <v>217</v>
      </c>
      <c r="K6" t="s">
        <v>575</v>
      </c>
      <c r="L6" t="s">
        <v>576</v>
      </c>
      <c r="M6" t="s">
        <v>577</v>
      </c>
      <c r="N6" t="s">
        <v>578</v>
      </c>
      <c r="O6" t="s">
        <v>579</v>
      </c>
      <c r="P6">
        <v>0</v>
      </c>
      <c r="Q6">
        <v>0</v>
      </c>
      <c r="R6">
        <v>-8.8215000000000002E-6</v>
      </c>
      <c r="S6">
        <v>8.2564516068000007</v>
      </c>
      <c r="T6">
        <v>2.2831187248</v>
      </c>
      <c r="U6">
        <v>1.4932463169000001</v>
      </c>
      <c r="V6">
        <v>3.0486598014999999</v>
      </c>
      <c r="W6">
        <v>-3.6578969954999998</v>
      </c>
      <c r="X6">
        <v>-2.5104689597999998</v>
      </c>
      <c r="Y6">
        <v>-1.6271628141000001</v>
      </c>
      <c r="Z6">
        <v>0.3439941406</v>
      </c>
      <c r="AA6">
        <v>-1.1562952995</v>
      </c>
      <c r="AB6">
        <v>-1.2500362396</v>
      </c>
      <c r="AC6">
        <v>-0.65196257830000004</v>
      </c>
      <c r="AD6">
        <v>1.4106365442</v>
      </c>
      <c r="AE6">
        <v>0.51623332499999997</v>
      </c>
      <c r="AF6">
        <v>0.61542356009999999</v>
      </c>
      <c r="AG6">
        <v>0.2317406088</v>
      </c>
      <c r="AH6">
        <v>-0.39771807190000003</v>
      </c>
      <c r="AI6">
        <v>-0.68187308310000005</v>
      </c>
      <c r="AJ6">
        <v>-0.55346912150000005</v>
      </c>
      <c r="AK6">
        <v>0.37985950709999999</v>
      </c>
      <c r="AL6">
        <v>1.755913E-4</v>
      </c>
      <c r="AM6">
        <v>4.3569706399999998E-2</v>
      </c>
      <c r="AN6">
        <v>0.1549224257</v>
      </c>
      <c r="AO6">
        <v>8.4616400300000005E-2</v>
      </c>
      <c r="AP6">
        <v>0.16527831549999999</v>
      </c>
      <c r="AQ6">
        <v>0.16527831549999999</v>
      </c>
      <c r="AR6">
        <v>8.5663075035999992</v>
      </c>
      <c r="AS6" t="s">
        <v>272</v>
      </c>
      <c r="AT6" t="s">
        <v>273</v>
      </c>
      <c r="AU6">
        <v>4</v>
      </c>
      <c r="AV6">
        <v>2.9</v>
      </c>
      <c r="AY6" s="17">
        <v>1</v>
      </c>
    </row>
    <row r="7" spans="1:51">
      <c r="A7" t="s">
        <v>624</v>
      </c>
      <c r="B7" t="s">
        <v>625</v>
      </c>
      <c r="C7" t="s">
        <v>626</v>
      </c>
      <c r="D7" t="s">
        <v>213</v>
      </c>
      <c r="E7">
        <v>3</v>
      </c>
      <c r="F7" t="s">
        <v>214</v>
      </c>
      <c r="G7" t="s">
        <v>215</v>
      </c>
      <c r="H7" t="s">
        <v>271</v>
      </c>
      <c r="I7" t="s">
        <v>217</v>
      </c>
      <c r="K7" t="s">
        <v>583</v>
      </c>
      <c r="L7" t="s">
        <v>584</v>
      </c>
      <c r="M7" t="s">
        <v>585</v>
      </c>
      <c r="N7" t="s">
        <v>586</v>
      </c>
      <c r="O7" t="s">
        <v>587</v>
      </c>
      <c r="P7">
        <v>0</v>
      </c>
      <c r="Q7">
        <v>0</v>
      </c>
      <c r="R7">
        <v>3.4272700000000001E-5</v>
      </c>
      <c r="S7">
        <v>6.6369585990999997</v>
      </c>
      <c r="T7">
        <v>4.9808001517999996</v>
      </c>
      <c r="U7">
        <v>4.3757228851000001</v>
      </c>
      <c r="V7">
        <v>4.4750318526999999</v>
      </c>
      <c r="W7">
        <v>-4.4401669502000001</v>
      </c>
      <c r="X7">
        <v>-2.2455468178000002</v>
      </c>
      <c r="Y7">
        <v>-1.7217878102999999</v>
      </c>
      <c r="Z7">
        <v>-0.95388281350000004</v>
      </c>
      <c r="AA7">
        <v>-0.11598417160000001</v>
      </c>
      <c r="AB7">
        <v>-0.2787452936</v>
      </c>
      <c r="AC7">
        <v>-1.882550478</v>
      </c>
      <c r="AD7">
        <v>1.3775210381</v>
      </c>
      <c r="AE7">
        <v>0.83458775279999997</v>
      </c>
      <c r="AF7">
        <v>0.12684249880000001</v>
      </c>
      <c r="AG7">
        <v>0.7983677387</v>
      </c>
      <c r="AH7">
        <v>-0.83780634399999998</v>
      </c>
      <c r="AI7">
        <v>-0.66497921940000004</v>
      </c>
      <c r="AJ7">
        <v>-2.6079893100000001E-2</v>
      </c>
      <c r="AK7">
        <v>0.27626323699999999</v>
      </c>
      <c r="AL7">
        <v>2.084477E-4</v>
      </c>
      <c r="AM7">
        <v>4.9560181799999999E-2</v>
      </c>
      <c r="AN7">
        <v>0.13649876420000001</v>
      </c>
      <c r="AO7">
        <v>0.1300408244</v>
      </c>
      <c r="AP7">
        <v>0.2117703259</v>
      </c>
      <c r="AQ7">
        <v>0.2117703259</v>
      </c>
      <c r="AR7">
        <v>8.2980473364999998</v>
      </c>
      <c r="AS7" t="s">
        <v>272</v>
      </c>
      <c r="AT7" t="s">
        <v>273</v>
      </c>
      <c r="AU7">
        <v>3</v>
      </c>
      <c r="AV7">
        <v>2.9</v>
      </c>
      <c r="AY7" s="17">
        <v>1</v>
      </c>
    </row>
    <row r="8" spans="1:51">
      <c r="A8" t="s">
        <v>627</v>
      </c>
      <c r="B8" t="s">
        <v>628</v>
      </c>
      <c r="C8" t="s">
        <v>629</v>
      </c>
      <c r="D8" t="s">
        <v>213</v>
      </c>
      <c r="E8">
        <v>3</v>
      </c>
      <c r="F8" t="s">
        <v>214</v>
      </c>
      <c r="G8" t="s">
        <v>215</v>
      </c>
      <c r="H8" t="s">
        <v>271</v>
      </c>
      <c r="I8" t="s">
        <v>217</v>
      </c>
      <c r="K8" t="s">
        <v>591</v>
      </c>
      <c r="L8" t="s">
        <v>592</v>
      </c>
      <c r="M8" t="s">
        <v>593</v>
      </c>
      <c r="N8" t="s">
        <v>594</v>
      </c>
      <c r="O8" t="s">
        <v>595</v>
      </c>
      <c r="P8">
        <v>0</v>
      </c>
      <c r="Q8">
        <v>0</v>
      </c>
      <c r="R8">
        <v>-4.5299999999999998E-6</v>
      </c>
      <c r="S8">
        <v>4.9571804999999998</v>
      </c>
      <c r="T8">
        <v>-0.99693757299999997</v>
      </c>
      <c r="U8">
        <v>5.4044618606999997</v>
      </c>
      <c r="V8">
        <v>4.5429401397999998</v>
      </c>
      <c r="W8">
        <v>0.85453414920000004</v>
      </c>
      <c r="X8">
        <v>-1.5225744246999999</v>
      </c>
      <c r="Y8">
        <v>-1.4398391247</v>
      </c>
      <c r="Z8">
        <v>-1.4483436346</v>
      </c>
      <c r="AA8">
        <v>5.7754814600000003E-2</v>
      </c>
      <c r="AB8">
        <v>-0.1633769125</v>
      </c>
      <c r="AC8">
        <v>-1.7693953514</v>
      </c>
      <c r="AD8">
        <v>1.4016345100000001E-2</v>
      </c>
      <c r="AE8">
        <v>0.42931267620000002</v>
      </c>
      <c r="AF8">
        <v>0.9460889697</v>
      </c>
      <c r="AG8">
        <v>0.70539790390000001</v>
      </c>
      <c r="AH8">
        <v>-0.88010972740000004</v>
      </c>
      <c r="AI8">
        <v>-0.41288566589999998</v>
      </c>
      <c r="AJ8">
        <v>0.36070612070000002</v>
      </c>
      <c r="AK8">
        <v>0.26734295489999998</v>
      </c>
      <c r="AL8">
        <v>2.3484189999999999E-4</v>
      </c>
      <c r="AM8">
        <v>5.0176359699999999E-2</v>
      </c>
      <c r="AN8">
        <v>8.0643080199999995E-2</v>
      </c>
      <c r="AO8">
        <v>3.2739132599999998E-2</v>
      </c>
      <c r="AP8">
        <v>0.15123841169999999</v>
      </c>
      <c r="AQ8">
        <v>0.15123841169999999</v>
      </c>
      <c r="AR8">
        <v>5.0564338258000001</v>
      </c>
      <c r="AS8" t="s">
        <v>272</v>
      </c>
      <c r="AT8" t="s">
        <v>273</v>
      </c>
      <c r="AU8">
        <v>4</v>
      </c>
      <c r="AV8">
        <v>2.9</v>
      </c>
      <c r="AY8" s="17">
        <v>1</v>
      </c>
    </row>
    <row r="9" spans="1:51">
      <c r="A9" t="s">
        <v>630</v>
      </c>
      <c r="B9" t="s">
        <v>631</v>
      </c>
      <c r="C9" t="s">
        <v>632</v>
      </c>
      <c r="D9" t="s">
        <v>213</v>
      </c>
      <c r="E9">
        <v>3</v>
      </c>
      <c r="F9" t="s">
        <v>214</v>
      </c>
      <c r="G9" t="s">
        <v>215</v>
      </c>
      <c r="H9" t="s">
        <v>271</v>
      </c>
      <c r="I9" t="s">
        <v>217</v>
      </c>
      <c r="K9" t="s">
        <v>599</v>
      </c>
      <c r="L9" t="s">
        <v>600</v>
      </c>
      <c r="M9" t="s">
        <v>601</v>
      </c>
      <c r="N9" t="s">
        <v>602</v>
      </c>
      <c r="O9" t="s">
        <v>603</v>
      </c>
      <c r="P9">
        <v>0</v>
      </c>
      <c r="Q9">
        <v>0</v>
      </c>
      <c r="R9">
        <v>-1.7166100000000002E-5</v>
      </c>
      <c r="S9">
        <v>4.1161098479999998</v>
      </c>
      <c r="T9">
        <v>2.7794284821000002</v>
      </c>
      <c r="U9">
        <v>7.6821765900000001</v>
      </c>
      <c r="V9">
        <v>9.0117588042999994</v>
      </c>
      <c r="W9">
        <v>-5.6666517258000004</v>
      </c>
      <c r="X9">
        <v>-1.1867620944999999</v>
      </c>
      <c r="Y9">
        <v>-0.58040773869999995</v>
      </c>
      <c r="Z9">
        <v>-1.7922544479</v>
      </c>
      <c r="AA9">
        <v>0.63987612719999998</v>
      </c>
      <c r="AB9">
        <v>0.2418063879</v>
      </c>
      <c r="AC9">
        <v>-2.7306461334000001</v>
      </c>
      <c r="AD9">
        <v>1.7323054074999999</v>
      </c>
      <c r="AE9">
        <v>0.60896253590000005</v>
      </c>
      <c r="AF9">
        <v>0.13012617830000001</v>
      </c>
      <c r="AG9">
        <v>0.23126378659999999</v>
      </c>
      <c r="AH9">
        <v>0.52503371239999996</v>
      </c>
      <c r="AI9">
        <v>0.24488630889999999</v>
      </c>
      <c r="AJ9">
        <v>4.8638581999999996E-3</v>
      </c>
      <c r="AK9">
        <v>8.0337226400000003E-2</v>
      </c>
      <c r="AL9">
        <v>1.3222439999999999E-4</v>
      </c>
      <c r="AM9">
        <v>3.7438940300000001E-2</v>
      </c>
      <c r="AN9">
        <v>0.12501671910000001</v>
      </c>
      <c r="AO9">
        <v>0.1195407137</v>
      </c>
      <c r="AP9">
        <v>0.24297580120000001</v>
      </c>
      <c r="AQ9">
        <v>0.24297580120000001</v>
      </c>
      <c r="AR9">
        <v>4.9666470549000001</v>
      </c>
      <c r="AS9" t="s">
        <v>272</v>
      </c>
      <c r="AT9" t="s">
        <v>273</v>
      </c>
      <c r="AU9">
        <v>3</v>
      </c>
      <c r="AV9">
        <v>2.9</v>
      </c>
      <c r="AY9" s="17">
        <v>1</v>
      </c>
    </row>
    <row r="10" spans="1:51">
      <c r="A10" t="s">
        <v>633</v>
      </c>
      <c r="B10" t="s">
        <v>634</v>
      </c>
      <c r="C10" t="s">
        <v>635</v>
      </c>
      <c r="D10" t="s">
        <v>213</v>
      </c>
      <c r="E10">
        <v>3</v>
      </c>
      <c r="F10" t="s">
        <v>214</v>
      </c>
      <c r="G10" t="s">
        <v>215</v>
      </c>
      <c r="H10" t="s">
        <v>271</v>
      </c>
      <c r="I10" t="s">
        <v>217</v>
      </c>
      <c r="K10" t="s">
        <v>607</v>
      </c>
      <c r="L10" t="s">
        <v>608</v>
      </c>
      <c r="M10" t="s">
        <v>609</v>
      </c>
      <c r="N10" t="s">
        <v>610</v>
      </c>
      <c r="O10" t="s">
        <v>611</v>
      </c>
      <c r="P10">
        <v>0</v>
      </c>
      <c r="Q10">
        <v>0</v>
      </c>
      <c r="R10">
        <v>-9.4174999999999992E-6</v>
      </c>
      <c r="S10">
        <v>5.4318757056999996</v>
      </c>
      <c r="T10">
        <v>6.6457228660999998</v>
      </c>
      <c r="U10">
        <v>3.5954246521000002</v>
      </c>
      <c r="V10">
        <v>5.9585976600999997</v>
      </c>
      <c r="W10">
        <v>-1.8638877868999999</v>
      </c>
      <c r="X10">
        <v>-2.3812792301000001</v>
      </c>
      <c r="Y10">
        <v>-1.800824523</v>
      </c>
      <c r="Z10">
        <v>-1.2991036176999999</v>
      </c>
      <c r="AA10">
        <v>-1.0223846435999999</v>
      </c>
      <c r="AB10">
        <v>0.2504586875</v>
      </c>
      <c r="AC10">
        <v>-2.4837691784000002</v>
      </c>
      <c r="AD10">
        <v>0.52377402780000004</v>
      </c>
      <c r="AE10">
        <v>0.42140373590000002</v>
      </c>
      <c r="AF10">
        <v>0.6744543314</v>
      </c>
      <c r="AG10">
        <v>0.71522152419999996</v>
      </c>
      <c r="AH10">
        <v>-0.48558181519999999</v>
      </c>
      <c r="AI10">
        <v>-0.29849439859999999</v>
      </c>
      <c r="AJ10">
        <v>-5.9908092000000003E-2</v>
      </c>
      <c r="AK10">
        <v>0.41159069539999998</v>
      </c>
      <c r="AL10">
        <v>1.9076140000000001E-4</v>
      </c>
      <c r="AM10">
        <v>4.4656604500000002E-2</v>
      </c>
      <c r="AN10">
        <v>0.1027026474</v>
      </c>
      <c r="AO10">
        <v>0.1261683404</v>
      </c>
      <c r="AP10">
        <v>0.2410152555</v>
      </c>
      <c r="AQ10">
        <v>0.2410152555</v>
      </c>
      <c r="AR10">
        <v>8.5831757580999994</v>
      </c>
      <c r="AS10" t="s">
        <v>272</v>
      </c>
      <c r="AT10" t="s">
        <v>273</v>
      </c>
      <c r="AU10">
        <v>3</v>
      </c>
      <c r="AV10">
        <v>2.9</v>
      </c>
      <c r="AY10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274</v>
      </c>
      <c r="S1" t="s">
        <v>275</v>
      </c>
      <c r="T1" t="s">
        <v>276</v>
      </c>
      <c r="U1" t="s">
        <v>277</v>
      </c>
      <c r="V1" t="s">
        <v>278</v>
      </c>
      <c r="W1" t="s">
        <v>279</v>
      </c>
      <c r="X1" t="s">
        <v>280</v>
      </c>
      <c r="Y1" t="s">
        <v>281</v>
      </c>
      <c r="Z1" t="s">
        <v>282</v>
      </c>
      <c r="AA1" t="s">
        <v>283</v>
      </c>
      <c r="AB1" t="s">
        <v>284</v>
      </c>
      <c r="AC1" t="s">
        <v>285</v>
      </c>
      <c r="AD1" t="s">
        <v>286</v>
      </c>
      <c r="AE1" t="s">
        <v>207</v>
      </c>
      <c r="AF1" t="s">
        <v>208</v>
      </c>
      <c r="AG1" s="17" t="s">
        <v>209</v>
      </c>
    </row>
    <row r="2" spans="1:33">
      <c r="A2" t="s">
        <v>268</v>
      </c>
      <c r="B2" t="s">
        <v>269</v>
      </c>
      <c r="C2" t="s">
        <v>287</v>
      </c>
      <c r="D2" t="s">
        <v>213</v>
      </c>
      <c r="E2">
        <v>3</v>
      </c>
      <c r="F2" t="s">
        <v>214</v>
      </c>
      <c r="G2" t="s">
        <v>215</v>
      </c>
      <c r="H2" t="s">
        <v>271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-9.3841642229000009</v>
      </c>
      <c r="S2">
        <v>-64</v>
      </c>
      <c r="T2">
        <v>82.884463311700003</v>
      </c>
      <c r="U2">
        <v>115.42670804230001</v>
      </c>
      <c r="V2">
        <v>3.5011331988999999</v>
      </c>
      <c r="W2">
        <v>2.8904741000000001E-3</v>
      </c>
      <c r="X2">
        <v>-7.0694799999999999E-5</v>
      </c>
      <c r="Y2">
        <v>3.3138039188000001</v>
      </c>
      <c r="Z2">
        <v>79.355549645300002</v>
      </c>
      <c r="AA2">
        <v>61.1195041605</v>
      </c>
      <c r="AB2">
        <v>324.04823706280001</v>
      </c>
      <c r="AC2">
        <v>345.92207234789998</v>
      </c>
      <c r="AD2">
        <v>1</v>
      </c>
      <c r="AG2" s="17">
        <v>1</v>
      </c>
    </row>
    <row r="3" spans="1:33">
      <c r="A3" t="s">
        <v>612</v>
      </c>
      <c r="B3" t="s">
        <v>613</v>
      </c>
      <c r="C3" t="s">
        <v>636</v>
      </c>
      <c r="D3" t="s">
        <v>213</v>
      </c>
      <c r="E3">
        <v>3</v>
      </c>
      <c r="F3" t="s">
        <v>214</v>
      </c>
      <c r="G3" t="s">
        <v>215</v>
      </c>
      <c r="H3" t="s">
        <v>271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-8.2111436950000005</v>
      </c>
      <c r="S3">
        <v>-56</v>
      </c>
      <c r="T3">
        <v>82.627020531699998</v>
      </c>
      <c r="U3">
        <v>112.466703843</v>
      </c>
      <c r="V3">
        <v>3.6629404825999998</v>
      </c>
      <c r="W3">
        <v>2.8723376000000002E-3</v>
      </c>
      <c r="X3">
        <v>-7.8729300000000005E-5</v>
      </c>
      <c r="Y3">
        <v>3.4323634493999999</v>
      </c>
      <c r="Z3">
        <v>81.823340356700001</v>
      </c>
      <c r="AA3">
        <v>67.260996434800006</v>
      </c>
      <c r="AB3">
        <v>330.62757968770001</v>
      </c>
      <c r="AC3">
        <v>351.90007695039998</v>
      </c>
      <c r="AD3">
        <v>1</v>
      </c>
      <c r="AG3" s="17">
        <v>1</v>
      </c>
    </row>
    <row r="4" spans="1:33">
      <c r="A4" t="s">
        <v>615</v>
      </c>
      <c r="B4" t="s">
        <v>616</v>
      </c>
      <c r="C4" t="s">
        <v>637</v>
      </c>
      <c r="D4" t="s">
        <v>213</v>
      </c>
      <c r="E4">
        <v>3</v>
      </c>
      <c r="F4" t="s">
        <v>214</v>
      </c>
      <c r="G4" t="s">
        <v>215</v>
      </c>
      <c r="H4" t="s">
        <v>271</v>
      </c>
      <c r="I4" t="s">
        <v>217</v>
      </c>
      <c r="K4" t="s">
        <v>559</v>
      </c>
      <c r="L4" t="s">
        <v>560</v>
      </c>
      <c r="M4" t="s">
        <v>561</v>
      </c>
      <c r="N4" t="s">
        <v>562</v>
      </c>
      <c r="O4" t="s">
        <v>563</v>
      </c>
      <c r="P4">
        <v>0</v>
      </c>
      <c r="Q4">
        <v>0</v>
      </c>
      <c r="R4">
        <v>-9.3841642229000009</v>
      </c>
      <c r="S4">
        <v>-64</v>
      </c>
      <c r="T4">
        <v>86.0246738206</v>
      </c>
      <c r="U4">
        <v>119.4268518999</v>
      </c>
      <c r="V4">
        <v>3.5926719762000001</v>
      </c>
      <c r="W4">
        <v>2.8625657999999999E-3</v>
      </c>
      <c r="X4">
        <v>-7.2557400000000004E-5</v>
      </c>
      <c r="Y4">
        <v>3.3811160659000001</v>
      </c>
      <c r="Z4">
        <v>85.9233634916</v>
      </c>
      <c r="AA4">
        <v>70.011122827700007</v>
      </c>
      <c r="AB4">
        <v>337.16445044109997</v>
      </c>
      <c r="AC4">
        <v>358.56018095050001</v>
      </c>
      <c r="AD4">
        <v>1</v>
      </c>
      <c r="AG4" s="17">
        <v>1</v>
      </c>
    </row>
    <row r="5" spans="1:33">
      <c r="A5" t="s">
        <v>618</v>
      </c>
      <c r="B5" t="s">
        <v>619</v>
      </c>
      <c r="C5" t="s">
        <v>638</v>
      </c>
      <c r="D5" t="s">
        <v>213</v>
      </c>
      <c r="E5">
        <v>3</v>
      </c>
      <c r="F5" t="s">
        <v>214</v>
      </c>
      <c r="G5" t="s">
        <v>215</v>
      </c>
      <c r="H5" t="s">
        <v>271</v>
      </c>
      <c r="I5" t="s">
        <v>217</v>
      </c>
      <c r="K5" t="s">
        <v>567</v>
      </c>
      <c r="L5" t="s">
        <v>568</v>
      </c>
      <c r="M5" t="s">
        <v>569</v>
      </c>
      <c r="N5" t="s">
        <v>570</v>
      </c>
      <c r="O5" t="s">
        <v>571</v>
      </c>
      <c r="P5">
        <v>0</v>
      </c>
      <c r="Q5">
        <v>0</v>
      </c>
      <c r="R5">
        <v>-11.7302052786</v>
      </c>
      <c r="S5">
        <v>-80</v>
      </c>
      <c r="T5">
        <v>72.222906134400006</v>
      </c>
      <c r="U5">
        <v>113.86214293490001</v>
      </c>
      <c r="V5">
        <v>3.5928384373000002</v>
      </c>
      <c r="W5">
        <v>2.8194613000000002E-3</v>
      </c>
      <c r="X5">
        <v>-7.2825599999999996E-5</v>
      </c>
      <c r="Y5">
        <v>3.3736134350000002</v>
      </c>
      <c r="Z5">
        <v>71.920870428200004</v>
      </c>
      <c r="AA5">
        <v>54.626890457099996</v>
      </c>
      <c r="AB5">
        <v>344.3776164002</v>
      </c>
      <c r="AC5">
        <v>366.75472286730002</v>
      </c>
      <c r="AD5">
        <v>1</v>
      </c>
      <c r="AG5" s="17">
        <v>1</v>
      </c>
    </row>
    <row r="6" spans="1:33">
      <c r="A6" t="s">
        <v>621</v>
      </c>
      <c r="B6" t="s">
        <v>622</v>
      </c>
      <c r="C6" t="s">
        <v>639</v>
      </c>
      <c r="D6" t="s">
        <v>213</v>
      </c>
      <c r="E6">
        <v>3</v>
      </c>
      <c r="F6" t="s">
        <v>214</v>
      </c>
      <c r="G6" t="s">
        <v>215</v>
      </c>
      <c r="H6" t="s">
        <v>271</v>
      </c>
      <c r="I6" t="s">
        <v>217</v>
      </c>
      <c r="K6" t="s">
        <v>575</v>
      </c>
      <c r="L6" t="s">
        <v>576</v>
      </c>
      <c r="M6" t="s">
        <v>577</v>
      </c>
      <c r="N6" t="s">
        <v>578</v>
      </c>
      <c r="O6" t="s">
        <v>579</v>
      </c>
      <c r="P6">
        <v>0</v>
      </c>
      <c r="Q6">
        <v>0</v>
      </c>
      <c r="R6">
        <v>-5.8651026392999999</v>
      </c>
      <c r="S6">
        <v>-40</v>
      </c>
      <c r="T6">
        <v>87.164213360399998</v>
      </c>
      <c r="U6">
        <v>107.66956904129999</v>
      </c>
      <c r="V6">
        <v>3.5143954895</v>
      </c>
      <c r="W6">
        <v>2.7145965999999999E-3</v>
      </c>
      <c r="X6">
        <v>-6.7180099999999997E-5</v>
      </c>
      <c r="Y6">
        <v>3.3196339357000002</v>
      </c>
      <c r="Z6">
        <v>87.063518148499995</v>
      </c>
      <c r="AA6">
        <v>73.175998837600005</v>
      </c>
      <c r="AB6">
        <v>319.87883453209997</v>
      </c>
      <c r="AC6">
        <v>341.59192215100001</v>
      </c>
      <c r="AD6">
        <v>1</v>
      </c>
      <c r="AG6" s="17">
        <v>1</v>
      </c>
    </row>
    <row r="7" spans="1:33">
      <c r="A7" t="s">
        <v>624</v>
      </c>
      <c r="B7" t="s">
        <v>625</v>
      </c>
      <c r="C7" t="s">
        <v>640</v>
      </c>
      <c r="D7" t="s">
        <v>213</v>
      </c>
      <c r="E7">
        <v>3</v>
      </c>
      <c r="F7" t="s">
        <v>214</v>
      </c>
      <c r="G7" t="s">
        <v>215</v>
      </c>
      <c r="H7" t="s">
        <v>271</v>
      </c>
      <c r="I7" t="s">
        <v>217</v>
      </c>
      <c r="K7" t="s">
        <v>583</v>
      </c>
      <c r="L7" t="s">
        <v>584</v>
      </c>
      <c r="M7" t="s">
        <v>585</v>
      </c>
      <c r="N7" t="s">
        <v>586</v>
      </c>
      <c r="O7" t="s">
        <v>587</v>
      </c>
      <c r="P7">
        <v>0</v>
      </c>
      <c r="Q7">
        <v>0</v>
      </c>
      <c r="R7">
        <v>-7.0381231672000002</v>
      </c>
      <c r="S7">
        <v>-48</v>
      </c>
      <c r="T7">
        <v>89.059025791300002</v>
      </c>
      <c r="U7">
        <v>113.2434487778</v>
      </c>
      <c r="V7">
        <v>3.4556043514999999</v>
      </c>
      <c r="W7">
        <v>2.3123373999999999E-3</v>
      </c>
      <c r="X7">
        <v>-6.3114799999999994E-5</v>
      </c>
      <c r="Y7">
        <v>3.2569952325</v>
      </c>
      <c r="Z7">
        <v>88.147220389099999</v>
      </c>
      <c r="AA7">
        <v>68.491872266000001</v>
      </c>
      <c r="AB7">
        <v>317.88465968999998</v>
      </c>
      <c r="AC7">
        <v>339.17081167890001</v>
      </c>
      <c r="AD7">
        <v>1</v>
      </c>
      <c r="AG7" s="17">
        <v>1</v>
      </c>
    </row>
    <row r="8" spans="1:33">
      <c r="A8" t="s">
        <v>627</v>
      </c>
      <c r="B8" t="s">
        <v>628</v>
      </c>
      <c r="C8" t="s">
        <v>641</v>
      </c>
      <c r="D8" t="s">
        <v>213</v>
      </c>
      <c r="E8">
        <v>3</v>
      </c>
      <c r="F8" t="s">
        <v>214</v>
      </c>
      <c r="G8" t="s">
        <v>215</v>
      </c>
      <c r="H8" t="s">
        <v>271</v>
      </c>
      <c r="I8" t="s">
        <v>217</v>
      </c>
      <c r="K8" t="s">
        <v>591</v>
      </c>
      <c r="L8" t="s">
        <v>592</v>
      </c>
      <c r="M8" t="s">
        <v>593</v>
      </c>
      <c r="N8" t="s">
        <v>594</v>
      </c>
      <c r="O8" t="s">
        <v>595</v>
      </c>
      <c r="P8">
        <v>0</v>
      </c>
      <c r="Q8">
        <v>0</v>
      </c>
      <c r="R8">
        <v>-7.0381231672000002</v>
      </c>
      <c r="S8">
        <v>-48</v>
      </c>
      <c r="T8">
        <v>90.715794967500003</v>
      </c>
      <c r="U8">
        <v>114.8616700828</v>
      </c>
      <c r="V8">
        <v>3.4503686567999998</v>
      </c>
      <c r="W8">
        <v>2.3577187000000002E-3</v>
      </c>
      <c r="X8">
        <v>-6.15385E-5</v>
      </c>
      <c r="Y8">
        <v>3.2341162707</v>
      </c>
      <c r="Z8">
        <v>85.679901465499995</v>
      </c>
      <c r="AA8">
        <v>67.745750046300003</v>
      </c>
      <c r="AB8">
        <v>329.00574551649999</v>
      </c>
      <c r="AC8">
        <v>350.54493692580002</v>
      </c>
      <c r="AD8">
        <v>1</v>
      </c>
      <c r="AG8" s="17">
        <v>1</v>
      </c>
    </row>
    <row r="9" spans="1:33">
      <c r="A9" t="s">
        <v>630</v>
      </c>
      <c r="B9" t="s">
        <v>631</v>
      </c>
      <c r="C9" t="s">
        <v>642</v>
      </c>
      <c r="D9" t="s">
        <v>213</v>
      </c>
      <c r="E9">
        <v>3</v>
      </c>
      <c r="F9" t="s">
        <v>214</v>
      </c>
      <c r="G9" t="s">
        <v>215</v>
      </c>
      <c r="H9" t="s">
        <v>271</v>
      </c>
      <c r="I9" t="s">
        <v>217</v>
      </c>
      <c r="K9" t="s">
        <v>599</v>
      </c>
      <c r="L9" t="s">
        <v>600</v>
      </c>
      <c r="M9" t="s">
        <v>601</v>
      </c>
      <c r="N9" t="s">
        <v>602</v>
      </c>
      <c r="O9" t="s">
        <v>603</v>
      </c>
      <c r="P9">
        <v>0</v>
      </c>
      <c r="Q9">
        <v>0</v>
      </c>
      <c r="R9">
        <v>-7.0381231672000002</v>
      </c>
      <c r="S9">
        <v>-48</v>
      </c>
      <c r="T9">
        <v>88.396578618600003</v>
      </c>
      <c r="U9">
        <v>113.11837007760001</v>
      </c>
      <c r="V9">
        <v>3.5330154445000002</v>
      </c>
      <c r="W9">
        <v>2.4612140999999998E-3</v>
      </c>
      <c r="X9">
        <v>-6.3360600000000005E-5</v>
      </c>
      <c r="Y9">
        <v>3.3127304993000002</v>
      </c>
      <c r="Z9">
        <v>88.391789825000004</v>
      </c>
      <c r="AA9">
        <v>70.2549888705</v>
      </c>
      <c r="AB9">
        <v>337.10096725929998</v>
      </c>
      <c r="AC9">
        <v>358.36767374329997</v>
      </c>
      <c r="AD9">
        <v>1</v>
      </c>
      <c r="AG9" s="17">
        <v>1</v>
      </c>
    </row>
    <row r="10" spans="1:33">
      <c r="A10" t="s">
        <v>633</v>
      </c>
      <c r="B10" t="s">
        <v>634</v>
      </c>
      <c r="C10" t="s">
        <v>643</v>
      </c>
      <c r="D10" t="s">
        <v>213</v>
      </c>
      <c r="E10">
        <v>3</v>
      </c>
      <c r="F10" t="s">
        <v>214</v>
      </c>
      <c r="G10" t="s">
        <v>215</v>
      </c>
      <c r="H10" t="s">
        <v>271</v>
      </c>
      <c r="I10" t="s">
        <v>217</v>
      </c>
      <c r="K10" t="s">
        <v>607</v>
      </c>
      <c r="L10" t="s">
        <v>608</v>
      </c>
      <c r="M10" t="s">
        <v>609</v>
      </c>
      <c r="N10" t="s">
        <v>610</v>
      </c>
      <c r="O10" t="s">
        <v>611</v>
      </c>
      <c r="P10">
        <v>0</v>
      </c>
      <c r="Q10">
        <v>0</v>
      </c>
      <c r="R10">
        <v>-5.8651026392999999</v>
      </c>
      <c r="S10">
        <v>-40</v>
      </c>
      <c r="T10">
        <v>88.045208557500004</v>
      </c>
      <c r="U10">
        <v>109.12544220149999</v>
      </c>
      <c r="V10">
        <v>3.6098699874000002</v>
      </c>
      <c r="W10">
        <v>2.2688586000000001E-3</v>
      </c>
      <c r="X10">
        <v>-6.9276200000000006E-5</v>
      </c>
      <c r="Y10">
        <v>3.3692157449</v>
      </c>
      <c r="Z10">
        <v>86.540274742500003</v>
      </c>
      <c r="AA10">
        <v>67.894207572900001</v>
      </c>
      <c r="AB10">
        <v>323.79483082550001</v>
      </c>
      <c r="AC10">
        <v>345.14845734300002</v>
      </c>
      <c r="AD10">
        <v>1</v>
      </c>
      <c r="AG10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0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173</v>
      </c>
      <c r="B1" t="s">
        <v>174</v>
      </c>
      <c r="C1" t="s">
        <v>175</v>
      </c>
      <c r="D1" t="s">
        <v>176</v>
      </c>
      <c r="E1" t="s">
        <v>177</v>
      </c>
      <c r="F1" t="s">
        <v>178</v>
      </c>
      <c r="G1" t="s">
        <v>179</v>
      </c>
      <c r="H1" t="s">
        <v>180</v>
      </c>
      <c r="I1" t="s">
        <v>181</v>
      </c>
      <c r="J1" t="s">
        <v>182</v>
      </c>
      <c r="K1" t="s">
        <v>183</v>
      </c>
      <c r="L1" t="s">
        <v>184</v>
      </c>
      <c r="M1" t="s">
        <v>185</v>
      </c>
      <c r="N1" t="s">
        <v>186</v>
      </c>
      <c r="O1" t="s">
        <v>187</v>
      </c>
      <c r="P1" t="s">
        <v>188</v>
      </c>
      <c r="Q1" t="s">
        <v>189</v>
      </c>
      <c r="R1" t="s">
        <v>288</v>
      </c>
      <c r="S1" t="s">
        <v>289</v>
      </c>
      <c r="T1" t="s">
        <v>290</v>
      </c>
      <c r="U1" t="s">
        <v>291</v>
      </c>
      <c r="V1" t="s">
        <v>292</v>
      </c>
      <c r="W1" t="s">
        <v>293</v>
      </c>
      <c r="X1" t="s">
        <v>294</v>
      </c>
      <c r="Y1" t="s">
        <v>295</v>
      </c>
      <c r="Z1" t="s">
        <v>296</v>
      </c>
      <c r="AA1" t="s">
        <v>297</v>
      </c>
      <c r="AB1" t="s">
        <v>298</v>
      </c>
      <c r="AC1" t="s">
        <v>299</v>
      </c>
      <c r="AD1" t="s">
        <v>300</v>
      </c>
      <c r="AE1" t="s">
        <v>301</v>
      </c>
      <c r="AF1" t="s">
        <v>302</v>
      </c>
      <c r="AG1" t="s">
        <v>303</v>
      </c>
      <c r="AH1" t="s">
        <v>304</v>
      </c>
      <c r="AI1" t="s">
        <v>305</v>
      </c>
      <c r="AJ1" t="s">
        <v>306</v>
      </c>
      <c r="AK1" t="s">
        <v>307</v>
      </c>
      <c r="AL1" t="s">
        <v>308</v>
      </c>
      <c r="AM1" t="s">
        <v>309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S1" t="s">
        <v>315</v>
      </c>
      <c r="AT1" t="s">
        <v>316</v>
      </c>
      <c r="AU1" t="s">
        <v>317</v>
      </c>
      <c r="AV1" t="s">
        <v>318</v>
      </c>
      <c r="AW1" t="s">
        <v>319</v>
      </c>
      <c r="AX1" t="s">
        <v>320</v>
      </c>
      <c r="AY1" t="s">
        <v>321</v>
      </c>
      <c r="AZ1" t="s">
        <v>322</v>
      </c>
      <c r="BA1" t="s">
        <v>323</v>
      </c>
      <c r="BB1" t="s">
        <v>324</v>
      </c>
      <c r="BC1" t="s">
        <v>325</v>
      </c>
      <c r="BD1" t="s">
        <v>326</v>
      </c>
      <c r="BE1" t="s">
        <v>327</v>
      </c>
      <c r="BF1" t="s">
        <v>328</v>
      </c>
      <c r="BG1" t="s">
        <v>329</v>
      </c>
      <c r="BH1" t="s">
        <v>330</v>
      </c>
      <c r="BI1" t="s">
        <v>331</v>
      </c>
      <c r="BJ1" t="s">
        <v>332</v>
      </c>
      <c r="BK1" t="s">
        <v>333</v>
      </c>
      <c r="BL1" t="s">
        <v>334</v>
      </c>
      <c r="BM1" t="s">
        <v>335</v>
      </c>
      <c r="BN1" t="s">
        <v>336</v>
      </c>
      <c r="BO1" t="s">
        <v>337</v>
      </c>
      <c r="BP1" t="s">
        <v>338</v>
      </c>
      <c r="BQ1" t="s">
        <v>339</v>
      </c>
      <c r="BR1" t="s">
        <v>340</v>
      </c>
      <c r="BS1" t="s">
        <v>341</v>
      </c>
      <c r="BT1" t="s">
        <v>342</v>
      </c>
      <c r="BU1" t="s">
        <v>343</v>
      </c>
      <c r="BV1" t="s">
        <v>344</v>
      </c>
      <c r="BW1" t="s">
        <v>345</v>
      </c>
      <c r="BX1" t="s">
        <v>346</v>
      </c>
      <c r="BY1" t="s">
        <v>347</v>
      </c>
      <c r="BZ1" t="s">
        <v>348</v>
      </c>
      <c r="CA1" t="s">
        <v>349</v>
      </c>
      <c r="CB1" t="s">
        <v>350</v>
      </c>
      <c r="CC1" t="s">
        <v>351</v>
      </c>
      <c r="CD1" t="s">
        <v>352</v>
      </c>
      <c r="CE1" t="s">
        <v>353</v>
      </c>
      <c r="CF1" t="s">
        <v>354</v>
      </c>
      <c r="CG1" t="s">
        <v>355</v>
      </c>
      <c r="CH1" t="s">
        <v>356</v>
      </c>
      <c r="CI1" t="s">
        <v>357</v>
      </c>
      <c r="CJ1" t="s">
        <v>358</v>
      </c>
      <c r="CK1" t="s">
        <v>359</v>
      </c>
      <c r="CL1" t="s">
        <v>360</v>
      </c>
      <c r="CM1" t="s">
        <v>361</v>
      </c>
      <c r="CN1" t="s">
        <v>362</v>
      </c>
      <c r="CO1" t="s">
        <v>363</v>
      </c>
      <c r="CP1" t="s">
        <v>364</v>
      </c>
      <c r="CQ1" t="s">
        <v>365</v>
      </c>
      <c r="CR1" t="s">
        <v>366</v>
      </c>
      <c r="CS1" t="s">
        <v>367</v>
      </c>
      <c r="CT1" t="s">
        <v>368</v>
      </c>
      <c r="CU1" t="s">
        <v>369</v>
      </c>
      <c r="CV1" t="s">
        <v>370</v>
      </c>
      <c r="CW1" t="s">
        <v>371</v>
      </c>
      <c r="CX1" t="s">
        <v>372</v>
      </c>
      <c r="CY1" t="s">
        <v>373</v>
      </c>
      <c r="CZ1" t="s">
        <v>374</v>
      </c>
      <c r="DA1" t="s">
        <v>375</v>
      </c>
      <c r="DB1" t="s">
        <v>376</v>
      </c>
      <c r="DC1" t="s">
        <v>377</v>
      </c>
      <c r="DD1" t="s">
        <v>378</v>
      </c>
      <c r="DE1" t="s">
        <v>379</v>
      </c>
      <c r="DF1" t="s">
        <v>380</v>
      </c>
      <c r="DG1" t="s">
        <v>381</v>
      </c>
      <c r="DH1" t="s">
        <v>382</v>
      </c>
      <c r="DI1" t="s">
        <v>383</v>
      </c>
      <c r="DJ1" t="s">
        <v>384</v>
      </c>
      <c r="DK1" t="s">
        <v>385</v>
      </c>
      <c r="DL1" t="s">
        <v>386</v>
      </c>
      <c r="DM1" t="s">
        <v>387</v>
      </c>
      <c r="DN1" t="s">
        <v>388</v>
      </c>
      <c r="DO1" t="s">
        <v>389</v>
      </c>
      <c r="DP1" t="s">
        <v>390</v>
      </c>
      <c r="DQ1" t="s">
        <v>391</v>
      </c>
      <c r="DR1" t="s">
        <v>392</v>
      </c>
      <c r="DS1" t="s">
        <v>393</v>
      </c>
      <c r="DT1" t="s">
        <v>394</v>
      </c>
      <c r="DU1" t="s">
        <v>395</v>
      </c>
      <c r="DV1" t="s">
        <v>396</v>
      </c>
      <c r="DW1" t="s">
        <v>397</v>
      </c>
      <c r="DX1" t="s">
        <v>398</v>
      </c>
      <c r="DY1" t="s">
        <v>399</v>
      </c>
      <c r="DZ1" t="s">
        <v>400</v>
      </c>
      <c r="EA1" t="s">
        <v>401</v>
      </c>
      <c r="EB1" t="s">
        <v>402</v>
      </c>
      <c r="EC1" t="s">
        <v>403</v>
      </c>
      <c r="ED1" t="s">
        <v>404</v>
      </c>
      <c r="EE1" t="s">
        <v>405</v>
      </c>
      <c r="EF1" t="s">
        <v>406</v>
      </c>
      <c r="EG1" t="s">
        <v>407</v>
      </c>
      <c r="EH1" t="s">
        <v>408</v>
      </c>
      <c r="EI1" t="s">
        <v>409</v>
      </c>
      <c r="EJ1" t="s">
        <v>410</v>
      </c>
      <c r="EK1" t="s">
        <v>411</v>
      </c>
      <c r="EL1" t="s">
        <v>412</v>
      </c>
      <c r="EM1" t="s">
        <v>413</v>
      </c>
      <c r="EN1" t="s">
        <v>414</v>
      </c>
      <c r="EO1" t="s">
        <v>415</v>
      </c>
      <c r="EP1" t="s">
        <v>416</v>
      </c>
      <c r="EQ1" t="s">
        <v>417</v>
      </c>
      <c r="ER1" t="s">
        <v>418</v>
      </c>
      <c r="ES1" t="s">
        <v>419</v>
      </c>
      <c r="ET1" t="s">
        <v>420</v>
      </c>
      <c r="EU1" t="s">
        <v>421</v>
      </c>
      <c r="EV1" t="s">
        <v>422</v>
      </c>
      <c r="EW1" t="s">
        <v>423</v>
      </c>
      <c r="EX1" t="s">
        <v>424</v>
      </c>
      <c r="EY1" t="s">
        <v>425</v>
      </c>
      <c r="EZ1" t="s">
        <v>426</v>
      </c>
      <c r="FA1" t="s">
        <v>427</v>
      </c>
      <c r="FB1" t="s">
        <v>428</v>
      </c>
      <c r="FC1" t="s">
        <v>429</v>
      </c>
      <c r="FD1" t="s">
        <v>430</v>
      </c>
      <c r="FE1" t="s">
        <v>431</v>
      </c>
      <c r="FF1" t="s">
        <v>432</v>
      </c>
      <c r="FG1" t="s">
        <v>433</v>
      </c>
      <c r="FH1" t="s">
        <v>434</v>
      </c>
      <c r="FI1" t="s">
        <v>435</v>
      </c>
      <c r="FJ1" t="s">
        <v>436</v>
      </c>
      <c r="FK1" t="s">
        <v>437</v>
      </c>
      <c r="FL1" t="s">
        <v>438</v>
      </c>
      <c r="FM1" t="s">
        <v>439</v>
      </c>
      <c r="FN1" t="s">
        <v>440</v>
      </c>
      <c r="FO1" t="s">
        <v>441</v>
      </c>
      <c r="FP1" t="s">
        <v>442</v>
      </c>
      <c r="FQ1" t="s">
        <v>443</v>
      </c>
      <c r="FR1" t="s">
        <v>444</v>
      </c>
      <c r="FS1" t="s">
        <v>445</v>
      </c>
      <c r="FT1" t="s">
        <v>446</v>
      </c>
      <c r="FU1" t="s">
        <v>447</v>
      </c>
      <c r="FV1" t="s">
        <v>448</v>
      </c>
      <c r="FW1" t="s">
        <v>449</v>
      </c>
      <c r="FX1" t="s">
        <v>450</v>
      </c>
      <c r="FY1" t="s">
        <v>451</v>
      </c>
      <c r="FZ1" t="s">
        <v>452</v>
      </c>
      <c r="GA1" t="s">
        <v>453</v>
      </c>
      <c r="GB1" t="s">
        <v>454</v>
      </c>
      <c r="GC1" t="s">
        <v>455</v>
      </c>
      <c r="GD1" t="s">
        <v>456</v>
      </c>
      <c r="GE1" t="s">
        <v>457</v>
      </c>
      <c r="GF1" t="s">
        <v>458</v>
      </c>
      <c r="GG1" t="s">
        <v>459</v>
      </c>
      <c r="GH1" t="s">
        <v>460</v>
      </c>
      <c r="GI1" t="s">
        <v>461</v>
      </c>
      <c r="GJ1" t="s">
        <v>462</v>
      </c>
      <c r="GK1" t="s">
        <v>463</v>
      </c>
      <c r="GL1" t="s">
        <v>464</v>
      </c>
      <c r="GM1" t="s">
        <v>465</v>
      </c>
      <c r="GN1" t="s">
        <v>466</v>
      </c>
      <c r="GO1" t="s">
        <v>467</v>
      </c>
      <c r="GP1" t="s">
        <v>468</v>
      </c>
      <c r="GQ1" t="s">
        <v>469</v>
      </c>
      <c r="GR1" t="s">
        <v>470</v>
      </c>
      <c r="GS1" t="s">
        <v>471</v>
      </c>
      <c r="GT1" t="s">
        <v>472</v>
      </c>
      <c r="GU1" t="s">
        <v>473</v>
      </c>
      <c r="GV1" t="s">
        <v>474</v>
      </c>
      <c r="GW1" t="s">
        <v>475</v>
      </c>
      <c r="GX1" t="s">
        <v>476</v>
      </c>
      <c r="GY1" t="s">
        <v>477</v>
      </c>
      <c r="GZ1" t="s">
        <v>478</v>
      </c>
      <c r="HA1" t="s">
        <v>479</v>
      </c>
      <c r="HB1" t="s">
        <v>480</v>
      </c>
      <c r="HC1" t="s">
        <v>481</v>
      </c>
      <c r="HD1" t="s">
        <v>482</v>
      </c>
      <c r="HE1" t="s">
        <v>483</v>
      </c>
      <c r="HF1" t="s">
        <v>484</v>
      </c>
      <c r="HG1" t="s">
        <v>485</v>
      </c>
      <c r="HH1" t="s">
        <v>486</v>
      </c>
      <c r="HI1" t="s">
        <v>487</v>
      </c>
      <c r="HJ1" t="s">
        <v>488</v>
      </c>
      <c r="HK1" t="s">
        <v>489</v>
      </c>
      <c r="HL1" t="s">
        <v>490</v>
      </c>
      <c r="HM1" t="s">
        <v>491</v>
      </c>
      <c r="HN1" t="s">
        <v>492</v>
      </c>
      <c r="HO1" t="s">
        <v>493</v>
      </c>
      <c r="HP1" t="s">
        <v>494</v>
      </c>
      <c r="HQ1" t="s">
        <v>495</v>
      </c>
      <c r="HR1" t="s">
        <v>496</v>
      </c>
      <c r="HS1" t="s">
        <v>497</v>
      </c>
      <c r="HT1" t="s">
        <v>498</v>
      </c>
      <c r="HU1" t="s">
        <v>499</v>
      </c>
      <c r="HV1" t="s">
        <v>500</v>
      </c>
      <c r="HW1" t="s">
        <v>501</v>
      </c>
      <c r="HX1" t="s">
        <v>502</v>
      </c>
      <c r="HY1" t="s">
        <v>503</v>
      </c>
      <c r="HZ1" t="s">
        <v>504</v>
      </c>
      <c r="IA1" t="s">
        <v>505</v>
      </c>
      <c r="IB1" t="s">
        <v>506</v>
      </c>
      <c r="IC1" t="s">
        <v>507</v>
      </c>
      <c r="ID1" t="s">
        <v>508</v>
      </c>
      <c r="IE1" t="s">
        <v>509</v>
      </c>
      <c r="IF1" t="s">
        <v>510</v>
      </c>
      <c r="IG1" t="s">
        <v>511</v>
      </c>
      <c r="IH1" t="s">
        <v>512</v>
      </c>
      <c r="II1" t="s">
        <v>513</v>
      </c>
      <c r="IJ1" t="s">
        <v>514</v>
      </c>
      <c r="IK1" t="s">
        <v>515</v>
      </c>
      <c r="IL1" t="s">
        <v>516</v>
      </c>
      <c r="IM1" t="s">
        <v>517</v>
      </c>
      <c r="IN1" t="s">
        <v>518</v>
      </c>
      <c r="IO1" t="s">
        <v>519</v>
      </c>
      <c r="IP1" t="s">
        <v>520</v>
      </c>
      <c r="IQ1" t="s">
        <v>521</v>
      </c>
      <c r="IR1" t="s">
        <v>522</v>
      </c>
      <c r="IS1" t="s">
        <v>523</v>
      </c>
      <c r="IT1" t="s">
        <v>524</v>
      </c>
      <c r="IU1" t="s">
        <v>525</v>
      </c>
      <c r="IV1" t="s">
        <v>526</v>
      </c>
      <c r="IW1" t="s">
        <v>527</v>
      </c>
      <c r="IX1" t="s">
        <v>528</v>
      </c>
      <c r="IY1" t="s">
        <v>529</v>
      </c>
      <c r="IZ1" t="s">
        <v>530</v>
      </c>
      <c r="JA1" t="s">
        <v>531</v>
      </c>
      <c r="JB1" t="s">
        <v>532</v>
      </c>
      <c r="JC1" t="s">
        <v>533</v>
      </c>
      <c r="JD1" t="s">
        <v>534</v>
      </c>
      <c r="JE1" t="s">
        <v>535</v>
      </c>
      <c r="JF1" t="s">
        <v>536</v>
      </c>
      <c r="JG1" t="s">
        <v>537</v>
      </c>
      <c r="JH1" t="s">
        <v>538</v>
      </c>
      <c r="JI1" t="s">
        <v>539</v>
      </c>
      <c r="JJ1" t="s">
        <v>540</v>
      </c>
      <c r="JK1" t="s">
        <v>541</v>
      </c>
      <c r="JL1" t="s">
        <v>281</v>
      </c>
      <c r="JM1" t="s">
        <v>542</v>
      </c>
      <c r="JN1" t="s">
        <v>543</v>
      </c>
      <c r="JO1" t="s">
        <v>544</v>
      </c>
      <c r="JP1" t="s">
        <v>545</v>
      </c>
      <c r="JQ1" t="s">
        <v>546</v>
      </c>
      <c r="JR1" s="17" t="s">
        <v>547</v>
      </c>
      <c r="JS1" s="17" t="s">
        <v>207</v>
      </c>
      <c r="JT1" s="17" t="s">
        <v>208</v>
      </c>
      <c r="JU1" s="17" t="s">
        <v>209</v>
      </c>
    </row>
    <row r="2" spans="1:281">
      <c r="A2" t="s">
        <v>548</v>
      </c>
      <c r="B2" t="s">
        <v>549</v>
      </c>
      <c r="C2" t="s">
        <v>550</v>
      </c>
      <c r="D2" t="s">
        <v>213</v>
      </c>
      <c r="E2">
        <v>3</v>
      </c>
      <c r="F2" t="s">
        <v>214</v>
      </c>
      <c r="G2" t="s">
        <v>215</v>
      </c>
      <c r="H2" t="s">
        <v>551</v>
      </c>
      <c r="I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>
        <v>0</v>
      </c>
      <c r="Q2">
        <v>0</v>
      </c>
      <c r="R2">
        <v>1.6999999989000001</v>
      </c>
      <c r="S2">
        <v>0.79999999980000003</v>
      </c>
      <c r="T2">
        <v>0.7000000005</v>
      </c>
      <c r="U2">
        <v>0.7000000005</v>
      </c>
      <c r="V2">
        <v>0.59999999940000004</v>
      </c>
      <c r="W2">
        <v>0.7000000005</v>
      </c>
      <c r="X2">
        <v>0.50000000010000001</v>
      </c>
      <c r="Y2">
        <v>0.39999999899999999</v>
      </c>
      <c r="Z2">
        <v>0.39999999899999999</v>
      </c>
      <c r="AA2">
        <v>0.29999999970000002</v>
      </c>
      <c r="AB2">
        <v>0.20000000039999999</v>
      </c>
      <c r="AC2">
        <v>0</v>
      </c>
      <c r="AD2">
        <v>0.20000000039999999</v>
      </c>
      <c r="AE2">
        <v>0</v>
      </c>
      <c r="AF2">
        <v>0</v>
      </c>
      <c r="AG2">
        <v>0</v>
      </c>
      <c r="AH2">
        <v>3.4999999988999999</v>
      </c>
      <c r="AI2">
        <v>7.2999999992999998</v>
      </c>
      <c r="AJ2">
        <v>10.200000000599999</v>
      </c>
      <c r="AK2">
        <v>14.6000000004</v>
      </c>
      <c r="AL2">
        <v>21.499999998900002</v>
      </c>
      <c r="AM2">
        <v>28.500000000299998</v>
      </c>
      <c r="AN2">
        <v>35.700000000400003</v>
      </c>
      <c r="AO2">
        <v>42.799999999299999</v>
      </c>
      <c r="AP2">
        <v>50.699999999799999</v>
      </c>
      <c r="AQ2">
        <v>58.699999999600003</v>
      </c>
      <c r="AR2">
        <v>65.699999999200003</v>
      </c>
      <c r="AS2">
        <v>72.700000000599999</v>
      </c>
      <c r="AT2">
        <v>81.000000000100002</v>
      </c>
      <c r="AU2">
        <v>88.799999999500002</v>
      </c>
      <c r="AV2">
        <v>96.499999999699995</v>
      </c>
      <c r="AW2">
        <v>105.0999999989</v>
      </c>
      <c r="AX2">
        <v>113.9000000003</v>
      </c>
      <c r="AY2">
        <v>121.90000000009999</v>
      </c>
      <c r="AZ2">
        <v>129.89999999989999</v>
      </c>
      <c r="BA2">
        <v>138.4999999991</v>
      </c>
      <c r="BB2">
        <v>146.69999999929999</v>
      </c>
      <c r="BC2">
        <v>154.8000000003</v>
      </c>
      <c r="BD2">
        <v>163.59999999990001</v>
      </c>
      <c r="BE2">
        <v>171.5999999997</v>
      </c>
      <c r="BF2">
        <v>178.79999999969999</v>
      </c>
      <c r="BG2">
        <v>187.09999999920001</v>
      </c>
      <c r="BH2">
        <v>196.20000000030001</v>
      </c>
      <c r="BI2">
        <v>203.99999999970001</v>
      </c>
      <c r="BJ2">
        <v>212.2999999992</v>
      </c>
      <c r="BK2">
        <v>220.49999999939999</v>
      </c>
      <c r="BL2">
        <v>228.19999999960001</v>
      </c>
      <c r="BM2">
        <v>235.3000000003</v>
      </c>
      <c r="BN2">
        <v>243.59999999979999</v>
      </c>
      <c r="BO2">
        <v>252.00000000040001</v>
      </c>
      <c r="BP2">
        <v>259.29999999969999</v>
      </c>
      <c r="BQ2">
        <v>267.29999999950002</v>
      </c>
      <c r="BR2">
        <v>275.09999999889999</v>
      </c>
      <c r="BS2">
        <v>282.10000000039997</v>
      </c>
      <c r="BT2">
        <v>288.80000000029997</v>
      </c>
      <c r="BU2">
        <v>296.50000000040001</v>
      </c>
      <c r="BV2">
        <v>304.09999999939998</v>
      </c>
      <c r="BW2">
        <v>310.99999999969998</v>
      </c>
      <c r="BX2">
        <v>318.10000000039997</v>
      </c>
      <c r="BY2">
        <v>325.10000000000002</v>
      </c>
      <c r="BZ2">
        <v>332.09999999960002</v>
      </c>
      <c r="CA2">
        <v>338.20000000009998</v>
      </c>
      <c r="CB2">
        <v>344.60000000039997</v>
      </c>
      <c r="CC2">
        <v>351.6</v>
      </c>
      <c r="CD2">
        <v>358.39999999920002</v>
      </c>
      <c r="CE2">
        <v>364.40000000039998</v>
      </c>
      <c r="CF2">
        <v>370.69999999949999</v>
      </c>
      <c r="CG2">
        <v>376.89999999930001</v>
      </c>
      <c r="CH2">
        <v>383.09999999910002</v>
      </c>
      <c r="CI2">
        <v>388.89999999989999</v>
      </c>
      <c r="CJ2">
        <v>394.39999999920002</v>
      </c>
      <c r="CK2">
        <v>399.7999999992</v>
      </c>
      <c r="CL2">
        <v>405.99999999900001</v>
      </c>
      <c r="CM2">
        <v>411.79999999990002</v>
      </c>
      <c r="CN2">
        <v>417.1999999999</v>
      </c>
      <c r="CO2">
        <v>422.59999999989998</v>
      </c>
      <c r="CP2">
        <v>427.70000000020002</v>
      </c>
      <c r="CQ2">
        <v>432.8999999998</v>
      </c>
      <c r="CR2">
        <v>438.29999999979998</v>
      </c>
      <c r="CS2">
        <v>443.49999999940002</v>
      </c>
      <c r="CT2">
        <v>447.79999999990002</v>
      </c>
      <c r="CU2">
        <v>451.1000000002</v>
      </c>
      <c r="CV2">
        <v>452.60000000050002</v>
      </c>
      <c r="CW2">
        <v>452.60000000050002</v>
      </c>
      <c r="CX2">
        <v>452.60000000050002</v>
      </c>
      <c r="CY2">
        <v>452.69999999980001</v>
      </c>
      <c r="CZ2">
        <v>452.60000000050002</v>
      </c>
      <c r="DA2">
        <v>452.69999999980001</v>
      </c>
      <c r="DB2">
        <v>452.60000000050002</v>
      </c>
      <c r="DC2">
        <v>452.90000000020001</v>
      </c>
      <c r="DD2">
        <v>452.79999999910001</v>
      </c>
      <c r="DE2">
        <v>452.90000000020001</v>
      </c>
      <c r="DF2">
        <v>452.60000000050002</v>
      </c>
      <c r="DG2">
        <v>452.69999999980001</v>
      </c>
      <c r="DH2">
        <v>2.0999999997000001</v>
      </c>
      <c r="DI2">
        <v>1.2000000006</v>
      </c>
      <c r="DJ2">
        <v>1.2000000006</v>
      </c>
      <c r="DK2">
        <v>1.2999999999</v>
      </c>
      <c r="DL2">
        <v>1.2000000006</v>
      </c>
      <c r="DM2">
        <v>1.0999999995</v>
      </c>
      <c r="DN2">
        <v>1.0999999995</v>
      </c>
      <c r="DO2">
        <v>0.89999999909999995</v>
      </c>
      <c r="DP2">
        <v>1.0000000002</v>
      </c>
      <c r="DQ2">
        <v>0.89999999909999995</v>
      </c>
      <c r="DR2">
        <v>0.79999999980000003</v>
      </c>
      <c r="DS2">
        <v>0.7000000005</v>
      </c>
      <c r="DT2">
        <v>0.39999999899999999</v>
      </c>
      <c r="DU2">
        <v>0.50000000010000001</v>
      </c>
      <c r="DV2">
        <v>0.29999999970000002</v>
      </c>
      <c r="DW2">
        <v>2.0999999997000001</v>
      </c>
      <c r="DX2">
        <v>6.1999999998000002</v>
      </c>
      <c r="DY2">
        <v>9.3999999990000003</v>
      </c>
      <c r="DZ2">
        <v>12.3999999996</v>
      </c>
      <c r="EA2">
        <v>19.0999999995</v>
      </c>
      <c r="EB2">
        <v>26.499999999900002</v>
      </c>
      <c r="EC2">
        <v>33.700000000000003</v>
      </c>
      <c r="ED2">
        <v>40.9</v>
      </c>
      <c r="EE2">
        <v>48.699999999399999</v>
      </c>
      <c r="EF2">
        <v>56.500000000599996</v>
      </c>
      <c r="EG2">
        <v>63.5999999995</v>
      </c>
      <c r="EH2">
        <v>70.700000000200006</v>
      </c>
      <c r="EI2">
        <v>78.900000000399999</v>
      </c>
      <c r="EJ2">
        <v>86.900000000199995</v>
      </c>
      <c r="EK2">
        <v>94.4999999992</v>
      </c>
      <c r="EL2">
        <v>102.80000000059999</v>
      </c>
      <c r="EM2">
        <v>111.3999999998</v>
      </c>
      <c r="EN2">
        <v>119.3000000003</v>
      </c>
      <c r="EO2">
        <v>127.3000000001</v>
      </c>
      <c r="EP2">
        <v>135.80000000000001</v>
      </c>
      <c r="EQ2">
        <v>144.69999999890001</v>
      </c>
      <c r="ER2">
        <v>152.29999999969999</v>
      </c>
      <c r="ES2">
        <v>161.39999999899999</v>
      </c>
      <c r="ET2">
        <v>169.7000000004</v>
      </c>
      <c r="EU2">
        <v>177.2000000001</v>
      </c>
      <c r="EV2">
        <v>185.2999999992</v>
      </c>
      <c r="EW2">
        <v>194.1999999999</v>
      </c>
      <c r="EX2">
        <v>202.1999999997</v>
      </c>
      <c r="EY2">
        <v>210.49999999920001</v>
      </c>
      <c r="EZ2">
        <v>218.9999999991</v>
      </c>
      <c r="FA2">
        <v>226.89999999969999</v>
      </c>
      <c r="FB2">
        <v>234.0999999997</v>
      </c>
      <c r="FC2">
        <v>242.50000000029999</v>
      </c>
      <c r="FD2">
        <v>250.8999999991</v>
      </c>
      <c r="FE2">
        <v>258.59999999920001</v>
      </c>
      <c r="FF2">
        <v>266.49999999969998</v>
      </c>
      <c r="FG2">
        <v>274.49999999950001</v>
      </c>
      <c r="FH2">
        <v>281.4999999991</v>
      </c>
      <c r="FI2">
        <v>288.59999999989998</v>
      </c>
      <c r="FJ2">
        <v>296.19999999890001</v>
      </c>
      <c r="FK2">
        <v>304.09999999939998</v>
      </c>
      <c r="FL2">
        <v>311.20000000009998</v>
      </c>
      <c r="FM2">
        <v>318.29999999900002</v>
      </c>
      <c r="FN2">
        <v>325.8999999998</v>
      </c>
      <c r="FO2">
        <v>332.8000000001</v>
      </c>
      <c r="FP2">
        <v>338.99999999990001</v>
      </c>
      <c r="FQ2">
        <v>345.40000000020001</v>
      </c>
      <c r="FR2">
        <v>352.80000000059999</v>
      </c>
      <c r="FS2">
        <v>359.80000000019999</v>
      </c>
      <c r="FT2">
        <v>365.70000000030001</v>
      </c>
      <c r="FU2">
        <v>372.10000000050002</v>
      </c>
      <c r="FV2">
        <v>378.39999999960003</v>
      </c>
      <c r="FW2">
        <v>384.89999999909998</v>
      </c>
      <c r="FX2">
        <v>390.29999999910001</v>
      </c>
      <c r="FY2">
        <v>395.69999999909999</v>
      </c>
      <c r="FZ2">
        <v>401.59999999920001</v>
      </c>
      <c r="GA2">
        <v>407.79999999900002</v>
      </c>
      <c r="GB2">
        <v>413.69999999919997</v>
      </c>
      <c r="GC2">
        <v>418.90000000060002</v>
      </c>
      <c r="GD2">
        <v>424.19999999949999</v>
      </c>
      <c r="GE2">
        <v>429.20000000049998</v>
      </c>
      <c r="GF2">
        <v>434.69999999980001</v>
      </c>
      <c r="GG2">
        <v>439.699999999</v>
      </c>
      <c r="GH2">
        <v>444.10000000060001</v>
      </c>
      <c r="GI2">
        <v>448.699999999</v>
      </c>
      <c r="GJ2">
        <v>451.30000000059999</v>
      </c>
      <c r="GK2">
        <v>452.69999999980001</v>
      </c>
      <c r="GL2">
        <v>452.69999999980001</v>
      </c>
      <c r="GM2">
        <v>452.79999999910001</v>
      </c>
      <c r="GN2">
        <v>452.99999999950001</v>
      </c>
      <c r="GO2">
        <v>452.90000000020001</v>
      </c>
      <c r="GP2">
        <v>452.69999999980001</v>
      </c>
      <c r="GQ2">
        <v>452.90000000020001</v>
      </c>
      <c r="GR2">
        <v>452.79999999910001</v>
      </c>
      <c r="GS2">
        <v>452.90000000020001</v>
      </c>
      <c r="GT2">
        <v>452.69999999980001</v>
      </c>
      <c r="GU2">
        <v>452.60000000050002</v>
      </c>
      <c r="GV2">
        <v>452.60000000050002</v>
      </c>
      <c r="GW2">
        <v>452.60000000050002</v>
      </c>
      <c r="GX2">
        <v>1</v>
      </c>
      <c r="GY2">
        <v>114.599999999</v>
      </c>
      <c r="GZ2">
        <v>113.9000000003</v>
      </c>
      <c r="HA2">
        <v>113.9000000003</v>
      </c>
      <c r="HB2">
        <v>119.3000000003</v>
      </c>
      <c r="HC2">
        <v>115.2902406715</v>
      </c>
      <c r="HD2">
        <v>-5.4</v>
      </c>
      <c r="HE2">
        <v>452.60005520039999</v>
      </c>
      <c r="HF2">
        <v>291.6424597029</v>
      </c>
      <c r="HG2">
        <v>93.5252815204</v>
      </c>
      <c r="HH2">
        <v>452.99999999950001</v>
      </c>
      <c r="HI2">
        <v>452.99991167979999</v>
      </c>
      <c r="HJ2">
        <v>452.90000000020001</v>
      </c>
      <c r="HK2">
        <v>452.99999999950001</v>
      </c>
      <c r="HL2">
        <v>114.9560117302</v>
      </c>
      <c r="HM2">
        <v>3.3138039188000001</v>
      </c>
      <c r="HN2">
        <v>3.2424867058000002</v>
      </c>
      <c r="HO2">
        <v>3.2780582846000001</v>
      </c>
      <c r="HP2">
        <v>3.1702949441000001</v>
      </c>
      <c r="HQ2">
        <v>3.5011331988999999</v>
      </c>
      <c r="HR2">
        <v>2.2546122807</v>
      </c>
      <c r="HS2">
        <v>21.764959151100001</v>
      </c>
      <c r="HT2">
        <v>-28.152492668600001</v>
      </c>
      <c r="HU2">
        <v>-192</v>
      </c>
      <c r="HV2">
        <v>406.93270037439999</v>
      </c>
      <c r="HW2">
        <v>91.495601172999997</v>
      </c>
      <c r="HX2">
        <v>624</v>
      </c>
      <c r="HY2">
        <v>21.764959151100001</v>
      </c>
      <c r="HZ2">
        <v>-28.152492668600001</v>
      </c>
      <c r="IA2">
        <v>-192</v>
      </c>
      <c r="IB2">
        <v>406.93270037439999</v>
      </c>
      <c r="IC2">
        <v>91.495601172999997</v>
      </c>
      <c r="ID2">
        <v>624</v>
      </c>
      <c r="IE2">
        <v>46.067211305400001</v>
      </c>
      <c r="IF2">
        <v>3.5289136663999998</v>
      </c>
      <c r="IG2">
        <v>-37.536656891500002</v>
      </c>
      <c r="IH2">
        <v>-256</v>
      </c>
      <c r="II2">
        <v>428.80653565950001</v>
      </c>
      <c r="IJ2">
        <v>100.87976539589999</v>
      </c>
      <c r="IK2">
        <v>688</v>
      </c>
      <c r="IL2">
        <v>385.16774122330003</v>
      </c>
      <c r="IM2">
        <v>119.6480938416</v>
      </c>
      <c r="IN2">
        <v>408.05644733930001</v>
      </c>
      <c r="IO2">
        <v>129.03225806450001</v>
      </c>
      <c r="IP2">
        <v>7.4000000004000004</v>
      </c>
      <c r="IQ2">
        <v>5.4999999992999999</v>
      </c>
      <c r="IR2">
        <v>9.1000000010999997</v>
      </c>
      <c r="IS2">
        <v>5.9269574179999998</v>
      </c>
      <c r="IT2">
        <v>5.9269574179999998</v>
      </c>
      <c r="IU2">
        <v>4.4999999990999999</v>
      </c>
      <c r="IV2">
        <v>-30.4985337243</v>
      </c>
      <c r="IW2">
        <v>8.2000000001999993</v>
      </c>
      <c r="IX2">
        <v>70.381231671600005</v>
      </c>
      <c r="IY2">
        <v>7.1000000006999997</v>
      </c>
      <c r="IZ2">
        <v>96.187683284499997</v>
      </c>
      <c r="JA2">
        <v>-35.229774161400002</v>
      </c>
      <c r="JB2">
        <v>0.33765402370000003</v>
      </c>
      <c r="JC2">
        <v>-3.5244200000000001E-4</v>
      </c>
      <c r="JD2">
        <v>7.0689999999999996E-7</v>
      </c>
      <c r="JE2">
        <v>0.30176800570000001</v>
      </c>
      <c r="JF2">
        <v>0.23466375549999999</v>
      </c>
      <c r="JG2">
        <v>0.1151523797</v>
      </c>
      <c r="JH2">
        <v>115.42670804230001</v>
      </c>
      <c r="JI2">
        <v>3.5011331988999999</v>
      </c>
      <c r="JJ2">
        <v>2.8904741000000001E-3</v>
      </c>
      <c r="JK2">
        <v>-7.0694799999999999E-5</v>
      </c>
      <c r="JL2">
        <v>3.3138039188000001</v>
      </c>
      <c r="JM2">
        <v>1.1838749983000001</v>
      </c>
      <c r="JN2">
        <v>0.53882892660000004</v>
      </c>
      <c r="JO2">
        <v>3.1542500001999998</v>
      </c>
      <c r="JP2">
        <v>2.3443749996999999</v>
      </c>
      <c r="JQ2">
        <v>3.8788750004999999</v>
      </c>
      <c r="JR2" s="17" t="s">
        <v>552</v>
      </c>
      <c r="JU2" s="17">
        <v>1</v>
      </c>
    </row>
    <row r="3" spans="1:281">
      <c r="A3" t="s">
        <v>553</v>
      </c>
      <c r="B3" t="s">
        <v>554</v>
      </c>
      <c r="C3" t="s">
        <v>555</v>
      </c>
      <c r="D3" t="s">
        <v>213</v>
      </c>
      <c r="E3">
        <v>3</v>
      </c>
      <c r="F3" t="s">
        <v>214</v>
      </c>
      <c r="G3" t="s">
        <v>215</v>
      </c>
      <c r="H3" t="s">
        <v>551</v>
      </c>
      <c r="I3" t="s">
        <v>217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0</v>
      </c>
      <c r="S3">
        <v>0.20000000039999999</v>
      </c>
      <c r="T3">
        <v>0.20000000039999999</v>
      </c>
      <c r="U3">
        <v>0.20000000039999999</v>
      </c>
      <c r="V3">
        <v>0.20000000039999999</v>
      </c>
      <c r="W3">
        <v>0.40000000079999998</v>
      </c>
      <c r="X3">
        <v>0.3000000015</v>
      </c>
      <c r="Y3">
        <v>0.3000000015</v>
      </c>
      <c r="Z3">
        <v>0.3000000015</v>
      </c>
      <c r="AA3">
        <v>0.40000000079999998</v>
      </c>
      <c r="AB3">
        <v>0.7000000005</v>
      </c>
      <c r="AC3">
        <v>0.60000000119999997</v>
      </c>
      <c r="AD3">
        <v>0.40000000079999998</v>
      </c>
      <c r="AE3">
        <v>0.50000000010000001</v>
      </c>
      <c r="AF3">
        <v>0.60000000119999997</v>
      </c>
      <c r="AG3">
        <v>0.50000000010000001</v>
      </c>
      <c r="AH3">
        <v>0.79999999980000003</v>
      </c>
      <c r="AI3">
        <v>0.7000000005</v>
      </c>
      <c r="AJ3">
        <v>2.5000000005</v>
      </c>
      <c r="AK3">
        <v>7.7000000001000002</v>
      </c>
      <c r="AL3">
        <v>15.1000000005</v>
      </c>
      <c r="AM3">
        <v>21.900000001599999</v>
      </c>
      <c r="AN3">
        <v>28.700000000799999</v>
      </c>
      <c r="AO3">
        <v>36.799999999900002</v>
      </c>
      <c r="AP3">
        <v>44.6000000011</v>
      </c>
      <c r="AQ3">
        <v>52.000000001499998</v>
      </c>
      <c r="AR3">
        <v>59.600000000500003</v>
      </c>
      <c r="AS3">
        <v>68.000000001100005</v>
      </c>
      <c r="AT3">
        <v>75.800000000500006</v>
      </c>
      <c r="AU3">
        <v>83.599999999900007</v>
      </c>
      <c r="AV3">
        <v>92.400000001400002</v>
      </c>
      <c r="AW3">
        <v>100.9000000013</v>
      </c>
      <c r="AX3">
        <v>109.60000000159999</v>
      </c>
      <c r="AY3">
        <v>119.4000000014</v>
      </c>
      <c r="AZ3">
        <v>128.09999999990001</v>
      </c>
      <c r="BA3">
        <v>136.00000000040001</v>
      </c>
      <c r="BB3">
        <v>145.3000000001</v>
      </c>
      <c r="BC3">
        <v>153.7000000008</v>
      </c>
      <c r="BD3">
        <v>161.7999999999</v>
      </c>
      <c r="BE3">
        <v>170.5000000002</v>
      </c>
      <c r="BF3">
        <v>179.29999999980001</v>
      </c>
      <c r="BG3">
        <v>187.30000000140001</v>
      </c>
      <c r="BH3">
        <v>195.70000000019999</v>
      </c>
      <c r="BI3">
        <v>204.80000000129999</v>
      </c>
      <c r="BJ3">
        <v>212.4000000003</v>
      </c>
      <c r="BK3">
        <v>220.60000000060001</v>
      </c>
      <c r="BL3">
        <v>229.40000000020001</v>
      </c>
      <c r="BM3">
        <v>237.30000000070001</v>
      </c>
      <c r="BN3">
        <v>245.00000000079999</v>
      </c>
      <c r="BO3">
        <v>253.4000000014</v>
      </c>
      <c r="BP3">
        <v>261.70000000089999</v>
      </c>
      <c r="BQ3">
        <v>268.79999999979998</v>
      </c>
      <c r="BR3">
        <v>276.90000000079999</v>
      </c>
      <c r="BS3">
        <v>285.10000000100001</v>
      </c>
      <c r="BT3">
        <v>292.10000000060001</v>
      </c>
      <c r="BU3">
        <v>299.50000000099999</v>
      </c>
      <c r="BV3">
        <v>307.30000000040002</v>
      </c>
      <c r="BW3">
        <v>314.60000000150001</v>
      </c>
      <c r="BX3">
        <v>321.20000000030001</v>
      </c>
      <c r="BY3">
        <v>328.7</v>
      </c>
      <c r="BZ3">
        <v>335.70000000149997</v>
      </c>
      <c r="CA3">
        <v>342.30000000029997</v>
      </c>
      <c r="CB3">
        <v>348.70000000049998</v>
      </c>
      <c r="CC3">
        <v>355.50000000149998</v>
      </c>
      <c r="CD3">
        <v>362.60000000039997</v>
      </c>
      <c r="CE3">
        <v>368.80000000019999</v>
      </c>
      <c r="CF3">
        <v>374.60000000100001</v>
      </c>
      <c r="CG3">
        <v>380.80000000080003</v>
      </c>
      <c r="CH3">
        <v>387.09999999989998</v>
      </c>
      <c r="CI3">
        <v>393</v>
      </c>
      <c r="CJ3">
        <v>398.50000000109998</v>
      </c>
      <c r="CK3">
        <v>404.20000000089999</v>
      </c>
      <c r="CL3">
        <v>410.5</v>
      </c>
      <c r="CM3">
        <v>416.10000000039997</v>
      </c>
      <c r="CN3">
        <v>421.7000000008</v>
      </c>
      <c r="CO3">
        <v>426.60000000069999</v>
      </c>
      <c r="CP3">
        <v>431.90000000139997</v>
      </c>
      <c r="CQ3">
        <v>437.30000000140001</v>
      </c>
      <c r="CR3">
        <v>443.20000000149997</v>
      </c>
      <c r="CS3">
        <v>447.10000000119999</v>
      </c>
      <c r="CT3">
        <v>449.90000000139997</v>
      </c>
      <c r="CU3">
        <v>448.9000000012</v>
      </c>
      <c r="CV3">
        <v>437.90000000079999</v>
      </c>
      <c r="CW3">
        <v>455.4000000007</v>
      </c>
      <c r="CX3">
        <v>455.4000000007</v>
      </c>
      <c r="CY3">
        <v>456.10000000119999</v>
      </c>
      <c r="CZ3">
        <v>454.99999999990001</v>
      </c>
      <c r="DA3">
        <v>456.10000000119999</v>
      </c>
      <c r="DB3">
        <v>456.40000000089998</v>
      </c>
      <c r="DC3">
        <v>455.7000000004</v>
      </c>
      <c r="DD3">
        <v>456.60000000129997</v>
      </c>
      <c r="DE3">
        <v>456.20000000049998</v>
      </c>
      <c r="DF3">
        <v>455.5</v>
      </c>
      <c r="DG3">
        <v>456.40000000089998</v>
      </c>
      <c r="DH3">
        <v>0.79999999980000003</v>
      </c>
      <c r="DI3">
        <v>1.400000001</v>
      </c>
      <c r="DJ3">
        <v>1.5000000003</v>
      </c>
      <c r="DK3">
        <v>1.5000000003</v>
      </c>
      <c r="DL3">
        <v>1.400000001</v>
      </c>
      <c r="DM3">
        <v>1.5000000003</v>
      </c>
      <c r="DN3">
        <v>1.6000000014</v>
      </c>
      <c r="DO3">
        <v>1.400000001</v>
      </c>
      <c r="DP3">
        <v>1.8</v>
      </c>
      <c r="DQ3">
        <v>1.5000000003</v>
      </c>
      <c r="DR3">
        <v>1.8</v>
      </c>
      <c r="DS3">
        <v>1.6000000014</v>
      </c>
      <c r="DT3">
        <v>1.9000000011</v>
      </c>
      <c r="DU3">
        <v>1.7000000007</v>
      </c>
      <c r="DV3">
        <v>2.0000000004</v>
      </c>
      <c r="DW3">
        <v>1.8</v>
      </c>
      <c r="DX3">
        <v>2.0000000004</v>
      </c>
      <c r="DY3">
        <v>2.3000000000999998</v>
      </c>
      <c r="DZ3">
        <v>6.9000000003000004</v>
      </c>
      <c r="EA3">
        <v>14.300000000700001</v>
      </c>
      <c r="EB3">
        <v>21.700000001100001</v>
      </c>
      <c r="EC3">
        <v>28.200000000700001</v>
      </c>
      <c r="ED3">
        <v>36.100000001200002</v>
      </c>
      <c r="EE3">
        <v>43.999999999899998</v>
      </c>
      <c r="EF3">
        <v>51.400000000299997</v>
      </c>
      <c r="EG3">
        <v>59.100000000400001</v>
      </c>
      <c r="EH3">
        <v>67.399999999900004</v>
      </c>
      <c r="EI3">
        <v>75.200000001099994</v>
      </c>
      <c r="EJ3">
        <v>83.099999999800005</v>
      </c>
      <c r="EK3">
        <v>91.600000001599994</v>
      </c>
      <c r="EL3">
        <v>100.2000000008</v>
      </c>
      <c r="EM3">
        <v>108.1000000013</v>
      </c>
      <c r="EN3">
        <v>117.8</v>
      </c>
      <c r="EO3">
        <v>127.00000000039999</v>
      </c>
      <c r="EP3">
        <v>135.2000000006</v>
      </c>
      <c r="EQ3">
        <v>144.400000001</v>
      </c>
      <c r="ER3">
        <v>153.0000000002</v>
      </c>
      <c r="ES3">
        <v>161.10000000119999</v>
      </c>
      <c r="ET3">
        <v>169.90000000079999</v>
      </c>
      <c r="EU3">
        <v>178.8000000015</v>
      </c>
      <c r="EV3">
        <v>186.99999999990001</v>
      </c>
      <c r="EW3">
        <v>195.4000000005</v>
      </c>
      <c r="EX3">
        <v>204.70000000019999</v>
      </c>
      <c r="EY3">
        <v>212.90000000040001</v>
      </c>
      <c r="EZ3">
        <v>221.0000000014</v>
      </c>
      <c r="FA3">
        <v>229.60000000060001</v>
      </c>
      <c r="FB3">
        <v>237.6000000004</v>
      </c>
      <c r="FC3">
        <v>245.5000000009</v>
      </c>
      <c r="FD3">
        <v>254.30000000050001</v>
      </c>
      <c r="FE3">
        <v>262.50000000070003</v>
      </c>
      <c r="FF3">
        <v>270.00000000040001</v>
      </c>
      <c r="FG3">
        <v>278.40000000110001</v>
      </c>
      <c r="FH3">
        <v>286.50000000019998</v>
      </c>
      <c r="FI3">
        <v>293.60000000090002</v>
      </c>
      <c r="FJ3">
        <v>301.60000000069999</v>
      </c>
      <c r="FK3">
        <v>309.30000000080003</v>
      </c>
      <c r="FL3">
        <v>316.60000000010001</v>
      </c>
      <c r="FM3">
        <v>323.60000000150001</v>
      </c>
      <c r="FN3">
        <v>330.8000000015</v>
      </c>
      <c r="FO3">
        <v>338.20000000009998</v>
      </c>
      <c r="FP3">
        <v>344.80000000080003</v>
      </c>
      <c r="FQ3">
        <v>351.6</v>
      </c>
      <c r="FR3">
        <v>358.8</v>
      </c>
      <c r="FS3">
        <v>365.70000000030001</v>
      </c>
      <c r="FT3">
        <v>371.60000000039997</v>
      </c>
      <c r="FU3">
        <v>377.50000000049999</v>
      </c>
      <c r="FV3">
        <v>384.50000000009999</v>
      </c>
      <c r="FW3">
        <v>390.6999999999</v>
      </c>
      <c r="FX3">
        <v>396.30000000029997</v>
      </c>
      <c r="FY3">
        <v>401.8000000015</v>
      </c>
      <c r="FZ3">
        <v>407.00000000109998</v>
      </c>
      <c r="GA3">
        <v>414.30000000040002</v>
      </c>
      <c r="GB3">
        <v>419.6000000011</v>
      </c>
      <c r="GC3">
        <v>424.60000000029999</v>
      </c>
      <c r="GD3">
        <v>429.79999999990002</v>
      </c>
      <c r="GE3">
        <v>435.00000000130001</v>
      </c>
      <c r="GF3">
        <v>440.40000000129999</v>
      </c>
      <c r="GG3">
        <v>444.7</v>
      </c>
      <c r="GH3">
        <v>448.40000000110001</v>
      </c>
      <c r="GI3">
        <v>452.20000000149997</v>
      </c>
      <c r="GJ3">
        <v>455.30000000140001</v>
      </c>
      <c r="GK3">
        <v>455.7000000004</v>
      </c>
      <c r="GL3">
        <v>456.00000000009999</v>
      </c>
      <c r="GM3">
        <v>455.6000000011</v>
      </c>
      <c r="GN3">
        <v>455.8000000015</v>
      </c>
      <c r="GO3">
        <v>455.90000000079999</v>
      </c>
      <c r="GP3">
        <v>455.90000000079999</v>
      </c>
      <c r="GQ3">
        <v>456.10000000119999</v>
      </c>
      <c r="GR3">
        <v>456.10000000119999</v>
      </c>
      <c r="GS3">
        <v>455.8000000015</v>
      </c>
      <c r="GT3">
        <v>456.40000000089998</v>
      </c>
      <c r="GU3">
        <v>456.20000000049998</v>
      </c>
      <c r="GV3">
        <v>455.6000000011</v>
      </c>
      <c r="GW3">
        <v>456.40000000089998</v>
      </c>
      <c r="GX3">
        <v>1</v>
      </c>
      <c r="GY3">
        <v>112.1999999996</v>
      </c>
      <c r="GZ3">
        <v>109.60000000159999</v>
      </c>
      <c r="HA3">
        <v>109.60000000159999</v>
      </c>
      <c r="HB3">
        <v>117.8</v>
      </c>
      <c r="HC3">
        <v>111.6423658281</v>
      </c>
      <c r="HD3">
        <v>-8.1999999983999992</v>
      </c>
      <c r="HE3">
        <v>456.40000000089998</v>
      </c>
      <c r="HF3">
        <v>301.61223439129998</v>
      </c>
      <c r="HG3">
        <v>96.276341731200006</v>
      </c>
      <c r="HH3">
        <v>456.60000000129997</v>
      </c>
      <c r="HI3">
        <v>456.40000000089998</v>
      </c>
      <c r="HJ3">
        <v>456.60000000129997</v>
      </c>
      <c r="HK3">
        <v>456.40000000089998</v>
      </c>
      <c r="HL3">
        <v>114.9560117302</v>
      </c>
      <c r="HM3">
        <v>3.4323634493999999</v>
      </c>
      <c r="HN3">
        <v>3.3085172431999998</v>
      </c>
      <c r="HO3">
        <v>3.3991180881999998</v>
      </c>
      <c r="HP3">
        <v>3.3140196843999998</v>
      </c>
      <c r="HQ3">
        <v>3.6629404825999998</v>
      </c>
      <c r="HR3">
        <v>2.2113177361999998</v>
      </c>
      <c r="HS3">
        <v>15.366024097</v>
      </c>
      <c r="HT3">
        <v>-28.152492668600001</v>
      </c>
      <c r="HU3">
        <v>-192</v>
      </c>
      <c r="HV3">
        <v>413.25460021949999</v>
      </c>
      <c r="HW3">
        <v>91.495601172999997</v>
      </c>
      <c r="HX3">
        <v>624</v>
      </c>
      <c r="HY3">
        <v>15.366024097</v>
      </c>
      <c r="HZ3">
        <v>-28.152492668600001</v>
      </c>
      <c r="IA3">
        <v>-192</v>
      </c>
      <c r="IB3">
        <v>413.25460021949999</v>
      </c>
      <c r="IC3">
        <v>91.495601172999997</v>
      </c>
      <c r="ID3">
        <v>624</v>
      </c>
      <c r="IE3">
        <v>43.145399781499997</v>
      </c>
      <c r="IF3">
        <v>0.803680175</v>
      </c>
      <c r="IG3">
        <v>-37.536656891500002</v>
      </c>
      <c r="IH3">
        <v>-256</v>
      </c>
      <c r="II3">
        <v>434.52709748209998</v>
      </c>
      <c r="IJ3">
        <v>100.87976539589999</v>
      </c>
      <c r="IK3">
        <v>688</v>
      </c>
      <c r="IL3">
        <v>397.88857612250001</v>
      </c>
      <c r="IM3">
        <v>119.6480938416</v>
      </c>
      <c r="IN3">
        <v>421.38158817060003</v>
      </c>
      <c r="IO3">
        <v>129.03225806450001</v>
      </c>
      <c r="IP3">
        <v>7.4000000004000004</v>
      </c>
      <c r="IQ3">
        <v>17.499999999900002</v>
      </c>
      <c r="IR3">
        <v>9.7999999998000007</v>
      </c>
      <c r="IS3">
        <v>6.4232463195999996</v>
      </c>
      <c r="IT3">
        <v>6.4232463195999996</v>
      </c>
      <c r="IU3">
        <v>6.6000000005999997</v>
      </c>
      <c r="IV3">
        <v>-30.4985337243</v>
      </c>
      <c r="IW3">
        <v>10.199999998799999</v>
      </c>
      <c r="IX3">
        <v>72.727272727300004</v>
      </c>
      <c r="IY3">
        <v>18.0999999993</v>
      </c>
      <c r="IZ3">
        <v>117.3020527859</v>
      </c>
      <c r="JA3">
        <v>-32.691849002700003</v>
      </c>
      <c r="JB3">
        <v>0.32181675279999999</v>
      </c>
      <c r="JC3">
        <v>-3.4280759999999997E-4</v>
      </c>
      <c r="JD3">
        <v>7.0660000000000004E-7</v>
      </c>
      <c r="JE3">
        <v>0.29134443789999998</v>
      </c>
      <c r="JF3">
        <v>0.40348250530000002</v>
      </c>
      <c r="JG3">
        <v>0.1506242028</v>
      </c>
      <c r="JH3">
        <v>112.466703843</v>
      </c>
      <c r="JI3">
        <v>3.6629404825999998</v>
      </c>
      <c r="JJ3">
        <v>2.8723376000000002E-3</v>
      </c>
      <c r="JK3">
        <v>-7.8729300000000005E-5</v>
      </c>
      <c r="JL3">
        <v>3.4323634493999999</v>
      </c>
      <c r="JM3">
        <v>1.9870592414999999</v>
      </c>
      <c r="JN3">
        <v>0.73059780669999996</v>
      </c>
      <c r="JO3">
        <v>3.1542500001999998</v>
      </c>
      <c r="JP3">
        <v>7.4593749999999996</v>
      </c>
      <c r="JQ3">
        <v>4.1772499998999999</v>
      </c>
      <c r="JR3" s="17" t="s">
        <v>552</v>
      </c>
      <c r="JU3" s="17">
        <v>1</v>
      </c>
    </row>
    <row r="4" spans="1:281">
      <c r="A4" t="s">
        <v>644</v>
      </c>
      <c r="B4" t="s">
        <v>645</v>
      </c>
      <c r="C4" t="s">
        <v>646</v>
      </c>
      <c r="D4" t="s">
        <v>213</v>
      </c>
      <c r="E4">
        <v>3</v>
      </c>
      <c r="F4" t="s">
        <v>214</v>
      </c>
      <c r="G4" t="s">
        <v>215</v>
      </c>
      <c r="H4" t="s">
        <v>551</v>
      </c>
      <c r="I4" t="s">
        <v>217</v>
      </c>
      <c r="K4" t="s">
        <v>559</v>
      </c>
      <c r="L4" t="s">
        <v>560</v>
      </c>
      <c r="M4" t="s">
        <v>561</v>
      </c>
      <c r="N4" t="s">
        <v>562</v>
      </c>
      <c r="O4" t="s">
        <v>563</v>
      </c>
      <c r="P4">
        <v>0</v>
      </c>
      <c r="Q4">
        <v>0</v>
      </c>
      <c r="R4">
        <v>1.3999999992000001</v>
      </c>
      <c r="S4">
        <v>0.29999999970000002</v>
      </c>
      <c r="T4">
        <v>0.20000000039999999</v>
      </c>
      <c r="U4">
        <v>0.20000000039999999</v>
      </c>
      <c r="V4">
        <v>0.29999999970000002</v>
      </c>
      <c r="W4">
        <v>0.20000000039999999</v>
      </c>
      <c r="X4">
        <v>0.20000000039999999</v>
      </c>
      <c r="Y4">
        <v>0.20000000039999999</v>
      </c>
      <c r="Z4">
        <v>0.29999999970000002</v>
      </c>
      <c r="AA4">
        <v>0.20000000039999999</v>
      </c>
      <c r="AB4">
        <v>0.20000000039999999</v>
      </c>
      <c r="AC4">
        <v>9.9999999300000003E-2</v>
      </c>
      <c r="AD4">
        <v>0.20000000039999999</v>
      </c>
      <c r="AE4">
        <v>9.9999999300000003E-2</v>
      </c>
      <c r="AF4">
        <v>0</v>
      </c>
      <c r="AG4">
        <v>9.9999999300000003E-2</v>
      </c>
      <c r="AH4">
        <v>9.9999999300000003E-2</v>
      </c>
      <c r="AI4">
        <v>3.4999999988999999</v>
      </c>
      <c r="AJ4">
        <v>9.0999999992999996</v>
      </c>
      <c r="AK4">
        <v>15.799999999200001</v>
      </c>
      <c r="AL4">
        <v>22.799999998800001</v>
      </c>
      <c r="AM4">
        <v>29.699999999100001</v>
      </c>
      <c r="AN4">
        <v>37.299999999999997</v>
      </c>
      <c r="AO4">
        <v>44.899999999000002</v>
      </c>
      <c r="AP4">
        <v>52.499999999800004</v>
      </c>
      <c r="AQ4">
        <v>60.299999999199997</v>
      </c>
      <c r="AR4">
        <v>67.999999999300002</v>
      </c>
      <c r="AS4">
        <v>75.899999999800002</v>
      </c>
      <c r="AT4">
        <v>83.899999999599999</v>
      </c>
      <c r="AU4">
        <v>91.699999998999999</v>
      </c>
      <c r="AV4">
        <v>100.00000000039999</v>
      </c>
      <c r="AW4">
        <v>108.5999999996</v>
      </c>
      <c r="AX4">
        <v>117.2999999999</v>
      </c>
      <c r="AY4">
        <v>126.2999999999</v>
      </c>
      <c r="AZ4">
        <v>134.69999999870001</v>
      </c>
      <c r="BA4">
        <v>143.0999999993</v>
      </c>
      <c r="BB4">
        <v>151.20000000019999</v>
      </c>
      <c r="BC4">
        <v>159.99999999990001</v>
      </c>
      <c r="BD4">
        <v>168.2000000001</v>
      </c>
      <c r="BE4">
        <v>176.79999999930001</v>
      </c>
      <c r="BF4">
        <v>184.99999999950001</v>
      </c>
      <c r="BG4">
        <v>193.40000000009999</v>
      </c>
      <c r="BH4">
        <v>201.79999999890001</v>
      </c>
      <c r="BI4">
        <v>210.29999999879999</v>
      </c>
      <c r="BJ4">
        <v>218.49999999900001</v>
      </c>
      <c r="BK4">
        <v>226.80000000039999</v>
      </c>
      <c r="BL4">
        <v>234.59999999979999</v>
      </c>
      <c r="BM4">
        <v>242.89999999930001</v>
      </c>
      <c r="BN4">
        <v>250.8999999991</v>
      </c>
      <c r="BO4">
        <v>258.8999999989</v>
      </c>
      <c r="BP4">
        <v>267.09999999910002</v>
      </c>
      <c r="BQ4">
        <v>274.9000000003</v>
      </c>
      <c r="BR4">
        <v>282.59999999860003</v>
      </c>
      <c r="BS4">
        <v>290.19999999949999</v>
      </c>
      <c r="BT4">
        <v>297.69999999919997</v>
      </c>
      <c r="BU4">
        <v>305.3</v>
      </c>
      <c r="BV4">
        <v>312.5999999993</v>
      </c>
      <c r="BW4">
        <v>320.09999999899998</v>
      </c>
      <c r="BX4">
        <v>327.10000000039997</v>
      </c>
      <c r="BY4">
        <v>334.1</v>
      </c>
      <c r="BZ4">
        <v>340.59999999950003</v>
      </c>
      <c r="CA4">
        <v>347.59999999910002</v>
      </c>
      <c r="CB4">
        <v>354.49999999950001</v>
      </c>
      <c r="CC4">
        <v>360.99999999900001</v>
      </c>
      <c r="CD4">
        <v>367.8</v>
      </c>
      <c r="CE4">
        <v>374.39999999880001</v>
      </c>
      <c r="CF4">
        <v>380.4</v>
      </c>
      <c r="CG4">
        <v>386.80000000019999</v>
      </c>
      <c r="CH4">
        <v>392.70000000030001</v>
      </c>
      <c r="CI4">
        <v>398.69999999970003</v>
      </c>
      <c r="CJ4">
        <v>404.69999999909999</v>
      </c>
      <c r="CK4">
        <v>410.7000000004</v>
      </c>
      <c r="CL4">
        <v>416.40000000010002</v>
      </c>
      <c r="CM4">
        <v>422.09999999979999</v>
      </c>
      <c r="CN4">
        <v>427.89999999880001</v>
      </c>
      <c r="CO4">
        <v>433.29999999879999</v>
      </c>
      <c r="CP4">
        <v>438.69999999880002</v>
      </c>
      <c r="CQ4">
        <v>443.69999999980001</v>
      </c>
      <c r="CR4">
        <v>449.09999999979999</v>
      </c>
      <c r="CS4">
        <v>454.09999999899998</v>
      </c>
      <c r="CT4">
        <v>457.4999999986</v>
      </c>
      <c r="CU4">
        <v>457.5999999997</v>
      </c>
      <c r="CV4">
        <v>457.8000000001</v>
      </c>
      <c r="CW4">
        <v>457.5999999997</v>
      </c>
      <c r="CX4">
        <v>457.5999999997</v>
      </c>
      <c r="CY4">
        <v>457.5999999997</v>
      </c>
      <c r="CZ4">
        <v>457.8000000001</v>
      </c>
      <c r="DA4">
        <v>457.5999999997</v>
      </c>
      <c r="DB4">
        <v>457.699999999</v>
      </c>
      <c r="DC4">
        <v>457.699999999</v>
      </c>
      <c r="DD4">
        <v>457.699999999</v>
      </c>
      <c r="DE4">
        <v>457.699999999</v>
      </c>
      <c r="DF4">
        <v>457.89999999939999</v>
      </c>
      <c r="DG4">
        <v>457.8000000001</v>
      </c>
      <c r="DH4">
        <v>2.5999999998000001</v>
      </c>
      <c r="DI4">
        <v>1.5000000003</v>
      </c>
      <c r="DJ4">
        <v>1.5000000003</v>
      </c>
      <c r="DK4">
        <v>1.5999999996000001</v>
      </c>
      <c r="DL4">
        <v>1.5000000003</v>
      </c>
      <c r="DM4">
        <v>1.3999999992000001</v>
      </c>
      <c r="DN4">
        <v>1.3999999992000001</v>
      </c>
      <c r="DO4">
        <v>1.3999999992000001</v>
      </c>
      <c r="DP4">
        <v>1.2999999999</v>
      </c>
      <c r="DQ4">
        <v>1.3999999992000001</v>
      </c>
      <c r="DR4">
        <v>1.0999999995</v>
      </c>
      <c r="DS4">
        <v>1.2999999999</v>
      </c>
      <c r="DT4">
        <v>1.2999999999</v>
      </c>
      <c r="DU4">
        <v>1.1999999988000001</v>
      </c>
      <c r="DV4">
        <v>1.2999999999</v>
      </c>
      <c r="DW4">
        <v>1.0999999995</v>
      </c>
      <c r="DX4">
        <v>2.8000000001999998</v>
      </c>
      <c r="DY4">
        <v>7.0999999989000004</v>
      </c>
      <c r="DZ4">
        <v>14.1000000003</v>
      </c>
      <c r="EA4">
        <v>21.0999999999</v>
      </c>
      <c r="EB4">
        <v>28.399999999199999</v>
      </c>
      <c r="EC4">
        <v>35.799999999699999</v>
      </c>
      <c r="ED4">
        <v>43.299999999400001</v>
      </c>
      <c r="EE4">
        <v>50.900000000200002</v>
      </c>
      <c r="EF4">
        <v>58.699999999600003</v>
      </c>
      <c r="EG4">
        <v>66.199999999300005</v>
      </c>
      <c r="EH4">
        <v>73.800000000099999</v>
      </c>
      <c r="EI4">
        <v>81.899999999200006</v>
      </c>
      <c r="EJ4">
        <v>90.000000000100002</v>
      </c>
      <c r="EK4">
        <v>97.899999998799998</v>
      </c>
      <c r="EL4">
        <v>106.3999999988</v>
      </c>
      <c r="EM4">
        <v>114.4000000004</v>
      </c>
      <c r="EN4">
        <v>123.4000000004</v>
      </c>
      <c r="EO4">
        <v>132.29999999930001</v>
      </c>
      <c r="EP4">
        <v>140.7999999992</v>
      </c>
      <c r="EQ4">
        <v>149.40000000020001</v>
      </c>
      <c r="ER4">
        <v>157.90000000020001</v>
      </c>
      <c r="ES4">
        <v>166.40000000009999</v>
      </c>
      <c r="ET4">
        <v>174.9999999993</v>
      </c>
      <c r="EU4">
        <v>183.1000000002</v>
      </c>
      <c r="EV4">
        <v>191.49999999900001</v>
      </c>
      <c r="EW4">
        <v>200.19999999929999</v>
      </c>
      <c r="EX4">
        <v>208.6999999992</v>
      </c>
      <c r="EY4">
        <v>217.3000000003</v>
      </c>
      <c r="EZ4">
        <v>225.3000000001</v>
      </c>
      <c r="FA4">
        <v>233.50000000029999</v>
      </c>
      <c r="FB4">
        <v>241.69999999870001</v>
      </c>
      <c r="FC4">
        <v>250</v>
      </c>
      <c r="FD4">
        <v>257.89999999870003</v>
      </c>
      <c r="FE4">
        <v>266.29999999929998</v>
      </c>
      <c r="FF4">
        <v>274.09999999870001</v>
      </c>
      <c r="FG4">
        <v>281.99999999919999</v>
      </c>
      <c r="FH4">
        <v>289.49999999900001</v>
      </c>
      <c r="FI4">
        <v>297.19999999909999</v>
      </c>
      <c r="FJ4">
        <v>305.09999999960002</v>
      </c>
      <c r="FK4">
        <v>312.5</v>
      </c>
      <c r="FL4">
        <v>320.09999999899998</v>
      </c>
      <c r="FM4">
        <v>327.19999999970003</v>
      </c>
      <c r="FN4">
        <v>334.39999999970001</v>
      </c>
      <c r="FO4">
        <v>341.3</v>
      </c>
      <c r="FP4">
        <v>348.29999999969999</v>
      </c>
      <c r="FQ4">
        <v>355.49999999969998</v>
      </c>
      <c r="FR4">
        <v>362.19999999959998</v>
      </c>
      <c r="FS4">
        <v>369.30000000029997</v>
      </c>
      <c r="FT4">
        <v>375.59999999939998</v>
      </c>
      <c r="FU4">
        <v>382.09999999889999</v>
      </c>
      <c r="FV4">
        <v>388.19999999940001</v>
      </c>
      <c r="FW4">
        <v>393.89999999909998</v>
      </c>
      <c r="FX4">
        <v>400.29999999929998</v>
      </c>
      <c r="FY4">
        <v>406.3999999998</v>
      </c>
      <c r="FZ4">
        <v>412.09999999960002</v>
      </c>
      <c r="GA4">
        <v>418.09999999899998</v>
      </c>
      <c r="GB4">
        <v>423.7999999987</v>
      </c>
      <c r="GC4">
        <v>429.00000000009999</v>
      </c>
      <c r="GD4">
        <v>434.69999999980001</v>
      </c>
      <c r="GE4">
        <v>439.99999999869999</v>
      </c>
      <c r="GF4">
        <v>444.79999999929998</v>
      </c>
      <c r="GG4">
        <v>449.99999999890002</v>
      </c>
      <c r="GH4">
        <v>454.49999999980002</v>
      </c>
      <c r="GI4">
        <v>457.3</v>
      </c>
      <c r="GJ4">
        <v>457.4999999986</v>
      </c>
      <c r="GK4">
        <v>457.3</v>
      </c>
      <c r="GL4">
        <v>457.39999999930001</v>
      </c>
      <c r="GM4">
        <v>457.39999999930001</v>
      </c>
      <c r="GN4">
        <v>457.4999999986</v>
      </c>
      <c r="GO4">
        <v>457.39999999930001</v>
      </c>
      <c r="GP4">
        <v>457.5999999997</v>
      </c>
      <c r="GQ4">
        <v>457.5999999997</v>
      </c>
      <c r="GR4">
        <v>457.5999999997</v>
      </c>
      <c r="GS4">
        <v>457.699999999</v>
      </c>
      <c r="GT4">
        <v>457.699999999</v>
      </c>
      <c r="GU4">
        <v>457.699999999</v>
      </c>
      <c r="GV4">
        <v>457.89999999939999</v>
      </c>
      <c r="GW4">
        <v>457.8000000001</v>
      </c>
      <c r="GX4">
        <v>1</v>
      </c>
      <c r="GY4">
        <v>117.9000000011</v>
      </c>
      <c r="GZ4">
        <v>117.2999999999</v>
      </c>
      <c r="HA4">
        <v>117.2999999999</v>
      </c>
      <c r="HB4">
        <v>123.4000000004</v>
      </c>
      <c r="HC4">
        <v>118.903264905</v>
      </c>
      <c r="HD4">
        <v>-6.1000000004999997</v>
      </c>
      <c r="HE4">
        <v>457.8000000001</v>
      </c>
      <c r="HF4">
        <v>304.28585935669997</v>
      </c>
      <c r="HG4">
        <v>102.88971391210001</v>
      </c>
      <c r="HH4">
        <v>457.89999999939999</v>
      </c>
      <c r="HI4">
        <v>457.89999999939999</v>
      </c>
      <c r="HJ4">
        <v>457.89999999939999</v>
      </c>
      <c r="HK4">
        <v>457.89999999939999</v>
      </c>
      <c r="HL4">
        <v>110.26392961880001</v>
      </c>
      <c r="HM4">
        <v>3.3811160659000001</v>
      </c>
      <c r="HN4">
        <v>3.3092899802</v>
      </c>
      <c r="HO4">
        <v>3.3552460188</v>
      </c>
      <c r="HP4">
        <v>3.2155938202000001</v>
      </c>
      <c r="HQ4">
        <v>3.5926719762000001</v>
      </c>
      <c r="HR4">
        <v>2.2130516473999999</v>
      </c>
      <c r="HS4">
        <v>16.013550992900001</v>
      </c>
      <c r="HT4">
        <v>-30.4985337243</v>
      </c>
      <c r="HU4">
        <v>-208</v>
      </c>
      <c r="HV4">
        <v>423.18912426169999</v>
      </c>
      <c r="HW4">
        <v>93.841642228699996</v>
      </c>
      <c r="HX4">
        <v>640</v>
      </c>
      <c r="HY4">
        <v>16.013550992900001</v>
      </c>
      <c r="HZ4">
        <v>-30.4985337243</v>
      </c>
      <c r="IA4">
        <v>-208</v>
      </c>
      <c r="IB4">
        <v>423.18912426169999</v>
      </c>
      <c r="IC4">
        <v>93.841642228699996</v>
      </c>
      <c r="ID4">
        <v>640</v>
      </c>
      <c r="IE4">
        <v>34.7108757377</v>
      </c>
      <c r="IF4">
        <v>0.1013103291</v>
      </c>
      <c r="IG4">
        <v>-39.8826979472</v>
      </c>
      <c r="IH4">
        <v>-272</v>
      </c>
      <c r="II4">
        <v>444.58485477110003</v>
      </c>
      <c r="IJ4">
        <v>103.22580645159999</v>
      </c>
      <c r="IK4">
        <v>704</v>
      </c>
      <c r="IL4">
        <v>407.17557326880001</v>
      </c>
      <c r="IM4">
        <v>124.3401759531</v>
      </c>
      <c r="IN4">
        <v>430.76331076740001</v>
      </c>
      <c r="IO4">
        <v>133.724340176</v>
      </c>
      <c r="IP4">
        <v>7.0000000014000001</v>
      </c>
      <c r="IQ4">
        <v>5.6999999997000002</v>
      </c>
      <c r="IR4">
        <v>9</v>
      </c>
      <c r="IS4">
        <v>6.4343423280999996</v>
      </c>
      <c r="IT4">
        <v>6.4343423280999996</v>
      </c>
      <c r="IU4">
        <v>5.0000000010000001</v>
      </c>
      <c r="IV4">
        <v>-32.844574780099997</v>
      </c>
      <c r="IW4">
        <v>8.3000000013000008</v>
      </c>
      <c r="IX4">
        <v>72.727272727300004</v>
      </c>
      <c r="IY4">
        <v>6.8000000009999999</v>
      </c>
      <c r="IZ4">
        <v>98.533724340199996</v>
      </c>
      <c r="JA4">
        <v>-35.514577226999997</v>
      </c>
      <c r="JB4">
        <v>0.33031609839999998</v>
      </c>
      <c r="JC4">
        <v>-3.4565639999999999E-4</v>
      </c>
      <c r="JD4">
        <v>6.7830000000000003E-7</v>
      </c>
      <c r="JE4">
        <v>0.29576032899999999</v>
      </c>
      <c r="JF4">
        <v>0.20570220010000001</v>
      </c>
      <c r="JG4">
        <v>9.4898266800000006E-2</v>
      </c>
      <c r="JH4">
        <v>119.4268518999</v>
      </c>
      <c r="JI4">
        <v>3.5926719762000001</v>
      </c>
      <c r="JJ4">
        <v>2.8625657999999999E-3</v>
      </c>
      <c r="JK4">
        <v>-7.2557400000000004E-5</v>
      </c>
      <c r="JL4">
        <v>3.3811160659000001</v>
      </c>
      <c r="JM4">
        <v>1.4369342944000001</v>
      </c>
      <c r="JN4">
        <v>0.59879107600000003</v>
      </c>
      <c r="JO4">
        <v>2.9837500006000002</v>
      </c>
      <c r="JP4">
        <v>2.4296249999000001</v>
      </c>
      <c r="JQ4">
        <v>3.8362500000000002</v>
      </c>
      <c r="JR4" s="17" t="s">
        <v>552</v>
      </c>
      <c r="JU4" s="17">
        <v>1</v>
      </c>
    </row>
    <row r="5" spans="1:281">
      <c r="A5" t="s">
        <v>647</v>
      </c>
      <c r="B5" t="s">
        <v>648</v>
      </c>
      <c r="C5" t="s">
        <v>649</v>
      </c>
      <c r="D5" t="s">
        <v>213</v>
      </c>
      <c r="E5">
        <v>3</v>
      </c>
      <c r="F5" t="s">
        <v>214</v>
      </c>
      <c r="G5" t="s">
        <v>215</v>
      </c>
      <c r="H5" t="s">
        <v>551</v>
      </c>
      <c r="I5" t="s">
        <v>217</v>
      </c>
      <c r="K5" t="s">
        <v>567</v>
      </c>
      <c r="L5" t="s">
        <v>568</v>
      </c>
      <c r="M5" t="s">
        <v>569</v>
      </c>
      <c r="N5" t="s">
        <v>570</v>
      </c>
      <c r="O5" t="s">
        <v>571</v>
      </c>
      <c r="P5">
        <v>0</v>
      </c>
      <c r="Q5">
        <v>0</v>
      </c>
      <c r="R5">
        <v>1.0000000002</v>
      </c>
      <c r="S5">
        <v>0.1000000011</v>
      </c>
      <c r="T5">
        <v>0.1000000011</v>
      </c>
      <c r="U5">
        <v>0</v>
      </c>
      <c r="V5">
        <v>0</v>
      </c>
      <c r="W5">
        <v>0</v>
      </c>
      <c r="X5">
        <v>0</v>
      </c>
      <c r="Y5">
        <v>0.1000000011</v>
      </c>
      <c r="Z5">
        <v>0.1000000011</v>
      </c>
      <c r="AA5">
        <v>0.1000000011</v>
      </c>
      <c r="AB5">
        <v>0.1000000011</v>
      </c>
      <c r="AC5">
        <v>0.20000000039999999</v>
      </c>
      <c r="AD5">
        <v>0.20000000039999999</v>
      </c>
      <c r="AE5">
        <v>0.1000000011</v>
      </c>
      <c r="AF5">
        <v>0.20000000039999999</v>
      </c>
      <c r="AG5">
        <v>0.20000000039999999</v>
      </c>
      <c r="AH5">
        <v>0.29999999970000002</v>
      </c>
      <c r="AI5">
        <v>1.0000000002</v>
      </c>
      <c r="AJ5">
        <v>4.1000000000999997</v>
      </c>
      <c r="AK5">
        <v>11.0999999997</v>
      </c>
      <c r="AL5">
        <v>17.300000001299999</v>
      </c>
      <c r="AM5">
        <v>24.199999999799999</v>
      </c>
      <c r="AN5">
        <v>31.9</v>
      </c>
      <c r="AO5">
        <v>39.3999999997</v>
      </c>
      <c r="AP5">
        <v>47.099999999799998</v>
      </c>
      <c r="AQ5">
        <v>54.600000001300003</v>
      </c>
      <c r="AR5">
        <v>63.000000000100002</v>
      </c>
      <c r="AS5">
        <v>70.499999999799996</v>
      </c>
      <c r="AT5">
        <v>78.400000000299997</v>
      </c>
      <c r="AU5">
        <v>86.800000000899999</v>
      </c>
      <c r="AV5">
        <v>94.800000000799997</v>
      </c>
      <c r="AW5">
        <v>103.3000000007</v>
      </c>
      <c r="AX5">
        <v>111.6000000002</v>
      </c>
      <c r="AY5">
        <v>120.30000000050001</v>
      </c>
      <c r="AZ5">
        <v>128.09999999990001</v>
      </c>
      <c r="BA5">
        <v>136.80000000019999</v>
      </c>
      <c r="BB5">
        <v>145.2000000008</v>
      </c>
      <c r="BC5">
        <v>153.7000000008</v>
      </c>
      <c r="BD5">
        <v>161.900000001</v>
      </c>
      <c r="BE5">
        <v>171.10000000139999</v>
      </c>
      <c r="BF5">
        <v>178.7000000004</v>
      </c>
      <c r="BG5">
        <v>186.90000000059999</v>
      </c>
      <c r="BH5">
        <v>195.90000000059999</v>
      </c>
      <c r="BI5">
        <v>203.99999999970001</v>
      </c>
      <c r="BJ5">
        <v>212.1999999999</v>
      </c>
      <c r="BK5">
        <v>220.800000001</v>
      </c>
      <c r="BL5">
        <v>229.00000000119999</v>
      </c>
      <c r="BM5">
        <v>236.5000000009</v>
      </c>
      <c r="BN5">
        <v>244.5000000007</v>
      </c>
      <c r="BO5">
        <v>252.59999999979999</v>
      </c>
      <c r="BP5">
        <v>260.60000000140002</v>
      </c>
      <c r="BQ5">
        <v>268.29999999969999</v>
      </c>
      <c r="BR5">
        <v>276.40000000060002</v>
      </c>
      <c r="BS5">
        <v>283.7</v>
      </c>
      <c r="BT5">
        <v>290.89999999999998</v>
      </c>
      <c r="BU5">
        <v>298.80000000050001</v>
      </c>
      <c r="BV5">
        <v>305.9000000012</v>
      </c>
      <c r="BW5">
        <v>313.40000000089998</v>
      </c>
      <c r="BX5">
        <v>320.70000000020002</v>
      </c>
      <c r="BY5">
        <v>327.80000000090001</v>
      </c>
      <c r="BZ5">
        <v>334.80000000050001</v>
      </c>
      <c r="CA5">
        <v>340.90000000110001</v>
      </c>
      <c r="CB5">
        <v>347.70000000030001</v>
      </c>
      <c r="CC5">
        <v>354.6999999999</v>
      </c>
      <c r="CD5">
        <v>360.80000000040002</v>
      </c>
      <c r="CE5">
        <v>367.10000000129997</v>
      </c>
      <c r="CF5">
        <v>373.60000000079998</v>
      </c>
      <c r="CG5">
        <v>379.89999999989999</v>
      </c>
      <c r="CH5">
        <v>386.3000000001</v>
      </c>
      <c r="CI5">
        <v>391.60000000079998</v>
      </c>
      <c r="CJ5">
        <v>397.6000000002</v>
      </c>
      <c r="CK5">
        <v>403.50000000030002</v>
      </c>
      <c r="CL5">
        <v>409.40000000049997</v>
      </c>
      <c r="CM5">
        <v>414.60000000010001</v>
      </c>
      <c r="CN5">
        <v>420.29999999979998</v>
      </c>
      <c r="CO5">
        <v>425.80000000090001</v>
      </c>
      <c r="CP5">
        <v>431.30000000019999</v>
      </c>
      <c r="CQ5">
        <v>436.99999999990001</v>
      </c>
      <c r="CR5">
        <v>441.70000000120001</v>
      </c>
      <c r="CS5">
        <v>446.7000000004</v>
      </c>
      <c r="CT5">
        <v>450.39999999970001</v>
      </c>
      <c r="CU5">
        <v>454.10000000079998</v>
      </c>
      <c r="CV5">
        <v>458.40000000129999</v>
      </c>
      <c r="CW5">
        <v>459.20000000110002</v>
      </c>
      <c r="CX5">
        <v>459.30000000040002</v>
      </c>
      <c r="CY5">
        <v>459.39999999970001</v>
      </c>
      <c r="CZ5">
        <v>459.20000000110002</v>
      </c>
      <c r="DA5">
        <v>459.30000000040002</v>
      </c>
      <c r="DB5">
        <v>459.20000000110002</v>
      </c>
      <c r="DC5">
        <v>459.20000000110002</v>
      </c>
      <c r="DD5">
        <v>459.20000000110002</v>
      </c>
      <c r="DE5">
        <v>459.20000000110002</v>
      </c>
      <c r="DF5">
        <v>459.30000000040002</v>
      </c>
      <c r="DG5">
        <v>459.30000000040002</v>
      </c>
      <c r="DH5">
        <v>1.6000000014</v>
      </c>
      <c r="DI5">
        <v>1.2999999999</v>
      </c>
      <c r="DJ5">
        <v>1.2000000006</v>
      </c>
      <c r="DK5">
        <v>1.2999999999</v>
      </c>
      <c r="DL5">
        <v>1.2999999999</v>
      </c>
      <c r="DM5">
        <v>1.2000000006</v>
      </c>
      <c r="DN5">
        <v>1.2999999999</v>
      </c>
      <c r="DO5">
        <v>1.400000001</v>
      </c>
      <c r="DP5">
        <v>1.2000000006</v>
      </c>
      <c r="DQ5">
        <v>1.2000000006</v>
      </c>
      <c r="DR5">
        <v>1.2999999999</v>
      </c>
      <c r="DS5">
        <v>1.2999999999</v>
      </c>
      <c r="DT5">
        <v>1.2999999999</v>
      </c>
      <c r="DU5">
        <v>1.2000000006</v>
      </c>
      <c r="DV5">
        <v>1.400000001</v>
      </c>
      <c r="DW5">
        <v>1.2999999999</v>
      </c>
      <c r="DX5">
        <v>1.400000001</v>
      </c>
      <c r="DY5">
        <v>4.2000000012000003</v>
      </c>
      <c r="DZ5">
        <v>10.299999999900001</v>
      </c>
      <c r="EA5">
        <v>16.800000001200001</v>
      </c>
      <c r="EB5">
        <v>23.9000000001</v>
      </c>
      <c r="EC5">
        <v>31.500000001</v>
      </c>
      <c r="ED5">
        <v>38.900000001400002</v>
      </c>
      <c r="EE5">
        <v>46.800000000099999</v>
      </c>
      <c r="EF5">
        <v>54.100000001200002</v>
      </c>
      <c r="EG5">
        <v>62.5</v>
      </c>
      <c r="EH5">
        <v>69.800000001100003</v>
      </c>
      <c r="EI5">
        <v>77.500000001199993</v>
      </c>
      <c r="EJ5">
        <v>86.000000001100005</v>
      </c>
      <c r="EK5">
        <v>93.899999999800002</v>
      </c>
      <c r="EL5">
        <v>102.30000000050001</v>
      </c>
      <c r="EM5">
        <v>110.70000000109999</v>
      </c>
      <c r="EN5">
        <v>119.3000000003</v>
      </c>
      <c r="EO5">
        <v>127.00000000039999</v>
      </c>
      <c r="EP5">
        <v>135.70000000069999</v>
      </c>
      <c r="EQ5">
        <v>144.2000000006</v>
      </c>
      <c r="ER5">
        <v>152.900000001</v>
      </c>
      <c r="ES5">
        <v>161.10000000119999</v>
      </c>
      <c r="ET5">
        <v>170.10000000119999</v>
      </c>
      <c r="EU5">
        <v>178.30000000140001</v>
      </c>
      <c r="EV5">
        <v>186.2000000001</v>
      </c>
      <c r="EW5">
        <v>195.2000000001</v>
      </c>
      <c r="EX5">
        <v>203.7</v>
      </c>
      <c r="EY5">
        <v>212.0000000014</v>
      </c>
      <c r="EZ5">
        <v>220.50000000130001</v>
      </c>
      <c r="FA5">
        <v>229.00000000119999</v>
      </c>
      <c r="FB5">
        <v>236.5000000009</v>
      </c>
      <c r="FC5">
        <v>244.89999999969999</v>
      </c>
      <c r="FD5">
        <v>253.00000000060001</v>
      </c>
      <c r="FE5">
        <v>261.0999999997</v>
      </c>
      <c r="FF5">
        <v>269.00000000019998</v>
      </c>
      <c r="FG5">
        <v>277.40000000089998</v>
      </c>
      <c r="FH5">
        <v>284.70000000020002</v>
      </c>
      <c r="FI5">
        <v>292.300000001</v>
      </c>
      <c r="FJ5">
        <v>299.89999999999998</v>
      </c>
      <c r="FK5">
        <v>307.39999999970001</v>
      </c>
      <c r="FL5">
        <v>314.8000000001</v>
      </c>
      <c r="FM5">
        <v>322.20000000049998</v>
      </c>
      <c r="FN5">
        <v>329.60000000090002</v>
      </c>
      <c r="FO5">
        <v>336.60000000050002</v>
      </c>
      <c r="FP5">
        <v>343.1</v>
      </c>
      <c r="FQ5">
        <v>350.00000000040001</v>
      </c>
      <c r="FR5">
        <v>357.1000000011</v>
      </c>
      <c r="FS5">
        <v>363.19999999980001</v>
      </c>
      <c r="FT5">
        <v>369.80000000040002</v>
      </c>
      <c r="FU5">
        <v>376.29999999990002</v>
      </c>
      <c r="FV5">
        <v>382.90000000049997</v>
      </c>
      <c r="FW5">
        <v>388.89999999989999</v>
      </c>
      <c r="FX5">
        <v>394.40000000100002</v>
      </c>
      <c r="FY5">
        <v>400.40000000039998</v>
      </c>
      <c r="FZ5">
        <v>406.50000000099999</v>
      </c>
      <c r="GA5">
        <v>412.20000000070002</v>
      </c>
      <c r="GB5">
        <v>417.4000000003</v>
      </c>
      <c r="GC5">
        <v>423.00000000070003</v>
      </c>
      <c r="GD5">
        <v>428.6000000011</v>
      </c>
      <c r="GE5">
        <v>434.19999999970003</v>
      </c>
      <c r="GF5">
        <v>439.40000000110001</v>
      </c>
      <c r="GG5">
        <v>443.69999999980001</v>
      </c>
      <c r="GH5">
        <v>447.90000000100002</v>
      </c>
      <c r="GI5">
        <v>451.0000000009</v>
      </c>
      <c r="GJ5">
        <v>454.10000000079998</v>
      </c>
      <c r="GK5">
        <v>457.9000000012</v>
      </c>
      <c r="GL5">
        <v>459.1</v>
      </c>
      <c r="GM5">
        <v>459.20000000110002</v>
      </c>
      <c r="GN5">
        <v>459.20000000110002</v>
      </c>
      <c r="GO5">
        <v>459.20000000110002</v>
      </c>
      <c r="GP5">
        <v>459.30000000040002</v>
      </c>
      <c r="GQ5">
        <v>459.20000000110002</v>
      </c>
      <c r="GR5">
        <v>459.30000000040002</v>
      </c>
      <c r="GS5">
        <v>459.20000000110002</v>
      </c>
      <c r="GT5">
        <v>459.30000000040002</v>
      </c>
      <c r="GU5">
        <v>459.30000000040002</v>
      </c>
      <c r="GV5">
        <v>459.30000000040002</v>
      </c>
      <c r="GW5">
        <v>459.30000000040002</v>
      </c>
      <c r="GX5">
        <v>1</v>
      </c>
      <c r="GY5">
        <v>113.5999999988</v>
      </c>
      <c r="GZ5">
        <v>111.6000000002</v>
      </c>
      <c r="HA5">
        <v>111.6000000002</v>
      </c>
      <c r="HB5">
        <v>119.3000000003</v>
      </c>
      <c r="HC5">
        <v>113.5354779014</v>
      </c>
      <c r="HD5">
        <v>-7.7000000001000002</v>
      </c>
      <c r="HE5">
        <v>459.30000000040002</v>
      </c>
      <c r="HF5">
        <v>303.06504463319999</v>
      </c>
      <c r="HG5">
        <v>95.939462223999996</v>
      </c>
      <c r="HH5">
        <v>459.39999999970001</v>
      </c>
      <c r="HI5">
        <v>459.30000000040002</v>
      </c>
      <c r="HJ5">
        <v>459.39999999970001</v>
      </c>
      <c r="HK5">
        <v>459.30000000040002</v>
      </c>
      <c r="HL5">
        <v>117.3020527859</v>
      </c>
      <c r="HM5">
        <v>3.3736134350000002</v>
      </c>
      <c r="HN5">
        <v>3.2772351190000002</v>
      </c>
      <c r="HO5">
        <v>3.3277931341999998</v>
      </c>
      <c r="HP5">
        <v>3.2609320529999999</v>
      </c>
      <c r="HQ5">
        <v>3.5928384373000002</v>
      </c>
      <c r="HR5">
        <v>2.1980413715</v>
      </c>
      <c r="HS5">
        <v>17.596015677299999</v>
      </c>
      <c r="HT5">
        <v>-28.152492668600001</v>
      </c>
      <c r="HU5">
        <v>-192</v>
      </c>
      <c r="HV5">
        <v>416.60052253459997</v>
      </c>
      <c r="HW5">
        <v>93.841642228699996</v>
      </c>
      <c r="HX5">
        <v>640</v>
      </c>
      <c r="HY5">
        <v>17.596015677299999</v>
      </c>
      <c r="HZ5">
        <v>-28.152492668600001</v>
      </c>
      <c r="IA5">
        <v>-192</v>
      </c>
      <c r="IB5">
        <v>416.60052253459997</v>
      </c>
      <c r="IC5">
        <v>93.841642228699996</v>
      </c>
      <c r="ID5">
        <v>640</v>
      </c>
      <c r="IE5">
        <v>42.699477465900003</v>
      </c>
      <c r="IF5">
        <v>0.30203570619999998</v>
      </c>
      <c r="IG5">
        <v>-37.536656891500002</v>
      </c>
      <c r="IH5">
        <v>-256</v>
      </c>
      <c r="II5">
        <v>438.9776290017</v>
      </c>
      <c r="IJ5">
        <v>103.22580645159999</v>
      </c>
      <c r="IK5">
        <v>704</v>
      </c>
      <c r="IL5">
        <v>399.00450685729999</v>
      </c>
      <c r="IM5">
        <v>121.9941348974</v>
      </c>
      <c r="IN5">
        <v>423.77303505420002</v>
      </c>
      <c r="IO5">
        <v>131.37829912020001</v>
      </c>
      <c r="IP5">
        <v>6.9999999996</v>
      </c>
      <c r="IQ5">
        <v>5.6999999997000002</v>
      </c>
      <c r="IR5">
        <v>9.2000000003999993</v>
      </c>
      <c r="IS5">
        <v>6.5561645452999997</v>
      </c>
      <c r="IT5">
        <v>6.5561645452999997</v>
      </c>
      <c r="IU5">
        <v>6.1999999998000002</v>
      </c>
      <c r="IV5">
        <v>-32.844574780099997</v>
      </c>
      <c r="IW5">
        <v>9.4000000008000004</v>
      </c>
      <c r="IX5">
        <v>70.381231671600005</v>
      </c>
      <c r="IY5">
        <v>8.3999999988000003</v>
      </c>
      <c r="IZ5">
        <v>100.87976539589999</v>
      </c>
      <c r="JA5">
        <v>-33.7882889483</v>
      </c>
      <c r="JB5">
        <v>0.32842459299999999</v>
      </c>
      <c r="JC5">
        <v>-3.4462510000000002E-4</v>
      </c>
      <c r="JD5">
        <v>6.9680000000000005E-7</v>
      </c>
      <c r="JE5">
        <v>0.29641807489999999</v>
      </c>
      <c r="JF5">
        <v>0.24046446790000001</v>
      </c>
      <c r="JG5">
        <v>7.9602781400000003E-2</v>
      </c>
      <c r="JH5">
        <v>113.86214293490001</v>
      </c>
      <c r="JI5">
        <v>3.5928384373000002</v>
      </c>
      <c r="JJ5">
        <v>2.8194613000000002E-3</v>
      </c>
      <c r="JK5">
        <v>-7.2825599999999996E-5</v>
      </c>
      <c r="JL5">
        <v>3.3736134350000002</v>
      </c>
      <c r="JM5">
        <v>1.0216997253</v>
      </c>
      <c r="JN5">
        <v>0.44475920930000001</v>
      </c>
      <c r="JO5">
        <v>2.9837499998000001</v>
      </c>
      <c r="JP5">
        <v>2.4296249999000001</v>
      </c>
      <c r="JQ5">
        <v>3.9215000002</v>
      </c>
      <c r="JR5" s="17" t="s">
        <v>552</v>
      </c>
      <c r="JU5" s="17">
        <v>1</v>
      </c>
    </row>
    <row r="6" spans="1:281">
      <c r="A6" t="s">
        <v>650</v>
      </c>
      <c r="B6" t="s">
        <v>651</v>
      </c>
      <c r="C6" t="s">
        <v>652</v>
      </c>
      <c r="D6" t="s">
        <v>213</v>
      </c>
      <c r="E6">
        <v>3</v>
      </c>
      <c r="F6" t="s">
        <v>214</v>
      </c>
      <c r="G6" t="s">
        <v>215</v>
      </c>
      <c r="H6" t="s">
        <v>551</v>
      </c>
      <c r="I6" t="s">
        <v>217</v>
      </c>
      <c r="K6" t="s">
        <v>575</v>
      </c>
      <c r="L6" t="s">
        <v>576</v>
      </c>
      <c r="M6" t="s">
        <v>577</v>
      </c>
      <c r="N6" t="s">
        <v>578</v>
      </c>
      <c r="O6" t="s">
        <v>579</v>
      </c>
      <c r="P6">
        <v>0</v>
      </c>
      <c r="Q6">
        <v>0</v>
      </c>
      <c r="R6">
        <v>0.50000000010000001</v>
      </c>
      <c r="S6">
        <v>0.20000000039999999</v>
      </c>
      <c r="T6">
        <v>0.20000000039999999</v>
      </c>
      <c r="U6">
        <v>0.3000000015</v>
      </c>
      <c r="V6">
        <v>0.20000000039999999</v>
      </c>
      <c r="W6">
        <v>0.1000000011</v>
      </c>
      <c r="X6">
        <v>0.1000000011</v>
      </c>
      <c r="Y6">
        <v>0.1000000011</v>
      </c>
      <c r="Z6">
        <v>0.20000000039999999</v>
      </c>
      <c r="AA6">
        <v>0</v>
      </c>
      <c r="AB6">
        <v>0.20000000039999999</v>
      </c>
      <c r="AC6">
        <v>0.20000000039999999</v>
      </c>
      <c r="AD6">
        <v>0.1000000011</v>
      </c>
      <c r="AE6">
        <v>0.1000000011</v>
      </c>
      <c r="AF6">
        <v>0</v>
      </c>
      <c r="AG6">
        <v>0.1000000011</v>
      </c>
      <c r="AH6">
        <v>0.1000000011</v>
      </c>
      <c r="AI6">
        <v>0</v>
      </c>
      <c r="AJ6">
        <v>2.6000000016000002</v>
      </c>
      <c r="AK6">
        <v>6.8000000009999999</v>
      </c>
      <c r="AL6">
        <v>13.800000000600001</v>
      </c>
      <c r="AM6">
        <v>20.400000001199999</v>
      </c>
      <c r="AN6">
        <v>27.300000001600001</v>
      </c>
      <c r="AO6">
        <v>34.800000001299999</v>
      </c>
      <c r="AP6">
        <v>42.500000001399997</v>
      </c>
      <c r="AQ6">
        <v>49.800000000700003</v>
      </c>
      <c r="AR6">
        <v>57.400000001499997</v>
      </c>
      <c r="AS6">
        <v>65.600000001699996</v>
      </c>
      <c r="AT6">
        <v>73.400000001099997</v>
      </c>
      <c r="AU6">
        <v>80.700000000399996</v>
      </c>
      <c r="AV6">
        <v>88.999999999899998</v>
      </c>
      <c r="AW6">
        <v>97.0000000016</v>
      </c>
      <c r="AX6">
        <v>105.5000000015</v>
      </c>
      <c r="AY6">
        <v>114.2</v>
      </c>
      <c r="AZ6">
        <v>122.9000000003</v>
      </c>
      <c r="BA6">
        <v>130.90000000009999</v>
      </c>
      <c r="BB6">
        <v>138.7000000013</v>
      </c>
      <c r="BC6">
        <v>147.20000000120001</v>
      </c>
      <c r="BD6">
        <v>155.6</v>
      </c>
      <c r="BE6">
        <v>163.50000000060001</v>
      </c>
      <c r="BF6">
        <v>171.9000000012</v>
      </c>
      <c r="BG6">
        <v>180.3</v>
      </c>
      <c r="BH6">
        <v>188.10000000119999</v>
      </c>
      <c r="BI6">
        <v>196.30000000140001</v>
      </c>
      <c r="BJ6">
        <v>204.4000000005</v>
      </c>
      <c r="BK6">
        <v>212.30000000109999</v>
      </c>
      <c r="BL6">
        <v>220.50000000130001</v>
      </c>
      <c r="BM6">
        <v>228.6000000004</v>
      </c>
      <c r="BN6">
        <v>236.20000000120001</v>
      </c>
      <c r="BO6">
        <v>243.90000000129999</v>
      </c>
      <c r="BP6">
        <v>252.00000000040001</v>
      </c>
      <c r="BQ6">
        <v>259.70000000049998</v>
      </c>
      <c r="BR6">
        <v>267.10000000090002</v>
      </c>
      <c r="BS6">
        <v>274.6999999999</v>
      </c>
      <c r="BT6">
        <v>282.20000000149997</v>
      </c>
      <c r="BU6">
        <v>289.60000000010001</v>
      </c>
      <c r="BV6">
        <v>296.60000000150001</v>
      </c>
      <c r="BW6">
        <v>304.00000000009999</v>
      </c>
      <c r="BX6">
        <v>311.10000000079998</v>
      </c>
      <c r="BY6">
        <v>318.00000000109998</v>
      </c>
      <c r="BZ6">
        <v>324.80000000029997</v>
      </c>
      <c r="CA6">
        <v>331.40000000089998</v>
      </c>
      <c r="CB6">
        <v>338.20000000009998</v>
      </c>
      <c r="CC6">
        <v>345.10000000050002</v>
      </c>
      <c r="CD6">
        <v>351.00000000059998</v>
      </c>
      <c r="CE6">
        <v>357.90000000089998</v>
      </c>
      <c r="CF6">
        <v>364.0000000014</v>
      </c>
      <c r="CG6">
        <v>370.30000000050001</v>
      </c>
      <c r="CH6">
        <v>376.50000000030002</v>
      </c>
      <c r="CI6">
        <v>382.40000000039998</v>
      </c>
      <c r="CJ6">
        <v>388.30000000050001</v>
      </c>
      <c r="CK6">
        <v>394.20000000060003</v>
      </c>
      <c r="CL6">
        <v>400.00000000149998</v>
      </c>
      <c r="CM6">
        <v>405.20000000110002</v>
      </c>
      <c r="CN6">
        <v>411.10000000119999</v>
      </c>
      <c r="CO6">
        <v>416.50000000120002</v>
      </c>
      <c r="CP6">
        <v>421.9000000012</v>
      </c>
      <c r="CQ6">
        <v>427.10000000079998</v>
      </c>
      <c r="CR6">
        <v>432.40000000150002</v>
      </c>
      <c r="CS6">
        <v>437.4000000007</v>
      </c>
      <c r="CT6">
        <v>442.50000000099999</v>
      </c>
      <c r="CU6">
        <v>447.50000000019998</v>
      </c>
      <c r="CV6">
        <v>451.80000000069998</v>
      </c>
      <c r="CW6">
        <v>453.10000000060001</v>
      </c>
      <c r="CX6">
        <v>453.10000000060001</v>
      </c>
      <c r="CY6">
        <v>452.90000000020001</v>
      </c>
      <c r="CZ6">
        <v>453.2000000017</v>
      </c>
      <c r="DA6">
        <v>453.00000000130001</v>
      </c>
      <c r="DB6">
        <v>453.2000000017</v>
      </c>
      <c r="DC6">
        <v>453.00000000130001</v>
      </c>
      <c r="DD6">
        <v>453.2000000017</v>
      </c>
      <c r="DE6">
        <v>453.2000000017</v>
      </c>
      <c r="DF6">
        <v>453.00000000130001</v>
      </c>
      <c r="DG6">
        <v>453.00000000130001</v>
      </c>
      <c r="DH6">
        <v>1.400000001</v>
      </c>
      <c r="DI6">
        <v>1.1000000013</v>
      </c>
      <c r="DJ6">
        <v>1.0000000002</v>
      </c>
      <c r="DK6">
        <v>1.0000000002</v>
      </c>
      <c r="DL6">
        <v>1.0000000002</v>
      </c>
      <c r="DM6">
        <v>1.0000000002</v>
      </c>
      <c r="DN6">
        <v>0.90000000089999999</v>
      </c>
      <c r="DO6">
        <v>0.80000000159999995</v>
      </c>
      <c r="DP6">
        <v>0.80000000159999995</v>
      </c>
      <c r="DQ6">
        <v>1.0000000002</v>
      </c>
      <c r="DR6">
        <v>0.90000000089999999</v>
      </c>
      <c r="DS6">
        <v>1.1000000013</v>
      </c>
      <c r="DT6">
        <v>0.90000000089999999</v>
      </c>
      <c r="DU6">
        <v>1.0000000002</v>
      </c>
      <c r="DV6">
        <v>0.80000000159999995</v>
      </c>
      <c r="DW6">
        <v>0.90000000089999999</v>
      </c>
      <c r="DX6">
        <v>0.80000000159999995</v>
      </c>
      <c r="DY6">
        <v>0.90000000089999999</v>
      </c>
      <c r="DZ6">
        <v>5.8000000007999999</v>
      </c>
      <c r="EA6">
        <v>11.9000000013</v>
      </c>
      <c r="EB6">
        <v>19.0000000002</v>
      </c>
      <c r="EC6">
        <v>25.9000000005</v>
      </c>
      <c r="ED6">
        <v>33.100000000599998</v>
      </c>
      <c r="EE6">
        <v>40.800000000700003</v>
      </c>
      <c r="EF6">
        <v>48.300000000399997</v>
      </c>
      <c r="EG6">
        <v>55.700000000800003</v>
      </c>
      <c r="EH6">
        <v>63.800000001699999</v>
      </c>
      <c r="EI6">
        <v>71.800000001499996</v>
      </c>
      <c r="EJ6">
        <v>79.300000001200004</v>
      </c>
      <c r="EK6">
        <v>87.000000001399997</v>
      </c>
      <c r="EL6">
        <v>95.300000000899999</v>
      </c>
      <c r="EM6">
        <v>103.2000000014</v>
      </c>
      <c r="EN6">
        <v>111.90000000169999</v>
      </c>
      <c r="EO6">
        <v>120.80000000059999</v>
      </c>
      <c r="EP6">
        <v>128.90000000149999</v>
      </c>
      <c r="EQ6">
        <v>136.90000000129999</v>
      </c>
      <c r="ER6">
        <v>145.4000000012</v>
      </c>
      <c r="ES6">
        <v>153.7000000008</v>
      </c>
      <c r="ET6">
        <v>162.10000000139999</v>
      </c>
      <c r="EU6">
        <v>170.5000000002</v>
      </c>
      <c r="EV6">
        <v>178.8000000015</v>
      </c>
      <c r="EW6">
        <v>187.10000000100001</v>
      </c>
      <c r="EX6">
        <v>195.10000000080001</v>
      </c>
      <c r="EY6">
        <v>203.4000000003</v>
      </c>
      <c r="EZ6">
        <v>211.50000000130001</v>
      </c>
      <c r="FA6">
        <v>219.7000000015</v>
      </c>
      <c r="FB6">
        <v>227.90000000169999</v>
      </c>
      <c r="FC6">
        <v>235.90000000149999</v>
      </c>
      <c r="FD6">
        <v>243.50000000049999</v>
      </c>
      <c r="FE6">
        <v>251.70000000069999</v>
      </c>
      <c r="FF6">
        <v>259.50000000009999</v>
      </c>
      <c r="FG6">
        <v>267.20000000020002</v>
      </c>
      <c r="FH6">
        <v>275.00000000149998</v>
      </c>
      <c r="FI6">
        <v>282.70000000160002</v>
      </c>
      <c r="FJ6">
        <v>290.1000000002</v>
      </c>
      <c r="FK6">
        <v>297.10000000159999</v>
      </c>
      <c r="FL6">
        <v>304.50000000019998</v>
      </c>
      <c r="FM6">
        <v>311.80000000130002</v>
      </c>
      <c r="FN6">
        <v>319.00000000130001</v>
      </c>
      <c r="FO6">
        <v>326.30000000059999</v>
      </c>
      <c r="FP6">
        <v>332.9000000012</v>
      </c>
      <c r="FQ6">
        <v>340.00000000009999</v>
      </c>
      <c r="FR6">
        <v>346.60000000079998</v>
      </c>
      <c r="FS6">
        <v>353.00000000099999</v>
      </c>
      <c r="FT6">
        <v>359.80000000019999</v>
      </c>
      <c r="FU6">
        <v>366</v>
      </c>
      <c r="FV6">
        <v>372.40000000020001</v>
      </c>
      <c r="FW6">
        <v>378.70000000110002</v>
      </c>
      <c r="FX6">
        <v>384.2000000004</v>
      </c>
      <c r="FY6">
        <v>390.50000000130001</v>
      </c>
      <c r="FZ6">
        <v>396.20000000099998</v>
      </c>
      <c r="GA6">
        <v>402.10000000119999</v>
      </c>
      <c r="GB6">
        <v>407.90000000020001</v>
      </c>
      <c r="GC6">
        <v>413.20000000089999</v>
      </c>
      <c r="GD6">
        <v>418.70000000020002</v>
      </c>
      <c r="GE6">
        <v>424.0000000009</v>
      </c>
      <c r="GF6">
        <v>429.20000000049998</v>
      </c>
      <c r="GG6">
        <v>434.10000000039997</v>
      </c>
      <c r="GH6">
        <v>439.00000000030002</v>
      </c>
      <c r="GI6">
        <v>444.00000000130001</v>
      </c>
      <c r="GJ6">
        <v>448.40000000110001</v>
      </c>
      <c r="GK6">
        <v>452.10000000039997</v>
      </c>
      <c r="GL6">
        <v>452.90000000020001</v>
      </c>
      <c r="GM6">
        <v>452.90000000020001</v>
      </c>
      <c r="GN6">
        <v>452.90000000020001</v>
      </c>
      <c r="GO6">
        <v>452.80000000090001</v>
      </c>
      <c r="GP6">
        <v>452.90000000020001</v>
      </c>
      <c r="GQ6">
        <v>452.90000000020001</v>
      </c>
      <c r="GR6">
        <v>453.00000000130001</v>
      </c>
      <c r="GS6">
        <v>452.90000000020001</v>
      </c>
      <c r="GT6">
        <v>453.00000000130001</v>
      </c>
      <c r="GU6">
        <v>453.00000000130001</v>
      </c>
      <c r="GV6">
        <v>453.00000000130001</v>
      </c>
      <c r="GW6">
        <v>453.10000000060001</v>
      </c>
      <c r="GX6">
        <v>1</v>
      </c>
      <c r="GY6">
        <v>107.40000000080001</v>
      </c>
      <c r="GZ6">
        <v>105.5000000015</v>
      </c>
      <c r="HA6">
        <v>105.5000000015</v>
      </c>
      <c r="HB6">
        <v>111.90000000169999</v>
      </c>
      <c r="HC6">
        <v>107.0353785052</v>
      </c>
      <c r="HD6">
        <v>-6.4000000002000004</v>
      </c>
      <c r="HE6">
        <v>453.09998896550002</v>
      </c>
      <c r="HF6">
        <v>300.00766938740003</v>
      </c>
      <c r="HG6">
        <v>93.047163982399994</v>
      </c>
      <c r="HH6">
        <v>453.2000000017</v>
      </c>
      <c r="HI6">
        <v>453.09998896550002</v>
      </c>
      <c r="HJ6">
        <v>453.2000000017</v>
      </c>
      <c r="HK6">
        <v>453.10000000060001</v>
      </c>
      <c r="HL6">
        <v>117.3020527859</v>
      </c>
      <c r="HM6">
        <v>3.3196339357000002</v>
      </c>
      <c r="HN6">
        <v>3.2438315514</v>
      </c>
      <c r="HO6">
        <v>3.2813998044999999</v>
      </c>
      <c r="HP6">
        <v>3.201816735</v>
      </c>
      <c r="HQ6">
        <v>3.5143954895</v>
      </c>
      <c r="HR6">
        <v>2.2490639782000001</v>
      </c>
      <c r="HS6">
        <v>13.9882145228</v>
      </c>
      <c r="HT6">
        <v>-28.152492668600001</v>
      </c>
      <c r="HU6">
        <v>-192</v>
      </c>
      <c r="HV6">
        <v>407.04304789259999</v>
      </c>
      <c r="HW6">
        <v>93.841642228699996</v>
      </c>
      <c r="HX6">
        <v>640</v>
      </c>
      <c r="HY6">
        <v>13.9882145228</v>
      </c>
      <c r="HZ6">
        <v>-28.152492668600001</v>
      </c>
      <c r="IA6">
        <v>-192</v>
      </c>
      <c r="IB6">
        <v>407.04304789259999</v>
      </c>
      <c r="IC6">
        <v>93.841642228699996</v>
      </c>
      <c r="ID6">
        <v>640</v>
      </c>
      <c r="IE6">
        <v>46.056941072999997</v>
      </c>
      <c r="IF6">
        <v>0.1006952119</v>
      </c>
      <c r="IG6">
        <v>-37.536656891500002</v>
      </c>
      <c r="IH6">
        <v>-256</v>
      </c>
      <c r="II6">
        <v>428.75613551139998</v>
      </c>
      <c r="IJ6">
        <v>103.22580645159999</v>
      </c>
      <c r="IK6">
        <v>704</v>
      </c>
      <c r="IL6">
        <v>393.05483336980001</v>
      </c>
      <c r="IM6">
        <v>121.9941348974</v>
      </c>
      <c r="IN6">
        <v>415.42959611430001</v>
      </c>
      <c r="IO6">
        <v>131.37829912020001</v>
      </c>
      <c r="IP6">
        <v>7.0999999989000004</v>
      </c>
      <c r="IQ6">
        <v>5.4999999992999999</v>
      </c>
      <c r="IR6">
        <v>8.8999999989000003</v>
      </c>
      <c r="IS6">
        <v>6.1845054689000003</v>
      </c>
      <c r="IT6">
        <v>6.1845054689000003</v>
      </c>
      <c r="IU6">
        <v>5.1000000002999997</v>
      </c>
      <c r="IV6">
        <v>-30.4985337243</v>
      </c>
      <c r="IW6">
        <v>8.7999999996000007</v>
      </c>
      <c r="IX6">
        <v>75.073313783000003</v>
      </c>
      <c r="IY6">
        <v>7.5999999989999996</v>
      </c>
      <c r="IZ6">
        <v>98.533724340199996</v>
      </c>
      <c r="JA6">
        <v>-32.422518542399999</v>
      </c>
      <c r="JB6">
        <v>0.32924853589999997</v>
      </c>
      <c r="JC6">
        <v>-3.2122299999999998E-4</v>
      </c>
      <c r="JD6">
        <v>6.7349999999999999E-7</v>
      </c>
      <c r="JE6">
        <v>0.30123803389999998</v>
      </c>
      <c r="JF6">
        <v>0.27456307749999997</v>
      </c>
      <c r="JG6">
        <v>9.1697980900000003E-2</v>
      </c>
      <c r="JH6">
        <v>107.66956904129999</v>
      </c>
      <c r="JI6">
        <v>3.5143954895</v>
      </c>
      <c r="JJ6">
        <v>2.7145965999999999E-3</v>
      </c>
      <c r="JK6">
        <v>-6.7180099999999997E-5</v>
      </c>
      <c r="JL6">
        <v>3.3196339357000002</v>
      </c>
      <c r="JM6">
        <v>1.6071855686000001</v>
      </c>
      <c r="JN6">
        <v>0.53061718000000002</v>
      </c>
      <c r="JO6">
        <v>3.0263749995000002</v>
      </c>
      <c r="JP6">
        <v>2.3443749996999999</v>
      </c>
      <c r="JQ6">
        <v>3.7936249995</v>
      </c>
      <c r="JR6" s="17" t="s">
        <v>552</v>
      </c>
      <c r="JU6" s="17">
        <v>1</v>
      </c>
    </row>
    <row r="7" spans="1:281">
      <c r="A7" t="s">
        <v>653</v>
      </c>
      <c r="B7" t="s">
        <v>654</v>
      </c>
      <c r="C7" t="s">
        <v>655</v>
      </c>
      <c r="D7" t="s">
        <v>213</v>
      </c>
      <c r="E7">
        <v>3</v>
      </c>
      <c r="F7" t="s">
        <v>214</v>
      </c>
      <c r="G7" t="s">
        <v>215</v>
      </c>
      <c r="H7" t="s">
        <v>551</v>
      </c>
      <c r="I7" t="s">
        <v>217</v>
      </c>
      <c r="K7" t="s">
        <v>583</v>
      </c>
      <c r="L7" t="s">
        <v>584</v>
      </c>
      <c r="M7" t="s">
        <v>585</v>
      </c>
      <c r="N7" t="s">
        <v>586</v>
      </c>
      <c r="O7" t="s">
        <v>587</v>
      </c>
      <c r="P7">
        <v>0</v>
      </c>
      <c r="Q7">
        <v>0</v>
      </c>
      <c r="R7">
        <v>1.5000000003</v>
      </c>
      <c r="S7">
        <v>0.20000000039999999</v>
      </c>
      <c r="T7">
        <v>9.9999999300000003E-2</v>
      </c>
      <c r="U7">
        <v>9.9999999300000003E-2</v>
      </c>
      <c r="V7">
        <v>9.9999999300000003E-2</v>
      </c>
      <c r="W7">
        <v>0</v>
      </c>
      <c r="X7">
        <v>0.29999999970000002</v>
      </c>
      <c r="Y7">
        <v>9.9999999300000003E-2</v>
      </c>
      <c r="Z7">
        <v>0.20000000039999999</v>
      </c>
      <c r="AA7">
        <v>0</v>
      </c>
      <c r="AB7">
        <v>9.9999999300000003E-2</v>
      </c>
      <c r="AC7">
        <v>9.9999999300000003E-2</v>
      </c>
      <c r="AD7">
        <v>0</v>
      </c>
      <c r="AE7">
        <v>0.20000000039999999</v>
      </c>
      <c r="AF7">
        <v>9.9999999300000003E-2</v>
      </c>
      <c r="AG7">
        <v>9.9999999300000003E-2</v>
      </c>
      <c r="AH7">
        <v>0.89999999909999995</v>
      </c>
      <c r="AI7">
        <v>3.9999999989999999</v>
      </c>
      <c r="AJ7">
        <v>7.0999999989000004</v>
      </c>
      <c r="AK7">
        <v>13.199999999399999</v>
      </c>
      <c r="AL7">
        <v>20.300000000099999</v>
      </c>
      <c r="AM7">
        <v>27.399999998999998</v>
      </c>
      <c r="AN7">
        <v>34.299999999299999</v>
      </c>
      <c r="AO7">
        <v>41.199999999699997</v>
      </c>
      <c r="AP7">
        <v>48.600000000100003</v>
      </c>
      <c r="AQ7">
        <v>56.099999999799998</v>
      </c>
      <c r="AR7">
        <v>63.5999999995</v>
      </c>
      <c r="AS7">
        <v>71.5</v>
      </c>
      <c r="AT7">
        <v>79.700000000200006</v>
      </c>
      <c r="AU7">
        <v>87.199999999900001</v>
      </c>
      <c r="AV7">
        <v>94.999999999300002</v>
      </c>
      <c r="AW7">
        <v>102.7999999988</v>
      </c>
      <c r="AX7">
        <v>111.2999999987</v>
      </c>
      <c r="AY7">
        <v>119.3999999996</v>
      </c>
      <c r="AZ7">
        <v>127.8000000002</v>
      </c>
      <c r="BA7">
        <v>135.89999999930001</v>
      </c>
      <c r="BB7">
        <v>144.0000000002</v>
      </c>
      <c r="BC7">
        <v>152.39999999899999</v>
      </c>
      <c r="BD7">
        <v>160.09999999909999</v>
      </c>
      <c r="BE7">
        <v>168.099999999</v>
      </c>
      <c r="BF7">
        <v>176.0999999988</v>
      </c>
      <c r="BG7">
        <v>184.69999999980001</v>
      </c>
      <c r="BH7">
        <v>192.69999999960001</v>
      </c>
      <c r="BI7">
        <v>200.49999999900001</v>
      </c>
      <c r="BJ7">
        <v>208.30000000019999</v>
      </c>
      <c r="BK7">
        <v>216.19999999890001</v>
      </c>
      <c r="BL7">
        <v>223.69999999859999</v>
      </c>
      <c r="BM7">
        <v>231.8999999989</v>
      </c>
      <c r="BN7">
        <v>239.8999999987</v>
      </c>
      <c r="BO7">
        <v>247.29999999910001</v>
      </c>
      <c r="BP7">
        <v>254.79999999879999</v>
      </c>
      <c r="BQ7">
        <v>262.30000000029997</v>
      </c>
      <c r="BR7">
        <v>269.89999999930001</v>
      </c>
      <c r="BS7">
        <v>277</v>
      </c>
      <c r="BT7">
        <v>284.20000000009998</v>
      </c>
      <c r="BU7">
        <v>291.99999999950001</v>
      </c>
      <c r="BV7">
        <v>298.8999999998</v>
      </c>
      <c r="BW7">
        <v>305.699999999</v>
      </c>
      <c r="BX7">
        <v>312.79999999969999</v>
      </c>
      <c r="BY7">
        <v>319.79999999929998</v>
      </c>
      <c r="BZ7">
        <v>326.29999999879999</v>
      </c>
      <c r="CA7">
        <v>332.5999999997</v>
      </c>
      <c r="CB7">
        <v>339.3999999989</v>
      </c>
      <c r="CC7">
        <v>346.2999999992</v>
      </c>
      <c r="CD7">
        <v>352.19999999940001</v>
      </c>
      <c r="CE7">
        <v>358.59999999960002</v>
      </c>
      <c r="CF7">
        <v>364.79999999939997</v>
      </c>
      <c r="CG7">
        <v>370.89999999989999</v>
      </c>
      <c r="CH7">
        <v>376.89999999930001</v>
      </c>
      <c r="CI7">
        <v>382.59999999899998</v>
      </c>
      <c r="CJ7">
        <v>388.2999999987</v>
      </c>
      <c r="CK7">
        <v>394.29999999990002</v>
      </c>
      <c r="CL7">
        <v>400.2</v>
      </c>
      <c r="CM7">
        <v>405.79999999860001</v>
      </c>
      <c r="CN7">
        <v>411.00000000009999</v>
      </c>
      <c r="CO7">
        <v>416.40000000010002</v>
      </c>
      <c r="CP7">
        <v>421.5999999997</v>
      </c>
      <c r="CQ7">
        <v>426.99999999969998</v>
      </c>
      <c r="CR7">
        <v>432.1</v>
      </c>
      <c r="CS7">
        <v>437.09999999920001</v>
      </c>
      <c r="CT7">
        <v>442.19999999949999</v>
      </c>
      <c r="CU7">
        <v>447.50000000019998</v>
      </c>
      <c r="CV7">
        <v>451.39999999989999</v>
      </c>
      <c r="CW7">
        <v>454.49999999980002</v>
      </c>
      <c r="CX7">
        <v>455.09999999920001</v>
      </c>
      <c r="CY7">
        <v>455.2999999996</v>
      </c>
      <c r="CZ7">
        <v>455.3999999989</v>
      </c>
      <c r="DA7">
        <v>455.3999999989</v>
      </c>
      <c r="DB7">
        <v>455.2999999996</v>
      </c>
      <c r="DC7">
        <v>455.09999999920001</v>
      </c>
      <c r="DD7">
        <v>455.20000000030001</v>
      </c>
      <c r="DE7">
        <v>455.2999999996</v>
      </c>
      <c r="DF7">
        <v>455.2999999996</v>
      </c>
      <c r="DG7">
        <v>455.20000000030001</v>
      </c>
      <c r="DH7">
        <v>2.3000000000999998</v>
      </c>
      <c r="DI7">
        <v>1.2999999999</v>
      </c>
      <c r="DJ7">
        <v>1.1999999988000001</v>
      </c>
      <c r="DK7">
        <v>1.2999999999</v>
      </c>
      <c r="DL7">
        <v>1.1999999988000001</v>
      </c>
      <c r="DM7">
        <v>1.1999999988000001</v>
      </c>
      <c r="DN7">
        <v>1.0000000002</v>
      </c>
      <c r="DO7">
        <v>1.0999999995</v>
      </c>
      <c r="DP7">
        <v>0.89999999909999995</v>
      </c>
      <c r="DQ7">
        <v>1.0999999995</v>
      </c>
      <c r="DR7">
        <v>0.89999999909999995</v>
      </c>
      <c r="DS7">
        <v>1.0000000002</v>
      </c>
      <c r="DT7">
        <v>0.89999999909999995</v>
      </c>
      <c r="DU7">
        <v>0.89999999909999995</v>
      </c>
      <c r="DV7">
        <v>1.0999999995</v>
      </c>
      <c r="DW7">
        <v>1.0999999995</v>
      </c>
      <c r="DX7">
        <v>3.3999999995999999</v>
      </c>
      <c r="DY7">
        <v>6.5999999988000004</v>
      </c>
      <c r="DZ7">
        <v>11.199999998999999</v>
      </c>
      <c r="EA7">
        <v>18.399999998999998</v>
      </c>
      <c r="EB7">
        <v>25.599999999000001</v>
      </c>
      <c r="EC7">
        <v>32.4000000001</v>
      </c>
      <c r="ED7">
        <v>39.600000000100003</v>
      </c>
      <c r="EE7">
        <v>46.899999999400002</v>
      </c>
      <c r="EF7">
        <v>54.500000000199996</v>
      </c>
      <c r="EG7">
        <v>61.700000000199999</v>
      </c>
      <c r="EH7">
        <v>69.299999999199997</v>
      </c>
      <c r="EI7">
        <v>77.499999999400004</v>
      </c>
      <c r="EJ7">
        <v>85.299999998800004</v>
      </c>
      <c r="EK7">
        <v>92.599999999900007</v>
      </c>
      <c r="EL7">
        <v>100.5999999998</v>
      </c>
      <c r="EM7">
        <v>108.8</v>
      </c>
      <c r="EN7">
        <v>117.1999999988</v>
      </c>
      <c r="EO7">
        <v>125.69999999869999</v>
      </c>
      <c r="EP7">
        <v>134</v>
      </c>
      <c r="EQ7">
        <v>141.9999999998</v>
      </c>
      <c r="ER7">
        <v>149.7999999992</v>
      </c>
      <c r="ES7">
        <v>158.1999999999</v>
      </c>
      <c r="ET7">
        <v>166.29999999899999</v>
      </c>
      <c r="EU7">
        <v>174.39999999989999</v>
      </c>
      <c r="EV7">
        <v>182.7999999987</v>
      </c>
      <c r="EW7">
        <v>190.8999999996</v>
      </c>
      <c r="EX7">
        <v>198.699999999</v>
      </c>
      <c r="EY7">
        <v>206.89999999919999</v>
      </c>
      <c r="EZ7">
        <v>215.00000000009999</v>
      </c>
      <c r="FA7">
        <v>222.70000000030001</v>
      </c>
      <c r="FB7">
        <v>230.7000000001</v>
      </c>
      <c r="FC7">
        <v>239.09999999889999</v>
      </c>
      <c r="FD7">
        <v>246.4999999993</v>
      </c>
      <c r="FE7">
        <v>254.2999999987</v>
      </c>
      <c r="FF7">
        <v>261.80000000019999</v>
      </c>
      <c r="FG7">
        <v>269.50000000030002</v>
      </c>
      <c r="FH7">
        <v>276.59999999920001</v>
      </c>
      <c r="FI7">
        <v>284.29999999929998</v>
      </c>
      <c r="FJ7">
        <v>292.0999999988</v>
      </c>
      <c r="FK7">
        <v>299.49999999919999</v>
      </c>
      <c r="FL7">
        <v>306.19999999909999</v>
      </c>
      <c r="FM7">
        <v>313.39999999909998</v>
      </c>
      <c r="FN7">
        <v>320.59999999910002</v>
      </c>
      <c r="FO7">
        <v>327.29999999900002</v>
      </c>
      <c r="FP7">
        <v>333.80000000029997</v>
      </c>
      <c r="FQ7">
        <v>340.59999999950003</v>
      </c>
      <c r="FR7">
        <v>347.39999999870003</v>
      </c>
      <c r="FS7">
        <v>353.79999999900002</v>
      </c>
      <c r="FT7">
        <v>360.09999999989998</v>
      </c>
      <c r="FU7">
        <v>366.39999999899999</v>
      </c>
      <c r="FV7">
        <v>372.6999999999</v>
      </c>
      <c r="FW7">
        <v>378.69999999930002</v>
      </c>
      <c r="FX7">
        <v>384.2000000004</v>
      </c>
      <c r="FY7">
        <v>390.40000000020001</v>
      </c>
      <c r="FZ7">
        <v>396.49999999890002</v>
      </c>
      <c r="GA7">
        <v>402.29999999969999</v>
      </c>
      <c r="GB7">
        <v>407.79999999900002</v>
      </c>
      <c r="GC7">
        <v>412.9999999986</v>
      </c>
      <c r="GD7">
        <v>418.29999999939997</v>
      </c>
      <c r="GE7">
        <v>423.7999999987</v>
      </c>
      <c r="GF7">
        <v>428.7000000004</v>
      </c>
      <c r="GG7">
        <v>433.79999999889998</v>
      </c>
      <c r="GH7">
        <v>438.59999999950003</v>
      </c>
      <c r="GI7">
        <v>443.49999999940002</v>
      </c>
      <c r="GJ7">
        <v>448.19999999890001</v>
      </c>
      <c r="GK7">
        <v>451.49999999919999</v>
      </c>
      <c r="GL7">
        <v>454.09999999899998</v>
      </c>
      <c r="GM7">
        <v>454.70000000020002</v>
      </c>
      <c r="GN7">
        <v>454.99999999990001</v>
      </c>
      <c r="GO7">
        <v>454.99999999990001</v>
      </c>
      <c r="GP7">
        <v>454.99999999990001</v>
      </c>
      <c r="GQ7">
        <v>455.20000000030001</v>
      </c>
      <c r="GR7">
        <v>455.20000000030001</v>
      </c>
      <c r="GS7">
        <v>455.20000000030001</v>
      </c>
      <c r="GT7">
        <v>455.20000000030001</v>
      </c>
      <c r="GU7">
        <v>455.20000000030001</v>
      </c>
      <c r="GV7">
        <v>455.2999999996</v>
      </c>
      <c r="GW7">
        <v>455.20000000030001</v>
      </c>
      <c r="GX7">
        <v>1</v>
      </c>
      <c r="GY7">
        <v>111.7000000013</v>
      </c>
      <c r="GZ7">
        <v>111.2999999987</v>
      </c>
      <c r="HA7">
        <v>111.2999999987</v>
      </c>
      <c r="HB7">
        <v>117.1999999988</v>
      </c>
      <c r="HC7">
        <v>112.7805073565</v>
      </c>
      <c r="HD7">
        <v>-5.9000000001000004</v>
      </c>
      <c r="HE7">
        <v>455.20000000030001</v>
      </c>
      <c r="HF7">
        <v>294.16317812480003</v>
      </c>
      <c r="HG7">
        <v>92.213353831199996</v>
      </c>
      <c r="HH7">
        <v>455.3999999989</v>
      </c>
      <c r="HI7">
        <v>455.2999999996</v>
      </c>
      <c r="HJ7">
        <v>455.3999999989</v>
      </c>
      <c r="HK7">
        <v>455.2999999996</v>
      </c>
      <c r="HL7">
        <v>119.6480938416</v>
      </c>
      <c r="HM7">
        <v>3.2569952325</v>
      </c>
      <c r="HN7">
        <v>3.1984044408000001</v>
      </c>
      <c r="HO7">
        <v>3.2374962607</v>
      </c>
      <c r="HP7">
        <v>3.1753408521000002</v>
      </c>
      <c r="HQ7">
        <v>3.4556043514999999</v>
      </c>
      <c r="HR7">
        <v>2.2221761095999999</v>
      </c>
      <c r="HS7">
        <v>20.567153525199998</v>
      </c>
      <c r="HT7">
        <v>-28.152492668600001</v>
      </c>
      <c r="HU7">
        <v>-192</v>
      </c>
      <c r="HV7">
        <v>406.94368548130001</v>
      </c>
      <c r="HW7">
        <v>93.841642228699996</v>
      </c>
      <c r="HX7">
        <v>640</v>
      </c>
      <c r="HY7">
        <v>20.567153525199998</v>
      </c>
      <c r="HZ7">
        <v>-28.152492668600001</v>
      </c>
      <c r="IA7">
        <v>-192</v>
      </c>
      <c r="IB7">
        <v>406.94368548130001</v>
      </c>
      <c r="IC7">
        <v>93.841642228699996</v>
      </c>
      <c r="ID7">
        <v>640</v>
      </c>
      <c r="IE7">
        <v>48.356314518399998</v>
      </c>
      <c r="IF7">
        <v>0.91180540210000005</v>
      </c>
      <c r="IG7">
        <v>-37.536656891500002</v>
      </c>
      <c r="IH7">
        <v>-256</v>
      </c>
      <c r="II7">
        <v>428.22983747009999</v>
      </c>
      <c r="IJ7">
        <v>103.22580645159999</v>
      </c>
      <c r="IK7">
        <v>704</v>
      </c>
      <c r="IL7">
        <v>386.37653195600001</v>
      </c>
      <c r="IM7">
        <v>121.9941348974</v>
      </c>
      <c r="IN7">
        <v>410.46584669499998</v>
      </c>
      <c r="IO7">
        <v>131.37829912020001</v>
      </c>
      <c r="IP7">
        <v>7.2</v>
      </c>
      <c r="IQ7">
        <v>5.4999999992999999</v>
      </c>
      <c r="IR7">
        <v>8.6000000009999997</v>
      </c>
      <c r="IS7">
        <v>6.1751752695000004</v>
      </c>
      <c r="IT7">
        <v>6.1751752695000004</v>
      </c>
      <c r="IU7">
        <v>5.1999999996000001</v>
      </c>
      <c r="IV7">
        <v>-30.4985337243</v>
      </c>
      <c r="IW7">
        <v>8.2000000001999993</v>
      </c>
      <c r="IX7">
        <v>89.149560117299998</v>
      </c>
      <c r="IY7">
        <v>7.3999999986000002</v>
      </c>
      <c r="IZ7">
        <v>100.87976539589999</v>
      </c>
      <c r="JA7">
        <v>-34.746585977000002</v>
      </c>
      <c r="JB7">
        <v>0.33675498809999999</v>
      </c>
      <c r="JC7">
        <v>-3.3113190000000001E-4</v>
      </c>
      <c r="JD7">
        <v>6.8820000000000003E-7</v>
      </c>
      <c r="JE7">
        <v>0.3070314596</v>
      </c>
      <c r="JF7">
        <v>0.1979142247</v>
      </c>
      <c r="JG7">
        <v>8.3824773399999997E-2</v>
      </c>
      <c r="JH7">
        <v>113.2434487778</v>
      </c>
      <c r="JI7">
        <v>3.4556043514999999</v>
      </c>
      <c r="JJ7">
        <v>2.3123373999999999E-3</v>
      </c>
      <c r="JK7">
        <v>-6.3114799999999994E-5</v>
      </c>
      <c r="JL7">
        <v>3.2569952325</v>
      </c>
      <c r="JM7">
        <v>1.3666513235</v>
      </c>
      <c r="JN7">
        <v>0.53294867020000003</v>
      </c>
      <c r="JO7">
        <v>3.069</v>
      </c>
      <c r="JP7">
        <v>2.3443749996999999</v>
      </c>
      <c r="JQ7">
        <v>3.6657500004000001</v>
      </c>
      <c r="JR7" s="17" t="s">
        <v>552</v>
      </c>
      <c r="JU7" s="17">
        <v>1</v>
      </c>
    </row>
    <row r="8" spans="1:281">
      <c r="A8" t="s">
        <v>656</v>
      </c>
      <c r="B8" t="s">
        <v>657</v>
      </c>
      <c r="C8" t="s">
        <v>658</v>
      </c>
      <c r="D8" t="s">
        <v>213</v>
      </c>
      <c r="E8">
        <v>3</v>
      </c>
      <c r="F8" t="s">
        <v>214</v>
      </c>
      <c r="G8" t="s">
        <v>215</v>
      </c>
      <c r="H8" t="s">
        <v>551</v>
      </c>
      <c r="I8" t="s">
        <v>217</v>
      </c>
      <c r="K8" t="s">
        <v>591</v>
      </c>
      <c r="L8" t="s">
        <v>592</v>
      </c>
      <c r="M8" t="s">
        <v>593</v>
      </c>
      <c r="N8" t="s">
        <v>594</v>
      </c>
      <c r="O8" t="s">
        <v>595</v>
      </c>
      <c r="P8">
        <v>0</v>
      </c>
      <c r="Q8">
        <v>0</v>
      </c>
      <c r="R8">
        <v>0</v>
      </c>
      <c r="S8">
        <v>9.9999999300000003E-2</v>
      </c>
      <c r="T8">
        <v>9.9999999300000003E-2</v>
      </c>
      <c r="U8">
        <v>0.29999999970000002</v>
      </c>
      <c r="V8">
        <v>0.19999999860000001</v>
      </c>
      <c r="W8">
        <v>0.29999999970000002</v>
      </c>
      <c r="X8">
        <v>0.29999999970000002</v>
      </c>
      <c r="Y8">
        <v>0.29999999970000002</v>
      </c>
      <c r="Z8">
        <v>0.29999999970000002</v>
      </c>
      <c r="AA8">
        <v>0.39999999899999999</v>
      </c>
      <c r="AB8">
        <v>0.49999999830000003</v>
      </c>
      <c r="AC8">
        <v>0.59999999940000004</v>
      </c>
      <c r="AD8">
        <v>0.59999999940000004</v>
      </c>
      <c r="AE8">
        <v>0.59999999940000004</v>
      </c>
      <c r="AF8">
        <v>0.59999999940000004</v>
      </c>
      <c r="AG8">
        <v>1.5999999996000001</v>
      </c>
      <c r="AH8">
        <v>4.9999999991999999</v>
      </c>
      <c r="AI8">
        <v>8.4999999999</v>
      </c>
      <c r="AJ8">
        <v>11.5999999998</v>
      </c>
      <c r="AK8">
        <v>15.5999999988</v>
      </c>
      <c r="AL8">
        <v>22.699999999500001</v>
      </c>
      <c r="AM8">
        <v>28.9999999986</v>
      </c>
      <c r="AN8">
        <v>35.699999998499997</v>
      </c>
      <c r="AO8">
        <v>42.599999998900003</v>
      </c>
      <c r="AP8">
        <v>50.499999999400004</v>
      </c>
      <c r="AQ8">
        <v>58.099999998400001</v>
      </c>
      <c r="AR8">
        <v>65.699999999200003</v>
      </c>
      <c r="AS8">
        <v>73.499999998600003</v>
      </c>
      <c r="AT8">
        <v>80.899999999000002</v>
      </c>
      <c r="AU8">
        <v>88.199999998300001</v>
      </c>
      <c r="AV8">
        <v>95.699999999900001</v>
      </c>
      <c r="AW8">
        <v>103.5999999986</v>
      </c>
      <c r="AX8">
        <v>113.0999999987</v>
      </c>
      <c r="AY8">
        <v>121.79999999899999</v>
      </c>
      <c r="AZ8">
        <v>129.99999999920001</v>
      </c>
      <c r="BA8">
        <v>137.79999999859999</v>
      </c>
      <c r="BB8">
        <v>145.199999999</v>
      </c>
      <c r="BC8">
        <v>152.79999999980001</v>
      </c>
      <c r="BD8">
        <v>161.39999999899999</v>
      </c>
      <c r="BE8">
        <v>170.09999999940001</v>
      </c>
      <c r="BF8">
        <v>178.1999999985</v>
      </c>
      <c r="BG8">
        <v>186.1999999983</v>
      </c>
      <c r="BH8">
        <v>193.89999999840001</v>
      </c>
      <c r="BI8">
        <v>201.59999999850001</v>
      </c>
      <c r="BJ8">
        <v>209.19999999929999</v>
      </c>
      <c r="BK8">
        <v>217.8999999996</v>
      </c>
      <c r="BL8">
        <v>225.69999999909999</v>
      </c>
      <c r="BM8">
        <v>233.59999999959999</v>
      </c>
      <c r="BN8">
        <v>240.8999999989</v>
      </c>
      <c r="BO8">
        <v>248.599999999</v>
      </c>
      <c r="BP8">
        <v>255.5999999986</v>
      </c>
      <c r="BQ8">
        <v>263.4999999991</v>
      </c>
      <c r="BR8">
        <v>271.49999999890002</v>
      </c>
      <c r="BS8">
        <v>278.89999999930001</v>
      </c>
      <c r="BT8">
        <v>286.39999999899999</v>
      </c>
      <c r="BU8">
        <v>293.39999999870003</v>
      </c>
      <c r="BV8">
        <v>300.49999999940002</v>
      </c>
      <c r="BW8">
        <v>307.49999999900001</v>
      </c>
      <c r="BX8">
        <v>314.19999999890001</v>
      </c>
      <c r="BY8">
        <v>321.69999999859999</v>
      </c>
      <c r="BZ8">
        <v>328.49999999959999</v>
      </c>
      <c r="CA8">
        <v>335.29999999879999</v>
      </c>
      <c r="CB8">
        <v>341.699999999</v>
      </c>
      <c r="CC8">
        <v>348.09999999920001</v>
      </c>
      <c r="CD8">
        <v>354.39999999830002</v>
      </c>
      <c r="CE8">
        <v>360.69999999930002</v>
      </c>
      <c r="CF8">
        <v>366.49999999829998</v>
      </c>
      <c r="CG8">
        <v>373.2</v>
      </c>
      <c r="CH8">
        <v>379.19999999940001</v>
      </c>
      <c r="CI8">
        <v>385.39999999920002</v>
      </c>
      <c r="CJ8">
        <v>391.09999999889999</v>
      </c>
      <c r="CK8">
        <v>397.09999999830001</v>
      </c>
      <c r="CL8">
        <v>402.59999999939998</v>
      </c>
      <c r="CM8">
        <v>408.1999999999</v>
      </c>
      <c r="CN8">
        <v>413.59999999989998</v>
      </c>
      <c r="CO8">
        <v>418.79999999950002</v>
      </c>
      <c r="CP8">
        <v>424.49999999919999</v>
      </c>
      <c r="CQ8">
        <v>429.79999999990002</v>
      </c>
      <c r="CR8">
        <v>435.39999999849999</v>
      </c>
      <c r="CS8">
        <v>440.39999999949998</v>
      </c>
      <c r="CT8">
        <v>445.29999999939997</v>
      </c>
      <c r="CU8">
        <v>450.29999999860001</v>
      </c>
      <c r="CV8">
        <v>455.2999999996</v>
      </c>
      <c r="CW8">
        <v>456.29999999979998</v>
      </c>
      <c r="CX8">
        <v>456.39999999909998</v>
      </c>
      <c r="CY8">
        <v>456.29999999979998</v>
      </c>
      <c r="CZ8">
        <v>456.39999999909998</v>
      </c>
      <c r="DA8">
        <v>456.19999999869998</v>
      </c>
      <c r="DB8">
        <v>456.39999999909998</v>
      </c>
      <c r="DC8">
        <v>456.19999999869998</v>
      </c>
      <c r="DD8">
        <v>456.19999999869998</v>
      </c>
      <c r="DE8">
        <v>456.19999999869998</v>
      </c>
      <c r="DF8">
        <v>456.19999999869998</v>
      </c>
      <c r="DG8">
        <v>456.09999999939998</v>
      </c>
      <c r="DH8">
        <v>0.79999999980000003</v>
      </c>
      <c r="DI8">
        <v>1.2999999999</v>
      </c>
      <c r="DJ8">
        <v>1.1999999988000001</v>
      </c>
      <c r="DK8">
        <v>1.3999999992000001</v>
      </c>
      <c r="DL8">
        <v>1.3999999992000001</v>
      </c>
      <c r="DM8">
        <v>1.3999999992000001</v>
      </c>
      <c r="DN8">
        <v>1.4999999985000001</v>
      </c>
      <c r="DO8">
        <v>1.4999999985000001</v>
      </c>
      <c r="DP8">
        <v>1.6999999989000001</v>
      </c>
      <c r="DQ8">
        <v>1.4999999985000001</v>
      </c>
      <c r="DR8">
        <v>1.5999999996000001</v>
      </c>
      <c r="DS8">
        <v>1.5999999996000001</v>
      </c>
      <c r="DT8">
        <v>1.5999999996000001</v>
      </c>
      <c r="DU8">
        <v>1.6999999989000001</v>
      </c>
      <c r="DV8">
        <v>1.6999999989000001</v>
      </c>
      <c r="DW8">
        <v>4.0999999983000004</v>
      </c>
      <c r="DX8">
        <v>7.5999999989999996</v>
      </c>
      <c r="DY8">
        <v>10.8999999993</v>
      </c>
      <c r="DZ8">
        <v>14.5999999986</v>
      </c>
      <c r="EA8">
        <v>20.8999999995</v>
      </c>
      <c r="EB8">
        <v>27.599999999400001</v>
      </c>
      <c r="EC8">
        <v>34.200000000099998</v>
      </c>
      <c r="ED8">
        <v>40.599999998400001</v>
      </c>
      <c r="EE8">
        <v>48.3999999997</v>
      </c>
      <c r="EF8">
        <v>56.4999999988</v>
      </c>
      <c r="EG8">
        <v>63.799999999900002</v>
      </c>
      <c r="EH8">
        <v>71.699999998600006</v>
      </c>
      <c r="EI8">
        <v>79.299999999400001</v>
      </c>
      <c r="EJ8">
        <v>86.5999999987</v>
      </c>
      <c r="EK8">
        <v>93.3999999997</v>
      </c>
      <c r="EL8">
        <v>101.6</v>
      </c>
      <c r="EM8">
        <v>110.09999999990001</v>
      </c>
      <c r="EN8">
        <v>118.99999999880001</v>
      </c>
      <c r="EO8">
        <v>127.99999999880001</v>
      </c>
      <c r="EP8">
        <v>135.89999999930001</v>
      </c>
      <c r="EQ8">
        <v>143.0999999993</v>
      </c>
      <c r="ER8">
        <v>151.19999999839999</v>
      </c>
      <c r="ES8">
        <v>159.7999999994</v>
      </c>
      <c r="ET8">
        <v>168.2999999994</v>
      </c>
      <c r="EU8">
        <v>176.39999999849999</v>
      </c>
      <c r="EV8">
        <v>184.79999999910001</v>
      </c>
      <c r="EW8">
        <v>192.49999999920001</v>
      </c>
      <c r="EX8">
        <v>200.39999999969999</v>
      </c>
      <c r="EY8">
        <v>208.19999999909999</v>
      </c>
      <c r="EZ8">
        <v>216.7999999983</v>
      </c>
      <c r="FA8">
        <v>224.99999999849999</v>
      </c>
      <c r="FB8">
        <v>232.69999999870001</v>
      </c>
      <c r="FC8">
        <v>240.59999999920001</v>
      </c>
      <c r="FD8">
        <v>247.99999999959999</v>
      </c>
      <c r="FE8">
        <v>255.5999999986</v>
      </c>
      <c r="FF8">
        <v>263.3999999998</v>
      </c>
      <c r="FG8">
        <v>271.39999999960003</v>
      </c>
      <c r="FH8">
        <v>278.9999999986</v>
      </c>
      <c r="FI8">
        <v>286.69999999869998</v>
      </c>
      <c r="FJ8">
        <v>293.59999999910002</v>
      </c>
      <c r="FK8">
        <v>300.99999999950001</v>
      </c>
      <c r="FL8">
        <v>307.8999999998</v>
      </c>
      <c r="FM8">
        <v>314.89999999939999</v>
      </c>
      <c r="FN8">
        <v>322.49999999840003</v>
      </c>
      <c r="FO8">
        <v>329.49999999980002</v>
      </c>
      <c r="FP8">
        <v>335.9</v>
      </c>
      <c r="FQ8">
        <v>342.79999999850003</v>
      </c>
      <c r="FR8">
        <v>349.19999999869998</v>
      </c>
      <c r="FS8">
        <v>355.69999999829997</v>
      </c>
      <c r="FT8">
        <v>362.09999999849998</v>
      </c>
      <c r="FU8">
        <v>368.199999999</v>
      </c>
      <c r="FV8">
        <v>374.7999999996</v>
      </c>
      <c r="FW8">
        <v>380.99999999940002</v>
      </c>
      <c r="FX8">
        <v>386.79999999839998</v>
      </c>
      <c r="FY8">
        <v>392.8999999989</v>
      </c>
      <c r="FZ8">
        <v>398.59999999860003</v>
      </c>
      <c r="GA8">
        <v>404.199999999</v>
      </c>
      <c r="GB8">
        <v>409.89999999870003</v>
      </c>
      <c r="GC8">
        <v>415.19999999949999</v>
      </c>
      <c r="GD8">
        <v>420.29999999979998</v>
      </c>
      <c r="GE8">
        <v>426.0999999988</v>
      </c>
      <c r="GF8">
        <v>431.09999999979999</v>
      </c>
      <c r="GG8">
        <v>436.59999999910002</v>
      </c>
      <c r="GH8">
        <v>441.49999999900001</v>
      </c>
      <c r="GI8">
        <v>446.2999999996</v>
      </c>
      <c r="GJ8">
        <v>450.7999999987</v>
      </c>
      <c r="GK8">
        <v>455.1999999985</v>
      </c>
      <c r="GL8">
        <v>456.09999999939998</v>
      </c>
      <c r="GM8">
        <v>456.09999999939998</v>
      </c>
      <c r="GN8">
        <v>456.09999999939998</v>
      </c>
      <c r="GO8">
        <v>456.29999999979998</v>
      </c>
      <c r="GP8">
        <v>456.19999999869998</v>
      </c>
      <c r="GQ8">
        <v>456.29999999979998</v>
      </c>
      <c r="GR8">
        <v>456.29999999979998</v>
      </c>
      <c r="GS8">
        <v>456.39999999909998</v>
      </c>
      <c r="GT8">
        <v>456.39999999909998</v>
      </c>
      <c r="GU8">
        <v>456.19999999869998</v>
      </c>
      <c r="GV8">
        <v>456.09999999939998</v>
      </c>
      <c r="GW8">
        <v>456.09999999939998</v>
      </c>
      <c r="GX8">
        <v>1</v>
      </c>
      <c r="GY8">
        <v>115.4000000006</v>
      </c>
      <c r="GZ8">
        <v>113.0999999987</v>
      </c>
      <c r="HA8">
        <v>113.0999999987</v>
      </c>
      <c r="HB8">
        <v>118.99999999880001</v>
      </c>
      <c r="HC8">
        <v>114.6003725198</v>
      </c>
      <c r="HD8">
        <v>-5.9000000001000004</v>
      </c>
      <c r="HE8">
        <v>456.09999999939998</v>
      </c>
      <c r="HF8">
        <v>305.12116796430001</v>
      </c>
      <c r="HG8">
        <v>91.630327598600005</v>
      </c>
      <c r="HH8">
        <v>456.39999999909998</v>
      </c>
      <c r="HI8">
        <v>456.39997808610002</v>
      </c>
      <c r="HJ8">
        <v>456.39999999909998</v>
      </c>
      <c r="HK8">
        <v>456.39999999909998</v>
      </c>
      <c r="HL8">
        <v>117.3020527859</v>
      </c>
      <c r="HM8">
        <v>3.2341162707</v>
      </c>
      <c r="HN8">
        <v>3.1650388158</v>
      </c>
      <c r="HO8">
        <v>3.2267317469000001</v>
      </c>
      <c r="HP8">
        <v>3.1712980013999998</v>
      </c>
      <c r="HQ8">
        <v>3.4503686567999998</v>
      </c>
      <c r="HR8">
        <v>2.1225863661000002</v>
      </c>
      <c r="HS8">
        <v>22.9700449212</v>
      </c>
      <c r="HT8">
        <v>-28.152492668600001</v>
      </c>
      <c r="HU8">
        <v>-192</v>
      </c>
      <c r="HV8">
        <v>419.72154048409999</v>
      </c>
      <c r="HW8">
        <v>98.533724340199996</v>
      </c>
      <c r="HX8">
        <v>672</v>
      </c>
      <c r="HY8">
        <v>22.9700449212</v>
      </c>
      <c r="HZ8">
        <v>-28.152492668600001</v>
      </c>
      <c r="IA8">
        <v>-192</v>
      </c>
      <c r="IB8">
        <v>419.72154048409999</v>
      </c>
      <c r="IC8">
        <v>98.533724340199996</v>
      </c>
      <c r="ID8">
        <v>672</v>
      </c>
      <c r="IE8">
        <v>36.678437602099997</v>
      </c>
      <c r="IF8">
        <v>5.0358935020000004</v>
      </c>
      <c r="IG8">
        <v>-37.536656891500002</v>
      </c>
      <c r="IH8">
        <v>-256</v>
      </c>
      <c r="II8">
        <v>441.26073189329998</v>
      </c>
      <c r="IJ8">
        <v>107.91788856300001</v>
      </c>
      <c r="IK8">
        <v>736</v>
      </c>
      <c r="IL8">
        <v>396.7514955629</v>
      </c>
      <c r="IM8">
        <v>126.6862170088</v>
      </c>
      <c r="IN8">
        <v>419.00097512870002</v>
      </c>
      <c r="IO8">
        <v>136.0703812317</v>
      </c>
      <c r="IP8">
        <v>7.1000000006999997</v>
      </c>
      <c r="IQ8">
        <v>5.7999999989999997</v>
      </c>
      <c r="IR8">
        <v>9.5000000001</v>
      </c>
      <c r="IS8">
        <v>6.4574371747999999</v>
      </c>
      <c r="IT8">
        <v>6.4574371747999999</v>
      </c>
      <c r="IU8">
        <v>5.3000000006999999</v>
      </c>
      <c r="IV8">
        <v>-30.4985337243</v>
      </c>
      <c r="IW8">
        <v>8.3000000013000008</v>
      </c>
      <c r="IX8">
        <v>79.765395894400001</v>
      </c>
      <c r="IY8">
        <v>6.7999999991999998</v>
      </c>
      <c r="IZ8">
        <v>105.57184750730001</v>
      </c>
      <c r="JA8">
        <v>-35.460145622799999</v>
      </c>
      <c r="JB8">
        <v>0.3411187517</v>
      </c>
      <c r="JC8">
        <v>-3.4973170000000001E-4</v>
      </c>
      <c r="JD8">
        <v>7.0559999999999997E-7</v>
      </c>
      <c r="JE8">
        <v>0.3092034783</v>
      </c>
      <c r="JF8">
        <v>0.35188479230000003</v>
      </c>
      <c r="JG8">
        <v>0.1416934983</v>
      </c>
      <c r="JH8">
        <v>114.8616700828</v>
      </c>
      <c r="JI8">
        <v>3.4503686567999998</v>
      </c>
      <c r="JJ8">
        <v>2.3577187000000002E-3</v>
      </c>
      <c r="JK8">
        <v>-6.15385E-5</v>
      </c>
      <c r="JL8">
        <v>3.2341162707</v>
      </c>
      <c r="JM8">
        <v>2.0031282142000002</v>
      </c>
      <c r="JN8">
        <v>0.65441008909999998</v>
      </c>
      <c r="JO8">
        <v>3.0263750002999998</v>
      </c>
      <c r="JP8">
        <v>2.4722499995999998</v>
      </c>
      <c r="JQ8">
        <v>4.0493750000000004</v>
      </c>
      <c r="JR8" s="17" t="s">
        <v>552</v>
      </c>
      <c r="JU8" s="17">
        <v>1</v>
      </c>
    </row>
    <row r="9" spans="1:281">
      <c r="A9" t="s">
        <v>659</v>
      </c>
      <c r="B9" t="s">
        <v>660</v>
      </c>
      <c r="C9" t="s">
        <v>661</v>
      </c>
      <c r="D9" t="s">
        <v>213</v>
      </c>
      <c r="E9">
        <v>3</v>
      </c>
      <c r="F9" t="s">
        <v>214</v>
      </c>
      <c r="G9" t="s">
        <v>215</v>
      </c>
      <c r="H9" t="s">
        <v>551</v>
      </c>
      <c r="I9" t="s">
        <v>217</v>
      </c>
      <c r="K9" t="s">
        <v>599</v>
      </c>
      <c r="L9" t="s">
        <v>600</v>
      </c>
      <c r="M9" t="s">
        <v>601</v>
      </c>
      <c r="N9" t="s">
        <v>602</v>
      </c>
      <c r="O9" t="s">
        <v>603</v>
      </c>
      <c r="P9">
        <v>0</v>
      </c>
      <c r="Q9">
        <v>0</v>
      </c>
      <c r="R9">
        <v>6.8999999985000002</v>
      </c>
      <c r="S9">
        <v>5.4999999992999999</v>
      </c>
      <c r="T9">
        <v>5.7999999989999997</v>
      </c>
      <c r="U9">
        <v>5.4999999992999999</v>
      </c>
      <c r="V9">
        <v>5.4999999992999999</v>
      </c>
      <c r="W9">
        <v>5.4999999992999999</v>
      </c>
      <c r="X9">
        <v>5.4</v>
      </c>
      <c r="Y9">
        <v>5.4</v>
      </c>
      <c r="Z9">
        <v>5.1999999996000001</v>
      </c>
      <c r="AA9">
        <v>5.2999999988999997</v>
      </c>
      <c r="AB9">
        <v>5.5999999986000004</v>
      </c>
      <c r="AC9">
        <v>4.9999999991999999</v>
      </c>
      <c r="AD9">
        <v>3.7999999986000002</v>
      </c>
      <c r="AE9">
        <v>2.8999999994999999</v>
      </c>
      <c r="AF9">
        <v>1.8</v>
      </c>
      <c r="AG9">
        <v>0.89999999909999995</v>
      </c>
      <c r="AH9">
        <v>0</v>
      </c>
      <c r="AI9">
        <v>2.4999999986999999</v>
      </c>
      <c r="AJ9">
        <v>5.2999999988999997</v>
      </c>
      <c r="AK9">
        <v>10.8999999993</v>
      </c>
      <c r="AL9">
        <v>17.8999999989</v>
      </c>
      <c r="AM9">
        <v>25.299999999299999</v>
      </c>
      <c r="AN9">
        <v>32.299999998899999</v>
      </c>
      <c r="AO9">
        <v>39.600000000100003</v>
      </c>
      <c r="AP9">
        <v>47.199999999100001</v>
      </c>
      <c r="AQ9">
        <v>54.799999999900002</v>
      </c>
      <c r="AR9">
        <v>62.699999998599999</v>
      </c>
      <c r="AS9">
        <v>70.899999998799998</v>
      </c>
      <c r="AT9">
        <v>78.999999999699995</v>
      </c>
      <c r="AU9">
        <v>86.699999999799999</v>
      </c>
      <c r="AV9">
        <v>94.599999998499996</v>
      </c>
      <c r="AW9">
        <v>102.69999999949999</v>
      </c>
      <c r="AX9">
        <v>111.19999999940001</v>
      </c>
      <c r="AY9">
        <v>119.49999999889999</v>
      </c>
      <c r="AZ9">
        <v>127.8999999995</v>
      </c>
      <c r="BA9">
        <v>136.49999999869999</v>
      </c>
      <c r="BB9">
        <v>144.2999999999</v>
      </c>
      <c r="BC9">
        <v>152.39999999899999</v>
      </c>
      <c r="BD9">
        <v>160.79999999969999</v>
      </c>
      <c r="BE9">
        <v>168.99999999990001</v>
      </c>
      <c r="BF9">
        <v>177.4999999998</v>
      </c>
      <c r="BG9">
        <v>185.99999999970001</v>
      </c>
      <c r="BH9">
        <v>194.39999999849999</v>
      </c>
      <c r="BI9">
        <v>202.29999999899999</v>
      </c>
      <c r="BJ9">
        <v>210.39999999989999</v>
      </c>
      <c r="BK9">
        <v>218.6000000002</v>
      </c>
      <c r="BL9">
        <v>226.7999999985</v>
      </c>
      <c r="BM9">
        <v>235.09999999990001</v>
      </c>
      <c r="BN9">
        <v>243.199999999</v>
      </c>
      <c r="BO9">
        <v>250.8999999991</v>
      </c>
      <c r="BP9">
        <v>258.39999999880001</v>
      </c>
      <c r="BQ9">
        <v>266.39999999859998</v>
      </c>
      <c r="BR9">
        <v>273.59999999860003</v>
      </c>
      <c r="BS9">
        <v>281.3999999998</v>
      </c>
      <c r="BT9">
        <v>289.10000000000002</v>
      </c>
      <c r="BU9">
        <v>296.99999999869999</v>
      </c>
      <c r="BV9">
        <v>304.00000000009999</v>
      </c>
      <c r="BW9">
        <v>310.79999999929998</v>
      </c>
      <c r="BX9">
        <v>318.19999999970003</v>
      </c>
      <c r="BY9">
        <v>325.10000000000002</v>
      </c>
      <c r="BZ9">
        <v>332.3</v>
      </c>
      <c r="CA9">
        <v>339.09999999920001</v>
      </c>
      <c r="CB9">
        <v>346.2999999992</v>
      </c>
      <c r="CC9">
        <v>352.89999999989999</v>
      </c>
      <c r="CD9">
        <v>358.89999999930001</v>
      </c>
      <c r="CE9">
        <v>364.99999999980002</v>
      </c>
      <c r="CF9">
        <v>371.49999999929997</v>
      </c>
      <c r="CG9">
        <v>377.59999999979999</v>
      </c>
      <c r="CH9">
        <v>383.7999999996</v>
      </c>
      <c r="CI9">
        <v>389.90000000010002</v>
      </c>
      <c r="CJ9">
        <v>395.99999999879998</v>
      </c>
      <c r="CK9">
        <v>402.29999999969999</v>
      </c>
      <c r="CL9">
        <v>408.09999999870001</v>
      </c>
      <c r="CM9">
        <v>413.59999999989998</v>
      </c>
      <c r="CN9">
        <v>418.79999999950002</v>
      </c>
      <c r="CO9">
        <v>424.59999999849998</v>
      </c>
      <c r="CP9">
        <v>429.89999999920002</v>
      </c>
      <c r="CQ9">
        <v>435.0999999988</v>
      </c>
      <c r="CR9">
        <v>440.49999999879998</v>
      </c>
      <c r="CS9">
        <v>445.89999999880001</v>
      </c>
      <c r="CT9">
        <v>451.49999999919999</v>
      </c>
      <c r="CU9">
        <v>456.59999999950003</v>
      </c>
      <c r="CV9">
        <v>460.19999999949999</v>
      </c>
      <c r="CW9">
        <v>460.1000000002</v>
      </c>
      <c r="CX9">
        <v>460.39999999989999</v>
      </c>
      <c r="CY9">
        <v>460.29999999879999</v>
      </c>
      <c r="CZ9">
        <v>460.29999999879999</v>
      </c>
      <c r="DA9">
        <v>460.19999999949999</v>
      </c>
      <c r="DB9">
        <v>460.29999999879999</v>
      </c>
      <c r="DC9">
        <v>460.19999999949999</v>
      </c>
      <c r="DD9">
        <v>460.39999999989999</v>
      </c>
      <c r="DE9">
        <v>460.29999999879999</v>
      </c>
      <c r="DF9">
        <v>460.29999999879999</v>
      </c>
      <c r="DG9">
        <v>460.29999999879999</v>
      </c>
      <c r="DH9">
        <v>7.3999999986000002</v>
      </c>
      <c r="DI9">
        <v>7.2</v>
      </c>
      <c r="DJ9">
        <v>7.2</v>
      </c>
      <c r="DK9">
        <v>7.2</v>
      </c>
      <c r="DL9">
        <v>7.0999999989000004</v>
      </c>
      <c r="DM9">
        <v>7.0999999989000004</v>
      </c>
      <c r="DN9">
        <v>6.9999999996</v>
      </c>
      <c r="DO9">
        <v>6.8999999985000002</v>
      </c>
      <c r="DP9">
        <v>6.7999999991999998</v>
      </c>
      <c r="DQ9">
        <v>6.5999999988000004</v>
      </c>
      <c r="DR9">
        <v>6.4000000002000004</v>
      </c>
      <c r="DS9">
        <v>5.6999999997000002</v>
      </c>
      <c r="DT9">
        <v>4.6000000001999997</v>
      </c>
      <c r="DU9">
        <v>3.6</v>
      </c>
      <c r="DV9">
        <v>2.4999999986999999</v>
      </c>
      <c r="DW9">
        <v>1.5999999996000001</v>
      </c>
      <c r="DX9">
        <v>2.0999999997000001</v>
      </c>
      <c r="DY9">
        <v>4.9999999991999999</v>
      </c>
      <c r="DZ9">
        <v>8.7999999996000007</v>
      </c>
      <c r="EA9">
        <v>15.8999999985</v>
      </c>
      <c r="EB9">
        <v>23.299999998899999</v>
      </c>
      <c r="EC9">
        <v>30.6</v>
      </c>
      <c r="ED9">
        <v>37.999999998600003</v>
      </c>
      <c r="EE9">
        <v>45.199999998700001</v>
      </c>
      <c r="EF9">
        <v>52.799999999500002</v>
      </c>
      <c r="EG9">
        <v>60.599999998900003</v>
      </c>
      <c r="EH9">
        <v>68.400000000099993</v>
      </c>
      <c r="EI9">
        <v>76.699999999599996</v>
      </c>
      <c r="EJ9">
        <v>84.899999999800002</v>
      </c>
      <c r="EK9">
        <v>92.499999998800007</v>
      </c>
      <c r="EL9">
        <v>100.5999999998</v>
      </c>
      <c r="EM9">
        <v>108.6999999989</v>
      </c>
      <c r="EN9">
        <v>117.0000000002</v>
      </c>
      <c r="EO9">
        <v>125.5000000001</v>
      </c>
      <c r="EP9">
        <v>134</v>
      </c>
      <c r="EQ9">
        <v>142.20000000019999</v>
      </c>
      <c r="ER9">
        <v>150.09999999889999</v>
      </c>
      <c r="ES9">
        <v>158.69999999999999</v>
      </c>
      <c r="ET9">
        <v>167.1999999999</v>
      </c>
      <c r="EU9">
        <v>175.59999999870001</v>
      </c>
      <c r="EV9">
        <v>184.0999999986</v>
      </c>
      <c r="EW9">
        <v>192.69999999960001</v>
      </c>
      <c r="EX9">
        <v>200.39999999969999</v>
      </c>
      <c r="EY9">
        <v>208.49999999880001</v>
      </c>
      <c r="EZ9">
        <v>216.8000000001</v>
      </c>
      <c r="FA9">
        <v>224.89999999930001</v>
      </c>
      <c r="FB9">
        <v>233.0999999995</v>
      </c>
      <c r="FC9">
        <v>241.69999999870001</v>
      </c>
      <c r="FD9">
        <v>249.59999999920001</v>
      </c>
      <c r="FE9">
        <v>257.2</v>
      </c>
      <c r="FF9">
        <v>265.29999999910001</v>
      </c>
      <c r="FG9">
        <v>272.99999999919999</v>
      </c>
      <c r="FH9">
        <v>280.69999999930002</v>
      </c>
      <c r="FI9">
        <v>288.59999999989998</v>
      </c>
      <c r="FJ9">
        <v>296.5999999997</v>
      </c>
      <c r="FK9">
        <v>303.79999999969999</v>
      </c>
      <c r="FL9">
        <v>310.59999999889999</v>
      </c>
      <c r="FM9">
        <v>318.09999999860003</v>
      </c>
      <c r="FN9">
        <v>324.99999999890002</v>
      </c>
      <c r="FO9">
        <v>332.39999999930001</v>
      </c>
      <c r="FP9">
        <v>339.5</v>
      </c>
      <c r="FQ9">
        <v>346.70000000009998</v>
      </c>
      <c r="FR9">
        <v>353.69999999970003</v>
      </c>
      <c r="FS9">
        <v>359.99999999879998</v>
      </c>
      <c r="FT9">
        <v>366.0999999993</v>
      </c>
      <c r="FU9">
        <v>372.7999999992</v>
      </c>
      <c r="FV9">
        <v>378.79999999860001</v>
      </c>
      <c r="FW9">
        <v>385.19999999880002</v>
      </c>
      <c r="FX9">
        <v>391.39999999859998</v>
      </c>
      <c r="FY9">
        <v>397.99999999919999</v>
      </c>
      <c r="FZ9">
        <v>403.9999999986</v>
      </c>
      <c r="GA9">
        <v>409.79999999939997</v>
      </c>
      <c r="GB9">
        <v>415.19999999949999</v>
      </c>
      <c r="GC9">
        <v>420.50000000019998</v>
      </c>
      <c r="GD9">
        <v>426.0999999988</v>
      </c>
      <c r="GE9">
        <v>431.49999999879998</v>
      </c>
      <c r="GF9">
        <v>436.59999999910002</v>
      </c>
      <c r="GG9">
        <v>441.7999999987</v>
      </c>
      <c r="GH9">
        <v>447.00000000009999</v>
      </c>
      <c r="GI9">
        <v>452.19999999970003</v>
      </c>
      <c r="GJ9">
        <v>456.69999999880002</v>
      </c>
      <c r="GK9">
        <v>460.1000000002</v>
      </c>
      <c r="GL9">
        <v>460.19999999949999</v>
      </c>
      <c r="GM9">
        <v>460.29999999879999</v>
      </c>
      <c r="GN9">
        <v>460.19999999949999</v>
      </c>
      <c r="GO9">
        <v>460.29999999879999</v>
      </c>
      <c r="GP9">
        <v>460.49999999919999</v>
      </c>
      <c r="GQ9">
        <v>460.49999999919999</v>
      </c>
      <c r="GR9">
        <v>460.49999999919999</v>
      </c>
      <c r="GS9">
        <v>460.19999999949999</v>
      </c>
      <c r="GT9">
        <v>460.49999999919999</v>
      </c>
      <c r="GU9">
        <v>460.29999999879999</v>
      </c>
      <c r="GV9">
        <v>460.29999999879999</v>
      </c>
      <c r="GW9">
        <v>460.39999999989999</v>
      </c>
      <c r="GX9">
        <v>1</v>
      </c>
      <c r="GY9">
        <v>106.80000000139999</v>
      </c>
      <c r="GZ9">
        <v>111.19999999940001</v>
      </c>
      <c r="HA9">
        <v>111.19999999940001</v>
      </c>
      <c r="HB9">
        <v>117.0000000002</v>
      </c>
      <c r="HC9">
        <v>112.6372461718</v>
      </c>
      <c r="HD9">
        <v>-5.8000000007999999</v>
      </c>
      <c r="HE9">
        <v>460.39997828209999</v>
      </c>
      <c r="HF9">
        <v>312.86029970610002</v>
      </c>
      <c r="HG9">
        <v>94.495656423699998</v>
      </c>
      <c r="HH9">
        <v>460.49999999919999</v>
      </c>
      <c r="HI9">
        <v>460.49999999919999</v>
      </c>
      <c r="HJ9">
        <v>460.39999999989999</v>
      </c>
      <c r="HK9">
        <v>460.49999999919999</v>
      </c>
      <c r="HL9">
        <v>114.9560117302</v>
      </c>
      <c r="HM9">
        <v>3.3127304993000002</v>
      </c>
      <c r="HN9">
        <v>3.2285812807999998</v>
      </c>
      <c r="HO9">
        <v>3.3063807127999998</v>
      </c>
      <c r="HP9">
        <v>3.2437849680999999</v>
      </c>
      <c r="HQ9">
        <v>3.5330154445000002</v>
      </c>
      <c r="HR9">
        <v>2.1725554078</v>
      </c>
      <c r="HS9">
        <v>18.141589748099999</v>
      </c>
      <c r="HT9">
        <v>-28.152492668600001</v>
      </c>
      <c r="HU9">
        <v>-192</v>
      </c>
      <c r="HV9">
        <v>425.49754587780001</v>
      </c>
      <c r="HW9">
        <v>98.533724340199996</v>
      </c>
      <c r="HX9">
        <v>672</v>
      </c>
      <c r="HY9">
        <v>18.141589748099999</v>
      </c>
      <c r="HZ9">
        <v>-28.152492668600001</v>
      </c>
      <c r="IA9">
        <v>-192</v>
      </c>
      <c r="IB9">
        <v>425.49754587780001</v>
      </c>
      <c r="IC9">
        <v>98.533724340199996</v>
      </c>
      <c r="ID9">
        <v>672</v>
      </c>
      <c r="IE9">
        <v>35.0024541214</v>
      </c>
      <c r="IF9">
        <v>4.7887935999999997E-3</v>
      </c>
      <c r="IG9">
        <v>-37.536656891500002</v>
      </c>
      <c r="IH9">
        <v>-256</v>
      </c>
      <c r="II9">
        <v>446.76425236189999</v>
      </c>
      <c r="IJ9">
        <v>107.91788856300001</v>
      </c>
      <c r="IK9">
        <v>736</v>
      </c>
      <c r="IL9">
        <v>407.35595612980001</v>
      </c>
      <c r="IM9">
        <v>126.6862170088</v>
      </c>
      <c r="IN9">
        <v>430.85062438940002</v>
      </c>
      <c r="IO9">
        <v>136.0703812317</v>
      </c>
      <c r="IP9">
        <v>7.0999999989000004</v>
      </c>
      <c r="IQ9">
        <v>5.6000000003999997</v>
      </c>
      <c r="IR9">
        <v>8.6000000009999997</v>
      </c>
      <c r="IS9">
        <v>6.9829731163000002</v>
      </c>
      <c r="IT9">
        <v>6.9829731163000002</v>
      </c>
      <c r="IU9">
        <v>4.9999999991999999</v>
      </c>
      <c r="IV9">
        <v>-30.4985337243</v>
      </c>
      <c r="IW9">
        <v>8.0999999990999996</v>
      </c>
      <c r="IX9">
        <v>86.803519061599999</v>
      </c>
      <c r="IY9">
        <v>6.6999999999000002</v>
      </c>
      <c r="IZ9">
        <v>105.57184750730001</v>
      </c>
      <c r="JA9">
        <v>-33.988386704699998</v>
      </c>
      <c r="JB9">
        <v>0.330504083</v>
      </c>
      <c r="JC9">
        <v>-3.2631439999999999E-4</v>
      </c>
      <c r="JD9">
        <v>6.5880000000000005E-7</v>
      </c>
      <c r="JE9">
        <v>0.30186578720000001</v>
      </c>
      <c r="JF9">
        <v>0.24124861359999999</v>
      </c>
      <c r="JG9">
        <v>9.1780749100000003E-2</v>
      </c>
      <c r="JH9">
        <v>113.11837007760001</v>
      </c>
      <c r="JI9">
        <v>3.5330154445000002</v>
      </c>
      <c r="JJ9">
        <v>2.4612140999999998E-3</v>
      </c>
      <c r="JK9">
        <v>-6.3360600000000005E-5</v>
      </c>
      <c r="JL9">
        <v>3.3127304993000002</v>
      </c>
      <c r="JM9">
        <v>1.1220025082</v>
      </c>
      <c r="JN9">
        <v>0.50404724999999995</v>
      </c>
      <c r="JO9">
        <v>3.0263749995000002</v>
      </c>
      <c r="JP9">
        <v>2.3870000002</v>
      </c>
      <c r="JQ9">
        <v>3.6657500004000001</v>
      </c>
      <c r="JR9" s="17" t="s">
        <v>552</v>
      </c>
      <c r="JU9" s="17">
        <v>1</v>
      </c>
    </row>
    <row r="10" spans="1:281">
      <c r="A10" t="s">
        <v>662</v>
      </c>
      <c r="B10" t="s">
        <v>663</v>
      </c>
      <c r="C10" t="s">
        <v>664</v>
      </c>
      <c r="D10" t="s">
        <v>213</v>
      </c>
      <c r="E10">
        <v>3</v>
      </c>
      <c r="F10" t="s">
        <v>214</v>
      </c>
      <c r="G10" t="s">
        <v>215</v>
      </c>
      <c r="H10" t="s">
        <v>551</v>
      </c>
      <c r="I10" t="s">
        <v>217</v>
      </c>
      <c r="K10" t="s">
        <v>607</v>
      </c>
      <c r="L10" t="s">
        <v>608</v>
      </c>
      <c r="M10" t="s">
        <v>609</v>
      </c>
      <c r="N10" t="s">
        <v>610</v>
      </c>
      <c r="O10" t="s">
        <v>611</v>
      </c>
      <c r="P10">
        <v>0</v>
      </c>
      <c r="Q10">
        <v>0</v>
      </c>
      <c r="R10">
        <v>0</v>
      </c>
      <c r="S10">
        <v>0.50000000010000001</v>
      </c>
      <c r="T10">
        <v>0.59999999940000004</v>
      </c>
      <c r="U10">
        <v>0.59999999940000004</v>
      </c>
      <c r="V10">
        <v>0.79999999980000003</v>
      </c>
      <c r="W10">
        <v>0.89999999909999995</v>
      </c>
      <c r="X10">
        <v>1.0000000002</v>
      </c>
      <c r="Y10">
        <v>1.0000000002</v>
      </c>
      <c r="Z10">
        <v>1.0000000002</v>
      </c>
      <c r="AA10">
        <v>0.89999999909999995</v>
      </c>
      <c r="AB10">
        <v>0.89999999909999995</v>
      </c>
      <c r="AC10">
        <v>1.2000000006</v>
      </c>
      <c r="AD10">
        <v>1.2000000006</v>
      </c>
      <c r="AE10">
        <v>1.0999999995</v>
      </c>
      <c r="AF10">
        <v>1.0999999995</v>
      </c>
      <c r="AG10">
        <v>1.2999999999</v>
      </c>
      <c r="AH10">
        <v>1.2999999999</v>
      </c>
      <c r="AI10">
        <v>1.5000000003</v>
      </c>
      <c r="AJ10">
        <v>1.5999999996000001</v>
      </c>
      <c r="AK10">
        <v>6.2999999990999997</v>
      </c>
      <c r="AL10">
        <v>13.1000000001</v>
      </c>
      <c r="AM10">
        <v>19.8</v>
      </c>
      <c r="AN10">
        <v>27.0999999993</v>
      </c>
      <c r="AO10">
        <v>34.499999999800004</v>
      </c>
      <c r="AP10">
        <v>42.299999999199997</v>
      </c>
      <c r="AQ10">
        <v>49.6000000003</v>
      </c>
      <c r="AR10">
        <v>57.5000000008</v>
      </c>
      <c r="AS10">
        <v>65.300000000200001</v>
      </c>
      <c r="AT10">
        <v>73.000000000300005</v>
      </c>
      <c r="AU10">
        <v>81.000000000100002</v>
      </c>
      <c r="AV10">
        <v>88.999999999899998</v>
      </c>
      <c r="AW10">
        <v>97.700000000299994</v>
      </c>
      <c r="AX10">
        <v>106.7999999996</v>
      </c>
      <c r="AY10">
        <v>116.2000000004</v>
      </c>
      <c r="AZ10">
        <v>124.20000000020001</v>
      </c>
      <c r="BA10">
        <v>132.49999999970001</v>
      </c>
      <c r="BB10">
        <v>140.6999999999</v>
      </c>
      <c r="BC10">
        <v>149.49999999950001</v>
      </c>
      <c r="BD10">
        <v>157.79999999899999</v>
      </c>
      <c r="BE10">
        <v>166.3000000008</v>
      </c>
      <c r="BF10">
        <v>174.39999999989999</v>
      </c>
      <c r="BG10">
        <v>182.60000000010001</v>
      </c>
      <c r="BH10">
        <v>191.0000000007</v>
      </c>
      <c r="BI10">
        <v>199.39999999950001</v>
      </c>
      <c r="BJ10">
        <v>207.7000000008</v>
      </c>
      <c r="BK10">
        <v>215.89999999919999</v>
      </c>
      <c r="BL10">
        <v>224.0000000002</v>
      </c>
      <c r="BM10">
        <v>231.70000000030001</v>
      </c>
      <c r="BN10">
        <v>239.60000000080001</v>
      </c>
      <c r="BO10">
        <v>247.49999999950001</v>
      </c>
      <c r="BP10">
        <v>255.6000000004</v>
      </c>
      <c r="BQ10">
        <v>263.4999999991</v>
      </c>
      <c r="BR10">
        <v>271.30000000029997</v>
      </c>
      <c r="BS10">
        <v>278.7000000008</v>
      </c>
      <c r="BT10">
        <v>285.90000000079999</v>
      </c>
      <c r="BU10">
        <v>293.49999999980002</v>
      </c>
      <c r="BV10">
        <v>300.79999999910001</v>
      </c>
      <c r="BW10">
        <v>308.39999999989999</v>
      </c>
      <c r="BX10">
        <v>315.39999999949998</v>
      </c>
      <c r="BY10">
        <v>322.29999999979998</v>
      </c>
      <c r="BZ10">
        <v>329.10000000079998</v>
      </c>
      <c r="CA10">
        <v>335.60000000029999</v>
      </c>
      <c r="CB10">
        <v>342.30000000029997</v>
      </c>
      <c r="CC10">
        <v>348.89999999899999</v>
      </c>
      <c r="CD10">
        <v>355.29999999929998</v>
      </c>
      <c r="CE10">
        <v>361.80000000059999</v>
      </c>
      <c r="CF10">
        <v>368.0999999997</v>
      </c>
      <c r="CG10">
        <v>374.40000000060002</v>
      </c>
      <c r="CH10">
        <v>380.4</v>
      </c>
      <c r="CI10">
        <v>386.0999999997</v>
      </c>
      <c r="CJ10">
        <v>391.90000000049997</v>
      </c>
      <c r="CK10">
        <v>397.89999999989999</v>
      </c>
      <c r="CL10">
        <v>403.8</v>
      </c>
      <c r="CM10">
        <v>409.10000000079998</v>
      </c>
      <c r="CN10">
        <v>414.80000000050001</v>
      </c>
      <c r="CO10">
        <v>420.29999999979998</v>
      </c>
      <c r="CP10">
        <v>425.30000000080003</v>
      </c>
      <c r="CQ10">
        <v>430.8000000001</v>
      </c>
      <c r="CR10">
        <v>435.4000000003</v>
      </c>
      <c r="CS10">
        <v>440.50000000059998</v>
      </c>
      <c r="CT10">
        <v>445.29999999939997</v>
      </c>
      <c r="CU10">
        <v>449.19999999909999</v>
      </c>
      <c r="CV10">
        <v>452.60000000050002</v>
      </c>
      <c r="CW10">
        <v>455.5999999993</v>
      </c>
      <c r="CX10">
        <v>457.00000000030002</v>
      </c>
      <c r="CY10">
        <v>456.79999999990002</v>
      </c>
      <c r="CZ10">
        <v>457.00000000030002</v>
      </c>
      <c r="DA10">
        <v>456.89999999920002</v>
      </c>
      <c r="DB10">
        <v>457.00000000030002</v>
      </c>
      <c r="DC10">
        <v>457.09999999960002</v>
      </c>
      <c r="DD10">
        <v>457.00000000030002</v>
      </c>
      <c r="DE10">
        <v>457.00000000030002</v>
      </c>
      <c r="DF10">
        <v>457.00000000030002</v>
      </c>
      <c r="DG10">
        <v>457.09999999960002</v>
      </c>
      <c r="DH10">
        <v>1.0000000002</v>
      </c>
      <c r="DI10">
        <v>1.8</v>
      </c>
      <c r="DJ10">
        <v>1.8</v>
      </c>
      <c r="DK10">
        <v>1.8999999993000001</v>
      </c>
      <c r="DL10">
        <v>2.0000000004</v>
      </c>
      <c r="DM10">
        <v>1.8999999993000001</v>
      </c>
      <c r="DN10">
        <v>1.8999999993000001</v>
      </c>
      <c r="DO10">
        <v>1.8999999993000001</v>
      </c>
      <c r="DP10">
        <v>2.2000000007999998</v>
      </c>
      <c r="DQ10">
        <v>2.0999999997000001</v>
      </c>
      <c r="DR10">
        <v>2.2000000007999998</v>
      </c>
      <c r="DS10">
        <v>2.3000000000999998</v>
      </c>
      <c r="DT10">
        <v>2.2000000007999998</v>
      </c>
      <c r="DU10">
        <v>2.3999999993999999</v>
      </c>
      <c r="DV10">
        <v>2.3000000000999998</v>
      </c>
      <c r="DW10">
        <v>2.3999999993999999</v>
      </c>
      <c r="DX10">
        <v>2.5999999998000001</v>
      </c>
      <c r="DY10">
        <v>2.5999999998000001</v>
      </c>
      <c r="DZ10">
        <v>5.4</v>
      </c>
      <c r="EA10">
        <v>12.699999999299999</v>
      </c>
      <c r="EB10">
        <v>19.500000000299998</v>
      </c>
      <c r="EC10">
        <v>26.700000000300001</v>
      </c>
      <c r="ED10">
        <v>34.299999999299999</v>
      </c>
      <c r="EE10">
        <v>41.799999999100002</v>
      </c>
      <c r="EF10">
        <v>49.399999999899997</v>
      </c>
      <c r="EG10">
        <v>57.000000000699998</v>
      </c>
      <c r="EH10">
        <v>64.700000000800003</v>
      </c>
      <c r="EI10">
        <v>72.399999999100004</v>
      </c>
      <c r="EJ10">
        <v>80.599999999299996</v>
      </c>
      <c r="EK10">
        <v>88.4000000005</v>
      </c>
      <c r="EL10">
        <v>96.999999999799996</v>
      </c>
      <c r="EM10">
        <v>104.99999999960001</v>
      </c>
      <c r="EN10">
        <v>114.4000000004</v>
      </c>
      <c r="EO10">
        <v>123.4000000004</v>
      </c>
      <c r="EP10">
        <v>131.7999999992</v>
      </c>
      <c r="EQ10">
        <v>140.19999999980001</v>
      </c>
      <c r="ER10">
        <v>148.8000000008</v>
      </c>
      <c r="ES10">
        <v>157.3000000008</v>
      </c>
      <c r="ET10">
        <v>165.80000000070001</v>
      </c>
      <c r="EU10">
        <v>174.19999999949999</v>
      </c>
      <c r="EV10">
        <v>182.19999999929999</v>
      </c>
      <c r="EW10">
        <v>190.8000000003</v>
      </c>
      <c r="EX10">
        <v>199.39999999950001</v>
      </c>
      <c r="EY10">
        <v>207.8000000001</v>
      </c>
      <c r="EZ10">
        <v>216.00000000029999</v>
      </c>
      <c r="FA10">
        <v>224.2999999999</v>
      </c>
      <c r="FB10">
        <v>232.0999999993</v>
      </c>
      <c r="FC10">
        <v>240.40000000059999</v>
      </c>
      <c r="FD10">
        <v>248.49999999970001</v>
      </c>
      <c r="FE10">
        <v>256.6999999999</v>
      </c>
      <c r="FF10">
        <v>264.80000000080003</v>
      </c>
      <c r="FG10">
        <v>272.6000000002</v>
      </c>
      <c r="FH10">
        <v>280.00000000070003</v>
      </c>
      <c r="FI10">
        <v>287.50000000040001</v>
      </c>
      <c r="FJ10">
        <v>295.29999999979998</v>
      </c>
      <c r="FK10">
        <v>302.90000000060002</v>
      </c>
      <c r="FL10">
        <v>310.4000000003</v>
      </c>
      <c r="FM10">
        <v>317.49999999919999</v>
      </c>
      <c r="FN10">
        <v>324.89999999960003</v>
      </c>
      <c r="FO10">
        <v>331.50000000019998</v>
      </c>
      <c r="FP10">
        <v>338.09999999899998</v>
      </c>
      <c r="FQ10">
        <v>345.19999999970003</v>
      </c>
      <c r="FR10">
        <v>352.00000000080001</v>
      </c>
      <c r="FS10">
        <v>358.59999999960002</v>
      </c>
      <c r="FT10">
        <v>365.29999999950002</v>
      </c>
      <c r="FU10">
        <v>371.49999999929997</v>
      </c>
      <c r="FV10">
        <v>378.09999999989998</v>
      </c>
      <c r="FW10">
        <v>383.7999999996</v>
      </c>
      <c r="FX10">
        <v>389.60000000039997</v>
      </c>
      <c r="FY10">
        <v>395.59999999979999</v>
      </c>
      <c r="FZ10">
        <v>401.29999999950002</v>
      </c>
      <c r="GA10">
        <v>407.10000000039997</v>
      </c>
      <c r="GB10">
        <v>412.8000000001</v>
      </c>
      <c r="GC10">
        <v>418.20000000009998</v>
      </c>
      <c r="GD10">
        <v>423.30000000040002</v>
      </c>
      <c r="GE10">
        <v>428.79999999969999</v>
      </c>
      <c r="GF10">
        <v>433.69999999959998</v>
      </c>
      <c r="GG10">
        <v>438.39999999909998</v>
      </c>
      <c r="GH10">
        <v>442.9</v>
      </c>
      <c r="GI10">
        <v>447.59999999950003</v>
      </c>
      <c r="GJ10">
        <v>450.60000000010001</v>
      </c>
      <c r="GK10">
        <v>453.79999999929998</v>
      </c>
      <c r="GL10">
        <v>456.39999999909998</v>
      </c>
      <c r="GM10">
        <v>456.70000000060003</v>
      </c>
      <c r="GN10">
        <v>457.00000000030002</v>
      </c>
      <c r="GO10">
        <v>456.79999999990002</v>
      </c>
      <c r="GP10">
        <v>456.79999999990002</v>
      </c>
      <c r="GQ10">
        <v>456.79999999990002</v>
      </c>
      <c r="GR10">
        <v>456.79999999990002</v>
      </c>
      <c r="GS10">
        <v>457.00000000030002</v>
      </c>
      <c r="GT10">
        <v>456.79999999990002</v>
      </c>
      <c r="GU10">
        <v>456.89999999920002</v>
      </c>
      <c r="GV10">
        <v>457.00000000030002</v>
      </c>
      <c r="GW10">
        <v>457.00000000030002</v>
      </c>
      <c r="GX10">
        <v>1</v>
      </c>
      <c r="GY10">
        <v>109.39999999939999</v>
      </c>
      <c r="GZ10">
        <v>106.7999999996</v>
      </c>
      <c r="HA10">
        <v>106.7999999996</v>
      </c>
      <c r="HB10">
        <v>114.4000000004</v>
      </c>
      <c r="HC10">
        <v>108.6390985667</v>
      </c>
      <c r="HD10">
        <v>-7.6000000007999997</v>
      </c>
      <c r="HE10">
        <v>457.00000000030002</v>
      </c>
      <c r="HF10">
        <v>303.20094081640002</v>
      </c>
      <c r="HG10">
        <v>88.488097581999995</v>
      </c>
      <c r="HH10">
        <v>457.09999999960002</v>
      </c>
      <c r="HI10">
        <v>457.00000000030002</v>
      </c>
      <c r="HJ10">
        <v>457.09999999960002</v>
      </c>
      <c r="HK10">
        <v>457.00000000030002</v>
      </c>
      <c r="HL10">
        <v>117.3020527859</v>
      </c>
      <c r="HM10">
        <v>3.3692157449</v>
      </c>
      <c r="HN10">
        <v>3.2968452360999998</v>
      </c>
      <c r="HO10">
        <v>3.3398032153999999</v>
      </c>
      <c r="HP10">
        <v>3.3543593294999998</v>
      </c>
      <c r="HQ10">
        <v>3.6098699874000002</v>
      </c>
      <c r="HR10">
        <v>2.2055046863999999</v>
      </c>
      <c r="HS10">
        <v>20.1510009846</v>
      </c>
      <c r="HT10">
        <v>-25.806451612899998</v>
      </c>
      <c r="HU10">
        <v>-176</v>
      </c>
      <c r="HV10">
        <v>411.84003938310002</v>
      </c>
      <c r="HW10">
        <v>93.841642228699996</v>
      </c>
      <c r="HX10">
        <v>640</v>
      </c>
      <c r="HY10">
        <v>20.1510009846</v>
      </c>
      <c r="HZ10">
        <v>-25.806451612899998</v>
      </c>
      <c r="IA10">
        <v>-176</v>
      </c>
      <c r="IB10">
        <v>411.84003938310002</v>
      </c>
      <c r="IC10">
        <v>93.841642228699996</v>
      </c>
      <c r="ID10">
        <v>640</v>
      </c>
      <c r="IE10">
        <v>45.159960617300001</v>
      </c>
      <c r="IF10">
        <v>1.504933815</v>
      </c>
      <c r="IG10">
        <v>-35.190615835800003</v>
      </c>
      <c r="IH10">
        <v>-240</v>
      </c>
      <c r="II10">
        <v>433.19366590060002</v>
      </c>
      <c r="IJ10">
        <v>103.22580645159999</v>
      </c>
      <c r="IK10">
        <v>704</v>
      </c>
      <c r="IL10">
        <v>391.68903839839999</v>
      </c>
      <c r="IM10">
        <v>119.6480938416</v>
      </c>
      <c r="IN10">
        <v>416.16026693049997</v>
      </c>
      <c r="IO10">
        <v>129.03225806450001</v>
      </c>
      <c r="IP10">
        <v>7.2999999992999998</v>
      </c>
      <c r="IQ10">
        <v>5.6999999997000002</v>
      </c>
      <c r="IR10">
        <v>9.4000000008000004</v>
      </c>
      <c r="IS10">
        <v>6.6248768116000001</v>
      </c>
      <c r="IT10">
        <v>6.6248768116000001</v>
      </c>
      <c r="IU10">
        <v>6.4000000002000004</v>
      </c>
      <c r="IV10">
        <v>-30.4985337243</v>
      </c>
      <c r="IW10">
        <v>10.0000000002</v>
      </c>
      <c r="IX10">
        <v>75.073313783000003</v>
      </c>
      <c r="IY10">
        <v>9.0999999992999996</v>
      </c>
      <c r="IZ10">
        <v>96.187683284499997</v>
      </c>
      <c r="JA10">
        <v>-32.014803143499996</v>
      </c>
      <c r="JB10">
        <v>0.32211776489999999</v>
      </c>
      <c r="JC10">
        <v>-3.2372839999999999E-4</v>
      </c>
      <c r="JD10">
        <v>6.8739999999999997E-7</v>
      </c>
      <c r="JE10">
        <v>0.29680497649999998</v>
      </c>
      <c r="JF10">
        <v>0.29475069949999999</v>
      </c>
      <c r="JG10">
        <v>0.1207355782</v>
      </c>
      <c r="JH10">
        <v>109.12544220149999</v>
      </c>
      <c r="JI10">
        <v>3.6098699874000002</v>
      </c>
      <c r="JJ10">
        <v>2.2688586000000001E-3</v>
      </c>
      <c r="JK10">
        <v>-6.9276200000000006E-5</v>
      </c>
      <c r="JL10">
        <v>3.3692157449</v>
      </c>
      <c r="JM10">
        <v>1.6169116937000001</v>
      </c>
      <c r="JN10">
        <v>0.62676761260000002</v>
      </c>
      <c r="JO10">
        <v>3.1116249997000001</v>
      </c>
      <c r="JP10">
        <v>2.4296249999000001</v>
      </c>
      <c r="JQ10">
        <v>4.0067500004000003</v>
      </c>
      <c r="JR10" s="17" t="s">
        <v>552</v>
      </c>
      <c r="JU10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67.1195041605</v>
      </c>
      <c r="D16" s="9">
        <f>AVERAGE(C18:C20)</f>
        <v>71.93800404080001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73.260996434800006</v>
      </c>
      <c r="D17" s="9">
        <f>AVERAGE(C21:C23)</f>
        <v>74.830870394266668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76.011122827700007</v>
      </c>
      <c r="D18" s="11">
        <f>AVERAGE(C24:C26)</f>
        <v>28.6314025243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60.626890457099996</v>
      </c>
      <c r="D19" s="6">
        <f>AVERAGE('Summary(3pcs)'!E35:E36)</f>
        <v>141.83480278518789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79.175998837600005</v>
      </c>
      <c r="D20" s="9">
        <f>AVERAGE('Summary(3pcs)'!E37:E39)</f>
        <v>148.30386153443789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74.491872266000001</v>
      </c>
      <c r="D21" s="9">
        <f>AVERAGE('Summary(3pcs)'!E40:E42)</f>
        <v>142.49401856520458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73.745750046300003</v>
      </c>
      <c r="D22" s="11">
        <f>AVERAGE('Summary(3pcs)'!E43:E45)</f>
        <v>-77.571495314862091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76.2549888705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73.894207572900001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-8.3160648945000002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-8.8191577372999994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-4.7476590693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-0.64096169140000003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-2.1956376039999999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-5.8573014780000001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-2.3788370000000001E-4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-5.6309608481249995</v>
      </c>
      <c r="C39" s="5">
        <f>'Summary(3pcs)'!M35</f>
        <v>-8.3160648945000002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-8.8191577372999994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-4.7476590693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-0.64096169140000003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-2.0132942414250001</v>
      </c>
      <c r="C43" s="8">
        <f>'Summary(3pcs)'!M40</f>
        <v>-2.1956376039999999</v>
      </c>
      <c r="D43" s="6">
        <f t="shared" ref="D43:D54" si="2">C55</f>
        <v>1.20638172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-5.8573014780000001</v>
      </c>
      <c r="D44" s="9">
        <f t="shared" si="2"/>
        <v>-3.9593904374999997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-2.3788370000000001E-4</v>
      </c>
      <c r="D45" s="11">
        <f t="shared" si="2"/>
        <v>6.5015856423000002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0</v>
      </c>
      <c r="D46" s="6">
        <f t="shared" si="2"/>
        <v>3.4933598974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0</v>
      </c>
      <c r="D47" s="9">
        <f t="shared" si="2"/>
        <v>1.3219256776999999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0</v>
      </c>
      <c r="D48" s="11">
        <f t="shared" si="2"/>
        <v>5.2668855034000002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-6.0502277019000008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1.8104842055500001</v>
      </c>
      <c r="C55" s="5">
        <f>'Summary(3pcs)'!N35</f>
        <v>1.20638172</v>
      </c>
      <c r="D55" s="6">
        <f>AVERAGE(D31:D33)</f>
        <v>-7.2942939003666654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-3.9593904374999997</v>
      </c>
      <c r="D56" s="9">
        <f>AVERAGE(D34:D36)</f>
        <v>-2.8979669244666666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6.5015856423000002</v>
      </c>
      <c r="D57" s="9">
        <f>AVERAGE(D37:D39)</f>
        <v>-7.9294566666666665E-5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3.4933598974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1.1346458697999999</v>
      </c>
      <c r="C59" s="8">
        <f>'Summary(3pcs)'!N40</f>
        <v>1.3219256776999999</v>
      </c>
      <c r="D59" s="9">
        <f>AVERAGE(D43:D45)</f>
        <v>1.2495256416000002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5.2668855034000002</v>
      </c>
      <c r="D60" s="9">
        <f>AVERAGE(D46:D48)</f>
        <v>3.3607236928333335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-6.0502277019000008</v>
      </c>
      <c r="D61" s="9">
        <f>AVERAGE(D49:D51)</f>
        <v>0.6499240993666664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4</v>
      </c>
      <c r="D63" s="6">
        <f>AVERAGE(C71:C73)</f>
        <v>5.6100050599999861E-2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4</v>
      </c>
      <c r="D64" s="9">
        <f>AVERAGE(C74:C76)</f>
        <v>3.5613961220000001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1.835055351233333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-3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4.4469661712666664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1.2864567438666665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-0.19059540826666677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0.37303304669999982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-3.5186228752000002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3.3138899802999999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1.7907781601000003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5.2564516068000007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3.6369585990999997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1.9571804999999998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1.1161098479999998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2.4318757056999996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-3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-3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-3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6.7595024108999997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4.5188035964999997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2.0625925063999997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2.5954513549999998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-0.7168812752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1.9808001517999996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-3.9969375729999999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-0.22057151789999985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3.6457228660999998</v>
      </c>
    </row>
    <row r="96" spans="1:7">
      <c r="A96" s="1" t="s">
        <v>87</v>
      </c>
      <c r="C96" s="5">
        <f>'Summary(3pcs)'!W44</f>
        <v>-3</v>
      </c>
    </row>
    <row r="97" spans="1:3">
      <c r="A97" s="1" t="s">
        <v>87</v>
      </c>
      <c r="C97" s="8">
        <f>'Summary(3pcs)'!W45</f>
        <v>-3</v>
      </c>
    </row>
    <row r="98" spans="1:3" ht="17.25" thickBot="1">
      <c r="A98" s="1" t="s">
        <v>87</v>
      </c>
      <c r="C98" s="10">
        <f>'Summary(3pcs)'!W46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2022-09-23T15:36:14Z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