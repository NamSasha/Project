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<sst xmlns="http://schemas.openxmlformats.org/spreadsheetml/2006/main" count="906" uniqueCount="563">
  <si>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</si>
  <si>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</si>
  <si>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</si>
  <si>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</si>
  <si>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</si>
  <si>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</si>
  <si>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</si>
  <si>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</si>
  <si>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</si>
  <si>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</si>
  <si>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</si>
  <si>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</si>
  <si>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</si>
  <si>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</si>
  <si>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</si>
  <si>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</si>
  <si>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</si>
  <si>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</si>
  <si>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</si>
  <si>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</si>
  <si>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</si>
  <si>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</si>
  <si>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</si>
  <si>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</si>
  <si>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</si>
  <si>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</si>
  <si>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</si>
  <si>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</si>
  <si>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</si>
  <si>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</si>
  <si>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</si>
  <si>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</si>
  <si>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</si>
  <si>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</si>
  <si>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</si>
  <si>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</si>
  <si>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</si>
  <si>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</si>
  <si>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</si>
  <si>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</si>
  <si>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</si>
  <si>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</si>
  <si>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</si>
  <si>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</si>
  <si>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</si>
  <si>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</si>
  <si>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</si>
  <si>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</si>
  <si>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</si>
  <si>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</si>
  <si>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</si>
  <si>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</si>
  <si>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</si>
  <si>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</si>
  <si>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</si>
  <si>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</si>
  <si>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</si>
  <si>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</si>
  <si>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</si>
  <si>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</si>
  <si>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</si>
  <si>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</si>
  <si>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</si>
  <si>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</si>
  <si>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</si>
  <si>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</si>
  <si>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</si>
  <si>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</si>
  <si>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</si>
  <si>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</si>
  <si>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</si>
  <si>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</si>
  <si>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</si>
  <si>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</si>
  <si>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</si>
  <si>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</si>
  <si>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</si>
  <si>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</si>
  <si>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</si>
  <si>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</si>
  <si>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</si>
  <si>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</si>
  <si>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</si>
  <si>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</si>
  <si>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</si>
  <si>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</si>
  <si>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</si>
  <si>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</si>
  <si>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</si>
  <si>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</si>
  <si>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</si>
  <si>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</si>
  <si>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</si>
  <si>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</si>
  <si>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</si>
  <si>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</si>
  <si>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</si>
  <si>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</si>
  <si>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</si>
  <si>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</si>
  <si>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</si>
  <si>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</si>
  <si>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</si>
  <si>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</si>
  <si>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</si>
  <si>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</si>
  <si>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</si>
  <si>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</si>
  <si>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</si>
  <si>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</si>
  <si>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</si>
  <si>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</si>
  <si>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</si>
  <si>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</si>
  <si>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</si>
  <si>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</si>
  <si>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</si>
  <si>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</si>
  <si>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</si>
  <si>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</si>
  <si>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</si>
  <si>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</si>
  <si>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</si>
  <si>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</si>
  <si>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</si>
  <si>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</si>
  <si>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</si>
  <si>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</si>
  <si>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</si>
  <si>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</si>
  <si>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</si>
  <si>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</si>
  <si>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</si>
  <si>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</si>
  <si>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</si>
  <si>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</si>
  <si>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</si>
  <si>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</si>
  <si>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</si>
  <si>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</si>
  <si>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</si>
  <si>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</si>
  <si>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</si>
  <si>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</si>
  <si>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</si>
  <si>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</si>
  <si>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</si>
  <si>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</si>
  <si>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</si>
  <si>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</si>
  <si>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</si>
  <si>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</si>
  <si>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</si>
  <si>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</si>
  <si>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</si>
  <si>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</si>
  <si>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</si>
  <si>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</si>
  <si>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</si>
  <si>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</si>
  <si>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</si>
  <si>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</si>
  <si>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</si>
  <si>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</si>
  <si>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</si>
  <si>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</si>
  <si>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</si>
  <si>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</si>
  <si>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</si>
  <si>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</si>
  <si>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</si>
  <si>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</si>
  <si>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</si>
  <si>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VSY841XN9NHR_2022092320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</si>
  <si>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</si>
  <si>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</si>
  <si>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</si>
  <si>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</si>
  <si>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</si>
  <si>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</si>
  <si>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</si>
  <si>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</si>
  <si>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</si>
  <si>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</si>
  <si>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</si>
  <si>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</si>
  <si>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</si>
  <si>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</si>
  <si>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</si>
  <si>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</si>
  <si>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</si>
  <si>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</si>
  <si>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</si>
  <si>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</si>
  <si>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</si>
  <si>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</si>
  <si>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</si>
  <si>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</si>
  <si>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</si>
  <si>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</si>
  <si>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</si>
  <si>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</si>
  <si>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</si>
  <si>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</si>
  <si>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</si>
  <si>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</si>
  <si>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</si>
  <si>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</si>
  <si>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</si>
  <si>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</si>
  <si>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T220923200316438VCMLEBC060</t>
  </si>
  <si>
    <t>'2022-09-23 20:03:25:652</t>
  </si>
  <si>
    <t>VCMLEBC060A</t>
  </si>
  <si>
    <t>DB_C1001</t>
  </si>
  <si>
    <t>210615ADOE</t>
  </si>
  <si>
    <t>R13A_OC_MFG_C10_21091603_b1779c9</t>
  </si>
  <si>
    <t xml:space="preserve"> VSY841XN9NHR</t>
  </si>
  <si>
    <t>22ca67140578</t>
  </si>
  <si>
    <t>0x52801162de41d501</t>
  </si>
  <si>
    <t>MF8C3538B4DPB3B6B937004123</t>
  </si>
  <si>
    <t>MF7C3527ABS323A7A637</t>
  </si>
  <si>
    <t>DNA22303035680M05A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</si>
  <si>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</si>
  <si>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</si>
  <si>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</si>
  <si>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</si>
  <si>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</si>
  <si>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</si>
  <si>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</si>
  <si>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</si>
  <si>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</si>
  <si>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</si>
  <si>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</si>
  <si>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</si>
  <si>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</si>
  <si>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</si>
  <si>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</si>
  <si>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</si>
  <si>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</si>
  <si>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</si>
  <si>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</si>
  <si>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</si>
  <si>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</si>
  <si>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</si>
  <si>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</si>
  <si>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</si>
  <si>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</si>
  <si>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</si>
  <si>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</si>
  <si>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</si>
  <si>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</si>
  <si>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</si>
  <si>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</si>
  <si>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</si>
  <si>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</si>
  <si>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</si>
  <si>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</si>
  <si>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</si>
  <si>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</si>
  <si>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T220923200343140VCMLEBC060</t>
  </si>
  <si>
    <t>'2022-09-23 20:04:11:624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</si>
  <si>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</si>
  <si>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</si>
  <si>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</si>
  <si>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</si>
  <si>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</si>
  <si>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</si>
  <si>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</si>
  <si>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</si>
  <si>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</si>
  <si>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</si>
  <si>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</si>
  <si>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</si>
  <si>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</si>
  <si>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</si>
  <si>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</si>
  <si>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</si>
  <si>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20:04:01:597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</si>
  <si>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</si>
  <si>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</si>
  <si>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</si>
  <si>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</si>
  <si>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</si>
  <si>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</si>
  <si>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</si>
  <si>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</si>
  <si>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</si>
  <si>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</si>
  <si>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</si>
  <si>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</si>
  <si>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</si>
  <si>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</si>
  <si>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</si>
  <si>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</si>
  <si>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</si>
  <si>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</si>
  <si>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</si>
  <si>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</si>
  <si>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</si>
  <si>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</si>
  <si>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</si>
  <si>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</si>
  <si>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</si>
  <si>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</si>
  <si>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</si>
  <si>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</si>
  <si>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</si>
  <si>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</si>
  <si>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</si>
  <si>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</si>
  <si>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</si>
  <si>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</si>
  <si>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</si>
  <si>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</si>
  <si>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</si>
  <si>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</si>
  <si>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</si>
  <si>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</si>
  <si>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</si>
  <si>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</si>
  <si>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</si>
  <si>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</si>
  <si>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</si>
  <si>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</si>
  <si>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</si>
  <si>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</si>
  <si>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</si>
  <si>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</si>
  <si>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</si>
  <si>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</si>
  <si>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</si>
  <si>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</si>
  <si>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</si>
  <si>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</si>
  <si>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</si>
  <si>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</si>
  <si>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</si>
  <si>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</si>
  <si>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</si>
  <si>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</si>
  <si>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</si>
  <si>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</si>
  <si>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</si>
  <si>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</si>
  <si>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</si>
  <si>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</si>
  <si>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</si>
  <si>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</si>
  <si>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</si>
  <si>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</si>
  <si>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</si>
  <si>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</si>
  <si>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</si>
  <si>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</si>
  <si>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</si>
  <si>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</si>
  <si>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</si>
  <si>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</si>
  <si>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</si>
  <si>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</si>
  <si>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</si>
  <si>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</si>
  <si>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</si>
  <si>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</si>
  <si>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</si>
  <si>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</si>
  <si>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</si>
  <si>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</si>
  <si>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</si>
  <si>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</si>
  <si>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</si>
  <si>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</si>
  <si>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</si>
  <si>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</si>
  <si>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</si>
  <si>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</si>
  <si>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</si>
  <si>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</si>
  <si>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</si>
  <si>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</si>
  <si>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</si>
  <si>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</si>
  <si>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</si>
  <si>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</si>
  <si>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</si>
  <si>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</si>
  <si>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</si>
  <si>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</si>
  <si>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</si>
  <si>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</si>
  <si>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</si>
  <si>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</si>
  <si>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</si>
  <si>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</si>
  <si>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</si>
  <si>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</si>
  <si>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</si>
  <si>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</si>
  <si>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</si>
  <si>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</si>
  <si>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</si>
  <si>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</si>
  <si>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</si>
  <si>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</si>
  <si>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</si>
  <si>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</si>
  <si>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</si>
  <si>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</si>
  <si>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</si>
  <si>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</si>
  <si>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</si>
  <si>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</si>
  <si>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</si>
  <si>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</si>
  <si>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</si>
  <si>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</si>
  <si>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</si>
  <si>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</si>
  <si>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</si>
  <si>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</si>
  <si>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</si>
  <si>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</si>
  <si>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</si>
  <si>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</si>
  <si>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</si>
  <si>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</si>
  <si>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</si>
  <si>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</si>
  <si>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</si>
  <si>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</si>
  <si>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</si>
  <si>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</si>
  <si>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</si>
  <si>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</si>
  <si>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</si>
  <si>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</si>
  <si>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</si>
  <si>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</si>
  <si>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</si>
  <si>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</si>
  <si>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</si>
  <si>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</si>
  <si>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</si>
  <si>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</si>
  <si>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</si>
  <si>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</si>
  <si>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</si>
  <si>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</si>
  <si>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</si>
  <si>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</si>
  <si>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</si>
  <si>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</si>
  <si>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</si>
  <si>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</si>
  <si>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</si>
  <si>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</si>
  <si>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</si>
  <si>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</si>
  <si>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</si>
  <si>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</si>
  <si>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</si>
  <si>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</si>
  <si>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</si>
  <si>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</si>
  <si>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</si>
  <si>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</si>
  <si>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</si>
  <si>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</si>
  <si>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</si>
  <si>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</si>
  <si>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</si>
  <si>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</si>
  <si>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</si>
  <si>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</si>
  <si>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</si>
  <si>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</si>
  <si>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</si>
  <si>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</si>
  <si>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</si>
  <si>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</si>
  <si>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</si>
  <si>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</si>
  <si>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</si>
  <si>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</si>
  <si>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</si>
  <si>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</si>
  <si>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</si>
  <si>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</si>
  <si>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</si>
  <si>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</si>
  <si>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</si>
  <si>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</si>
  <si>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</si>
  <si>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</si>
  <si>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</si>
  <si>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</si>
  <si>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</si>
  <si>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</si>
  <si>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</si>
  <si>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</si>
  <si>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</si>
  <si>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</si>
  <si>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</si>
  <si>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</si>
  <si>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</si>
  <si>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</si>
  <si>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</si>
  <si>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</si>
  <si>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</si>
  <si>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</si>
  <si>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</si>
  <si>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</si>
  <si>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</si>
  <si>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</si>
  <si>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</si>
  <si>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</si>
  <si>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</si>
  <si>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</si>
  <si>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</si>
  <si>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</si>
  <si>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</si>
  <si>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</si>
  <si>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</si>
  <si>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</si>
  <si>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</si>
  <si>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</si>
  <si>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</si>
  <si>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</si>
  <si>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</si>
  <si>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</si>
  <si>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</si>
  <si>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</si>
  <si>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</si>
  <si>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</si>
  <si>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</si>
  <si>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T220923200328346VCMLEBC060</t>
  </si>
  <si>
    <t>'2022-09-23 20:03:40:885</t>
  </si>
  <si>
    <t>R13A_IPQC_MFG_Laser_C10_21090805_b1779c9</t>
  </si>
  <si>
    <t>v9p4</t>
  </si>
  <si>
    <t>T220923200423256VCMLEBC060</t>
  </si>
  <si>
    <t>'2022-09-23 20:04:32:098</t>
  </si>
  <si>
    <t>22ca67140694</t>
  </si>
  <si>
    <t>0x52800562f09b2303</t>
  </si>
  <si>
    <t>MF8C3538B4S6B3B6C237002120</t>
  </si>
  <si>
    <t>MF7C3527ABSB23A7A648</t>
  </si>
  <si>
    <t>DNA22303035680M07A</t>
  </si>
  <si>
    <t>T220923200449466VCMLEBC060</t>
  </si>
  <si>
    <t>'2022-09-23 20:05:17:591</t>
  </si>
  <si>
    <t>'2022-09-23 20:05:07:563</t>
  </si>
  <si>
    <t>T220923200434734VCMLEBC060</t>
  </si>
  <si>
    <t>'2022-09-23 20:04:47:265</t>
  </si>
  <si>
    <t>T220923200539780VCMLEBC060</t>
  </si>
  <si>
    <t>'2022-09-23 20:05:48:636</t>
  </si>
  <si>
    <t>22ca67140365</t>
  </si>
  <si>
    <t>0x52801162eb17ec06</t>
  </si>
  <si>
    <t>MF8C3538B4RCB3B6B933007108</t>
  </si>
  <si>
    <t>MF7C3527ABS223A7A640</t>
  </si>
  <si>
    <t>DNA22253031560B05A</t>
  </si>
  <si>
    <t>T220923200606142VCMLEBC060</t>
  </si>
  <si>
    <t>'2022-09-23 20:06:34:281</t>
  </si>
  <si>
    <t>'2022-09-23 20:06:24:257</t>
  </si>
  <si>
    <t>T220923200551365VCMLEBC060</t>
  </si>
  <si>
    <t>'2022-09-23 20:06:03:903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</si>
</sst>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-9.8929313500999996</c:v>
                </c:pt>
                <c:pt idx="1">
                  <c:v>-4.7450099500000002E-2</c:v>
                </c:pt>
                <c:pt idx="2">
                  <c:v>-1.5401335772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-3.9285767147000001</c:v>
                </c:pt>
                <c:pt idx="1">
                  <c:v>-6.3740307768999998</c:v>
                </c:pt>
                <c:pt idx="2">
                  <c:v>-3.6281066089999996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-3.826838342266667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-4.6435713668666665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6528"/>
        <c:axId val="48328064"/>
      </c:scatterChart>
      <c:valAx>
        <c:axId val="48326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328064"/>
        <c:crosses val="autoZero"/>
        <c:crossBetween val="midCat"/>
        <c:majorUnit val="10"/>
      </c:valAx>
      <c:valAx>
        <c:axId val="483280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326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1168"/>
        <c:axId val="48637056"/>
      </c:scatterChart>
      <c:valAx>
        <c:axId val="486311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37056"/>
        <c:crosses val="autoZero"/>
        <c:crossBetween val="midCat"/>
        <c:majorUnit val="10"/>
      </c:valAx>
      <c:valAx>
        <c:axId val="48637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3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1632"/>
        <c:axId val="48663168"/>
      </c:scatterChart>
      <c:valAx>
        <c:axId val="486616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63168"/>
        <c:crosses val="autoZero"/>
        <c:crossBetween val="midCat"/>
        <c:majorUnit val="10"/>
      </c:valAx>
      <c:valAx>
        <c:axId val="486631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6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6752"/>
        <c:axId val="48992640"/>
      </c:scatterChart>
      <c:valAx>
        <c:axId val="489867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92640"/>
        <c:crosses val="autoZero"/>
        <c:crossBetween val="midCat"/>
        <c:majorUnit val="10"/>
      </c:valAx>
      <c:valAx>
        <c:axId val="489926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8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88.0716245112</c:v>
                </c:pt>
                <c:pt idx="1">
                  <c:v>86.077049281100003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86.924665797999992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4656"/>
        <c:axId val="59256192"/>
      </c:scatterChart>
      <c:valAx>
        <c:axId val="592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56192"/>
        <c:crosses val="autoZero"/>
        <c:crossBetween val="midCat"/>
      </c:valAx>
      <c:valAx>
        <c:axId val="592561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5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86.625323601700003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7792"/>
        <c:axId val="59299328"/>
      </c:scatterChart>
      <c:valAx>
        <c:axId val="5929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99328"/>
        <c:crosses val="autoZero"/>
        <c:crossBetween val="midCat"/>
      </c:valAx>
      <c:valAx>
        <c:axId val="592993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9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25600"/>
        <c:axId val="59227136"/>
      </c:scatterChart>
      <c:valAx>
        <c:axId val="5922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27136"/>
        <c:crosses val="autoZero"/>
        <c:crossBetween val="midCat"/>
      </c:valAx>
      <c:valAx>
        <c:axId val="592271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22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4320"/>
        <c:axId val="49305856"/>
      </c:scatterChart>
      <c:valAx>
        <c:axId val="4930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305856"/>
        <c:crosses val="autoZero"/>
        <c:crossBetween val="midCat"/>
      </c:valAx>
      <c:valAx>
        <c:axId val="493058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3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3200"/>
        <c:axId val="49369088"/>
      </c:scatterChart>
      <c:valAx>
        <c:axId val="493632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369088"/>
        <c:crosses val="autoZero"/>
        <c:crossBetween val="midCat"/>
        <c:majorUnit val="10"/>
      </c:valAx>
      <c:valAx>
        <c:axId val="493690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363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05952"/>
        <c:axId val="49407488"/>
      </c:scatterChart>
      <c:valAx>
        <c:axId val="494059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07488"/>
        <c:crosses val="autoZero"/>
        <c:crossBetween val="midCat"/>
        <c:majorUnit val="10"/>
      </c:valAx>
      <c:valAx>
        <c:axId val="494074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0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6640"/>
        <c:axId val="49458176"/>
      </c:scatterChart>
      <c:valAx>
        <c:axId val="494566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58176"/>
        <c:crosses val="autoZero"/>
        <c:crossBetween val="midCat"/>
        <c:majorUnit val="10"/>
      </c:valAx>
      <c:valAx>
        <c:axId val="494581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5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2.0622291565000008</c:v>
                </c:pt>
                <c:pt idx="1">
                  <c:v>-3.8175327777999999</c:v>
                </c:pt>
                <c:pt idx="2">
                  <c:v>-4.4719538689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3.4291048049999997</c:v>
                </c:pt>
                <c:pt idx="1">
                  <c:v>-4.1100509166999997</c:v>
                </c:pt>
                <c:pt idx="2">
                  <c:v>-1.2563158273999999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-2.0757524967333332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-0.64575397969999992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3232"/>
        <c:axId val="49509120"/>
      </c:scatterChart>
      <c:valAx>
        <c:axId val="495032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509120"/>
        <c:crosses val="autoZero"/>
        <c:crossBetween val="midCat"/>
        <c:majorUnit val="10"/>
      </c:valAx>
      <c:valAx>
        <c:axId val="495091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50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VSY841XN9NHR_2022092320_D50_ON_OC.csv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VSY841XN9NHR_2022092320_FPDC_INFD_normal.csv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VSY841XN9NHR_2022092320_INFDMargin_IPQC.csv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VSY841XN9NHR_2022092320_VCM_MEASURE.csv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22ca67140578</v>
      </c>
      <c r="C34" s="44">
        <f>IPQC!S2+VLOOKUP($R$31,$AD$38:$AK$42,6,FALSE)+VLOOKUP('File location'!$B$1,'Tester offset'!$A$2:$D$4,2,FALSE)</f>
        <v>88.0716245112</v>
      </c>
      <c r="D34" s="44">
        <f>IPQC!Z2+VLOOKUP($R$31,$AD$38:$AK$42,6,FALSE)</f>
        <v>80.940695884899995</v>
      </c>
      <c r="E34" s="44">
        <f>VCM!HU2-'Summary(3pcs)'!C34-'Summary(3pcs)'!$D$32</f>
        <v>155.60075504303791</v>
      </c>
      <c r="F34" s="90">
        <f>AVERAGEIF($A$34:$A$45,1,$C$34:$C$45)</f>
        <v>86.924665797999992</v>
      </c>
      <c r="G34" s="91">
        <f>AVERAGEIF($A$34:$A$45,1,$D$34:$D$45)</f>
        <v>78.33224701766666</v>
      </c>
      <c r="H34" s="91">
        <f>AVERAGEIF($A$34:$A$45,1,$E$34:$E$45)</f>
        <v>151.11501745567122</v>
      </c>
      <c r="I34" s="91">
        <f>85-F34</f>
        <v>-1.9246657979999924</v>
      </c>
      <c r="J34"/>
      <c r="K34" s="79">
        <f>T34</f>
        <v>1</v>
      </c>
      <c r="L34" s="80" t="str">
        <f>OC!J2</f>
        <v>22ca67140578</v>
      </c>
      <c r="M34" s="44">
        <f>OC!S2+VLOOKUP($R$31,$AD$38:$AK$42,4,FALSE)</f>
        <v>-9.8929313500999996</v>
      </c>
      <c r="N34" s="44">
        <f>OC!T2+VLOOKUP($R$31,$AD$38:$AK$42,5,FALSE)</f>
        <v>-3.9285767147000001</v>
      </c>
      <c r="O34" s="92">
        <f>AVERAGEIF($K$34:$K$45,1,$M$34:$M$45)</f>
        <v>-3.826838342266667</v>
      </c>
      <c r="P34" s="92">
        <f>AVERAGEIF($K$34:$K$45,1,$N$34:$N$45)</f>
        <v>-4.6435713668666665</v>
      </c>
      <c r="Q34" s="90">
        <f>P34*0.001</f>
        <v>-4.6435713668666664E-3</v>
      </c>
      <c r="R34" s="90">
        <f>O34*0.001</f>
        <v>-3.8268383422666672E-3</v>
      </c>
      <c r="T34" s="79">
        <v>1</v>
      </c>
      <c r="U34" s="80" t="str">
        <f>FPDC!J2</f>
        <v>22ca67140578</v>
      </c>
      <c r="V34" s="75">
        <f>FPDC!R2+VLOOKUP($R$31,$AD$38:$AK$42,2,FALSE)+VLOOKUP($R$31,$AD$38:$AK$42,7,FALSE)+VLOOKUP('File location'!$B$1,'Tester offset'!$A$2:$D$4,3,FALSE)</f>
        <v>2.0622291565000008</v>
      </c>
      <c r="W34" s="76">
        <f>FPDC!S2+VLOOKUP($R$31,$AD$38:$AK$42,3,FALSE)+VLOOKUP($R$31,$AD$38:$AK$42,8,FALSE)+VLOOKUP('File location'!$B$1,'Tester offset'!$A$2:$D$4,4,FALSE)</f>
        <v>3.4291048049999997</v>
      </c>
      <c r="X34" s="92">
        <f>AVERAGEIF($T$34:$T$45,1,$V$34:$V$45)</f>
        <v>-2.0757524967333332</v>
      </c>
      <c r="Y34" s="92">
        <f>AVERAGEIF($T$34:$T$45,1,$W$34:$W$45)</f>
        <v>-0.64575397969999992</v>
      </c>
      <c r="Z34" s="90">
        <f>(X34*-0.01)/4</f>
        <v>5.1893812418333327E-3</v>
      </c>
      <c r="AA34" s="90">
        <f>(Y34*-0.01)/4</f>
        <v>1.6143849492499997E-3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22ca67140694</v>
      </c>
      <c r="C35" s="44">
        <f>IPQC!S3+VLOOKUP($R$31,$AD$38:$AK$42,6,FALSE)+VLOOKUP('File location'!$B$1,'Tester offset'!$A$2:$D$4,2,FALSE)</f>
        <v>86.077049281100003</v>
      </c>
      <c r="D35" s="44">
        <f>IPQC!Z3+VLOOKUP($R$31,$AD$38:$AK$42,6,FALSE)</f>
        <v>75.836827595399996</v>
      </c>
      <c r="E35" s="44">
        <f>VCM!HU3-'Summary(3pcs)'!C35-'Summary(3pcs)'!$D$32</f>
        <v>150.13284995853792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22ca67140694</v>
      </c>
      <c r="M35" s="44">
        <f>OC!S3+VLOOKUP($R$31,$AD$38:$AK$42,4,FALSE)</f>
        <v>-4.7450099500000002E-2</v>
      </c>
      <c r="N35" s="44">
        <f>OC!T3+VLOOKUP($R$31,$AD$38:$AK$42,5,FALSE)</f>
        <v>-6.3740307768999998</v>
      </c>
      <c r="O35" s="92"/>
      <c r="P35" s="92"/>
      <c r="Q35" s="90"/>
      <c r="R35" s="90"/>
      <c r="T35" s="79">
        <v>1</v>
      </c>
      <c r="U35" s="80" t="str">
        <f>FPDC!J3</f>
        <v>22ca67140694</v>
      </c>
      <c r="V35" s="75">
        <f>FPDC!R3+VLOOKUP($R$31,$AD$38:$AK$42,2,FALSE)+VLOOKUP($R$31,$AD$38:$AK$42,7,FALSE)+VLOOKUP('File location'!$B$1,'Tester offset'!$A$2:$D$4,3,FALSE)</f>
        <v>-3.8175327777999999</v>
      </c>
      <c r="W35" s="76">
        <f>FPDC!S3+VLOOKUP($R$31,$AD$38:$AK$42,3,FALSE)+VLOOKUP($R$31,$AD$38:$AK$42,8,FALSE)+VLOOKUP('File location'!$B$1,'Tester offset'!$A$2:$D$4,4,FALSE)</f>
        <v>-4.1100509166999997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22ca67140365</v>
      </c>
      <c r="C36" s="44">
        <f>IPQC!S4+VLOOKUP($R$31,$AD$38:$AK$42,6,FALSE)+VLOOKUP('File location'!$B$1,'Tester offset'!$A$2:$D$4,2,FALSE)</f>
        <v>86.625323601700003</v>
      </c>
      <c r="D36" s="44">
        <f>IPQC!Z4+VLOOKUP($R$31,$AD$38:$AK$42,6,FALSE)</f>
        <v>78.219217572700003</v>
      </c>
      <c r="E36" s="44">
        <f>VCM!HU4-'Summary(3pcs)'!C36-'Summary(3pcs)'!$D$32</f>
        <v>147.61144736543787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22ca67140365</v>
      </c>
      <c r="M36" s="44">
        <f>OC!S4+VLOOKUP($R$31,$AD$38:$AK$42,4,FALSE)</f>
        <v>-1.5401335772</v>
      </c>
      <c r="N36" s="44">
        <f>OC!T4+VLOOKUP($R$31,$AD$38:$AK$42,5,FALSE)</f>
        <v>-3.6281066089999996</v>
      </c>
      <c r="O36" s="92"/>
      <c r="P36" s="92"/>
      <c r="Q36" s="90"/>
      <c r="R36" s="90"/>
      <c r="T36" s="79">
        <v>1</v>
      </c>
      <c r="U36" s="80" t="str">
        <f>FPDC!J4</f>
        <v>22ca67140365</v>
      </c>
      <c r="V36" s="75">
        <f>FPDC!R4+VLOOKUP($R$31,$AD$38:$AK$42,2,FALSE)+VLOOKUP($R$31,$AD$38:$AK$42,7,FALSE)+VLOOKUP('File location'!$B$1,'Tester offset'!$A$2:$D$4,3,FALSE)</f>
        <v>-4.4719538689</v>
      </c>
      <c r="W36" s="76">
        <f>FPDC!S4+VLOOKUP($R$31,$AD$38:$AK$42,3,FALSE)+VLOOKUP($R$31,$AD$38:$AK$42,8,FALSE)+VLOOKUP('File location'!$B$1,'Tester offset'!$A$2:$D$4,4,FALSE)</f>
        <v>-1.2563158273999999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-2</v>
      </c>
      <c r="D37" s="44">
        <f>IPQC!Z5+VLOOKUP($R$31,$AD$38:$AK$42,6,FALSE)</f>
        <v>6</v>
      </c>
      <c r="E37" s="44">
        <f>VCM!HU5-'Summary(3pcs)'!C37-'Summary(3pcs)'!$D$32</f>
        <v>-177.50310559006209</v>
      </c>
      <c r="F37" s="90">
        <f>AVERAGEIF($A$34:$A$45,2,$C$34:$C$45)</f>
        <v>-2</v>
      </c>
      <c r="G37" s="91">
        <f>AVERAGEIF($A$34:$A$45,2,$D$34:$D$45)</f>
        <v>6</v>
      </c>
      <c r="H37" s="91">
        <f>AVERAGEIF($A$34:$A$45,2,$E$34:$E$45)</f>
        <v>-177.50310559006209</v>
      </c>
      <c r="I37" s="91">
        <f>85-F37</f>
        <v>87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-6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-6</v>
      </c>
      <c r="Y37" s="92">
        <f>AVERAGEIF($T$34:$T$45,2,$W$34:$W$45)</f>
        <v>-3</v>
      </c>
      <c r="Z37" s="90">
        <f>(X37*-0.01)/4</f>
        <v>1.4999999999999999E-2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-2</v>
      </c>
      <c r="D38" s="44">
        <f>IPQC!Z6+VLOOKUP($R$31,$AD$38:$AK$42,6,FALSE)</f>
        <v>6</v>
      </c>
      <c r="E38" s="44">
        <f>VCM!HU6-'Summary(3pcs)'!C38-'Summary(3pcs)'!$D$32</f>
        <v>-177.50310559006209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-6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-2</v>
      </c>
      <c r="D39" s="44">
        <f>IPQC!Z7+VLOOKUP($R$31,$AD$38:$AK$42,6,FALSE)</f>
        <v>6</v>
      </c>
      <c r="E39" s="44">
        <f>VCM!HU7-'Summary(3pcs)'!C39-'Summary(3pcs)'!$D$32</f>
        <v>-177.50310559006209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-6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-2</v>
      </c>
      <c r="D40" s="44">
        <f>IPQC!Z8+VLOOKUP($R$31,$AD$38:$AK$42,6,FALSE)</f>
        <v>6</v>
      </c>
      <c r="E40" s="44">
        <f>VCM!HU8-'Summary(3pcs)'!C40-'Summary(3pcs)'!$D$32</f>
        <v>-177.50310559006209</v>
      </c>
      <c r="F40" s="90">
        <f>AVERAGEIF($A$34:$A$45,3,$C$34:$C$45)</f>
        <v>-2</v>
      </c>
      <c r="G40" s="91">
        <f>AVERAGEIF($A$34:$A$45,3,$D$34:$D$45)</f>
        <v>6</v>
      </c>
      <c r="H40" s="91">
        <f>AVERAGEIF($A$34:$A$45,3,$E$34:$E$45)</f>
        <v>-177.50310559006209</v>
      </c>
      <c r="I40" s="91">
        <f>85-F40</f>
        <v>87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-6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-6</v>
      </c>
      <c r="Y40" s="92">
        <f>AVERAGEIF($T$34:$T$45,3,$W$34:$W$45)</f>
        <v>-3</v>
      </c>
      <c r="Z40" s="90">
        <f>(X40*-0.01)/4</f>
        <v>1.4999999999999999E-2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-2</v>
      </c>
      <c r="D41" s="44">
        <f>IPQC!Z9+VLOOKUP($R$31,$AD$38:$AK$42,6,FALSE)</f>
        <v>6</v>
      </c>
      <c r="E41" s="44">
        <f>VCM!HU9-'Summary(3pcs)'!C41-'Summary(3pcs)'!$D$32</f>
        <v>-177.50310559006209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-6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-2</v>
      </c>
      <c r="D42" s="44">
        <f>IPQC!Z10+VLOOKUP($R$31,$AD$38:$AK$42,6,FALSE)</f>
        <v>6</v>
      </c>
      <c r="E42" s="44">
        <f>VCM!HU10-'Summary(3pcs)'!C42-'Summary(3pcs)'!$D$32</f>
        <v>-177.50310559006209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-6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-2</v>
      </c>
      <c r="D43" s="44">
        <f>IPQC!Z11+VLOOKUP($R$31,$AD$38:$AK$42,6,FALSE)</f>
        <v>6</v>
      </c>
      <c r="E43" s="44">
        <f>VCM!HU11-'Summary(3pcs)'!C43-'Summary(3pcs)'!$D$32</f>
        <v>-177.50310559006209</v>
      </c>
      <c r="F43" s="90">
        <f>AVERAGEIF($A$34:$A$45,4,$C$34:$C$45)</f>
        <v>-2</v>
      </c>
      <c r="G43" s="91">
        <f>AVERAGEIF($A$34:$A$45,4,$D$34:$D$45)</f>
        <v>6</v>
      </c>
      <c r="H43" s="91">
        <f>AVERAGEIF($A$34:$A$45,4,$E$34:$E$45)</f>
        <v>-177.50310559006209</v>
      </c>
      <c r="I43" s="91">
        <f>85-F43</f>
        <v>87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-6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-6</v>
      </c>
      <c r="Y43" s="92">
        <f>AVERAGEIF($T$34:$T$45,4,$W$34:$W$45)</f>
        <v>-3</v>
      </c>
      <c r="Z43" s="90">
        <f>(X43*-0.01)/4</f>
        <v>1.4999999999999999E-2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-2</v>
      </c>
      <c r="D44" s="44">
        <f>IPQC!Z12+VLOOKUP($R$31,$AD$38:$AK$42,6,FALSE)</f>
        <v>6</v>
      </c>
      <c r="E44" s="44">
        <f>VCM!HU12-'Summary(3pcs)'!C44-'Summary(3pcs)'!$D$32</f>
        <v>-177.50310559006209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-6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-2</v>
      </c>
      <c r="D45" s="44">
        <f>IPQC!Z13+VLOOKUP($R$31,$AD$38:$AK$42,6,FALSE)</f>
        <v>6</v>
      </c>
      <c r="E45" s="44">
        <f>VCM!HU13-'Summary(3pcs)'!C45-'Summary(3pcs)'!$D$32</f>
        <v>-177.50310559006209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-6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88.0716245112</v>
      </c>
      <c r="L54" s="49">
        <f t="shared" ref="L54:L65" si="4">D34</f>
        <v>80.940695884899995</v>
      </c>
      <c r="M54" s="49">
        <f t="shared" ref="M54:M65" si="5">E34</f>
        <v>155.60075504303791</v>
      </c>
      <c r="N54" s="49">
        <f t="shared" ref="N54:O65" si="6">M34</f>
        <v>-9.8929313500999996</v>
      </c>
      <c r="O54" s="49">
        <f t="shared" si="6"/>
        <v>-3.9285767147000001</v>
      </c>
      <c r="P54" s="49">
        <f t="shared" ref="P54:P65" si="7">V34</f>
        <v>2.0622291565000008</v>
      </c>
      <c r="Q54" s="50">
        <f t="shared" ref="Q54:Q65" si="8">W34</f>
        <v>3.4291048049999997</v>
      </c>
    </row>
    <row r="55" spans="6:27" ht="19.5">
      <c r="I55" s="47">
        <f t="shared" si="2"/>
        <v>1</v>
      </c>
      <c r="J55" s="46"/>
      <c r="K55" s="51">
        <f t="shared" si="3"/>
        <v>86.077049281100003</v>
      </c>
      <c r="L55" s="52">
        <f t="shared" si="4"/>
        <v>75.836827595399996</v>
      </c>
      <c r="M55" s="52">
        <f t="shared" si="5"/>
        <v>150.13284995853792</v>
      </c>
      <c r="N55" s="52">
        <f t="shared" si="6"/>
        <v>-4.7450099500000002E-2</v>
      </c>
      <c r="O55" s="52">
        <f t="shared" si="6"/>
        <v>-6.3740307768999998</v>
      </c>
      <c r="P55" s="52">
        <f t="shared" si="7"/>
        <v>-3.8175327777999999</v>
      </c>
      <c r="Q55" s="53">
        <f t="shared" si="8"/>
        <v>-4.1100509166999997</v>
      </c>
    </row>
    <row r="56" spans="6:27" ht="19.5">
      <c r="I56" s="47">
        <f t="shared" si="2"/>
        <v>1</v>
      </c>
      <c r="J56" s="46"/>
      <c r="K56" s="54">
        <f t="shared" si="3"/>
        <v>86.625323601700003</v>
      </c>
      <c r="L56" s="55">
        <f t="shared" si="4"/>
        <v>78.219217572700003</v>
      </c>
      <c r="M56" s="55">
        <f t="shared" si="5"/>
        <v>147.61144736543787</v>
      </c>
      <c r="N56" s="55">
        <f t="shared" si="6"/>
        <v>-1.5401335772</v>
      </c>
      <c r="O56" s="55">
        <f t="shared" si="6"/>
        <v>-3.6281066089999996</v>
      </c>
      <c r="P56" s="55">
        <f t="shared" si="7"/>
        <v>-4.4719538689</v>
      </c>
      <c r="Q56" s="56">
        <f t="shared" si="8"/>
        <v>-1.2563158273999999</v>
      </c>
    </row>
    <row r="57" spans="6:27" ht="19.5">
      <c r="I57" s="47">
        <f t="shared" si="2"/>
        <v>2</v>
      </c>
      <c r="J57" s="46"/>
      <c r="K57" s="57">
        <f t="shared" si="3"/>
        <v>-2</v>
      </c>
      <c r="L57" s="58">
        <f t="shared" si="4"/>
        <v>6</v>
      </c>
      <c r="M57" s="58">
        <f t="shared" si="5"/>
        <v>-177.50310559006209</v>
      </c>
      <c r="N57" s="58">
        <f t="shared" si="6"/>
        <v>0</v>
      </c>
      <c r="O57" s="58">
        <f t="shared" si="6"/>
        <v>4</v>
      </c>
      <c r="P57" s="58">
        <f t="shared" si="7"/>
        <v>-6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-2</v>
      </c>
      <c r="L58" s="58">
        <f t="shared" si="4"/>
        <v>6</v>
      </c>
      <c r="M58" s="58">
        <f t="shared" si="5"/>
        <v>-177.50310559006209</v>
      </c>
      <c r="N58" s="58">
        <f t="shared" si="6"/>
        <v>0</v>
      </c>
      <c r="O58" s="58">
        <f t="shared" si="6"/>
        <v>4</v>
      </c>
      <c r="P58" s="58">
        <f t="shared" si="7"/>
        <v>-6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-2</v>
      </c>
      <c r="L59" s="58">
        <f t="shared" si="4"/>
        <v>6</v>
      </c>
      <c r="M59" s="58">
        <f t="shared" si="5"/>
        <v>-177.50310559006209</v>
      </c>
      <c r="N59" s="58">
        <f t="shared" si="6"/>
        <v>0</v>
      </c>
      <c r="O59" s="58">
        <f t="shared" si="6"/>
        <v>4</v>
      </c>
      <c r="P59" s="58">
        <f t="shared" si="7"/>
        <v>-6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-2</v>
      </c>
      <c r="L60" s="61">
        <f t="shared" si="4"/>
        <v>6</v>
      </c>
      <c r="M60" s="61">
        <f t="shared" si="5"/>
        <v>-177.50310559006209</v>
      </c>
      <c r="N60" s="61">
        <f t="shared" si="6"/>
        <v>0</v>
      </c>
      <c r="O60" s="61">
        <f t="shared" si="6"/>
        <v>4</v>
      </c>
      <c r="P60" s="61">
        <f t="shared" si="7"/>
        <v>-6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-2</v>
      </c>
      <c r="L61" s="64">
        <f t="shared" si="4"/>
        <v>6</v>
      </c>
      <c r="M61" s="64">
        <f t="shared" si="5"/>
        <v>-177.50310559006209</v>
      </c>
      <c r="N61" s="64">
        <f t="shared" si="6"/>
        <v>0</v>
      </c>
      <c r="O61" s="64">
        <f t="shared" si="6"/>
        <v>4</v>
      </c>
      <c r="P61" s="64">
        <f t="shared" si="7"/>
        <v>-6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-2</v>
      </c>
      <c r="L62" s="67">
        <f t="shared" si="4"/>
        <v>6</v>
      </c>
      <c r="M62" s="67">
        <f t="shared" si="5"/>
        <v>-177.50310559006209</v>
      </c>
      <c r="N62" s="67">
        <f t="shared" si="6"/>
        <v>0</v>
      </c>
      <c r="O62" s="67">
        <f t="shared" si="6"/>
        <v>4</v>
      </c>
      <c r="P62" s="67">
        <f t="shared" si="7"/>
        <v>-6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-2</v>
      </c>
      <c r="L63" s="58">
        <f t="shared" si="4"/>
        <v>6</v>
      </c>
      <c r="M63" s="58">
        <f t="shared" si="5"/>
        <v>-177.50310559006209</v>
      </c>
      <c r="N63" s="58">
        <f t="shared" si="6"/>
        <v>0</v>
      </c>
      <c r="O63" s="58">
        <f t="shared" si="6"/>
        <v>4</v>
      </c>
      <c r="P63" s="58">
        <f t="shared" si="7"/>
        <v>-6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-2</v>
      </c>
      <c r="L64" s="58">
        <f t="shared" si="4"/>
        <v>6</v>
      </c>
      <c r="M64" s="58">
        <f t="shared" si="5"/>
        <v>-177.50310559006209</v>
      </c>
      <c r="N64" s="58">
        <f t="shared" si="6"/>
        <v>0</v>
      </c>
      <c r="O64" s="58">
        <f t="shared" si="6"/>
        <v>4</v>
      </c>
      <c r="P64" s="58">
        <f t="shared" si="7"/>
        <v>-6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-2</v>
      </c>
      <c r="L65" s="70">
        <f t="shared" si="4"/>
        <v>6</v>
      </c>
      <c r="M65" s="70">
        <f t="shared" si="5"/>
        <v>-177.50310559006209</v>
      </c>
      <c r="N65" s="70">
        <f t="shared" si="6"/>
        <v>0</v>
      </c>
      <c r="O65" s="70">
        <f t="shared" si="6"/>
        <v>4</v>
      </c>
      <c r="P65" s="70">
        <f t="shared" si="7"/>
        <v>-6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2102.6070686499002</v>
      </c>
      <c r="R2">
        <v>1520.4285767147001</v>
      </c>
      <c r="S2">
        <v>-9.8929313500999996</v>
      </c>
      <c r="T2">
        <v>-7.9285767147000001</v>
      </c>
      <c r="U2">
        <v>12.678029003700001</v>
      </c>
      <c r="V2">
        <v>736.14790000000005</v>
      </c>
      <c r="W2">
        <v>396.9717</v>
      </c>
      <c r="X2">
        <v>399.33210000000003</v>
      </c>
      <c r="Y2">
        <v>396.03870000000001</v>
      </c>
      <c r="Z2">
        <v>395.41180000000003</v>
      </c>
      <c r="AA2">
        <v>566.54323750000003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2112.4525499004999</v>
      </c>
      <c r="R3">
        <v>1522.8740307769001</v>
      </c>
      <c r="S3">
        <v>-4.7450099500000002E-2</v>
      </c>
      <c r="T3">
        <v>-10.3740307769</v>
      </c>
      <c r="U3">
        <v>10.374139293100001</v>
      </c>
      <c r="V3">
        <v>733.61389999999994</v>
      </c>
      <c r="W3">
        <v>394.64330000000001</v>
      </c>
      <c r="X3">
        <v>399.57850000000002</v>
      </c>
      <c r="Y3">
        <v>395.81569999999999</v>
      </c>
      <c r="Z3">
        <v>393.64420000000001</v>
      </c>
      <c r="AA3">
        <v>564.76716250000004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551</v>
      </c>
      <c r="B4" t="s">
        <v>552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2110.9598664228001</v>
      </c>
      <c r="R4">
        <v>1520.128106609</v>
      </c>
      <c r="S4">
        <v>-1.5401335772</v>
      </c>
      <c r="T4">
        <v>-7.6281066089999996</v>
      </c>
      <c r="U4">
        <v>7.7820319887</v>
      </c>
      <c r="V4">
        <v>727.29759999999999</v>
      </c>
      <c r="W4">
        <v>390.86869999999999</v>
      </c>
      <c r="X4">
        <v>391.66739999999999</v>
      </c>
      <c r="Y4">
        <v>390.10980000000001</v>
      </c>
      <c r="Z4">
        <v>387.3981</v>
      </c>
      <c r="AA4">
        <v>558.65430000000003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-9.7751999999999992E-6</v>
      </c>
      <c r="R2">
        <v>8.0622291565000008</v>
      </c>
      <c r="S2">
        <v>6.4291048049999997</v>
      </c>
      <c r="T2">
        <v>1.0702471733000001</v>
      </c>
      <c r="U2">
        <v>4.7076807022000002</v>
      </c>
      <c r="V2">
        <v>1.68296099E-2</v>
      </c>
      <c r="W2">
        <v>0.16943478579999999</v>
      </c>
      <c r="X2">
        <v>-1.5615776777000001</v>
      </c>
      <c r="Y2">
        <v>-1.9944427012999999</v>
      </c>
      <c r="Z2">
        <v>1.0507317781000001</v>
      </c>
      <c r="AA2">
        <v>0.46282055970000002</v>
      </c>
      <c r="AB2">
        <v>-2.5012607573999999</v>
      </c>
      <c r="AC2">
        <v>0.34764844179999999</v>
      </c>
      <c r="AD2">
        <v>-0.3902719617</v>
      </c>
      <c r="AE2">
        <v>-2.9482573299999999E-2</v>
      </c>
      <c r="AF2">
        <v>1.6819248199000001</v>
      </c>
      <c r="AG2">
        <v>0.33129069210000001</v>
      </c>
      <c r="AH2">
        <v>-0.4715911746</v>
      </c>
      <c r="AI2">
        <v>-0.40294182299999998</v>
      </c>
      <c r="AJ2">
        <v>-0.81949663159999997</v>
      </c>
      <c r="AK2">
        <v>1.289083E-4</v>
      </c>
      <c r="AL2">
        <v>3.6470361100000001E-2</v>
      </c>
      <c r="AM2">
        <v>0.12274345759999999</v>
      </c>
      <c r="AN2">
        <v>9.9708825299999998E-2</v>
      </c>
      <c r="AO2">
        <v>0.2191627622</v>
      </c>
      <c r="AP2">
        <v>0.2191627622</v>
      </c>
      <c r="AQ2">
        <v>10.3117858572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4.4107E-6</v>
      </c>
      <c r="R3">
        <v>2.1824672222000001</v>
      </c>
      <c r="S3">
        <v>-1.1100509166999999</v>
      </c>
      <c r="T3">
        <v>0.98523795599999997</v>
      </c>
      <c r="U3">
        <v>1.5027737617000001</v>
      </c>
      <c r="V3">
        <v>0.66084074969999995</v>
      </c>
      <c r="W3">
        <v>0.31431800129999998</v>
      </c>
      <c r="X3">
        <v>-3.7054276466</v>
      </c>
      <c r="Y3">
        <v>-0.95501339439999999</v>
      </c>
      <c r="Z3">
        <v>1.4752668142000001</v>
      </c>
      <c r="AA3">
        <v>-2.1929321288999999</v>
      </c>
      <c r="AB3">
        <v>-1.1025322676</v>
      </c>
      <c r="AC3">
        <v>-0.13628822569999999</v>
      </c>
      <c r="AD3">
        <v>0.13867716490000001</v>
      </c>
      <c r="AE3">
        <v>1.3153146505</v>
      </c>
      <c r="AF3">
        <v>0.85960340499999999</v>
      </c>
      <c r="AG3">
        <v>-0.43743476269999998</v>
      </c>
      <c r="AH3">
        <v>0.54752987620000004</v>
      </c>
      <c r="AI3">
        <v>-0.82581239939999995</v>
      </c>
      <c r="AJ3">
        <v>0.52264636750000004</v>
      </c>
      <c r="AK3">
        <v>1.6511919999999999E-4</v>
      </c>
      <c r="AL3">
        <v>4.4780388499999997E-2</v>
      </c>
      <c r="AM3">
        <v>5.2075568599999997E-2</v>
      </c>
      <c r="AN3">
        <v>7.5727462800000006E-2</v>
      </c>
      <c r="AO3">
        <v>0.1114673913</v>
      </c>
      <c r="AP3">
        <v>0.1114673913</v>
      </c>
      <c r="AQ3">
        <v>2.4485457344000001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1.3709000000000001E-6</v>
      </c>
      <c r="R4">
        <v>1.5280461311</v>
      </c>
      <c r="S4">
        <v>1.7436841726000001</v>
      </c>
      <c r="T4">
        <v>0.55590540170000002</v>
      </c>
      <c r="U4">
        <v>1.9317288399000001</v>
      </c>
      <c r="V4">
        <v>-1.992451787</v>
      </c>
      <c r="W4">
        <v>1.3489841223000001</v>
      </c>
      <c r="X4">
        <v>-2.6960685252999999</v>
      </c>
      <c r="Y4">
        <v>-1.3194233178999999</v>
      </c>
      <c r="Z4">
        <v>1.0342855452999999</v>
      </c>
      <c r="AA4">
        <v>-0.97250574830000003</v>
      </c>
      <c r="AB4">
        <v>-0.13862001900000001</v>
      </c>
      <c r="AC4">
        <v>0.85893243549999998</v>
      </c>
      <c r="AD4">
        <v>-0.52177953720000003</v>
      </c>
      <c r="AE4">
        <v>0.66370356080000004</v>
      </c>
      <c r="AF4">
        <v>0.85599350929999996</v>
      </c>
      <c r="AG4">
        <v>0.58908879759999999</v>
      </c>
      <c r="AH4">
        <v>0.20095054809999999</v>
      </c>
      <c r="AI4">
        <v>-0.3660623133</v>
      </c>
      <c r="AJ4">
        <v>-4.6300321800000002E-2</v>
      </c>
      <c r="AK4">
        <v>1.468893E-4</v>
      </c>
      <c r="AL4">
        <v>3.7925030999999998E-2</v>
      </c>
      <c r="AM4">
        <v>3.8303822299999998E-2</v>
      </c>
      <c r="AN4">
        <v>7.1851901699999998E-2</v>
      </c>
      <c r="AO4">
        <v>8.4929726999999997E-2</v>
      </c>
      <c r="AP4">
        <v>8.4929726999999997E-2</v>
      </c>
      <c r="AQ4">
        <v>2.3184821484999998</v>
      </c>
      <c r="AR4" t="s">
        <v>262</v>
      </c>
      <c r="AS4" t="s">
        <v>263</v>
      </c>
      <c r="AT4">
        <v>3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90.0716245112</v>
      </c>
      <c r="T2">
        <v>119.1089221447</v>
      </c>
      <c r="U2">
        <v>3.5645980914000002</v>
      </c>
      <c r="V2">
        <v>2.8811165000000001E-3</v>
      </c>
      <c r="W2">
        <v>-6.8415899999999997E-5</v>
      </c>
      <c r="X2">
        <v>3.3766423434999999</v>
      </c>
      <c r="Y2">
        <v>89.769574297700004</v>
      </c>
      <c r="Z2">
        <v>74.940695884899995</v>
      </c>
      <c r="AA2">
        <v>333.1038606331</v>
      </c>
      <c r="AB2">
        <v>355.6762211203</v>
      </c>
      <c r="AC2">
        <v>1</v>
      </c>
      <c r="AF2">
        <v>1</v>
      </c>
    </row>
    <row r="3" spans="1:32">
      <c r="A3" t="s">
        <v>546</v>
      </c>
      <c r="B3" t="s">
        <v>548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-9.3841642229000009</v>
      </c>
      <c r="R3">
        <v>-64</v>
      </c>
      <c r="S3">
        <v>88.077049281100003</v>
      </c>
      <c r="T3">
        <v>121.13847918970001</v>
      </c>
      <c r="U3">
        <v>3.5537493697999998</v>
      </c>
      <c r="V3">
        <v>2.6090169999999999E-3</v>
      </c>
      <c r="W3">
        <v>-6.9919599999999994E-5</v>
      </c>
      <c r="X3">
        <v>3.3557682688999999</v>
      </c>
      <c r="Y3">
        <v>87.975205557400002</v>
      </c>
      <c r="Z3">
        <v>69.836827595399996</v>
      </c>
      <c r="AA3">
        <v>327.63595554850002</v>
      </c>
      <c r="AB3">
        <v>349.46459909610002</v>
      </c>
      <c r="AC3">
        <v>1</v>
      </c>
      <c r="AF3">
        <v>1</v>
      </c>
    </row>
    <row r="4" spans="1:32">
      <c r="A4" t="s">
        <v>558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-8.2111436950000005</v>
      </c>
      <c r="R4">
        <v>-56</v>
      </c>
      <c r="S4">
        <v>88.625323601700003</v>
      </c>
      <c r="T4">
        <v>116.75983824950001</v>
      </c>
      <c r="U4">
        <v>3.4534616310000001</v>
      </c>
      <c r="V4">
        <v>2.7753567999999999E-3</v>
      </c>
      <c r="W4">
        <v>-6.3640300000000001E-5</v>
      </c>
      <c r="X4">
        <v>3.2846651551999999</v>
      </c>
      <c r="Y4">
        <v>88.623989974400004</v>
      </c>
      <c r="Z4">
        <v>72.219217572700003</v>
      </c>
      <c r="AA4">
        <v>325.11455295550002</v>
      </c>
      <c r="AB4">
        <v>346.63682783619998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1.9000000011</v>
      </c>
      <c r="R2">
        <v>0.20000000039999999</v>
      </c>
      <c r="S2">
        <v>0.1000000011</v>
      </c>
      <c r="T2">
        <v>0.1000000011</v>
      </c>
      <c r="U2">
        <v>0.20000000039999999</v>
      </c>
      <c r="V2">
        <v>0.20000000039999999</v>
      </c>
      <c r="W2">
        <v>0.20000000039999999</v>
      </c>
      <c r="X2">
        <v>0.1000000011</v>
      </c>
      <c r="Y2">
        <v>0.29999999970000002</v>
      </c>
      <c r="Z2">
        <v>0.29999999970000002</v>
      </c>
      <c r="AA2">
        <v>0.40000000079999998</v>
      </c>
      <c r="AB2">
        <v>0.29999999970000002</v>
      </c>
      <c r="AC2">
        <v>0.29999999970000002</v>
      </c>
      <c r="AD2">
        <v>0.1000000011</v>
      </c>
      <c r="AE2">
        <v>0</v>
      </c>
      <c r="AF2">
        <v>0.29999999970000002</v>
      </c>
      <c r="AG2">
        <v>0.29999999970000002</v>
      </c>
      <c r="AH2">
        <v>3.4000000014</v>
      </c>
      <c r="AI2">
        <v>8.6000000009999997</v>
      </c>
      <c r="AJ2">
        <v>14.9000000001</v>
      </c>
      <c r="AK2">
        <v>22.800000000600001</v>
      </c>
      <c r="AL2">
        <v>30.000000000699998</v>
      </c>
      <c r="AM2">
        <v>37.900000001199999</v>
      </c>
      <c r="AN2">
        <v>45.700000000599999</v>
      </c>
      <c r="AO2">
        <v>53.300000001400001</v>
      </c>
      <c r="AP2">
        <v>60.800000001100003</v>
      </c>
      <c r="AQ2">
        <v>67.900000000000006</v>
      </c>
      <c r="AR2">
        <v>76.300000000599994</v>
      </c>
      <c r="AS2">
        <v>84.300000000400004</v>
      </c>
      <c r="AT2">
        <v>92.700000001099994</v>
      </c>
      <c r="AU2">
        <v>100.7000000009</v>
      </c>
      <c r="AV2">
        <v>109.00000000039999</v>
      </c>
      <c r="AW2">
        <v>116.90000000089999</v>
      </c>
      <c r="AX2">
        <v>125.2000000004</v>
      </c>
      <c r="AY2">
        <v>133.60000000100001</v>
      </c>
      <c r="AZ2">
        <v>142.60000000100001</v>
      </c>
      <c r="BA2">
        <v>150.9000000005</v>
      </c>
      <c r="BB2">
        <v>159.3000000012</v>
      </c>
      <c r="BC2">
        <v>167.60000000069999</v>
      </c>
      <c r="BD2">
        <v>175.40000000009999</v>
      </c>
      <c r="BE2">
        <v>183.2000000013</v>
      </c>
      <c r="BF2">
        <v>192.30000000059999</v>
      </c>
      <c r="BG2">
        <v>201.39999999989999</v>
      </c>
      <c r="BH2">
        <v>209.70000000120001</v>
      </c>
      <c r="BI2">
        <v>217.80000000039999</v>
      </c>
      <c r="BJ2">
        <v>225.70000000089999</v>
      </c>
      <c r="BK2">
        <v>233.2000000006</v>
      </c>
      <c r="BL2">
        <v>241.90000000090001</v>
      </c>
      <c r="BM2">
        <v>249.70000000030001</v>
      </c>
      <c r="BN2">
        <v>258.10000000090002</v>
      </c>
      <c r="BO2">
        <v>266.99999999980002</v>
      </c>
      <c r="BP2">
        <v>274.19999999980001</v>
      </c>
      <c r="BQ2">
        <v>281.2000000013</v>
      </c>
      <c r="BR2">
        <v>289.10000000000002</v>
      </c>
      <c r="BS2">
        <v>297.20000000089999</v>
      </c>
      <c r="BT2">
        <v>304.50000000019998</v>
      </c>
      <c r="BU2">
        <v>312.30000000140001</v>
      </c>
      <c r="BV2">
        <v>319.300000001</v>
      </c>
      <c r="BW2">
        <v>327.10000000039997</v>
      </c>
      <c r="BX2">
        <v>333.30000000019999</v>
      </c>
      <c r="BY2">
        <v>341.09999999960002</v>
      </c>
      <c r="BZ2">
        <v>348.2000000004</v>
      </c>
      <c r="CA2">
        <v>354.9000000003</v>
      </c>
      <c r="CB2">
        <v>361.80000000059999</v>
      </c>
      <c r="CC2">
        <v>368.3000000001</v>
      </c>
      <c r="CD2">
        <v>374.60000000100001</v>
      </c>
      <c r="CE2">
        <v>381.00000000120002</v>
      </c>
      <c r="CF2">
        <v>387.70000000110002</v>
      </c>
      <c r="CG2">
        <v>394.00000000019998</v>
      </c>
      <c r="CH2">
        <v>400.00000000149998</v>
      </c>
      <c r="CI2">
        <v>406.30000000059999</v>
      </c>
      <c r="CJ2">
        <v>412.7000000008</v>
      </c>
      <c r="CK2">
        <v>418.10000000079998</v>
      </c>
      <c r="CL2">
        <v>423.70000000120001</v>
      </c>
      <c r="CM2">
        <v>429.20000000049998</v>
      </c>
      <c r="CN2">
        <v>434.69999999980001</v>
      </c>
      <c r="CO2">
        <v>440.50000000059998</v>
      </c>
      <c r="CP2">
        <v>446.30000000140001</v>
      </c>
      <c r="CQ2">
        <v>451.70000000139999</v>
      </c>
      <c r="CR2">
        <v>454.49999999980002</v>
      </c>
      <c r="CS2">
        <v>455.90000000079999</v>
      </c>
      <c r="CT2">
        <v>455.90000000079999</v>
      </c>
      <c r="CU2">
        <v>455.90000000079999</v>
      </c>
      <c r="CV2">
        <v>455.90000000079999</v>
      </c>
      <c r="CW2">
        <v>456.10000000119999</v>
      </c>
      <c r="CX2">
        <v>455.90000000079999</v>
      </c>
      <c r="CY2">
        <v>455.79999999969999</v>
      </c>
      <c r="CZ2">
        <v>455.79999999969999</v>
      </c>
      <c r="DA2">
        <v>455.79999999969999</v>
      </c>
      <c r="DB2">
        <v>456.10000000119999</v>
      </c>
      <c r="DC2">
        <v>456.00000000009999</v>
      </c>
      <c r="DD2">
        <v>456.10000000119999</v>
      </c>
      <c r="DE2">
        <v>455.79999999969999</v>
      </c>
      <c r="DF2">
        <v>455.79999999969999</v>
      </c>
      <c r="DG2">
        <v>1.6000000014</v>
      </c>
      <c r="DH2">
        <v>1.5000000003</v>
      </c>
      <c r="DI2">
        <v>1.0000000002</v>
      </c>
      <c r="DJ2">
        <v>1.5000000003</v>
      </c>
      <c r="DK2">
        <v>1.400000001</v>
      </c>
      <c r="DL2">
        <v>1.400000001</v>
      </c>
      <c r="DM2">
        <v>1.7000000007</v>
      </c>
      <c r="DN2">
        <v>1.5000000003</v>
      </c>
      <c r="DO2">
        <v>1.400000001</v>
      </c>
      <c r="DP2">
        <v>1.1000000013</v>
      </c>
      <c r="DQ2">
        <v>1.400000001</v>
      </c>
      <c r="DR2">
        <v>1.2999999999</v>
      </c>
      <c r="DS2">
        <v>1.400000001</v>
      </c>
      <c r="DT2">
        <v>1.2000000006</v>
      </c>
      <c r="DU2">
        <v>1.400000001</v>
      </c>
      <c r="DV2">
        <v>1.400000001</v>
      </c>
      <c r="DW2">
        <v>1.7000000007</v>
      </c>
      <c r="DX2">
        <v>6.8000000009999999</v>
      </c>
      <c r="DY2">
        <v>13.1000000001</v>
      </c>
      <c r="DZ2">
        <v>20.800000000200001</v>
      </c>
      <c r="EA2">
        <v>28.200000000700001</v>
      </c>
      <c r="EB2">
        <v>36.000000000100002</v>
      </c>
      <c r="EC2">
        <v>43.499999999800004</v>
      </c>
      <c r="ED2">
        <v>51.400000000299997</v>
      </c>
      <c r="EE2">
        <v>58.399999999899997</v>
      </c>
      <c r="EF2">
        <v>66.3999999997</v>
      </c>
      <c r="EG2">
        <v>73.700000000800003</v>
      </c>
      <c r="EH2">
        <v>82.000000000300005</v>
      </c>
      <c r="EI2">
        <v>90.600000001400005</v>
      </c>
      <c r="EJ2">
        <v>98.700000000499998</v>
      </c>
      <c r="EK2">
        <v>106.600000001</v>
      </c>
      <c r="EL2">
        <v>114.4000000004</v>
      </c>
      <c r="EM2">
        <v>122.4000000002</v>
      </c>
      <c r="EN2">
        <v>131.10000000049999</v>
      </c>
      <c r="EO2">
        <v>140.00000000119999</v>
      </c>
      <c r="EP2">
        <v>148.8000000008</v>
      </c>
      <c r="EQ2">
        <v>156.80000000070001</v>
      </c>
      <c r="ER2">
        <v>165.60000000030001</v>
      </c>
      <c r="ES2">
        <v>173.20000000109999</v>
      </c>
      <c r="ET2">
        <v>181.70000000100001</v>
      </c>
      <c r="EU2">
        <v>190.00000000049999</v>
      </c>
      <c r="EV2">
        <v>199.20000000089999</v>
      </c>
      <c r="EW2">
        <v>207.8000000001</v>
      </c>
      <c r="EX2">
        <v>216.2000000008</v>
      </c>
      <c r="EY2">
        <v>224.0000000002</v>
      </c>
      <c r="EZ2">
        <v>231.60000000100001</v>
      </c>
      <c r="FA2">
        <v>240.20000000019999</v>
      </c>
      <c r="FB2">
        <v>248.49999999970001</v>
      </c>
      <c r="FC2">
        <v>256.50000000130001</v>
      </c>
      <c r="FD2">
        <v>265.40000000020001</v>
      </c>
      <c r="FE2">
        <v>272.89999999989999</v>
      </c>
      <c r="FF2">
        <v>280.20000000110002</v>
      </c>
      <c r="FG2">
        <v>288.30000000019999</v>
      </c>
      <c r="FH2">
        <v>296.20000000070002</v>
      </c>
      <c r="FI2">
        <v>303.7000000004</v>
      </c>
      <c r="FJ2">
        <v>311.40000000049997</v>
      </c>
      <c r="FK2">
        <v>319.300000001</v>
      </c>
      <c r="FL2">
        <v>326.2000000013</v>
      </c>
      <c r="FM2">
        <v>333.00000000049999</v>
      </c>
      <c r="FN2">
        <v>340.40000000100002</v>
      </c>
      <c r="FO2">
        <v>347.40000000060002</v>
      </c>
      <c r="FP2">
        <v>354.40000000020001</v>
      </c>
      <c r="FQ2">
        <v>361.7000000013</v>
      </c>
      <c r="FR2">
        <v>368.0999999997</v>
      </c>
      <c r="FS2">
        <v>374.49999999990001</v>
      </c>
      <c r="FT2">
        <v>380.80000000080003</v>
      </c>
      <c r="FU2">
        <v>387.40000000139997</v>
      </c>
      <c r="FV2">
        <v>394.29999999990002</v>
      </c>
      <c r="FW2">
        <v>400.00000000149998</v>
      </c>
      <c r="FX2">
        <v>406.1000000002</v>
      </c>
      <c r="FY2">
        <v>412.5999999997</v>
      </c>
      <c r="FZ2">
        <v>418.30000000119998</v>
      </c>
      <c r="GA2">
        <v>423.60000000010001</v>
      </c>
      <c r="GB2">
        <v>429.10000000119999</v>
      </c>
      <c r="GC2">
        <v>434.50000000120002</v>
      </c>
      <c r="GD2">
        <v>440.40000000129999</v>
      </c>
      <c r="GE2">
        <v>445.90000000060002</v>
      </c>
      <c r="GF2">
        <v>450.60000000010001</v>
      </c>
      <c r="GG2">
        <v>454.10000000079998</v>
      </c>
      <c r="GH2">
        <v>455.5</v>
      </c>
      <c r="GI2">
        <v>456.00000000009999</v>
      </c>
      <c r="GJ2">
        <v>455.7000000004</v>
      </c>
      <c r="GK2">
        <v>455.79999999969999</v>
      </c>
      <c r="GL2">
        <v>455.79999999969999</v>
      </c>
      <c r="GM2">
        <v>455.90000000079999</v>
      </c>
      <c r="GN2">
        <v>455.90000000079999</v>
      </c>
      <c r="GO2">
        <v>455.90000000079999</v>
      </c>
      <c r="GP2">
        <v>455.7000000004</v>
      </c>
      <c r="GQ2">
        <v>455.7000000004</v>
      </c>
      <c r="GR2">
        <v>455.79999999969999</v>
      </c>
      <c r="GS2">
        <v>455.90000000079999</v>
      </c>
      <c r="GT2">
        <v>456.00000000009999</v>
      </c>
      <c r="GU2">
        <v>455.79999999969999</v>
      </c>
      <c r="GV2">
        <v>456.00000000009999</v>
      </c>
      <c r="GW2">
        <v>1</v>
      </c>
      <c r="GX2">
        <v>117.0000000002</v>
      </c>
      <c r="GY2">
        <v>116.90000000089999</v>
      </c>
      <c r="GZ2">
        <v>116.90000000089999</v>
      </c>
      <c r="HA2">
        <v>122.4000000002</v>
      </c>
      <c r="HB2">
        <v>118.34298870809999</v>
      </c>
      <c r="HC2">
        <v>-5.4999999992999999</v>
      </c>
      <c r="HD2">
        <v>455.99993421789998</v>
      </c>
      <c r="HE2">
        <v>304.83249643620002</v>
      </c>
      <c r="HF2">
        <v>103.2120600817</v>
      </c>
      <c r="HG2">
        <v>456.10000000119999</v>
      </c>
      <c r="HH2">
        <v>456.00000000009999</v>
      </c>
      <c r="HI2">
        <v>456.10000000119999</v>
      </c>
      <c r="HJ2">
        <v>456.00000000009999</v>
      </c>
      <c r="HK2">
        <v>110.26392961880001</v>
      </c>
      <c r="HL2">
        <v>3.3766423434999999</v>
      </c>
      <c r="HM2">
        <v>3.3032918232999999</v>
      </c>
      <c r="HN2">
        <v>3.335835587</v>
      </c>
      <c r="HO2">
        <v>3.1979451427000001</v>
      </c>
      <c r="HP2">
        <v>3.5645980914000002</v>
      </c>
      <c r="HQ2">
        <v>2.2978724037</v>
      </c>
      <c r="HR2">
        <v>15.130928626399999</v>
      </c>
      <c r="HS2">
        <v>-30.4985337243</v>
      </c>
      <c r="HT2">
        <v>-208</v>
      </c>
      <c r="HU2">
        <v>423.17548514430001</v>
      </c>
      <c r="HV2">
        <v>93.841642228699996</v>
      </c>
      <c r="HW2">
        <v>640</v>
      </c>
      <c r="HX2">
        <v>15.130928626399999</v>
      </c>
      <c r="HY2">
        <v>-30.4985337243</v>
      </c>
      <c r="HZ2">
        <v>-208</v>
      </c>
      <c r="IA2">
        <v>423.17548514430001</v>
      </c>
      <c r="IB2">
        <v>93.841642228699996</v>
      </c>
      <c r="IC2">
        <v>640</v>
      </c>
      <c r="ID2">
        <v>32.824514855799997</v>
      </c>
      <c r="IE2">
        <v>0.3020502135</v>
      </c>
      <c r="IF2">
        <v>-39.8826979472</v>
      </c>
      <c r="IG2">
        <v>-272</v>
      </c>
      <c r="IH2">
        <v>445.7478456316</v>
      </c>
      <c r="II2">
        <v>103.22580645159999</v>
      </c>
      <c r="IJ2">
        <v>704</v>
      </c>
      <c r="IK2">
        <v>408.04455651789999</v>
      </c>
      <c r="IL2">
        <v>124.3401759531</v>
      </c>
      <c r="IM2">
        <v>430.7807367611</v>
      </c>
      <c r="IN2">
        <v>133.724340176</v>
      </c>
      <c r="IO2">
        <v>7.7000000001000002</v>
      </c>
      <c r="IP2">
        <v>5.9000000001000004</v>
      </c>
      <c r="IQ2">
        <v>9.2000000003999993</v>
      </c>
      <c r="IR2">
        <v>5.6832785297999999</v>
      </c>
      <c r="IS2">
        <v>5.6832785297999999</v>
      </c>
      <c r="IT2">
        <v>4.4999999990999999</v>
      </c>
      <c r="IU2">
        <v>-32.844574780099997</v>
      </c>
      <c r="IV2">
        <v>7.2999999992999998</v>
      </c>
      <c r="IW2">
        <v>39.8826979472</v>
      </c>
      <c r="IX2">
        <v>5.7000000015000003</v>
      </c>
      <c r="IY2">
        <v>100.87976539589999</v>
      </c>
      <c r="IZ2">
        <v>-35.593418952</v>
      </c>
      <c r="JA2">
        <v>0.3295362241</v>
      </c>
      <c r="JB2">
        <v>-3.2328279999999999E-4</v>
      </c>
      <c r="JC2">
        <v>6.286E-7</v>
      </c>
      <c r="JD2">
        <v>0.29615218259999998</v>
      </c>
      <c r="JE2">
        <v>0.23974609190000001</v>
      </c>
      <c r="JF2">
        <v>9.9461205699999999E-2</v>
      </c>
      <c r="JG2">
        <v>119.1089221447</v>
      </c>
      <c r="JH2">
        <v>3.5645980914000002</v>
      </c>
      <c r="JI2">
        <v>2.8811165000000001E-3</v>
      </c>
      <c r="JJ2">
        <v>-6.8415899999999997E-5</v>
      </c>
      <c r="JK2">
        <v>3.3766423434999999</v>
      </c>
      <c r="JL2">
        <v>0.89401743659999999</v>
      </c>
      <c r="JM2">
        <v>0.47720854940000001</v>
      </c>
      <c r="JN2" t="s">
        <v>538</v>
      </c>
      <c r="JQ2">
        <v>1</v>
      </c>
    </row>
    <row r="3" spans="1:277">
      <c r="A3" t="s">
        <v>549</v>
      </c>
      <c r="B3" t="s">
        <v>550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0.1000000011</v>
      </c>
      <c r="R3">
        <v>0.1000000011</v>
      </c>
      <c r="S3">
        <v>0.20000000039999999</v>
      </c>
      <c r="T3">
        <v>0.3000000015</v>
      </c>
      <c r="U3">
        <v>0.1000000011</v>
      </c>
      <c r="V3">
        <v>0.20000000039999999</v>
      </c>
      <c r="W3">
        <v>0</v>
      </c>
      <c r="X3">
        <v>0.3000000015</v>
      </c>
      <c r="Y3">
        <v>0.50000000010000001</v>
      </c>
      <c r="Z3">
        <v>0.50000000010000001</v>
      </c>
      <c r="AA3">
        <v>0.40000000079999998</v>
      </c>
      <c r="AB3">
        <v>0.20000000039999999</v>
      </c>
      <c r="AC3">
        <v>0.20000000039999999</v>
      </c>
      <c r="AD3">
        <v>0.20000000039999999</v>
      </c>
      <c r="AE3">
        <v>0.3000000015</v>
      </c>
      <c r="AF3">
        <v>0.1000000011</v>
      </c>
      <c r="AG3">
        <v>2.1000000015000002</v>
      </c>
      <c r="AH3">
        <v>5.8000000007999999</v>
      </c>
      <c r="AI3">
        <v>10.9000000011</v>
      </c>
      <c r="AJ3">
        <v>18</v>
      </c>
      <c r="AK3">
        <v>25.000000001499998</v>
      </c>
      <c r="AL3">
        <v>32.4000000001</v>
      </c>
      <c r="AM3">
        <v>40.100000000199998</v>
      </c>
      <c r="AN3">
        <v>47.900000001400002</v>
      </c>
      <c r="AO3">
        <v>55.000000000299998</v>
      </c>
      <c r="AP3">
        <v>62.000000001700002</v>
      </c>
      <c r="AQ3">
        <v>69.900000000399999</v>
      </c>
      <c r="AR3">
        <v>77.600000000500003</v>
      </c>
      <c r="AS3">
        <v>86.000000001100005</v>
      </c>
      <c r="AT3">
        <v>94.1000000003</v>
      </c>
      <c r="AU3">
        <v>102.5000000009</v>
      </c>
      <c r="AV3">
        <v>109.9000000013</v>
      </c>
      <c r="AW3">
        <v>118.7000000009</v>
      </c>
      <c r="AX3">
        <v>128.10000000170001</v>
      </c>
      <c r="AY3">
        <v>136.2000000008</v>
      </c>
      <c r="AZ3">
        <v>145.10000000150001</v>
      </c>
      <c r="BA3">
        <v>153.50000000029999</v>
      </c>
      <c r="BB3">
        <v>161.20000000050001</v>
      </c>
      <c r="BC3">
        <v>169.4000000007</v>
      </c>
      <c r="BD3">
        <v>177.4000000005</v>
      </c>
      <c r="BE3">
        <v>186.10000000080001</v>
      </c>
      <c r="BF3">
        <v>194.7</v>
      </c>
      <c r="BG3">
        <v>203.2000000017</v>
      </c>
      <c r="BH3">
        <v>210.9</v>
      </c>
      <c r="BI3">
        <v>218.7000000013</v>
      </c>
      <c r="BJ3">
        <v>226.80000000039999</v>
      </c>
      <c r="BK3">
        <v>235.00000000060001</v>
      </c>
      <c r="BL3">
        <v>243.50000000049999</v>
      </c>
      <c r="BM3">
        <v>251.400000001</v>
      </c>
      <c r="BN3">
        <v>259.50000000009999</v>
      </c>
      <c r="BO3">
        <v>266.70000000009998</v>
      </c>
      <c r="BP3">
        <v>274.2000000017</v>
      </c>
      <c r="BQ3">
        <v>281.60000000029999</v>
      </c>
      <c r="BR3">
        <v>289.70000000120001</v>
      </c>
      <c r="BS3">
        <v>297.50000000059998</v>
      </c>
      <c r="BT3">
        <v>305.00000000030002</v>
      </c>
      <c r="BU3">
        <v>312.20000000030001</v>
      </c>
      <c r="BV3">
        <v>319.5000000014</v>
      </c>
      <c r="BW3">
        <v>326.30000000059999</v>
      </c>
      <c r="BX3">
        <v>333.20000000089999</v>
      </c>
      <c r="BY3">
        <v>339.90000000089998</v>
      </c>
      <c r="BZ3">
        <v>346.90000000049997</v>
      </c>
      <c r="CA3">
        <v>353.90000000010002</v>
      </c>
      <c r="CB3">
        <v>360.70000000110002</v>
      </c>
      <c r="CC3">
        <v>367.00000000019998</v>
      </c>
      <c r="CD3">
        <v>373.30000000109999</v>
      </c>
      <c r="CE3">
        <v>379.5000000009</v>
      </c>
      <c r="CF3">
        <v>385.40000000100002</v>
      </c>
      <c r="CG3">
        <v>391.40000000039998</v>
      </c>
      <c r="CH3">
        <v>397.80000000059999</v>
      </c>
      <c r="CI3">
        <v>404.20000000089999</v>
      </c>
      <c r="CJ3">
        <v>410.00000000170002</v>
      </c>
      <c r="CK3">
        <v>415.9</v>
      </c>
      <c r="CL3">
        <v>421.20000000070002</v>
      </c>
      <c r="CM3">
        <v>426.80000000109999</v>
      </c>
      <c r="CN3">
        <v>432.1</v>
      </c>
      <c r="CO3">
        <v>437.10000000100001</v>
      </c>
      <c r="CP3">
        <v>442.60000000029999</v>
      </c>
      <c r="CQ3">
        <v>448.00000000030002</v>
      </c>
      <c r="CR3">
        <v>453.2000000017</v>
      </c>
      <c r="CS3">
        <v>455.4000000007</v>
      </c>
      <c r="CT3">
        <v>455.6000000011</v>
      </c>
      <c r="CU3">
        <v>455.4000000007</v>
      </c>
      <c r="CV3">
        <v>455.7000000004</v>
      </c>
      <c r="CW3">
        <v>455.5</v>
      </c>
      <c r="CX3">
        <v>455.6000000011</v>
      </c>
      <c r="CY3">
        <v>455.6000000011</v>
      </c>
      <c r="CZ3">
        <v>455.4000000007</v>
      </c>
      <c r="DA3">
        <v>455.6000000011</v>
      </c>
      <c r="DB3">
        <v>455.5</v>
      </c>
      <c r="DC3">
        <v>455.6000000011</v>
      </c>
      <c r="DD3">
        <v>455.4000000007</v>
      </c>
      <c r="DE3">
        <v>455.7000000004</v>
      </c>
      <c r="DF3">
        <v>455.6000000011</v>
      </c>
      <c r="DG3">
        <v>0.90000000089999999</v>
      </c>
      <c r="DH3">
        <v>1.1000000013</v>
      </c>
      <c r="DI3">
        <v>1.1000000013</v>
      </c>
      <c r="DJ3">
        <v>1.2000000006</v>
      </c>
      <c r="DK3">
        <v>1.2000000006</v>
      </c>
      <c r="DL3">
        <v>1.3000000017</v>
      </c>
      <c r="DM3">
        <v>1.2000000006</v>
      </c>
      <c r="DN3">
        <v>1.3000000017</v>
      </c>
      <c r="DO3">
        <v>1.2000000006</v>
      </c>
      <c r="DP3">
        <v>1.2000000006</v>
      </c>
      <c r="DQ3">
        <v>1.0000000002</v>
      </c>
      <c r="DR3">
        <v>1.2000000006</v>
      </c>
      <c r="DS3">
        <v>1.400000001</v>
      </c>
      <c r="DT3">
        <v>1.3000000017</v>
      </c>
      <c r="DU3">
        <v>1.400000001</v>
      </c>
      <c r="DV3">
        <v>1.3000000017</v>
      </c>
      <c r="DW3">
        <v>4.8000000005999999</v>
      </c>
      <c r="DX3">
        <v>9.1000000010999997</v>
      </c>
      <c r="DY3">
        <v>16.1000000007</v>
      </c>
      <c r="DZ3">
        <v>23.300000000699999</v>
      </c>
      <c r="EA3">
        <v>30.6</v>
      </c>
      <c r="EB3">
        <v>38.000000000500002</v>
      </c>
      <c r="EC3">
        <v>46.000000000299998</v>
      </c>
      <c r="ED3">
        <v>53.100000000999998</v>
      </c>
      <c r="EE3">
        <v>60.400000000299997</v>
      </c>
      <c r="EF3">
        <v>68.000000001100005</v>
      </c>
      <c r="EG3">
        <v>75.800000000500006</v>
      </c>
      <c r="EH3">
        <v>83.800000000300003</v>
      </c>
      <c r="EI3">
        <v>92.200000001000006</v>
      </c>
      <c r="EJ3">
        <v>100.3000000001</v>
      </c>
      <c r="EK3">
        <v>107.90000000089999</v>
      </c>
      <c r="EL3">
        <v>115.600000001</v>
      </c>
      <c r="EM3">
        <v>125</v>
      </c>
      <c r="EN3">
        <v>133.9000000007</v>
      </c>
      <c r="EO3">
        <v>142.70000000030001</v>
      </c>
      <c r="EP3">
        <v>151.10000000100001</v>
      </c>
      <c r="EQ3">
        <v>159.10000000080001</v>
      </c>
      <c r="ER3">
        <v>166.90000000020001</v>
      </c>
      <c r="ES3">
        <v>175.50000000119999</v>
      </c>
      <c r="ET3">
        <v>183.9</v>
      </c>
      <c r="EU3">
        <v>192.40000000169999</v>
      </c>
      <c r="EV3">
        <v>201.1000000002</v>
      </c>
      <c r="EW3">
        <v>208.9000000014</v>
      </c>
      <c r="EX3">
        <v>217.20000000100001</v>
      </c>
      <c r="EY3">
        <v>225.00000000040001</v>
      </c>
      <c r="EZ3">
        <v>233.60000000139999</v>
      </c>
      <c r="FA3">
        <v>241.70000000050001</v>
      </c>
      <c r="FB3">
        <v>250.2000000004</v>
      </c>
      <c r="FC3">
        <v>258.10000000090002</v>
      </c>
      <c r="FD3">
        <v>265.20000000160002</v>
      </c>
      <c r="FE3">
        <v>273.30000000069998</v>
      </c>
      <c r="FF3">
        <v>281.1000000002</v>
      </c>
      <c r="FG3">
        <v>289.00000000070003</v>
      </c>
      <c r="FH3">
        <v>296.8000000001</v>
      </c>
      <c r="FI3">
        <v>304.50000000019998</v>
      </c>
      <c r="FJ3">
        <v>312.10000000100001</v>
      </c>
      <c r="FK3">
        <v>319.10000000060001</v>
      </c>
      <c r="FL3">
        <v>326.1000000002</v>
      </c>
      <c r="FM3">
        <v>332.8000000001</v>
      </c>
      <c r="FN3">
        <v>340.30000000170003</v>
      </c>
      <c r="FO3">
        <v>347.20000000020002</v>
      </c>
      <c r="FP3">
        <v>354.30000000090001</v>
      </c>
      <c r="FQ3">
        <v>361.00000000080001</v>
      </c>
      <c r="FR3">
        <v>367.60000000140002</v>
      </c>
      <c r="FS3">
        <v>373.70000000009998</v>
      </c>
      <c r="FT3">
        <v>380.20000000139999</v>
      </c>
      <c r="FU3">
        <v>386.2000000008</v>
      </c>
      <c r="FV3">
        <v>392.40000000060002</v>
      </c>
      <c r="FW3">
        <v>398.60000000039997</v>
      </c>
      <c r="FX3">
        <v>404.70000000099998</v>
      </c>
      <c r="FY3">
        <v>410.90000000079999</v>
      </c>
      <c r="FZ3">
        <v>416.30000000080003</v>
      </c>
      <c r="GA3">
        <v>422.30000000019999</v>
      </c>
      <c r="GB3">
        <v>427.20000000009998</v>
      </c>
      <c r="GC3">
        <v>432.50000000080001</v>
      </c>
      <c r="GD3">
        <v>437.8000000015</v>
      </c>
      <c r="GE3">
        <v>442.70000000139999</v>
      </c>
      <c r="GF3">
        <v>447.80000000170003</v>
      </c>
      <c r="GG3">
        <v>452.80000000090001</v>
      </c>
      <c r="GH3">
        <v>455.4000000007</v>
      </c>
      <c r="GI3">
        <v>455.4000000007</v>
      </c>
      <c r="GJ3">
        <v>455.5</v>
      </c>
      <c r="GK3">
        <v>455.4000000007</v>
      </c>
      <c r="GL3">
        <v>455.5</v>
      </c>
      <c r="GM3">
        <v>455.4000000007</v>
      </c>
      <c r="GN3">
        <v>455.4000000007</v>
      </c>
      <c r="GO3">
        <v>455.4000000007</v>
      </c>
      <c r="GP3">
        <v>455.4000000007</v>
      </c>
      <c r="GQ3">
        <v>455.5</v>
      </c>
      <c r="GR3">
        <v>455.4000000007</v>
      </c>
      <c r="GS3">
        <v>455.5</v>
      </c>
      <c r="GT3">
        <v>455.5</v>
      </c>
      <c r="GU3">
        <v>455.5</v>
      </c>
      <c r="GV3">
        <v>455.6000000011</v>
      </c>
      <c r="GW3">
        <v>1</v>
      </c>
      <c r="GX3">
        <v>121.000000001</v>
      </c>
      <c r="GY3">
        <v>118.7000000009</v>
      </c>
      <c r="GZ3">
        <v>118.7000000009</v>
      </c>
      <c r="HA3">
        <v>125</v>
      </c>
      <c r="HB3">
        <v>120.3849319585</v>
      </c>
      <c r="HC3">
        <v>-6.2999999990999997</v>
      </c>
      <c r="HD3">
        <v>455.6000000011</v>
      </c>
      <c r="HE3">
        <v>295.32807287110001</v>
      </c>
      <c r="HF3">
        <v>102.1447102728</v>
      </c>
      <c r="HG3">
        <v>455.7000000004</v>
      </c>
      <c r="HH3">
        <v>455.6000000011</v>
      </c>
      <c r="HI3">
        <v>455.7000000004</v>
      </c>
      <c r="HJ3">
        <v>455.6000000011</v>
      </c>
      <c r="HK3">
        <v>110.26392961880001</v>
      </c>
      <c r="HL3">
        <v>3.3557682688999999</v>
      </c>
      <c r="HM3">
        <v>3.2629772556000001</v>
      </c>
      <c r="HN3">
        <v>3.3441028345000001</v>
      </c>
      <c r="HO3">
        <v>3.1994974955000002</v>
      </c>
      <c r="HP3">
        <v>3.5537493697999998</v>
      </c>
      <c r="HQ3">
        <v>2.2751911105999998</v>
      </c>
      <c r="HR3">
        <v>18.240221685800002</v>
      </c>
      <c r="HS3">
        <v>-30.4985337243</v>
      </c>
      <c r="HT3">
        <v>-208</v>
      </c>
      <c r="HU3">
        <v>415.71300482970003</v>
      </c>
      <c r="HV3">
        <v>91.495601172999997</v>
      </c>
      <c r="HW3">
        <v>624</v>
      </c>
      <c r="HX3">
        <v>18.240221685800002</v>
      </c>
      <c r="HY3">
        <v>-30.4985337243</v>
      </c>
      <c r="HZ3">
        <v>-208</v>
      </c>
      <c r="IA3">
        <v>415.71300482970003</v>
      </c>
      <c r="IB3">
        <v>91.495601172999997</v>
      </c>
      <c r="IC3">
        <v>624</v>
      </c>
      <c r="ID3">
        <v>39.886995171499997</v>
      </c>
      <c r="IE3">
        <v>0.1018437237</v>
      </c>
      <c r="IF3">
        <v>-39.8826979472</v>
      </c>
      <c r="IG3">
        <v>-272</v>
      </c>
      <c r="IH3">
        <v>437.54164837719998</v>
      </c>
      <c r="II3">
        <v>100.87976539589999</v>
      </c>
      <c r="IJ3">
        <v>688</v>
      </c>
      <c r="IK3">
        <v>397.47278314390002</v>
      </c>
      <c r="IL3">
        <v>121.9941348974</v>
      </c>
      <c r="IM3">
        <v>420.93251755850002</v>
      </c>
      <c r="IN3">
        <v>131.37829912020001</v>
      </c>
      <c r="IO3">
        <v>7.0999999989000004</v>
      </c>
      <c r="IP3">
        <v>5.9999999994</v>
      </c>
      <c r="IQ3">
        <v>9.4000000008000004</v>
      </c>
      <c r="IR3">
        <v>6.2977323423999998</v>
      </c>
      <c r="IS3">
        <v>6.2977323423999998</v>
      </c>
      <c r="IT3">
        <v>5.1999999996000001</v>
      </c>
      <c r="IU3">
        <v>-32.844574780099997</v>
      </c>
      <c r="IV3">
        <v>7.4000000004000004</v>
      </c>
      <c r="IW3">
        <v>46.920821114399999</v>
      </c>
      <c r="IX3">
        <v>5.7000000015000003</v>
      </c>
      <c r="IY3">
        <v>100.87976539589999</v>
      </c>
      <c r="IZ3">
        <v>-36.3294825336</v>
      </c>
      <c r="JA3">
        <v>0.33187196279999998</v>
      </c>
      <c r="JB3">
        <v>-3.3537280000000002E-4</v>
      </c>
      <c r="JC3">
        <v>6.6469999999999996E-7</v>
      </c>
      <c r="JD3">
        <v>0.29799435480000003</v>
      </c>
      <c r="JE3">
        <v>0.29575514180000001</v>
      </c>
      <c r="JF3">
        <v>0.1214496893</v>
      </c>
      <c r="JG3">
        <v>121.13847918970001</v>
      </c>
      <c r="JH3">
        <v>3.5537493697999998</v>
      </c>
      <c r="JI3">
        <v>2.6090169999999999E-3</v>
      </c>
      <c r="JJ3">
        <v>-6.9919599999999994E-5</v>
      </c>
      <c r="JK3">
        <v>3.3557682688999999</v>
      </c>
      <c r="JL3">
        <v>1.5058875071</v>
      </c>
      <c r="JM3">
        <v>0.61918317789999999</v>
      </c>
      <c r="JN3" t="s">
        <v>538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0.90000000089999999</v>
      </c>
      <c r="R4">
        <v>0.40000000079999998</v>
      </c>
      <c r="S4">
        <v>0.20000000039999999</v>
      </c>
      <c r="T4">
        <v>0.20000000039999999</v>
      </c>
      <c r="U4">
        <v>0.29999999970000002</v>
      </c>
      <c r="V4">
        <v>0.29999999970000002</v>
      </c>
      <c r="W4">
        <v>0.20000000039999999</v>
      </c>
      <c r="X4">
        <v>0.1000000011</v>
      </c>
      <c r="Y4">
        <v>0.20000000039999999</v>
      </c>
      <c r="Z4">
        <v>0.1000000011</v>
      </c>
      <c r="AA4">
        <v>0</v>
      </c>
      <c r="AB4">
        <v>0.1000000011</v>
      </c>
      <c r="AC4">
        <v>0.20000000039999999</v>
      </c>
      <c r="AD4">
        <v>0.20000000039999999</v>
      </c>
      <c r="AE4">
        <v>0</v>
      </c>
      <c r="AF4">
        <v>0</v>
      </c>
      <c r="AG4">
        <v>0</v>
      </c>
      <c r="AH4">
        <v>4.0000000008000001</v>
      </c>
      <c r="AI4">
        <v>9.9000000009000004</v>
      </c>
      <c r="AJ4">
        <v>16.2</v>
      </c>
      <c r="AK4">
        <v>23.199999999599999</v>
      </c>
      <c r="AL4">
        <v>30.0999999999</v>
      </c>
      <c r="AM4">
        <v>37.5000000004</v>
      </c>
      <c r="AN4">
        <v>45.4000000009</v>
      </c>
      <c r="AO4">
        <v>52.999999999899998</v>
      </c>
      <c r="AP4">
        <v>60.300000001000001</v>
      </c>
      <c r="AQ4">
        <v>67.699999999599996</v>
      </c>
      <c r="AR4">
        <v>75.3999999997</v>
      </c>
      <c r="AS4">
        <v>83.099999999800005</v>
      </c>
      <c r="AT4">
        <v>90.900000001099997</v>
      </c>
      <c r="AU4">
        <v>99.299999999899995</v>
      </c>
      <c r="AV4">
        <v>107.7000000005</v>
      </c>
      <c r="AW4">
        <v>115.1000000009</v>
      </c>
      <c r="AX4">
        <v>122.99999999960001</v>
      </c>
      <c r="AY4">
        <v>130.6000000004</v>
      </c>
      <c r="AZ4">
        <v>139.10000000030001</v>
      </c>
      <c r="BA4">
        <v>147.3999999998</v>
      </c>
      <c r="BB4">
        <v>155.89999999969999</v>
      </c>
      <c r="BC4">
        <v>163.70000000100001</v>
      </c>
      <c r="BD4">
        <v>171.5999999997</v>
      </c>
      <c r="BE4">
        <v>179.5000000002</v>
      </c>
      <c r="BF4">
        <v>187.79999999969999</v>
      </c>
      <c r="BG4">
        <v>196.4000000007</v>
      </c>
      <c r="BH4">
        <v>204.6000000009</v>
      </c>
      <c r="BI4">
        <v>212.4000000003</v>
      </c>
      <c r="BJ4">
        <v>220.00000000119999</v>
      </c>
      <c r="BK4">
        <v>228.19999999960001</v>
      </c>
      <c r="BL4">
        <v>236.00000000079999</v>
      </c>
      <c r="BM4">
        <v>243.70000000089999</v>
      </c>
      <c r="BN4">
        <v>251.70000000069999</v>
      </c>
      <c r="BO4">
        <v>259.60000000119999</v>
      </c>
      <c r="BP4">
        <v>267.20000000020002</v>
      </c>
      <c r="BQ4">
        <v>274.6999999999</v>
      </c>
      <c r="BR4">
        <v>282.10000000039997</v>
      </c>
      <c r="BS4">
        <v>289.39999999970001</v>
      </c>
      <c r="BT4">
        <v>296.9000000012</v>
      </c>
      <c r="BU4">
        <v>304.40000000089998</v>
      </c>
      <c r="BV4">
        <v>311.90000000060002</v>
      </c>
      <c r="BW4">
        <v>318.80000000090001</v>
      </c>
      <c r="BX4">
        <v>325.60000000010001</v>
      </c>
      <c r="BY4">
        <v>332.40000000110001</v>
      </c>
      <c r="BZ4">
        <v>339.1000000011</v>
      </c>
      <c r="CA4">
        <v>345.99999999950001</v>
      </c>
      <c r="CB4">
        <v>352.6000000002</v>
      </c>
      <c r="CC4">
        <v>359.59999999979999</v>
      </c>
      <c r="CD4">
        <v>365.7999999996</v>
      </c>
      <c r="CE4">
        <v>371.80000000080003</v>
      </c>
      <c r="CF4">
        <v>378.20000000099998</v>
      </c>
      <c r="CG4">
        <v>384</v>
      </c>
      <c r="CH4">
        <v>390.30000000090001</v>
      </c>
      <c r="CI4">
        <v>396.20000000099998</v>
      </c>
      <c r="CJ4">
        <v>402.29999999969999</v>
      </c>
      <c r="CK4">
        <v>408.300000001</v>
      </c>
      <c r="CL4">
        <v>414.00000000070003</v>
      </c>
      <c r="CM4">
        <v>419.5</v>
      </c>
      <c r="CN4">
        <v>424.80000000069998</v>
      </c>
      <c r="CO4">
        <v>430.3</v>
      </c>
      <c r="CP4">
        <v>435.49999999959999</v>
      </c>
      <c r="CQ4">
        <v>440.80000000029997</v>
      </c>
      <c r="CR4">
        <v>445.99999999990001</v>
      </c>
      <c r="CS4">
        <v>450.60000000010001</v>
      </c>
      <c r="CT4">
        <v>453.60000000069999</v>
      </c>
      <c r="CU4">
        <v>453.7</v>
      </c>
      <c r="CV4">
        <v>453.7</v>
      </c>
      <c r="CW4">
        <v>453.60000000069999</v>
      </c>
      <c r="CX4">
        <v>453.80000000109999</v>
      </c>
      <c r="CY4">
        <v>453.7</v>
      </c>
      <c r="CZ4">
        <v>453.7</v>
      </c>
      <c r="DA4">
        <v>453.60000000069999</v>
      </c>
      <c r="DB4">
        <v>453.60000000069999</v>
      </c>
      <c r="DC4">
        <v>453.49999999959999</v>
      </c>
      <c r="DD4">
        <v>453.60000000069999</v>
      </c>
      <c r="DE4">
        <v>453.49999999959999</v>
      </c>
      <c r="DF4">
        <v>453.49999999959999</v>
      </c>
      <c r="DG4">
        <v>1.5999999996000001</v>
      </c>
      <c r="DH4">
        <v>1.5000000003</v>
      </c>
      <c r="DI4">
        <v>1.2999999999</v>
      </c>
      <c r="DJ4">
        <v>1.2000000006</v>
      </c>
      <c r="DK4">
        <v>1.2000000006</v>
      </c>
      <c r="DL4">
        <v>1.400000001</v>
      </c>
      <c r="DM4">
        <v>1.400000001</v>
      </c>
      <c r="DN4">
        <v>1.400000001</v>
      </c>
      <c r="DO4">
        <v>1.2999999999</v>
      </c>
      <c r="DP4">
        <v>1.0999999995</v>
      </c>
      <c r="DQ4">
        <v>1.2000000006</v>
      </c>
      <c r="DR4">
        <v>1.2000000006</v>
      </c>
      <c r="DS4">
        <v>1.400000001</v>
      </c>
      <c r="DT4">
        <v>1.2000000006</v>
      </c>
      <c r="DU4">
        <v>1.2000000006</v>
      </c>
      <c r="DV4">
        <v>1.0999999995</v>
      </c>
      <c r="DW4">
        <v>2.2000000007999998</v>
      </c>
      <c r="DX4">
        <v>7.7000000001000002</v>
      </c>
      <c r="DY4">
        <v>14.199999999599999</v>
      </c>
      <c r="DZ4">
        <v>21.200000000999999</v>
      </c>
      <c r="EA4">
        <v>28.299999999899999</v>
      </c>
      <c r="EB4">
        <v>35.5</v>
      </c>
      <c r="EC4">
        <v>43.200000000099998</v>
      </c>
      <c r="ED4">
        <v>50.800000000899999</v>
      </c>
      <c r="EE4">
        <v>58.500000000999997</v>
      </c>
      <c r="EF4">
        <v>65.399999999499997</v>
      </c>
      <c r="EG4">
        <v>73.200000000700001</v>
      </c>
      <c r="EH4">
        <v>80.700000000399996</v>
      </c>
      <c r="EI4">
        <v>88.799999999500002</v>
      </c>
      <c r="EJ4">
        <v>96.600000000799994</v>
      </c>
      <c r="EK4">
        <v>105.10000000070001</v>
      </c>
      <c r="EL4">
        <v>112.6000000004</v>
      </c>
      <c r="EM4">
        <v>120.1000000001</v>
      </c>
      <c r="EN4">
        <v>128.20000000100001</v>
      </c>
      <c r="EO4">
        <v>136.4000000012</v>
      </c>
      <c r="EP4">
        <v>144.80000000000001</v>
      </c>
      <c r="EQ4">
        <v>153.0000000002</v>
      </c>
      <c r="ER4">
        <v>161.5000000002</v>
      </c>
      <c r="ES4">
        <v>168.90000000059999</v>
      </c>
      <c r="ET4">
        <v>177.4000000005</v>
      </c>
      <c r="EU4">
        <v>185.49999999959999</v>
      </c>
      <c r="EV4">
        <v>194.10000000060001</v>
      </c>
      <c r="EW4">
        <v>202.1999999997</v>
      </c>
      <c r="EX4">
        <v>210.69999999960001</v>
      </c>
      <c r="EY4">
        <v>218.20000000120001</v>
      </c>
      <c r="EZ4">
        <v>226.5000000007</v>
      </c>
      <c r="FA4">
        <v>234.00000000040001</v>
      </c>
      <c r="FB4">
        <v>242.0000000002</v>
      </c>
      <c r="FC4">
        <v>250.1000000011</v>
      </c>
      <c r="FD4">
        <v>258.20000000020002</v>
      </c>
      <c r="FE4">
        <v>265.9000000003</v>
      </c>
      <c r="FF4">
        <v>273.50000000109998</v>
      </c>
      <c r="FG4">
        <v>280.80000000050001</v>
      </c>
      <c r="FH4">
        <v>288.30000000019999</v>
      </c>
      <c r="FI4">
        <v>295.79999999990002</v>
      </c>
      <c r="FJ4">
        <v>303.6000000011</v>
      </c>
      <c r="FK4">
        <v>311.20000000009998</v>
      </c>
      <c r="FL4">
        <v>318.00000000109998</v>
      </c>
      <c r="FM4">
        <v>324.89999999960003</v>
      </c>
      <c r="FN4">
        <v>331.79999999990002</v>
      </c>
      <c r="FO4">
        <v>338.60000000100001</v>
      </c>
      <c r="FP4">
        <v>345.6999999999</v>
      </c>
      <c r="FQ4">
        <v>352.3999999998</v>
      </c>
      <c r="FR4">
        <v>359.3000000001</v>
      </c>
      <c r="FS4">
        <v>365.7999999996</v>
      </c>
      <c r="FT4">
        <v>372.00000000120002</v>
      </c>
      <c r="FU4">
        <v>378.39999999960003</v>
      </c>
      <c r="FV4">
        <v>384.29999999969999</v>
      </c>
      <c r="FW4">
        <v>390.30000000090001</v>
      </c>
      <c r="FX4">
        <v>396.20000000099998</v>
      </c>
      <c r="FY4">
        <v>402.70000000060003</v>
      </c>
      <c r="FZ4">
        <v>408.7</v>
      </c>
      <c r="GA4">
        <v>414.30000000040002</v>
      </c>
      <c r="GB4">
        <v>419.5</v>
      </c>
      <c r="GC4">
        <v>424.9</v>
      </c>
      <c r="GD4">
        <v>430.50000000040001</v>
      </c>
      <c r="GE4">
        <v>435.49999999959999</v>
      </c>
      <c r="GF4">
        <v>440.50000000059998</v>
      </c>
      <c r="GG4">
        <v>445.40000000049997</v>
      </c>
      <c r="GH4">
        <v>449.80000000029997</v>
      </c>
      <c r="GI4">
        <v>453.4000000003</v>
      </c>
      <c r="GJ4">
        <v>453.4000000003</v>
      </c>
      <c r="GK4">
        <v>453.49999999959999</v>
      </c>
      <c r="GL4">
        <v>453.4000000003</v>
      </c>
      <c r="GM4">
        <v>453.49999999959999</v>
      </c>
      <c r="GN4">
        <v>453.49999999959999</v>
      </c>
      <c r="GO4">
        <v>453.49999999959999</v>
      </c>
      <c r="GP4">
        <v>453.4000000003</v>
      </c>
      <c r="GQ4">
        <v>453.1999999999</v>
      </c>
      <c r="GR4">
        <v>453.4000000003</v>
      </c>
      <c r="GS4">
        <v>453.49999999959999</v>
      </c>
      <c r="GT4">
        <v>453.60000000069999</v>
      </c>
      <c r="GU4">
        <v>453.4000000003</v>
      </c>
      <c r="GV4">
        <v>453.49999999959999</v>
      </c>
      <c r="GW4">
        <v>1</v>
      </c>
      <c r="GX4">
        <v>116.2000000004</v>
      </c>
      <c r="GY4">
        <v>115.1000000009</v>
      </c>
      <c r="GZ4">
        <v>115.1000000009</v>
      </c>
      <c r="HA4">
        <v>120.1000000001</v>
      </c>
      <c r="HB4">
        <v>116.3961534229</v>
      </c>
      <c r="HC4">
        <v>-4.9999999991999999</v>
      </c>
      <c r="HD4">
        <v>453.49999999959999</v>
      </c>
      <c r="HE4">
        <v>297.34372313429998</v>
      </c>
      <c r="HF4">
        <v>99.990047394000001</v>
      </c>
      <c r="HG4">
        <v>453.80000000109999</v>
      </c>
      <c r="HH4">
        <v>453.60000000069999</v>
      </c>
      <c r="HI4">
        <v>453.80000000109999</v>
      </c>
      <c r="HJ4">
        <v>453.60000000069999</v>
      </c>
      <c r="HK4">
        <v>112.6099706745</v>
      </c>
      <c r="HL4">
        <v>3.2846651551999999</v>
      </c>
      <c r="HM4">
        <v>3.2259528770000001</v>
      </c>
      <c r="HN4">
        <v>3.2497041667</v>
      </c>
      <c r="HO4">
        <v>3.1065858139999998</v>
      </c>
      <c r="HP4">
        <v>3.4534616310000001</v>
      </c>
      <c r="HQ4">
        <v>2.2930508920000001</v>
      </c>
      <c r="HR4">
        <v>16.406106029</v>
      </c>
      <c r="HS4">
        <v>-30.4985337243</v>
      </c>
      <c r="HT4">
        <v>-208</v>
      </c>
      <c r="HU4">
        <v>413.73987655719998</v>
      </c>
      <c r="HV4">
        <v>93.841642228699996</v>
      </c>
      <c r="HW4">
        <v>640</v>
      </c>
      <c r="HX4">
        <v>16.406106029</v>
      </c>
      <c r="HY4">
        <v>-30.4985337243</v>
      </c>
      <c r="HZ4">
        <v>-208</v>
      </c>
      <c r="IA4">
        <v>413.73987655719998</v>
      </c>
      <c r="IB4">
        <v>93.841642228699996</v>
      </c>
      <c r="IC4">
        <v>640</v>
      </c>
      <c r="ID4">
        <v>39.860123443500001</v>
      </c>
      <c r="IE4">
        <v>1.3336272000000001E-3</v>
      </c>
      <c r="IF4">
        <v>-39.8826979472</v>
      </c>
      <c r="IG4">
        <v>-272</v>
      </c>
      <c r="IH4">
        <v>435.2621514379</v>
      </c>
      <c r="II4">
        <v>103.22580645159999</v>
      </c>
      <c r="IJ4">
        <v>704</v>
      </c>
      <c r="IK4">
        <v>397.33377052830002</v>
      </c>
      <c r="IL4">
        <v>124.3401759531</v>
      </c>
      <c r="IM4">
        <v>420.4779235085</v>
      </c>
      <c r="IN4">
        <v>133.724340176</v>
      </c>
      <c r="IO4">
        <v>6.4999999995</v>
      </c>
      <c r="IP4">
        <v>5.6000000003999997</v>
      </c>
      <c r="IQ4">
        <v>8.6000000009999997</v>
      </c>
      <c r="IR4">
        <v>5.3937094833000003</v>
      </c>
      <c r="IS4">
        <v>5.3937094833000003</v>
      </c>
      <c r="IT4">
        <v>4.2999999986999997</v>
      </c>
      <c r="IU4">
        <v>-32.844574780099997</v>
      </c>
      <c r="IV4">
        <v>6.7999999991999998</v>
      </c>
      <c r="IW4">
        <v>56.304985337200002</v>
      </c>
      <c r="IX4">
        <v>5.6999999997000002</v>
      </c>
      <c r="IY4">
        <v>100.87976539589999</v>
      </c>
      <c r="IZ4">
        <v>-35.962537985399997</v>
      </c>
      <c r="JA4">
        <v>0.33836320949999998</v>
      </c>
      <c r="JB4">
        <v>-3.2662210000000002E-4</v>
      </c>
      <c r="JC4">
        <v>6.4489999999999996E-7</v>
      </c>
      <c r="JD4">
        <v>0.30444503560000002</v>
      </c>
      <c r="JE4">
        <v>0.18769954489999999</v>
      </c>
      <c r="JF4">
        <v>7.7550071900000003E-2</v>
      </c>
      <c r="JG4">
        <v>116.75983824950001</v>
      </c>
      <c r="JH4">
        <v>3.4534616310000001</v>
      </c>
      <c r="JI4">
        <v>2.7753567999999999E-3</v>
      </c>
      <c r="JJ4">
        <v>-6.3640300000000001E-5</v>
      </c>
      <c r="JK4">
        <v>3.2846651551999999</v>
      </c>
      <c r="JL4">
        <v>1.0529783606000001</v>
      </c>
      <c r="JM4">
        <v>0.39471849860000002</v>
      </c>
      <c r="JN4" t="s">
        <v>538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80.940695884899995</v>
      </c>
      <c r="D16" s="9">
        <f>AVERAGE(C18:C20)</f>
        <v>30.073072524233336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75.836827595399996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78.219217572700003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152.86680250078791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-69.131587938228776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-177.50310559006209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-177.50310559006209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-9.8929313500999996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-4.7450099500000002E-2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-2.4850953624000001</v>
      </c>
      <c r="C39" s="5">
        <f>'Summary(3pcs)'!M34</f>
        <v>-9.8929313500999996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-4.7450099500000002E-2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-3.9285767147000001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-6.3740307768999998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-0.57565187289999997</v>
      </c>
      <c r="C55" s="5">
        <f>'Summary(3pcs)'!N34</f>
        <v>-3.9285767147000001</v>
      </c>
      <c r="D55" s="6">
        <f>AVERAGE(D31:D33)</f>
        <v>-3.3134604832000001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-6.3740307768999998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-2.1008691638666668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-2.0757524967333332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-6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-0.64575397969999992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2.0622291565000008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-3.8175327777999999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-4.4719538689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-6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3.4291048049999997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-4.1100509166999997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-1.2563158273999999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2022-09-23T11:06:47Z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