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<sst xmlns="http://schemas.openxmlformats.org/spreadsheetml/2006/main" count="1419" uniqueCount="671">
  <si>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</si>
  <si>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</si>
  <si>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</si>
  <si>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</si>
  <si>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</si>
  <si>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</si>
  <si>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</si>
  <si>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</si>
  <si>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</si>
  <si>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</si>
  <si>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</si>
  <si>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</si>
  <si>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</si>
  <si>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</si>
  <si>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</si>
  <si>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</si>
  <si>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</si>
  <si>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</si>
  <si>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</si>
  <si>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</si>
  <si>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</si>
  <si>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</si>
  <si>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</si>
  <si>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</si>
  <si>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</si>
  <si>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</si>
  <si>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</si>
  <si>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</si>
  <si>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</si>
  <si>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</si>
  <si>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</si>
  <si>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</si>
  <si>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</si>
  <si>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</si>
  <si>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</si>
  <si>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</si>
  <si>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</si>
  <si>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</si>
  <si>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</si>
  <si>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</si>
  <si>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</si>
  <si>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</si>
  <si>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</si>
  <si>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</si>
  <si>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</si>
  <si>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</si>
  <si>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</si>
  <si>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</si>
  <si>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</si>
  <si>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</si>
  <si>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</si>
  <si>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</si>
  <si>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</si>
  <si>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</si>
  <si>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</si>
  <si>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</si>
  <si>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</si>
  <si>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</si>
  <si>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</si>
  <si>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</si>
  <si>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</si>
  <si>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</si>
  <si>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</si>
  <si>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</si>
  <si>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</si>
  <si>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</si>
  <si>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</si>
  <si>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</si>
  <si>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</si>
  <si>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</si>
  <si>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</si>
  <si>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</si>
  <si>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</si>
  <si>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</si>
  <si>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</si>
  <si>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</si>
  <si>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</si>
  <si>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</si>
  <si>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</si>
  <si>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</si>
  <si>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</si>
  <si>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</si>
  <si>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</si>
  <si>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</si>
  <si>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</si>
  <si>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</si>
  <si>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</si>
  <si>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</si>
  <si>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</si>
  <si>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</si>
  <si>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</si>
  <si>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</si>
  <si>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</si>
  <si>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</si>
  <si>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</si>
  <si>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</si>
  <si>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</si>
  <si>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</si>
  <si>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</si>
  <si>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</si>
  <si>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</si>
  <si>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</si>
  <si>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</si>
  <si>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</si>
  <si>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</si>
  <si>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</si>
  <si>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</si>
  <si>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</si>
  <si>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</si>
  <si>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</si>
  <si>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</si>
  <si>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</si>
  <si>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</si>
  <si>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</si>
  <si>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</si>
  <si>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</si>
  <si>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</si>
  <si>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</si>
  <si>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</si>
  <si>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</si>
  <si>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</si>
  <si>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</si>
  <si>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</si>
  <si>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</si>
  <si>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</si>
  <si>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</si>
  <si>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</si>
  <si>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</si>
  <si>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</si>
  <si>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</si>
  <si>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</si>
  <si>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</si>
  <si>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</si>
  <si>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</si>
  <si>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</si>
  <si>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</si>
  <si>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</si>
  <si>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</si>
  <si>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</si>
  <si>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</si>
  <si>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</si>
  <si>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</si>
  <si>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</si>
  <si>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</si>
  <si>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</si>
  <si>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</si>
  <si>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</si>
  <si>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</si>
  <si>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</si>
  <si>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</si>
  <si>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</si>
  <si>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</si>
  <si>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</si>
  <si>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</si>
  <si>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</si>
  <si>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</si>
  <si>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</si>
  <si>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</si>
  <si>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</si>
  <si>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</si>
  <si>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</si>
  <si>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</si>
  <si>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</si>
  <si>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</si>
  <si>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</si>
  <si>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</si>
  <si>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</si>
  <si>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</si>
  <si>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</si>
  <si>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</si>
  <si>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</si>
  <si>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</si>
  <si>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</si>
  <si>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D:\EVMS\TP\LOG\VSY832XN9NBX_2022092310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</si>
  <si>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</si>
  <si>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</si>
  <si>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</si>
  <si>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</si>
  <si>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</si>
  <si>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</si>
  <si>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</si>
  <si>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</si>
  <si>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</si>
  <si>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</si>
  <si>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</si>
  <si>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</si>
  <si>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</si>
  <si>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</si>
  <si>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</si>
  <si>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</si>
  <si>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</si>
  <si>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</si>
  <si>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</si>
  <si>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</si>
  <si>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</si>
  <si>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</si>
  <si>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</si>
  <si>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</si>
  <si>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</si>
  <si>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</si>
  <si>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</si>
  <si>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</si>
  <si>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</si>
  <si>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</si>
  <si>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</si>
  <si>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</si>
  <si>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</si>
  <si>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</si>
  <si>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</si>
  <si>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</si>
  <si>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T220923102831777VCMLEBC050</t>
  </si>
  <si>
    <t>'2022-09-23 10:28:40:979</t>
  </si>
  <si>
    <t>VCMLEBC050A</t>
  </si>
  <si>
    <t>DB_C1001</t>
  </si>
  <si>
    <t>210615ADOE</t>
  </si>
  <si>
    <t>R13A_OC_MFG_C10_21091603_b1779c9</t>
  </si>
  <si>
    <t>VSY832XN9NBX</t>
  </si>
  <si>
    <t>22cb59100677</t>
  </si>
  <si>
    <t>0x528005629ce0e602</t>
  </si>
  <si>
    <t>MF9C3569B1RT34B6B442060125</t>
  </si>
  <si>
    <t>MF4C3254BHEA12A7A647</t>
  </si>
  <si>
    <t>DNA22253034250I13A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</si>
  <si>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</si>
  <si>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</si>
  <si>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</si>
  <si>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</si>
  <si>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</si>
  <si>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</si>
  <si>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T220923102959241VCMLEBC050</t>
  </si>
  <si>
    <t>'2022-09-23 10:30:08:214</t>
  </si>
  <si>
    <t>22cb59100667</t>
  </si>
  <si>
    <t>0x52800562a08f1302</t>
  </si>
  <si>
    <t>MF9C3569B25D34B6B533033130</t>
  </si>
  <si>
    <t>MF3C3573BGK214A7A646</t>
  </si>
  <si>
    <t>DNA22301025630D07A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</si>
  <si>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</si>
  <si>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</si>
  <si>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</si>
  <si>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</si>
  <si>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</si>
  <si>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</si>
  <si>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</si>
  <si>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</si>
  <si>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</si>
  <si>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</si>
  <si>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</si>
  <si>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</si>
  <si>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</si>
  <si>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</si>
  <si>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</si>
  <si>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</si>
  <si>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</si>
  <si>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</si>
  <si>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</si>
  <si>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</si>
  <si>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</si>
  <si>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</si>
  <si>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</si>
  <si>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</si>
  <si>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</si>
  <si>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</si>
  <si>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</si>
  <si>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</si>
  <si>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</si>
  <si>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</si>
  <si>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</si>
  <si>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T220923102858426VCMLEBC050</t>
  </si>
  <si>
    <t>'2022-09-23 10:29:27:049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</si>
  <si>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</si>
  <si>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</si>
  <si>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</si>
  <si>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</si>
  <si>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</si>
  <si>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</si>
  <si>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</si>
  <si>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</si>
  <si>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</si>
  <si>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</si>
  <si>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</si>
  <si>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</si>
  <si>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</si>
  <si>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</si>
  <si>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</si>
  <si>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</si>
  <si>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10:29:17:025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</si>
  <si>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</si>
  <si>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</si>
  <si>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</si>
  <si>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</si>
  <si>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</si>
  <si>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</si>
  <si>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</si>
  <si>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</si>
  <si>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</si>
  <si>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</si>
  <si>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</si>
  <si>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</si>
  <si>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</si>
  <si>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</si>
  <si>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</si>
  <si>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</si>
  <si>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</si>
  <si>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</si>
  <si>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</si>
  <si>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</si>
  <si>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</si>
  <si>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</si>
  <si>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</si>
  <si>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</si>
  <si>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</si>
  <si>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</si>
  <si>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</si>
  <si>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</si>
  <si>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</si>
  <si>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</si>
  <si>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</si>
  <si>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</si>
  <si>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</si>
  <si>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</si>
  <si>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</si>
  <si>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</si>
  <si>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</si>
  <si>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</si>
  <si>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</si>
  <si>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</si>
  <si>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</si>
  <si>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</si>
  <si>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</si>
  <si>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</si>
  <si>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</si>
  <si>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</si>
  <si>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</si>
  <si>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</si>
  <si>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</si>
  <si>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</si>
  <si>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</si>
  <si>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</si>
  <si>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</si>
  <si>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</si>
  <si>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</si>
  <si>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</si>
  <si>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</si>
  <si>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</si>
  <si>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</si>
  <si>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</si>
  <si>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</si>
  <si>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</si>
  <si>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</si>
  <si>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</si>
  <si>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</si>
  <si>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</si>
  <si>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</si>
  <si>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</si>
  <si>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</si>
  <si>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</si>
  <si>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</si>
  <si>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</si>
  <si>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</si>
  <si>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</si>
  <si>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</si>
  <si>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</si>
  <si>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</si>
  <si>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</si>
  <si>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</si>
  <si>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</si>
  <si>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</si>
  <si>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</si>
  <si>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</si>
  <si>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</si>
  <si>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</si>
  <si>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</si>
  <si>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</si>
  <si>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</si>
  <si>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</si>
  <si>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</si>
  <si>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</si>
  <si>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</si>
  <si>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</si>
  <si>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</si>
  <si>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</si>
  <si>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</si>
  <si>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</si>
  <si>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</si>
  <si>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</si>
  <si>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</si>
  <si>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</si>
  <si>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</si>
  <si>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</si>
  <si>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</si>
  <si>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</si>
  <si>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</si>
  <si>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</si>
  <si>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</si>
  <si>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</si>
  <si>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</si>
  <si>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</si>
  <si>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</si>
  <si>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</si>
  <si>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</si>
  <si>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</si>
  <si>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</si>
  <si>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</si>
  <si>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</si>
  <si>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</si>
  <si>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</si>
  <si>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</si>
  <si>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</si>
  <si>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</si>
  <si>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</si>
  <si>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</si>
  <si>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</si>
  <si>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</si>
  <si>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</si>
  <si>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</si>
  <si>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</si>
  <si>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</si>
  <si>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</si>
  <si>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</si>
  <si>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</si>
  <si>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</si>
  <si>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</si>
  <si>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</si>
  <si>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</si>
  <si>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</si>
  <si>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</si>
  <si>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</si>
  <si>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</si>
  <si>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</si>
  <si>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</si>
  <si>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</si>
  <si>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</si>
  <si>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</si>
  <si>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</si>
  <si>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</si>
  <si>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</si>
  <si>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</si>
  <si>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</si>
  <si>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</si>
  <si>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</si>
  <si>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</si>
  <si>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</si>
  <si>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</si>
  <si>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</si>
  <si>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</si>
  <si>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</si>
  <si>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</si>
  <si>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</si>
  <si>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</si>
  <si>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</si>
  <si>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</si>
  <si>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</si>
  <si>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</si>
  <si>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</si>
  <si>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</si>
  <si>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</si>
  <si>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</si>
  <si>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</si>
  <si>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</si>
  <si>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</si>
  <si>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</si>
  <si>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</si>
  <si>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</si>
  <si>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</si>
  <si>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</si>
  <si>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</si>
  <si>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</si>
  <si>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</si>
  <si>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</si>
  <si>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</si>
  <si>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</si>
  <si>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</si>
  <si>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</si>
  <si>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</si>
  <si>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</si>
  <si>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</si>
  <si>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</si>
  <si>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</si>
  <si>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</si>
  <si>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</si>
  <si>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</si>
  <si>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</si>
  <si>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</si>
  <si>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</si>
  <si>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</si>
  <si>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</si>
  <si>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</si>
  <si>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</si>
  <si>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</si>
  <si>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</si>
  <si>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</si>
  <si>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</si>
  <si>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</si>
  <si>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</si>
  <si>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</si>
  <si>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</si>
  <si>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</si>
  <si>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</si>
  <si>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</si>
  <si>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</si>
  <si>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</si>
  <si>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</si>
  <si>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</si>
  <si>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</si>
  <si>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</si>
  <si>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</si>
  <si>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</si>
  <si>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</si>
  <si>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</si>
  <si>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</si>
  <si>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</si>
  <si>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</si>
  <si>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</si>
  <si>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</si>
  <si>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</si>
  <si>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</si>
  <si>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</si>
  <si>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</si>
  <si>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</si>
  <si>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</si>
  <si>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</si>
  <si>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</si>
  <si>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</si>
  <si>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</si>
  <si>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</si>
  <si>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</si>
  <si>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</si>
  <si>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</si>
  <si>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</si>
  <si>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</si>
  <si>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</si>
  <si>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</si>
  <si>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</si>
  <si>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</si>
  <si>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</si>
  <si>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</si>
  <si>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</si>
  <si>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</si>
  <si>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</si>
  <si>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</si>
  <si>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</si>
  <si>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</si>
  <si>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</si>
  <si>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T220923102843601VCMLEBC050</t>
  </si>
  <si>
    <t>'2022-09-23 10:28:56:144</t>
  </si>
  <si>
    <t>R13A_IPQC_MFG_Laser_C10_21090805_b1779c9</t>
  </si>
  <si>
    <t>v9p4</t>
  </si>
  <si>
    <t>T220923103025834VCMLEBC050</t>
  </si>
  <si>
    <t>'2022-09-23 10:30:53:981</t>
  </si>
  <si>
    <t>'2022-09-23 10:30:43:955</t>
  </si>
  <si>
    <t>T220923103010976VCMLEBC050</t>
  </si>
  <si>
    <t>'2022-09-23 10:30:23:555</t>
  </si>
  <si>
    <t>T220923103242348VCMLEBC050</t>
  </si>
  <si>
    <t>'2022-09-23 10:32:51:320</t>
  </si>
  <si>
    <t>22cb59100193</t>
  </si>
  <si>
    <t>0x528006629d4e0008</t>
  </si>
  <si>
    <t>MF9C3569B20034B6B741053116</t>
  </si>
  <si>
    <t>MF3C3573BGK014A7A642</t>
  </si>
  <si>
    <t>DNA22301024300B04A</t>
  </si>
  <si>
    <t>T220923103308799VCMLEBC050</t>
  </si>
  <si>
    <t>'2022-09-23 10:33:36:901</t>
  </si>
  <si>
    <t>'2022-09-23 10:33:26:872</t>
  </si>
  <si>
    <t>T220923103253973VCMLEBC050</t>
  </si>
  <si>
    <t>'2022-09-23 10:33:06:502</t>
  </si>
  <si>
    <t>T220923103351019VCMLEBC050</t>
  </si>
  <si>
    <t>'2022-09-23 10:33:59:854</t>
  </si>
  <si>
    <t>22cb59100492</t>
  </si>
  <si>
    <t>0x528005629ce11d03</t>
  </si>
  <si>
    <t>MF9C3569B25034B6B838044126</t>
  </si>
  <si>
    <t>MF3C3573BG8A14A7A642</t>
  </si>
  <si>
    <t>DNA22292021010B14A</t>
  </si>
  <si>
    <t>T220923100115571VCMLEBC050</t>
  </si>
  <si>
    <t>'2022-09-23 10:01:43:600</t>
  </si>
  <si>
    <t>'2022-09-23 10:01:33:571</t>
  </si>
  <si>
    <t>T220923103402489VCMLEBC050</t>
  </si>
  <si>
    <t>'2022-09-23 10:01:13:287</t>
  </si>
  <si>
    <t>T220923100155374VCMLEBC050</t>
  </si>
  <si>
    <t>'2022-09-23 10:02:04:169</t>
  </si>
  <si>
    <t>22cb59100306</t>
  </si>
  <si>
    <t>0x52800662a08da005</t>
  </si>
  <si>
    <t>MF9C3569B1V134B6B832073111</t>
  </si>
  <si>
    <t>MF3C3573BGK114A7A630</t>
  </si>
  <si>
    <t>DNA22301024300B01A</t>
  </si>
  <si>
    <t>T220923100258895VCMLEBC050</t>
  </si>
  <si>
    <t>'2022-09-23 10:03:07:803</t>
  </si>
  <si>
    <t>22cb59100423</t>
  </si>
  <si>
    <t>0x528005629ce15006</t>
  </si>
  <si>
    <t>MF9C3569B1WB34B6B535028122</t>
  </si>
  <si>
    <t>MF3C3573BGJZ14A7A634</t>
  </si>
  <si>
    <t>DNA22301024300B03A</t>
  </si>
  <si>
    <t>T220923100221665VCMLEBC050</t>
  </si>
  <si>
    <t>'2022-09-23 10:02:49:627</t>
  </si>
  <si>
    <t>T220923100325298VCMLEBC050</t>
  </si>
  <si>
    <t>'2022-09-23 10:03:53:343</t>
  </si>
  <si>
    <t>'2022-09-23 10:02:39:603</t>
  </si>
  <si>
    <t>'2022-09-23 10:03:43:320</t>
  </si>
  <si>
    <t>T220923100206824VCMLEBC050</t>
  </si>
  <si>
    <t>'2022-09-23 10:02:19:352</t>
  </si>
  <si>
    <t>T220923100310466VCMLEBC050</t>
  </si>
  <si>
    <t>'2022-09-23 10:03:23:004</t>
  </si>
  <si>
    <t>T220923100406536VCMLEBC050</t>
  </si>
  <si>
    <t>'2022-09-23 10:04:15:432</t>
  </si>
  <si>
    <t>22cb59100204</t>
  </si>
  <si>
    <t>0x52800562a08f7107</t>
  </si>
  <si>
    <t>MF9C3569B1WF34B6B837081127</t>
  </si>
  <si>
    <t>MF4C3254BHDW12A7A652</t>
  </si>
  <si>
    <t>DNA22253034250J12A</t>
  </si>
  <si>
    <t>T220923100418561VCMLEBC050</t>
  </si>
  <si>
    <t>'2022-09-23 10:04:31:094</t>
  </si>
  <si>
    <t>T220923100433400VCMLEBC050</t>
  </si>
  <si>
    <t>'2022-09-23 10:04:51:799</t>
  </si>
  <si>
    <t>'2022-09-23 10:05:01:828</t>
  </si>
  <si>
    <t>T220923100514271VCMLEBC050</t>
  </si>
  <si>
    <t>'2022-09-23 10:05:23:175</t>
  </si>
  <si>
    <t>22cb59100808</t>
  </si>
  <si>
    <t>0x528005629ce00808</t>
  </si>
  <si>
    <t>MF9C3569B1PH34B6B538016126</t>
  </si>
  <si>
    <t>MF3C3573BGCB14A7A641</t>
  </si>
  <si>
    <t>DNA22291011690L14A</t>
  </si>
  <si>
    <t>T220923100525790VCMLEBC050</t>
  </si>
  <si>
    <t>'2022-09-23 10:05:38:324</t>
  </si>
  <si>
    <t>T220923100540624VCMLEBC050</t>
  </si>
  <si>
    <t>'2022-09-23 10:06:09:214</t>
  </si>
  <si>
    <t>'2022-09-23 10:05:59:186</t>
  </si>
  <si>
    <t>T220923100623886VCMLEBC050</t>
  </si>
  <si>
    <t>'2022-09-23 10:06:33:157</t>
  </si>
  <si>
    <t>22cb59090246</t>
  </si>
  <si>
    <t>0x528005629ce11907</t>
  </si>
  <si>
    <t>MF9C3569B26734B6B241012126</t>
  </si>
  <si>
    <t>MF3C3573BGK514A7A641</t>
  </si>
  <si>
    <t>DNA22301024300A03A</t>
  </si>
  <si>
    <t>T220923100636482VCMLEBC050</t>
  </si>
  <si>
    <t>'2022-09-23 10:06:49:014</t>
  </si>
  <si>
    <t>T220923100735165VCMLEBC050</t>
  </si>
  <si>
    <t>'2022-09-23 10:07:44:298</t>
  </si>
  <si>
    <t>22cb59100099</t>
  </si>
  <si>
    <t>0x528005629ce0db05</t>
  </si>
  <si>
    <t>MF9C3569B1W134B6B832042103</t>
  </si>
  <si>
    <t>MF3C3573BGCC14A7A646</t>
  </si>
  <si>
    <t>DNA22291010750B03A</t>
  </si>
  <si>
    <t>T220923100651247VCMLEBC050</t>
  </si>
  <si>
    <t>'2022-09-23 10:07:19:710</t>
  </si>
  <si>
    <t>'2022-09-23 10:07:09:684</t>
  </si>
  <si>
    <t>T220923100746904VCMLEBC050</t>
  </si>
  <si>
    <t>'2022-09-23 10:07:59:432</t>
  </si>
  <si>
    <t>T220923100801730VCMLEBC050</t>
  </si>
  <si>
    <t>'2022-09-23 10:08:29:964</t>
  </si>
  <si>
    <t>'2022-09-23 10:08:19:939</t>
  </si>
  <si>
    <t>T220923100844729VCMLEBC050</t>
  </si>
  <si>
    <t>'2022-09-23 10:08:53:567</t>
  </si>
  <si>
    <t>22cb59100401</t>
  </si>
  <si>
    <t>0x528005629ce0e805</t>
  </si>
  <si>
    <t>MF9C3569B1U934B6B029050129</t>
  </si>
  <si>
    <t>MF3C3573BGCF14A7A644</t>
  </si>
  <si>
    <t>DNA22291011690K14A</t>
  </si>
  <si>
    <t>T220923100911033VCMLEBC050</t>
  </si>
  <si>
    <t>'2022-09-23 10:09:30:272</t>
  </si>
  <si>
    <t>T220923100856196VCMLEBC050</t>
  </si>
  <si>
    <t>'2022-09-23 10:09:08:730</t>
  </si>
  <si>
    <t>'2022-09-23 10:09:40:301</t>
  </si>
  <si>
    <t>T220923100951621VCMLEBC050</t>
  </si>
  <si>
    <t>'2022-09-23 10:10:00:845</t>
  </si>
  <si>
    <t>22cb59090802</t>
  </si>
  <si>
    <t>0x528005629d4a6f01</t>
  </si>
  <si>
    <t>MF9C3569B25A34B6B542067119</t>
  </si>
  <si>
    <t>MF3C3573BGK414A7A637</t>
  </si>
  <si>
    <t>DNA22301024300A06A</t>
  </si>
  <si>
    <t>T220923101018277VCMLEBC050</t>
  </si>
  <si>
    <t>'2022-09-23 10:10:36:495</t>
  </si>
  <si>
    <t>T220923101003511VCMLEBC050</t>
  </si>
  <si>
    <t>'2022-09-23 10:10:16:048</t>
  </si>
  <si>
    <t>'2022-09-23 10:10:46:521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</si>
</sst>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-9.3126354081000002</c:v>
                </c:pt>
                <c:pt idx="1">
                  <c:v>-13.9634347405</c:v>
                </c:pt>
                <c:pt idx="2">
                  <c:v>-13.0046966546</c:v>
                </c:pt>
                <c:pt idx="3">
                  <c:v>-3.9168761097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-2.2826621155</c:v>
                </c:pt>
                <c:pt idx="1">
                  <c:v>-0.25146608910000001</c:v>
                </c:pt>
                <c:pt idx="2">
                  <c:v>9.4874408829999997</c:v>
                </c:pt>
                <c:pt idx="3">
                  <c:v>5.1687774937000004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-12.093588934399998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2.3177708928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56448"/>
        <c:axId val="48457984"/>
      </c:scatterChart>
      <c:valAx>
        <c:axId val="484564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457984"/>
        <c:crosses val="autoZero"/>
        <c:crossBetween val="midCat"/>
        <c:majorUnit val="10"/>
      </c:valAx>
      <c:valAx>
        <c:axId val="484579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45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-7.6849158750999997</c:v>
                </c:pt>
                <c:pt idx="1">
                  <c:v>-14.2266181506</c:v>
                </c:pt>
                <c:pt idx="2">
                  <c:v>-5.3540936223999998</c:v>
                </c:pt>
                <c:pt idx="3">
                  <c:v>-9.6859271073999995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9.2231632380999997</c:v>
                </c:pt>
                <c:pt idx="1">
                  <c:v>8.4126674572000013</c:v>
                </c:pt>
                <c:pt idx="2">
                  <c:v>0.78337307129999978</c:v>
                </c:pt>
                <c:pt idx="3">
                  <c:v>6.6027088959000002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-8.6094700451333335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7.6015360630000002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7696"/>
        <c:axId val="51527680"/>
      </c:scatterChart>
      <c:valAx>
        <c:axId val="515176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27680"/>
        <c:crosses val="autoZero"/>
        <c:crossBetween val="midCat"/>
        <c:majorUnit val="10"/>
      </c:valAx>
      <c:valAx>
        <c:axId val="51527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1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3.4792374891</c:v>
                </c:pt>
                <c:pt idx="1">
                  <c:v>-5.6631800601000002</c:v>
                </c:pt>
                <c:pt idx="2">
                  <c:v>-12.377703394799999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-2.9901288268000004</c:v>
                </c:pt>
                <c:pt idx="1">
                  <c:v>-2.5989700042999999</c:v>
                </c:pt>
                <c:pt idx="2">
                  <c:v>7.2446605490999998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-3.853594413566666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1.4653177134666666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2256"/>
        <c:axId val="51553792"/>
      </c:scatterChart>
      <c:valAx>
        <c:axId val="515522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53792"/>
        <c:crosses val="autoZero"/>
        <c:crossBetween val="midCat"/>
        <c:majorUnit val="10"/>
      </c:valAx>
      <c:valAx>
        <c:axId val="51553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55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-9.9347113114999992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-5.8009551489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-9.325198255466665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-0.38508820136666672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11136"/>
        <c:axId val="51612672"/>
      </c:scatterChart>
      <c:valAx>
        <c:axId val="516111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612672"/>
        <c:crosses val="autoZero"/>
        <c:crossBetween val="midCat"/>
        <c:majorUnit val="10"/>
      </c:valAx>
      <c:valAx>
        <c:axId val="516126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611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85.471025132700007</c:v>
                </c:pt>
                <c:pt idx="1">
                  <c:v>85.269407257799998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83.857522142633343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71808"/>
        <c:axId val="51673344"/>
      </c:scatterChart>
      <c:valAx>
        <c:axId val="5167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673344"/>
        <c:crosses val="autoZero"/>
        <c:crossBetween val="midCat"/>
      </c:valAx>
      <c:valAx>
        <c:axId val="516733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67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80.832134037399996</c:v>
                </c:pt>
                <c:pt idx="1">
                  <c:v>85.7567540286</c:v>
                </c:pt>
                <c:pt idx="2">
                  <c:v>81.8034691326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85.080072979433325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02400"/>
        <c:axId val="51704192"/>
      </c:scatterChart>
      <c:valAx>
        <c:axId val="5170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04192"/>
        <c:crosses val="autoZero"/>
        <c:crossBetween val="midCat"/>
      </c:valAx>
      <c:valAx>
        <c:axId val="517041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02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87.679995777100004</c:v>
                </c:pt>
                <c:pt idx="1">
                  <c:v>83.602571908200005</c:v>
                </c:pt>
                <c:pt idx="2">
                  <c:v>87.469418647799998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88.981556200499995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57440"/>
        <c:axId val="51758976"/>
      </c:scatterChart>
      <c:valAx>
        <c:axId val="5175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58976"/>
        <c:crosses val="autoZero"/>
        <c:crossBetween val="midCat"/>
      </c:valAx>
      <c:valAx>
        <c:axId val="517589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5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95.872678045499995</c:v>
                </c:pt>
                <c:pt idx="1">
                  <c:v>90.116226468600004</c:v>
                </c:pt>
                <c:pt idx="2">
                  <c:v>87.423098115000002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88.947628946833333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52800"/>
        <c:axId val="51854336"/>
      </c:scatterChart>
      <c:valAx>
        <c:axId val="5185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854336"/>
        <c:crosses val="autoZero"/>
        <c:crossBetween val="midCat"/>
      </c:valAx>
      <c:valAx>
        <c:axId val="5185433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852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0.15918302539999996</c:v>
                </c:pt>
                <c:pt idx="1">
                  <c:v>1.4711513518999997</c:v>
                </c:pt>
                <c:pt idx="2">
                  <c:v>3.0045852660999994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4.0745458602999998</c:v>
                </c:pt>
                <c:pt idx="1">
                  <c:v>0.6718525887000002</c:v>
                </c:pt>
                <c:pt idx="2">
                  <c:v>8.0887088776000002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1.5449732144666664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4.2783691088666664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18336"/>
        <c:axId val="51919872"/>
      </c:scatterChart>
      <c:valAx>
        <c:axId val="519183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19872"/>
        <c:crosses val="autoZero"/>
        <c:crossBetween val="midCat"/>
        <c:majorUnit val="10"/>
      </c:valAx>
      <c:valAx>
        <c:axId val="519198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1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-3.7084503174000001</c:v>
                </c:pt>
                <c:pt idx="1">
                  <c:v>-4.5078706740999994</c:v>
                </c:pt>
                <c:pt idx="2">
                  <c:v>6.6828708648999999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-0.75162887569999981</c:v>
                </c:pt>
                <c:pt idx="1">
                  <c:v>9.6683740600000068E-2</c:v>
                </c:pt>
                <c:pt idx="2">
                  <c:v>8.9233865738000002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-0.51115004220000004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2.7561471462333333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56736"/>
        <c:axId val="75961088"/>
      </c:scatterChart>
      <c:valAx>
        <c:axId val="519567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5961088"/>
        <c:crosses val="autoZero"/>
        <c:crossBetween val="midCat"/>
        <c:majorUnit val="10"/>
      </c:valAx>
      <c:valAx>
        <c:axId val="759610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956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5.7322397231999993</c:v>
                </c:pt>
                <c:pt idx="1">
                  <c:v>-5.8188443184</c:v>
                </c:pt>
                <c:pt idx="2">
                  <c:v>-1.3431425094999998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6.0702171325999998</c:v>
                </c:pt>
                <c:pt idx="1">
                  <c:v>6.9636650084999996</c:v>
                </c:pt>
                <c:pt idx="2">
                  <c:v>7.1913852691999995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-0.4765823682333335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6.7417558034333327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89376"/>
        <c:axId val="75990912"/>
      </c:scatterChart>
      <c:valAx>
        <c:axId val="759893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5990912"/>
        <c:crosses val="autoZero"/>
        <c:crossBetween val="midCat"/>
        <c:majorUnit val="10"/>
      </c:valAx>
      <c:valAx>
        <c:axId val="759909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598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-4.7731521130000001</c:v>
                </c:pt>
                <c:pt idx="1">
                  <c:v>2.2317409515000008</c:v>
                </c:pt>
                <c:pt idx="2">
                  <c:v>1.6077594757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1.7422633170999999</c:v>
                </c:pt>
                <c:pt idx="1">
                  <c:v>7.6879959105999998</c:v>
                </c:pt>
                <c:pt idx="2">
                  <c:v>4.4490380287000004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-0.31121722859999973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4.6264324187999994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52928"/>
        <c:axId val="126254464"/>
      </c:scatterChart>
      <c:valAx>
        <c:axId val="1262529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254464"/>
        <c:crosses val="autoZero"/>
        <c:crossBetween val="midCat"/>
        <c:majorUnit val="10"/>
      </c:valAx>
      <c:valAx>
        <c:axId val="1262544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25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D:\EVMS\TP\LOG\VSY832XN9NBX_2022092310_D50_ON_OC.csv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D:\EVMS\TP\LOG\VSY832XN9NBX_2022092310_FPDC_INFD_normal.csv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D:\EVMS\TP\LOG\VSY832XN9NBX_2022092310_INFDMargin_IPQC.csv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D:\EVMS\TP\LOG\VSY832XN9NBX_2022092310_VCM_MEASURE.csv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U48" sqref="U48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22cb59100677</v>
      </c>
      <c r="C34" s="44">
        <f>IPQC!S2+VLOOKUP($R$31,$AD$38:$AK$42,6,FALSE)+VLOOKUP('File location'!$B$1,'Tester offset'!$A$2:$D$4,2,FALSE)</f>
        <v>85.471025132700007</v>
      </c>
      <c r="D34" s="44">
        <f>IPQC!Z2+VLOOKUP($R$31,$AD$38:$AK$42,6,FALSE)</f>
        <v>70.469096850100001</v>
      </c>
      <c r="E34" s="44">
        <f>VCM!HU2-'Summary(3pcs)'!C34-'Summary(3pcs)'!$D$32</f>
        <v>142.75851474503793</v>
      </c>
      <c r="F34" s="90">
        <f>AVERAGEIF($A$34:$A$45,1,$C$34:$C$45)</f>
        <v>83.857522142633343</v>
      </c>
      <c r="G34" s="91">
        <f>AVERAGEIF($A$34:$A$45,1,$D$34:$D$45)</f>
        <v>65.949250232300002</v>
      </c>
      <c r="H34" s="91">
        <f>AVERAGEIF($A$34:$A$45,1,$E$34:$E$45)</f>
        <v>149.59121354190458</v>
      </c>
      <c r="I34" s="91">
        <f>85-F34</f>
        <v>1.1424778573666572</v>
      </c>
      <c r="J34"/>
      <c r="K34" s="79">
        <f>T34</f>
        <v>1</v>
      </c>
      <c r="L34" s="80" t="str">
        <f>OC!J2</f>
        <v>22cb59100677</v>
      </c>
      <c r="M34" s="44">
        <f>OC!S2+VLOOKUP($R$31,$AD$38:$AK$42,4,FALSE)</f>
        <v>-9.3126354081000002</v>
      </c>
      <c r="N34" s="44">
        <f>OC!T2+VLOOKUP($R$31,$AD$38:$AK$42,5,FALSE)</f>
        <v>-2.2826621155</v>
      </c>
      <c r="O34" s="92">
        <f>AVERAGEIF($K$34:$K$45,1,$M$34:$M$45)</f>
        <v>-12.093588934399998</v>
      </c>
      <c r="P34" s="92">
        <f>AVERAGEIF($K$34:$K$45,1,$N$34:$N$45)</f>
        <v>2.3177708928</v>
      </c>
      <c r="Q34" s="90">
        <f>P34*0.001</f>
        <v>2.3177708928E-3</v>
      </c>
      <c r="R34" s="90">
        <f>O34*0.001</f>
        <v>-1.2093588934399997E-2</v>
      </c>
      <c r="T34" s="79">
        <v>1</v>
      </c>
      <c r="U34" s="80" t="str">
        <f>FPDC!J2</f>
        <v>22cb59100677</v>
      </c>
      <c r="V34" s="75">
        <f>FPDC!R2+VLOOKUP($R$31,$AD$38:$AK$42,2,FALSE)+VLOOKUP($R$31,$AD$38:$AK$42,7,FALSE)+VLOOKUP('File location'!$B$1,'Tester offset'!$A$2:$D$4,3,FALSE)</f>
        <v>-4.7731521130000001</v>
      </c>
      <c r="W34" s="76">
        <f>FPDC!S2+VLOOKUP($R$31,$AD$38:$AK$42,3,FALSE)+VLOOKUP($R$31,$AD$38:$AK$42,8,FALSE)+VLOOKUP('File location'!$B$1,'Tester offset'!$A$2:$D$4,4,FALSE)</f>
        <v>1.7422633170999999</v>
      </c>
      <c r="X34" s="92">
        <f>AVERAGEIF($T$34:$T$45,1,$V$34:$V$45)</f>
        <v>-0.31121722859999973</v>
      </c>
      <c r="Y34" s="92">
        <f>AVERAGEIF($T$34:$T$45,1,$W$34:$W$45)</f>
        <v>4.6264324187999994</v>
      </c>
      <c r="Z34" s="90">
        <f>(X34*-0.01)/4</f>
        <v>7.7804307149999935E-4</v>
      </c>
      <c r="AA34" s="90">
        <f>(Y34*-0.01)/4</f>
        <v>-1.1566081046999998E-2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22cb59100667</v>
      </c>
      <c r="C35" s="44">
        <f>IPQC!S3+VLOOKUP($R$31,$AD$38:$AK$42,6,FALSE)+VLOOKUP('File location'!$B$1,'Tester offset'!$A$2:$D$4,2,FALSE)</f>
        <v>85.269407257799998</v>
      </c>
      <c r="D35" s="44">
        <f>IPQC!Z3+VLOOKUP($R$31,$AD$38:$AK$42,6,FALSE)</f>
        <v>64.310227896000001</v>
      </c>
      <c r="E35" s="44">
        <f>VCM!HU3-'Summary(3pcs)'!C35-'Summary(3pcs)'!$D$32</f>
        <v>137.39957655463786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22cb59100667</v>
      </c>
      <c r="M35" s="44">
        <f>OC!S3+VLOOKUP($R$31,$AD$38:$AK$42,4,FALSE)</f>
        <v>-13.9634347405</v>
      </c>
      <c r="N35" s="44">
        <f>OC!T3+VLOOKUP($R$31,$AD$38:$AK$42,5,FALSE)</f>
        <v>-0.25146608910000001</v>
      </c>
      <c r="O35" s="92"/>
      <c r="P35" s="92"/>
      <c r="Q35" s="90"/>
      <c r="R35" s="90"/>
      <c r="T35" s="79">
        <v>1</v>
      </c>
      <c r="U35" s="80" t="str">
        <f>FPDC!J3</f>
        <v>22cb59100667</v>
      </c>
      <c r="V35" s="75">
        <f>FPDC!R3+VLOOKUP($R$31,$AD$38:$AK$42,2,FALSE)+VLOOKUP($R$31,$AD$38:$AK$42,7,FALSE)+VLOOKUP('File location'!$B$1,'Tester offset'!$A$2:$D$4,3,FALSE)</f>
        <v>2.2317409515000008</v>
      </c>
      <c r="W35" s="76">
        <f>FPDC!S3+VLOOKUP($R$31,$AD$38:$AK$42,3,FALSE)+VLOOKUP($R$31,$AD$38:$AK$42,8,FALSE)+VLOOKUP('File location'!$B$1,'Tester offset'!$A$2:$D$4,4,FALSE)</f>
        <v>7.6879959105999998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22cb59100193</v>
      </c>
      <c r="C36" s="44">
        <f>IPQC!S4+VLOOKUP($R$31,$AD$38:$AK$42,6,FALSE)+VLOOKUP('File location'!$B$1,'Tester offset'!$A$2:$D$4,2,FALSE)</f>
        <v>80.832134037399996</v>
      </c>
      <c r="D36" s="44">
        <f>IPQC!Z4+VLOOKUP($R$31,$AD$38:$AK$42,6,FALSE)</f>
        <v>63.068425950799998</v>
      </c>
      <c r="E36" s="44">
        <f>VCM!HU4-'Summary(3pcs)'!C36-'Summary(3pcs)'!$D$32</f>
        <v>168.61554932603792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22cb59100193</v>
      </c>
      <c r="M36" s="44">
        <f>OC!S4+VLOOKUP($R$31,$AD$38:$AK$42,4,FALSE)</f>
        <v>-13.0046966546</v>
      </c>
      <c r="N36" s="44">
        <f>OC!T4+VLOOKUP($R$31,$AD$38:$AK$42,5,FALSE)</f>
        <v>9.4874408829999997</v>
      </c>
      <c r="O36" s="92"/>
      <c r="P36" s="92"/>
      <c r="Q36" s="90"/>
      <c r="R36" s="90"/>
      <c r="T36" s="79">
        <v>1</v>
      </c>
      <c r="U36" s="80" t="str">
        <f>FPDC!J4</f>
        <v>22cb59100193</v>
      </c>
      <c r="V36" s="75">
        <f>FPDC!R4+VLOOKUP($R$31,$AD$38:$AK$42,2,FALSE)+VLOOKUP($R$31,$AD$38:$AK$42,7,FALSE)+VLOOKUP('File location'!$B$1,'Tester offset'!$A$2:$D$4,3,FALSE)</f>
        <v>1.6077594757</v>
      </c>
      <c r="W36" s="76">
        <f>FPDC!S4+VLOOKUP($R$31,$AD$38:$AK$42,3,FALSE)+VLOOKUP($R$31,$AD$38:$AK$42,8,FALSE)+VLOOKUP('File location'!$B$1,'Tester offset'!$A$2:$D$4,4,FALSE)</f>
        <v>4.4490380287000004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22cb59100492</v>
      </c>
      <c r="C37" s="44">
        <f>IPQC!S5+VLOOKUP($R$31,$AD$38:$AK$42,6,FALSE)+VLOOKUP('File location'!$B$1,'Tester offset'!$A$2:$D$4,2,FALSE)</f>
        <v>85.7567540286</v>
      </c>
      <c r="D37" s="44">
        <f>IPQC!Z5+VLOOKUP($R$31,$AD$38:$AK$42,6,FALSE)</f>
        <v>67.71928704039999</v>
      </c>
      <c r="E37" s="44">
        <f>VCM!HU5-'Summary(3pcs)'!C37-'Summary(3pcs)'!$D$32</f>
        <v>142.30536925493789</v>
      </c>
      <c r="F37" s="90">
        <f>AVERAGEIF($A$34:$A$45,2,$C$34:$C$45)</f>
        <v>85.080072979433325</v>
      </c>
      <c r="G37" s="91">
        <f>AVERAGEIF($A$34:$A$45,2,$D$34:$D$45)</f>
        <v>69.132122547533342</v>
      </c>
      <c r="H37" s="91">
        <f>AVERAGEIF($A$34:$A$45,2,$E$34:$E$45)</f>
        <v>145.43795605880456</v>
      </c>
      <c r="I37" s="91">
        <f>85-F37</f>
        <v>-8.0072979433325031E-2</v>
      </c>
      <c r="J37"/>
      <c r="K37" s="79">
        <f t="shared" si="1"/>
        <v>2</v>
      </c>
      <c r="L37" s="80" t="str">
        <f>OC!J5</f>
        <v>22cb59100492</v>
      </c>
      <c r="M37" s="44">
        <f>OC!S5+VLOOKUP($R$31,$AD$38:$AK$42,4,FALSE)</f>
        <v>-3.9168761097</v>
      </c>
      <c r="N37" s="44">
        <f>OC!T5+VLOOKUP($R$31,$AD$38:$AK$42,5,FALSE)</f>
        <v>5.1687774937000004</v>
      </c>
      <c r="O37" s="92">
        <f>AVERAGEIF($K$34:$K$45,2,$M$34:$M$45)</f>
        <v>-8.6094700451333335</v>
      </c>
      <c r="P37" s="92">
        <f>AVERAGEIF($K$34:$K$45,2,$N$34:$N$45)</f>
        <v>7.6015360630000002</v>
      </c>
      <c r="Q37" s="90">
        <f>P37*0.001</f>
        <v>7.6015360630000001E-3</v>
      </c>
      <c r="R37" s="90">
        <f>O37*0.001</f>
        <v>-8.6094700451333338E-3</v>
      </c>
      <c r="T37" s="79">
        <v>2</v>
      </c>
      <c r="U37" s="80" t="str">
        <f>FPDC!J5</f>
        <v>22cb59100492</v>
      </c>
      <c r="V37" s="75">
        <f>FPDC!R5+VLOOKUP($R$31,$AD$38:$AK$42,2,FALSE)+VLOOKUP($R$31,$AD$38:$AK$42,7,FALSE)+VLOOKUP('File location'!$B$1,'Tester offset'!$A$2:$D$4,3,FALSE)</f>
        <v>0.15918302539999996</v>
      </c>
      <c r="W37" s="76">
        <f>FPDC!S5+VLOOKUP($R$31,$AD$38:$AK$42,3,FALSE)+VLOOKUP($R$31,$AD$38:$AK$42,8,FALSE)+VLOOKUP('File location'!$B$1,'Tester offset'!$A$2:$D$4,4,FALSE)</f>
        <v>4.0745458602999998</v>
      </c>
      <c r="X37" s="92">
        <f>AVERAGEIF($T$34:$T$45,2,$V$34:$V$45)</f>
        <v>1.5449732144666664</v>
      </c>
      <c r="Y37" s="92">
        <f>AVERAGEIF($T$34:$T$45,2,$W$34:$W$45)</f>
        <v>4.2783691088666664</v>
      </c>
      <c r="Z37" s="90">
        <f>(X37*-0.01)/4</f>
        <v>-3.8624330361666658E-3</v>
      </c>
      <c r="AA37" s="90">
        <f>(Y37*-0.01)/4</f>
        <v>-1.0695922772166666E-2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22cb59100306</v>
      </c>
      <c r="C38" s="44">
        <f>IPQC!S6+VLOOKUP($R$31,$AD$38:$AK$42,6,FALSE)+VLOOKUP('File location'!$B$1,'Tester offset'!$A$2:$D$4,2,FALSE)</f>
        <v>81.8034691326</v>
      </c>
      <c r="D38" s="44">
        <f>IPQC!Z6+VLOOKUP($R$31,$AD$38:$AK$42,6,FALSE)</f>
        <v>67.074500229600005</v>
      </c>
      <c r="E38" s="44">
        <f>VCM!HU6-'Summary(3pcs)'!C38-'Summary(3pcs)'!$D$32</f>
        <v>141.04312522153788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22cb59100306</v>
      </c>
      <c r="M38" s="44">
        <f>OC!S6+VLOOKUP($R$31,$AD$38:$AK$42,4,FALSE)</f>
        <v>-7.6849158750999997</v>
      </c>
      <c r="N38" s="44">
        <f>OC!T6+VLOOKUP($R$31,$AD$38:$AK$42,5,FALSE)</f>
        <v>9.2231632380999997</v>
      </c>
      <c r="O38" s="92"/>
      <c r="P38" s="92"/>
      <c r="Q38" s="90"/>
      <c r="R38" s="90"/>
      <c r="T38" s="79">
        <v>2</v>
      </c>
      <c r="U38" s="80" t="str">
        <f>FPDC!J6</f>
        <v>22cb59100306</v>
      </c>
      <c r="V38" s="75">
        <f>FPDC!R6+VLOOKUP($R$31,$AD$38:$AK$42,2,FALSE)+VLOOKUP($R$31,$AD$38:$AK$42,7,FALSE)+VLOOKUP('File location'!$B$1,'Tester offset'!$A$2:$D$4,3,FALSE)</f>
        <v>1.4711513518999997</v>
      </c>
      <c r="W38" s="76">
        <f>FPDC!S6+VLOOKUP($R$31,$AD$38:$AK$42,3,FALSE)+VLOOKUP($R$31,$AD$38:$AK$42,8,FALSE)+VLOOKUP('File location'!$B$1,'Tester offset'!$A$2:$D$4,4,FALSE)</f>
        <v>0.6718525887000002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22cb59100423</v>
      </c>
      <c r="C39" s="44">
        <f>IPQC!S7+VLOOKUP($R$31,$AD$38:$AK$42,6,FALSE)+VLOOKUP('File location'!$B$1,'Tester offset'!$A$2:$D$4,2,FALSE)</f>
        <v>87.679995777100004</v>
      </c>
      <c r="D39" s="44">
        <f>IPQC!Z7+VLOOKUP($R$31,$AD$38:$AK$42,6,FALSE)</f>
        <v>72.602580372600002</v>
      </c>
      <c r="E39" s="44">
        <f>VCM!HU7-'Summary(3pcs)'!C39-'Summary(3pcs)'!$D$32</f>
        <v>152.96537369993791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22cb59100423</v>
      </c>
      <c r="M39" s="44">
        <f>OC!S7+VLOOKUP($R$31,$AD$38:$AK$42,4,FALSE)</f>
        <v>-14.2266181506</v>
      </c>
      <c r="N39" s="44">
        <f>OC!T7+VLOOKUP($R$31,$AD$38:$AK$42,5,FALSE)</f>
        <v>8.4126674572000013</v>
      </c>
      <c r="O39" s="92"/>
      <c r="P39" s="92"/>
      <c r="Q39" s="90"/>
      <c r="R39" s="90"/>
      <c r="T39" s="79">
        <v>2</v>
      </c>
      <c r="U39" s="80" t="str">
        <f>FPDC!J7</f>
        <v>22cb59100423</v>
      </c>
      <c r="V39" s="75">
        <f>FPDC!R7+VLOOKUP($R$31,$AD$38:$AK$42,2,FALSE)+VLOOKUP($R$31,$AD$38:$AK$42,7,FALSE)+VLOOKUP('File location'!$B$1,'Tester offset'!$A$2:$D$4,3,FALSE)</f>
        <v>3.0045852660999994</v>
      </c>
      <c r="W39" s="76">
        <f>FPDC!S7+VLOOKUP($R$31,$AD$38:$AK$42,3,FALSE)+VLOOKUP($R$31,$AD$38:$AK$42,8,FALSE)+VLOOKUP('File location'!$B$1,'Tester offset'!$A$2:$D$4,4,FALSE)</f>
        <v>8.0887088776000002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22cb59100204</v>
      </c>
      <c r="C40" s="44">
        <f>IPQC!S8+VLOOKUP($R$31,$AD$38:$AK$42,6,FALSE)+VLOOKUP('File location'!$B$1,'Tester offset'!$A$2:$D$4,2,FALSE)</f>
        <v>83.602571908200005</v>
      </c>
      <c r="D40" s="44">
        <f>IPQC!Z8+VLOOKUP($R$31,$AD$38:$AK$42,6,FALSE)</f>
        <v>67.728895792200007</v>
      </c>
      <c r="E40" s="44">
        <f>VCM!HU8-'Summary(3pcs)'!C40-'Summary(3pcs)'!$D$32</f>
        <v>152.61782283153792</v>
      </c>
      <c r="F40" s="90">
        <f>AVERAGEIF($A$34:$A$45,3,$C$34:$C$45)</f>
        <v>88.981556200499995</v>
      </c>
      <c r="G40" s="91">
        <f>AVERAGEIF($A$34:$A$45,3,$D$34:$D$45)</f>
        <v>69.799070470866653</v>
      </c>
      <c r="H40" s="91">
        <f>AVERAGEIF($A$34:$A$45,3,$E$34:$E$45)</f>
        <v>148.35455302113792</v>
      </c>
      <c r="I40" s="91">
        <f>85-F40</f>
        <v>-3.9815562004999947</v>
      </c>
      <c r="J40"/>
      <c r="K40" s="79">
        <f t="shared" si="1"/>
        <v>3</v>
      </c>
      <c r="L40" s="80" t="str">
        <f>OC!J8</f>
        <v>22cb59100204</v>
      </c>
      <c r="M40" s="44">
        <f>OC!S8+VLOOKUP($R$31,$AD$38:$AK$42,4,FALSE)</f>
        <v>-5.3540936223999998</v>
      </c>
      <c r="N40" s="44">
        <f>OC!T8+VLOOKUP($R$31,$AD$38:$AK$42,5,FALSE)</f>
        <v>0.78337307129999978</v>
      </c>
      <c r="O40" s="92">
        <f>AVERAGEIF($K$34:$K$45,3,$M$34:$M$45)</f>
        <v>-3.853594413566666</v>
      </c>
      <c r="P40" s="92">
        <f>AVERAGEIF($K$34:$K$45,3,$N$34:$N$45)</f>
        <v>1.4653177134666666</v>
      </c>
      <c r="Q40" s="90">
        <f>P40*0.001</f>
        <v>1.4653177134666667E-3</v>
      </c>
      <c r="R40" s="90">
        <f>O40*0.001</f>
        <v>-3.8535944135666663E-3</v>
      </c>
      <c r="T40" s="79">
        <v>3</v>
      </c>
      <c r="U40" s="80" t="str">
        <f>FPDC!J8</f>
        <v>22cb59100204</v>
      </c>
      <c r="V40" s="75">
        <f>FPDC!R8+VLOOKUP($R$31,$AD$38:$AK$42,2,FALSE)+VLOOKUP($R$31,$AD$38:$AK$42,7,FALSE)+VLOOKUP('File location'!$B$1,'Tester offset'!$A$2:$D$4,3,FALSE)</f>
        <v>-3.7084503174000001</v>
      </c>
      <c r="W40" s="76">
        <f>FPDC!S8+VLOOKUP($R$31,$AD$38:$AK$42,3,FALSE)+VLOOKUP($R$31,$AD$38:$AK$42,8,FALSE)+VLOOKUP('File location'!$B$1,'Tester offset'!$A$2:$D$4,4,FALSE)</f>
        <v>-0.75162887569999981</v>
      </c>
      <c r="X40" s="92">
        <f>AVERAGEIF($T$34:$T$45,3,$V$34:$V$45)</f>
        <v>-0.51115004220000004</v>
      </c>
      <c r="Y40" s="92">
        <f>AVERAGEIF($T$34:$T$45,3,$W$34:$W$45)</f>
        <v>2.7561471462333333</v>
      </c>
      <c r="Z40" s="90">
        <f>(X40*-0.01)/4</f>
        <v>1.2778751055000002E-3</v>
      </c>
      <c r="AA40" s="90">
        <f>(Y40*-0.01)/4</f>
        <v>-6.8903678655833338E-3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22cb59100808</v>
      </c>
      <c r="C41" s="44">
        <f>IPQC!S9+VLOOKUP($R$31,$AD$38:$AK$42,6,FALSE)+VLOOKUP('File location'!$B$1,'Tester offset'!$A$2:$D$4,2,FALSE)</f>
        <v>87.469418647799998</v>
      </c>
      <c r="D41" s="44">
        <f>IPQC!Z9+VLOOKUP($R$31,$AD$38:$AK$42,6,FALSE)</f>
        <v>65.559366091000001</v>
      </c>
      <c r="E41" s="44">
        <f>VCM!HU9-'Summary(3pcs)'!C41-'Summary(3pcs)'!$D$32</f>
        <v>147.21884331353789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22cb59100808</v>
      </c>
      <c r="M41" s="44">
        <f>OC!S9+VLOOKUP($R$31,$AD$38:$AK$42,4,FALSE)</f>
        <v>-9.6859271073999995</v>
      </c>
      <c r="N41" s="44">
        <f>OC!T9+VLOOKUP($R$31,$AD$38:$AK$42,5,FALSE)</f>
        <v>6.6027088959000002</v>
      </c>
      <c r="O41" s="92"/>
      <c r="P41" s="92"/>
      <c r="Q41" s="90"/>
      <c r="R41" s="90"/>
      <c r="T41" s="79">
        <v>3</v>
      </c>
      <c r="U41" s="80" t="str">
        <f>FPDC!J9</f>
        <v>22cb59100808</v>
      </c>
      <c r="V41" s="75">
        <f>FPDC!R9+VLOOKUP($R$31,$AD$38:$AK$42,2,FALSE)+VLOOKUP($R$31,$AD$38:$AK$42,7,FALSE)+VLOOKUP('File location'!$B$1,'Tester offset'!$A$2:$D$4,3,FALSE)</f>
        <v>-4.5078706740999994</v>
      </c>
      <c r="W41" s="76">
        <f>FPDC!S9+VLOOKUP($R$31,$AD$38:$AK$42,3,FALSE)+VLOOKUP($R$31,$AD$38:$AK$42,8,FALSE)+VLOOKUP('File location'!$B$1,'Tester offset'!$A$2:$D$4,4,FALSE)</f>
        <v>9.6683740600000068E-2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22cb59090246</v>
      </c>
      <c r="C42" s="44">
        <f>IPQC!S10+VLOOKUP($R$31,$AD$38:$AK$42,6,FALSE)+VLOOKUP('File location'!$B$1,'Tester offset'!$A$2:$D$4,2,FALSE)</f>
        <v>95.872678045499995</v>
      </c>
      <c r="D42" s="44">
        <f>IPQC!Z10+VLOOKUP($R$31,$AD$38:$AK$42,6,FALSE)</f>
        <v>76.108949529399993</v>
      </c>
      <c r="E42" s="44">
        <f>VCM!HU10-'Summary(3pcs)'!C42-'Summary(3pcs)'!$D$32</f>
        <v>145.22699291833794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22cb59090246</v>
      </c>
      <c r="M42" s="44">
        <f>OC!S10+VLOOKUP($R$31,$AD$38:$AK$42,4,FALSE)</f>
        <v>3.4792374891</v>
      </c>
      <c r="N42" s="44">
        <f>OC!T10+VLOOKUP($R$31,$AD$38:$AK$42,5,FALSE)</f>
        <v>-2.9901288268000004</v>
      </c>
      <c r="O42" s="92"/>
      <c r="P42" s="92"/>
      <c r="Q42" s="90"/>
      <c r="R42" s="90"/>
      <c r="T42" s="79">
        <v>3</v>
      </c>
      <c r="U42" s="80" t="str">
        <f>FPDC!J10</f>
        <v>22cb59090246</v>
      </c>
      <c r="V42" s="75">
        <f>FPDC!R10+VLOOKUP($R$31,$AD$38:$AK$42,2,FALSE)+VLOOKUP($R$31,$AD$38:$AK$42,7,FALSE)+VLOOKUP('File location'!$B$1,'Tester offset'!$A$2:$D$4,3,FALSE)</f>
        <v>6.6828708648999999</v>
      </c>
      <c r="W42" s="76">
        <f>FPDC!S10+VLOOKUP($R$31,$AD$38:$AK$42,3,FALSE)+VLOOKUP($R$31,$AD$38:$AK$42,8,FALSE)+VLOOKUP('File location'!$B$1,'Tester offset'!$A$2:$D$4,4,FALSE)</f>
        <v>8.9233865738000002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22cb59100099</v>
      </c>
      <c r="C43" s="44">
        <f>IPQC!S11+VLOOKUP($R$31,$AD$38:$AK$42,6,FALSE)+VLOOKUP('File location'!$B$1,'Tester offset'!$A$2:$D$4,2,FALSE)</f>
        <v>90.116226468600004</v>
      </c>
      <c r="D43" s="44">
        <f>IPQC!Z11+VLOOKUP($R$31,$AD$38:$AK$42,6,FALSE)</f>
        <v>70.7735758667</v>
      </c>
      <c r="E43" s="44">
        <f>VCM!HU11-'Summary(3pcs)'!C43-'Summary(3pcs)'!$D$32</f>
        <v>143.41363617653786</v>
      </c>
      <c r="F43" s="90">
        <f>AVERAGEIF($A$34:$A$45,4,$C$34:$C$45)</f>
        <v>88.947628946833333</v>
      </c>
      <c r="G43" s="91">
        <f>AVERAGEIF($A$34:$A$45,4,$D$34:$D$45)</f>
        <v>70.389018148033344</v>
      </c>
      <c r="H43" s="91">
        <f>AVERAGEIF($A$34:$A$45,4,$E$34:$E$45)</f>
        <v>142.0553596818379</v>
      </c>
      <c r="I43" s="91">
        <f>85-F43</f>
        <v>-3.9476289468333334</v>
      </c>
      <c r="J43"/>
      <c r="K43" s="79">
        <f t="shared" si="1"/>
        <v>4</v>
      </c>
      <c r="L43" s="80" t="str">
        <f>OC!J11</f>
        <v>22cb59100099</v>
      </c>
      <c r="M43" s="44">
        <f>OC!S11+VLOOKUP($R$31,$AD$38:$AK$42,4,FALSE)</f>
        <v>-5.6631800601000002</v>
      </c>
      <c r="N43" s="44">
        <f>OC!T11+VLOOKUP($R$31,$AD$38:$AK$42,5,FALSE)</f>
        <v>-2.5989700042999999</v>
      </c>
      <c r="O43" s="92">
        <f>AVERAGEIF($K$34:$K$45,4,$M$34:$M$45)</f>
        <v>-9.325198255466665</v>
      </c>
      <c r="P43" s="92">
        <f>AVERAGEIF($K$34:$K$45,4,$N$34:$N$45)</f>
        <v>-0.38508820136666672</v>
      </c>
      <c r="Q43" s="90">
        <f>P43*0.001</f>
        <v>-3.8508820136666673E-4</v>
      </c>
      <c r="R43" s="90">
        <f>O43*0.001</f>
        <v>-9.325198255466665E-3</v>
      </c>
      <c r="T43" s="79">
        <v>4</v>
      </c>
      <c r="U43" s="80" t="str">
        <f>FPDC!J11</f>
        <v>22cb59100099</v>
      </c>
      <c r="V43" s="75">
        <f>FPDC!R11+VLOOKUP($R$31,$AD$38:$AK$42,2,FALSE)+VLOOKUP($R$31,$AD$38:$AK$42,7,FALSE)+VLOOKUP('File location'!$B$1,'Tester offset'!$A$2:$D$4,3,FALSE)</f>
        <v>5.7322397231999993</v>
      </c>
      <c r="W43" s="76">
        <f>FPDC!S11+VLOOKUP($R$31,$AD$38:$AK$42,3,FALSE)+VLOOKUP($R$31,$AD$38:$AK$42,8,FALSE)+VLOOKUP('File location'!$B$1,'Tester offset'!$A$2:$D$4,4,FALSE)</f>
        <v>6.0702171325999998</v>
      </c>
      <c r="X43" s="92">
        <f>AVERAGEIF($T$34:$T$45,4,$V$34:$V$45)</f>
        <v>-0.4765823682333335</v>
      </c>
      <c r="Y43" s="92">
        <f>AVERAGEIF($T$34:$T$45,4,$W$34:$W$45)</f>
        <v>6.7417558034333327</v>
      </c>
      <c r="Z43" s="90">
        <f>(X43*-0.01)/4</f>
        <v>1.1914559205833339E-3</v>
      </c>
      <c r="AA43" s="90">
        <f>(Y43*-0.01)/4</f>
        <v>-1.6854389508583333E-2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22cb59100401</v>
      </c>
      <c r="C44" s="44">
        <f>IPQC!S12+VLOOKUP($R$31,$AD$38:$AK$42,6,FALSE)+VLOOKUP('File location'!$B$1,'Tester offset'!$A$2:$D$4,2,FALSE)</f>
        <v>87.423098115000002</v>
      </c>
      <c r="D44" s="44">
        <f>IPQC!Z12+VLOOKUP($R$31,$AD$38:$AK$42,6,FALSE)</f>
        <v>68.965926864799997</v>
      </c>
      <c r="E44" s="44">
        <f>VCM!HU12-'Summary(3pcs)'!C44-'Summary(3pcs)'!$D$32</f>
        <v>137.28661511033789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22cb59100401</v>
      </c>
      <c r="M44" s="44">
        <f>OC!S12+VLOOKUP($R$31,$AD$38:$AK$42,4,FALSE)</f>
        <v>-12.377703394799999</v>
      </c>
      <c r="N44" s="44">
        <f>OC!T12+VLOOKUP($R$31,$AD$38:$AK$42,5,FALSE)</f>
        <v>7.2446605490999998</v>
      </c>
      <c r="O44" s="92"/>
      <c r="P44" s="92"/>
      <c r="Q44" s="90"/>
      <c r="R44" s="90"/>
      <c r="T44" s="79">
        <v>4</v>
      </c>
      <c r="U44" s="80" t="str">
        <f>FPDC!J12</f>
        <v>22cb59100401</v>
      </c>
      <c r="V44" s="75">
        <f>FPDC!R12+VLOOKUP($R$31,$AD$38:$AK$42,2,FALSE)+VLOOKUP($R$31,$AD$38:$AK$42,7,FALSE)+VLOOKUP('File location'!$B$1,'Tester offset'!$A$2:$D$4,3,FALSE)</f>
        <v>-5.8188443184</v>
      </c>
      <c r="W44" s="76">
        <f>FPDC!S12+VLOOKUP($R$31,$AD$38:$AK$42,3,FALSE)+VLOOKUP($R$31,$AD$38:$AK$42,8,FALSE)+VLOOKUP('File location'!$B$1,'Tester offset'!$A$2:$D$4,4,FALSE)</f>
        <v>6.9636650084999996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22cb59090802</v>
      </c>
      <c r="C45" s="44">
        <f>IPQC!S13+VLOOKUP($R$31,$AD$38:$AK$42,6,FALSE)+VLOOKUP('File location'!$B$1,'Tester offset'!$A$2:$D$4,2,FALSE)</f>
        <v>89.303562256899994</v>
      </c>
      <c r="D45" s="44">
        <f>IPQC!Z13+VLOOKUP($R$31,$AD$38:$AK$42,6,FALSE)</f>
        <v>71.427551712600007</v>
      </c>
      <c r="E45" s="44">
        <f>VCM!HU13-'Summary(3pcs)'!C45-'Summary(3pcs)'!$D$32</f>
        <v>145.46582775863794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22cb59090802</v>
      </c>
      <c r="M45" s="44">
        <f>OC!S13+VLOOKUP($R$31,$AD$38:$AK$42,4,FALSE)</f>
        <v>-9.9347113114999992</v>
      </c>
      <c r="N45" s="44">
        <f>OC!T13+VLOOKUP($R$31,$AD$38:$AK$42,5,FALSE)</f>
        <v>-5.8009551489</v>
      </c>
      <c r="O45" s="92"/>
      <c r="P45" s="92"/>
      <c r="Q45" s="90"/>
      <c r="R45" s="90"/>
      <c r="T45" s="79">
        <v>4</v>
      </c>
      <c r="U45" s="80" t="str">
        <f>FPDC!J13</f>
        <v>22cb59090802</v>
      </c>
      <c r="V45" s="75">
        <f>FPDC!R13+VLOOKUP($R$31,$AD$38:$AK$42,2,FALSE)+VLOOKUP($R$31,$AD$38:$AK$42,7,FALSE)+VLOOKUP('File location'!$B$1,'Tester offset'!$A$2:$D$4,3,FALSE)</f>
        <v>-1.3431425094999998</v>
      </c>
      <c r="W45" s="76">
        <f>FPDC!S13+VLOOKUP($R$31,$AD$38:$AK$42,3,FALSE)+VLOOKUP($R$31,$AD$38:$AK$42,8,FALSE)+VLOOKUP('File location'!$B$1,'Tester offset'!$A$2:$D$4,4,FALSE)</f>
        <v>7.1913852691999995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85.471025132700007</v>
      </c>
      <c r="L54" s="49">
        <f t="shared" ref="L54:L65" si="4">D34</f>
        <v>70.469096850100001</v>
      </c>
      <c r="M54" s="49">
        <f t="shared" ref="M54:M65" si="5">E34</f>
        <v>142.75851474503793</v>
      </c>
      <c r="N54" s="49">
        <f t="shared" ref="N54:O65" si="6">M34</f>
        <v>-9.3126354081000002</v>
      </c>
      <c r="O54" s="49">
        <f t="shared" si="6"/>
        <v>-2.2826621155</v>
      </c>
      <c r="P54" s="49">
        <f t="shared" ref="P54:P65" si="7">V34</f>
        <v>-4.7731521130000001</v>
      </c>
      <c r="Q54" s="50">
        <f t="shared" ref="Q54:Q65" si="8">W34</f>
        <v>1.7422633170999999</v>
      </c>
    </row>
    <row r="55" spans="6:27" ht="19.5">
      <c r="I55" s="47">
        <f t="shared" si="2"/>
        <v>1</v>
      </c>
      <c r="J55" s="46"/>
      <c r="K55" s="51">
        <f t="shared" si="3"/>
        <v>85.269407257799998</v>
      </c>
      <c r="L55" s="52">
        <f t="shared" si="4"/>
        <v>64.310227896000001</v>
      </c>
      <c r="M55" s="52">
        <f t="shared" si="5"/>
        <v>137.39957655463786</v>
      </c>
      <c r="N55" s="52">
        <f t="shared" si="6"/>
        <v>-13.9634347405</v>
      </c>
      <c r="O55" s="52">
        <f t="shared" si="6"/>
        <v>-0.25146608910000001</v>
      </c>
      <c r="P55" s="52">
        <f t="shared" si="7"/>
        <v>2.2317409515000008</v>
      </c>
      <c r="Q55" s="53">
        <f t="shared" si="8"/>
        <v>7.6879959105999998</v>
      </c>
    </row>
    <row r="56" spans="6:27" ht="19.5">
      <c r="I56" s="47">
        <f t="shared" si="2"/>
        <v>1</v>
      </c>
      <c r="J56" s="46"/>
      <c r="K56" s="54">
        <f t="shared" si="3"/>
        <v>80.832134037399996</v>
      </c>
      <c r="L56" s="55">
        <f t="shared" si="4"/>
        <v>63.068425950799998</v>
      </c>
      <c r="M56" s="55">
        <f t="shared" si="5"/>
        <v>168.61554932603792</v>
      </c>
      <c r="N56" s="55">
        <f t="shared" si="6"/>
        <v>-13.0046966546</v>
      </c>
      <c r="O56" s="55">
        <f t="shared" si="6"/>
        <v>9.4874408829999997</v>
      </c>
      <c r="P56" s="55">
        <f t="shared" si="7"/>
        <v>1.6077594757</v>
      </c>
      <c r="Q56" s="56">
        <f t="shared" si="8"/>
        <v>4.4490380287000004</v>
      </c>
    </row>
    <row r="57" spans="6:27" ht="19.5">
      <c r="I57" s="47">
        <f t="shared" si="2"/>
        <v>2</v>
      </c>
      <c r="J57" s="46"/>
      <c r="K57" s="57">
        <f t="shared" si="3"/>
        <v>85.7567540286</v>
      </c>
      <c r="L57" s="58">
        <f t="shared" si="4"/>
        <v>67.71928704039999</v>
      </c>
      <c r="M57" s="58">
        <f t="shared" si="5"/>
        <v>142.30536925493789</v>
      </c>
      <c r="N57" s="58">
        <f t="shared" si="6"/>
        <v>-3.9168761097</v>
      </c>
      <c r="O57" s="58">
        <f t="shared" si="6"/>
        <v>5.1687774937000004</v>
      </c>
      <c r="P57" s="58">
        <f t="shared" si="7"/>
        <v>0.15918302539999996</v>
      </c>
      <c r="Q57" s="59">
        <f t="shared" si="8"/>
        <v>4.0745458602999998</v>
      </c>
    </row>
    <row r="58" spans="6:27" ht="19.5">
      <c r="I58" s="47">
        <f t="shared" si="2"/>
        <v>2</v>
      </c>
      <c r="J58" s="46"/>
      <c r="K58" s="57">
        <f t="shared" si="3"/>
        <v>81.8034691326</v>
      </c>
      <c r="L58" s="58">
        <f t="shared" si="4"/>
        <v>67.074500229600005</v>
      </c>
      <c r="M58" s="58">
        <f t="shared" si="5"/>
        <v>141.04312522153788</v>
      </c>
      <c r="N58" s="58">
        <f t="shared" si="6"/>
        <v>-7.6849158750999997</v>
      </c>
      <c r="O58" s="58">
        <f t="shared" si="6"/>
        <v>9.2231632380999997</v>
      </c>
      <c r="P58" s="58">
        <f t="shared" si="7"/>
        <v>1.4711513518999997</v>
      </c>
      <c r="Q58" s="59">
        <f t="shared" si="8"/>
        <v>0.6718525887000002</v>
      </c>
    </row>
    <row r="59" spans="6:27" ht="19.5">
      <c r="I59" s="47">
        <f t="shared" si="2"/>
        <v>2</v>
      </c>
      <c r="J59" s="46"/>
      <c r="K59" s="57">
        <f t="shared" si="3"/>
        <v>87.679995777100004</v>
      </c>
      <c r="L59" s="58">
        <f t="shared" si="4"/>
        <v>72.602580372600002</v>
      </c>
      <c r="M59" s="58">
        <f t="shared" si="5"/>
        <v>152.96537369993791</v>
      </c>
      <c r="N59" s="58">
        <f t="shared" si="6"/>
        <v>-14.2266181506</v>
      </c>
      <c r="O59" s="58">
        <f t="shared" si="6"/>
        <v>8.4126674572000013</v>
      </c>
      <c r="P59" s="58">
        <f t="shared" si="7"/>
        <v>3.0045852660999994</v>
      </c>
      <c r="Q59" s="59">
        <f t="shared" si="8"/>
        <v>8.0887088776000002</v>
      </c>
    </row>
    <row r="60" spans="6:27" ht="19.5">
      <c r="I60" s="47">
        <f t="shared" si="2"/>
        <v>3</v>
      </c>
      <c r="J60" s="46"/>
      <c r="K60" s="60">
        <f t="shared" si="3"/>
        <v>83.602571908200005</v>
      </c>
      <c r="L60" s="61">
        <f t="shared" si="4"/>
        <v>67.728895792200007</v>
      </c>
      <c r="M60" s="61">
        <f t="shared" si="5"/>
        <v>152.61782283153792</v>
      </c>
      <c r="N60" s="61">
        <f t="shared" si="6"/>
        <v>-5.3540936223999998</v>
      </c>
      <c r="O60" s="61">
        <f t="shared" si="6"/>
        <v>0.78337307129999978</v>
      </c>
      <c r="P60" s="61">
        <f t="shared" si="7"/>
        <v>-3.7084503174000001</v>
      </c>
      <c r="Q60" s="62">
        <f t="shared" si="8"/>
        <v>-0.75162887569999981</v>
      </c>
    </row>
    <row r="61" spans="6:27" ht="19.5">
      <c r="I61" s="47">
        <f t="shared" si="2"/>
        <v>3</v>
      </c>
      <c r="J61" s="46"/>
      <c r="K61" s="63">
        <f t="shared" si="3"/>
        <v>87.469418647799998</v>
      </c>
      <c r="L61" s="64">
        <f t="shared" si="4"/>
        <v>65.559366091000001</v>
      </c>
      <c r="M61" s="64">
        <f t="shared" si="5"/>
        <v>147.21884331353789</v>
      </c>
      <c r="N61" s="64">
        <f t="shared" si="6"/>
        <v>-9.6859271073999995</v>
      </c>
      <c r="O61" s="64">
        <f t="shared" si="6"/>
        <v>6.6027088959000002</v>
      </c>
      <c r="P61" s="64">
        <f t="shared" si="7"/>
        <v>-4.5078706740999994</v>
      </c>
      <c r="Q61" s="65">
        <f t="shared" si="8"/>
        <v>9.6683740600000068E-2</v>
      </c>
    </row>
    <row r="62" spans="6:27" ht="19.5">
      <c r="I62" s="47">
        <f t="shared" si="2"/>
        <v>3</v>
      </c>
      <c r="J62" s="46"/>
      <c r="K62" s="66">
        <f t="shared" si="3"/>
        <v>95.872678045499995</v>
      </c>
      <c r="L62" s="67">
        <f t="shared" si="4"/>
        <v>76.108949529399993</v>
      </c>
      <c r="M62" s="67">
        <f t="shared" si="5"/>
        <v>145.22699291833794</v>
      </c>
      <c r="N62" s="67">
        <f t="shared" si="6"/>
        <v>3.4792374891</v>
      </c>
      <c r="O62" s="67">
        <f t="shared" si="6"/>
        <v>-2.9901288268000004</v>
      </c>
      <c r="P62" s="67">
        <f t="shared" si="7"/>
        <v>6.6828708648999999</v>
      </c>
      <c r="Q62" s="68">
        <f t="shared" si="8"/>
        <v>8.9233865738000002</v>
      </c>
    </row>
    <row r="63" spans="6:27" ht="19.5">
      <c r="I63" s="47">
        <f t="shared" si="2"/>
        <v>4</v>
      </c>
      <c r="J63" s="46"/>
      <c r="K63" s="57">
        <f t="shared" si="3"/>
        <v>90.116226468600004</v>
      </c>
      <c r="L63" s="58">
        <f t="shared" si="4"/>
        <v>70.7735758667</v>
      </c>
      <c r="M63" s="58">
        <f t="shared" si="5"/>
        <v>143.41363617653786</v>
      </c>
      <c r="N63" s="58">
        <f t="shared" si="6"/>
        <v>-5.6631800601000002</v>
      </c>
      <c r="O63" s="58">
        <f t="shared" si="6"/>
        <v>-2.5989700042999999</v>
      </c>
      <c r="P63" s="58">
        <f t="shared" si="7"/>
        <v>5.7322397231999993</v>
      </c>
      <c r="Q63" s="59">
        <f t="shared" si="8"/>
        <v>6.0702171325999998</v>
      </c>
    </row>
    <row r="64" spans="6:27" ht="19.5">
      <c r="I64" s="47">
        <f t="shared" si="2"/>
        <v>4</v>
      </c>
      <c r="J64" s="46"/>
      <c r="K64" s="57">
        <f t="shared" si="3"/>
        <v>87.423098115000002</v>
      </c>
      <c r="L64" s="58">
        <f t="shared" si="4"/>
        <v>68.965926864799997</v>
      </c>
      <c r="M64" s="58">
        <f t="shared" si="5"/>
        <v>137.28661511033789</v>
      </c>
      <c r="N64" s="58">
        <f t="shared" si="6"/>
        <v>-12.377703394799999</v>
      </c>
      <c r="O64" s="58">
        <f t="shared" si="6"/>
        <v>7.2446605490999998</v>
      </c>
      <c r="P64" s="58">
        <f t="shared" si="7"/>
        <v>-5.8188443184</v>
      </c>
      <c r="Q64" s="59">
        <f t="shared" si="8"/>
        <v>6.9636650084999996</v>
      </c>
    </row>
    <row r="65" spans="9:17" ht="20.25" thickBot="1">
      <c r="I65" s="47">
        <f t="shared" si="2"/>
        <v>4</v>
      </c>
      <c r="J65" s="46"/>
      <c r="K65" s="69">
        <f t="shared" si="3"/>
        <v>89.303562256899994</v>
      </c>
      <c r="L65" s="70">
        <f t="shared" si="4"/>
        <v>71.427551712600007</v>
      </c>
      <c r="M65" s="70">
        <f t="shared" si="5"/>
        <v>145.46582775863794</v>
      </c>
      <c r="N65" s="70">
        <f t="shared" si="6"/>
        <v>-9.9347113114999992</v>
      </c>
      <c r="O65" s="70">
        <f t="shared" si="6"/>
        <v>-5.8009551489</v>
      </c>
      <c r="P65" s="70">
        <f t="shared" si="7"/>
        <v>-1.3431425094999998</v>
      </c>
      <c r="Q65" s="71">
        <f t="shared" si="8"/>
        <v>7.1913852691999995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2103.1873645919</v>
      </c>
      <c r="R2">
        <v>1518.7826621155</v>
      </c>
      <c r="S2">
        <v>-9.3126354081000002</v>
      </c>
      <c r="T2">
        <v>-6.2826621155</v>
      </c>
      <c r="U2">
        <v>11.233744767499999</v>
      </c>
      <c r="V2">
        <v>734.80610000000001</v>
      </c>
      <c r="W2">
        <v>394.91629999999998</v>
      </c>
      <c r="X2">
        <v>399.2937</v>
      </c>
      <c r="Y2">
        <v>398.43389999999999</v>
      </c>
      <c r="Z2">
        <v>394.03859999999997</v>
      </c>
      <c r="AA2">
        <v>565.73836249999999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2098.5365652595001</v>
      </c>
      <c r="R3">
        <v>1516.7514660890999</v>
      </c>
      <c r="S3">
        <v>-13.9634347405</v>
      </c>
      <c r="T3">
        <v>-4.2514660891</v>
      </c>
      <c r="U3">
        <v>14.596317126500001</v>
      </c>
      <c r="V3">
        <v>733.23649999999998</v>
      </c>
      <c r="W3">
        <v>396.68529999999998</v>
      </c>
      <c r="X3">
        <v>398.52249999999998</v>
      </c>
      <c r="Y3">
        <v>398.76490000000001</v>
      </c>
      <c r="Z3">
        <v>393.51089999999999</v>
      </c>
      <c r="AA3">
        <v>565.05370000000005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551</v>
      </c>
      <c r="B4" t="s">
        <v>552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2099.4953033453999</v>
      </c>
      <c r="R4">
        <v>1507.0125591169999</v>
      </c>
      <c r="S4">
        <v>-13.0046966546</v>
      </c>
      <c r="T4">
        <v>5.4874408829999997</v>
      </c>
      <c r="U4">
        <v>14.1150325017</v>
      </c>
      <c r="V4">
        <v>725.10329999999999</v>
      </c>
      <c r="W4">
        <v>394.19889999999998</v>
      </c>
      <c r="X4">
        <v>392.6814</v>
      </c>
      <c r="Y4">
        <v>396.32240000000002</v>
      </c>
      <c r="Z4">
        <v>389.34730000000002</v>
      </c>
      <c r="AA4">
        <v>559.12040000000002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2108.5831238903002</v>
      </c>
      <c r="R5">
        <v>1511.3312225063</v>
      </c>
      <c r="S5">
        <v>-3.9168761097</v>
      </c>
      <c r="T5">
        <v>1.1687774936999999</v>
      </c>
      <c r="U5">
        <v>4.0875370686999997</v>
      </c>
      <c r="V5">
        <v>736.49590000000001</v>
      </c>
      <c r="W5">
        <v>399.54489999999998</v>
      </c>
      <c r="X5">
        <v>401.33109999999999</v>
      </c>
      <c r="Y5">
        <v>401.04250000000002</v>
      </c>
      <c r="Z5">
        <v>395.05959999999999</v>
      </c>
      <c r="AA5">
        <v>567.87021249999998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575</v>
      </c>
      <c r="B6" t="s">
        <v>576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2104.8150841248998</v>
      </c>
      <c r="R6">
        <v>1507.2768367619001</v>
      </c>
      <c r="S6">
        <v>-7.6849158750999997</v>
      </c>
      <c r="T6">
        <v>5.2231632380999997</v>
      </c>
      <c r="U6">
        <v>9.2918978804000005</v>
      </c>
      <c r="V6">
        <v>735.10559999999998</v>
      </c>
      <c r="W6">
        <v>402.28179999999998</v>
      </c>
      <c r="X6">
        <v>394.60289999999998</v>
      </c>
      <c r="Y6">
        <v>398.97059999999999</v>
      </c>
      <c r="Z6">
        <v>397.28089999999997</v>
      </c>
      <c r="AA6">
        <v>566.69482500000004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582</v>
      </c>
      <c r="B7" t="s">
        <v>583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2098.2733818493998</v>
      </c>
      <c r="R7">
        <v>1508.0873325427999</v>
      </c>
      <c r="S7">
        <v>-14.2266181506</v>
      </c>
      <c r="T7">
        <v>4.4126674572000004</v>
      </c>
      <c r="U7">
        <v>14.895244143399999</v>
      </c>
      <c r="V7">
        <v>724.38059999999996</v>
      </c>
      <c r="W7">
        <v>393.56880000000001</v>
      </c>
      <c r="X7">
        <v>392.52140000000003</v>
      </c>
      <c r="Y7">
        <v>393.56790000000001</v>
      </c>
      <c r="Z7">
        <v>388.9649</v>
      </c>
      <c r="AA7">
        <v>558.26817500000004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599</v>
      </c>
      <c r="B8" t="s">
        <v>600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2107.1459063776001</v>
      </c>
      <c r="R8">
        <v>1515.7166269287</v>
      </c>
      <c r="S8">
        <v>-5.3540936223999998</v>
      </c>
      <c r="T8">
        <v>-3.2166269287000002</v>
      </c>
      <c r="U8">
        <v>6.2460393303000004</v>
      </c>
      <c r="V8">
        <v>739.19910000000004</v>
      </c>
      <c r="W8">
        <v>399.5908</v>
      </c>
      <c r="X8">
        <v>399.6447</v>
      </c>
      <c r="Y8">
        <v>399.7303</v>
      </c>
      <c r="Z8">
        <v>398.61189999999999</v>
      </c>
      <c r="AA8">
        <v>569.2967625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611</v>
      </c>
      <c r="B9" t="s">
        <v>612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2102.8140728926001</v>
      </c>
      <c r="R9">
        <v>1509.8972911041001</v>
      </c>
      <c r="S9">
        <v>-9.6859271073999995</v>
      </c>
      <c r="T9">
        <v>2.6027088959000002</v>
      </c>
      <c r="U9">
        <v>10.0295203039</v>
      </c>
      <c r="V9">
        <v>726.71010000000001</v>
      </c>
      <c r="W9">
        <v>391.00259999999997</v>
      </c>
      <c r="X9">
        <v>392.15129999999999</v>
      </c>
      <c r="Y9">
        <v>392.928</v>
      </c>
      <c r="Z9">
        <v>387.37520000000001</v>
      </c>
      <c r="AA9">
        <v>558.78718749999996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623</v>
      </c>
      <c r="B10" t="s">
        <v>624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2115.9792374890999</v>
      </c>
      <c r="R10">
        <v>1519.4901288267999</v>
      </c>
      <c r="S10">
        <v>3.4792374891</v>
      </c>
      <c r="T10">
        <v>-6.9901288268000004</v>
      </c>
      <c r="U10">
        <v>7.8081364307000003</v>
      </c>
      <c r="V10">
        <v>734.44770000000005</v>
      </c>
      <c r="W10">
        <v>396.93889999999999</v>
      </c>
      <c r="X10">
        <v>398.88619999999997</v>
      </c>
      <c r="Y10">
        <v>394.55220000000003</v>
      </c>
      <c r="Z10">
        <v>397.5564</v>
      </c>
      <c r="AA10">
        <v>565.71556250000003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632</v>
      </c>
      <c r="B11" t="s">
        <v>633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2106.8368199399001</v>
      </c>
      <c r="R11">
        <v>1519.0989700043001</v>
      </c>
      <c r="S11">
        <v>-5.6631800601000002</v>
      </c>
      <c r="T11">
        <v>-6.5989700042999999</v>
      </c>
      <c r="U11">
        <v>8.6958618612999992</v>
      </c>
      <c r="V11">
        <v>734.97209999999995</v>
      </c>
      <c r="W11">
        <v>395.72969999999998</v>
      </c>
      <c r="X11">
        <v>398.14299999999997</v>
      </c>
      <c r="Y11">
        <v>397.0788</v>
      </c>
      <c r="Z11">
        <v>394.2063</v>
      </c>
      <c r="AA11">
        <v>565.63077499999997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647</v>
      </c>
      <c r="B12" t="s">
        <v>648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2100.1222966052001</v>
      </c>
      <c r="R12">
        <v>1509.2553394509</v>
      </c>
      <c r="S12">
        <v>-12.377703394799999</v>
      </c>
      <c r="T12">
        <v>3.2446605490999998</v>
      </c>
      <c r="U12">
        <v>12.7959119803</v>
      </c>
      <c r="V12">
        <v>746.42499999999995</v>
      </c>
      <c r="W12">
        <v>402.36270000000002</v>
      </c>
      <c r="X12">
        <v>400.75920000000002</v>
      </c>
      <c r="Y12">
        <v>404.6893</v>
      </c>
      <c r="Z12">
        <v>399.6651</v>
      </c>
      <c r="AA12">
        <v>574.14703750000001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659</v>
      </c>
      <c r="B13" t="s">
        <v>660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2102.5652886885</v>
      </c>
      <c r="R13">
        <v>1522.3009551488999</v>
      </c>
      <c r="S13">
        <v>-9.9347113114999992</v>
      </c>
      <c r="T13">
        <v>-9.8009551489</v>
      </c>
      <c r="U13">
        <v>13.9555440838</v>
      </c>
      <c r="V13">
        <v>734.74599999999998</v>
      </c>
      <c r="W13">
        <v>396.26429999999999</v>
      </c>
      <c r="X13">
        <v>398.94380000000001</v>
      </c>
      <c r="Y13">
        <v>399.52850000000001</v>
      </c>
      <c r="Z13">
        <v>395.78719999999998</v>
      </c>
      <c r="AA13">
        <v>566.18847500000004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5.9604999999999999E-6</v>
      </c>
      <c r="R2">
        <v>2.2268478869999999</v>
      </c>
      <c r="S2">
        <v>4.7422633170999999</v>
      </c>
      <c r="T2">
        <v>4.3906393050999997</v>
      </c>
      <c r="U2">
        <v>8.0245332717999993</v>
      </c>
      <c r="V2">
        <v>-1.5467314720000001</v>
      </c>
      <c r="W2">
        <v>0.36621308330000002</v>
      </c>
      <c r="X2">
        <v>-0.28254258630000001</v>
      </c>
      <c r="Y2">
        <v>-1.1682698727</v>
      </c>
      <c r="Z2">
        <v>-0.34093570709999999</v>
      </c>
      <c r="AA2">
        <v>1.3041535616</v>
      </c>
      <c r="AB2">
        <v>-2.2667579651</v>
      </c>
      <c r="AC2">
        <v>1.2763774395</v>
      </c>
      <c r="AD2">
        <v>-0.2426068187</v>
      </c>
      <c r="AE2">
        <v>0.1426862478</v>
      </c>
      <c r="AF2">
        <v>0.18698744480000001</v>
      </c>
      <c r="AG2">
        <v>0.42574119570000002</v>
      </c>
      <c r="AH2">
        <v>-4.1870832400000002E-2</v>
      </c>
      <c r="AI2">
        <v>9.9347472199999995E-2</v>
      </c>
      <c r="AJ2">
        <v>0.35891968010000003</v>
      </c>
      <c r="AK2">
        <v>2.236811E-4</v>
      </c>
      <c r="AL2">
        <v>4.9033328899999999E-2</v>
      </c>
      <c r="AM2">
        <v>5.0345078100000003E-2</v>
      </c>
      <c r="AN2">
        <v>8.1372857100000001E-2</v>
      </c>
      <c r="AO2">
        <v>0.21081952749999999</v>
      </c>
      <c r="AP2">
        <v>0.21081952749999999</v>
      </c>
      <c r="AQ2">
        <v>5.2390755750000002</v>
      </c>
      <c r="AR2" t="s">
        <v>269</v>
      </c>
      <c r="AS2" t="s">
        <v>270</v>
      </c>
      <c r="AT2">
        <v>3</v>
      </c>
      <c r="AU2">
        <v>2.9</v>
      </c>
      <c r="AX2">
        <v>1</v>
      </c>
    </row>
    <row r="3" spans="1:50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1.19209E-5</v>
      </c>
      <c r="R3">
        <v>9.2317409515000008</v>
      </c>
      <c r="S3">
        <v>10.6879959106</v>
      </c>
      <c r="T3">
        <v>3.6696524620000002</v>
      </c>
      <c r="U3">
        <v>5.5307850837999997</v>
      </c>
      <c r="V3">
        <v>-4.7034835814999996</v>
      </c>
      <c r="W3">
        <v>-1.5922751426999999</v>
      </c>
      <c r="X3">
        <v>-1.9634925127</v>
      </c>
      <c r="Y3">
        <v>-0.58178067209999995</v>
      </c>
      <c r="Z3">
        <v>1.8106665610999999</v>
      </c>
      <c r="AA3">
        <v>0.89036571980000001</v>
      </c>
      <c r="AB3">
        <v>-2.3654482364999998</v>
      </c>
      <c r="AC3">
        <v>1.4196509123000001</v>
      </c>
      <c r="AD3">
        <v>0.55123162270000003</v>
      </c>
      <c r="AE3">
        <v>7.9559802999999998E-2</v>
      </c>
      <c r="AF3">
        <v>0.37463849780000003</v>
      </c>
      <c r="AG3">
        <v>0.52978157999999997</v>
      </c>
      <c r="AH3">
        <v>-5.7430267299999997E-2</v>
      </c>
      <c r="AI3">
        <v>-0.26673072580000001</v>
      </c>
      <c r="AJ3">
        <v>0.82260584830000005</v>
      </c>
      <c r="AK3">
        <v>1.120855E-4</v>
      </c>
      <c r="AL3">
        <v>3.4082770300000002E-2</v>
      </c>
      <c r="AM3">
        <v>0.16330662369999999</v>
      </c>
      <c r="AN3">
        <v>0.21035733819999999</v>
      </c>
      <c r="AO3">
        <v>0.30491200089999998</v>
      </c>
      <c r="AP3">
        <v>0.30491200089999998</v>
      </c>
      <c r="AQ3">
        <v>14.122970565099999</v>
      </c>
      <c r="AR3" t="s">
        <v>269</v>
      </c>
      <c r="AS3" t="s">
        <v>270</v>
      </c>
      <c r="AT3">
        <v>3</v>
      </c>
      <c r="AU3">
        <v>2.9</v>
      </c>
      <c r="AX3">
        <v>1</v>
      </c>
    </row>
    <row r="4" spans="1:50">
      <c r="A4" t="s">
        <v>558</v>
      </c>
      <c r="B4" t="s">
        <v>559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-1.4543500000000001E-5</v>
      </c>
      <c r="R4">
        <v>8.6077594757</v>
      </c>
      <c r="S4">
        <v>7.4490380287000004</v>
      </c>
      <c r="T4">
        <v>5.7746419907000002</v>
      </c>
      <c r="U4">
        <v>8.1975059509000001</v>
      </c>
      <c r="V4">
        <v>-2.7442007065</v>
      </c>
      <c r="W4">
        <v>-0.38505399229999998</v>
      </c>
      <c r="X4">
        <v>-2.1571614742</v>
      </c>
      <c r="Y4">
        <v>-0.98755323890000002</v>
      </c>
      <c r="Z4">
        <v>-0.7470989227</v>
      </c>
      <c r="AA4">
        <v>2.1997034499999998E-2</v>
      </c>
      <c r="AB4">
        <v>-2.8768672943000002</v>
      </c>
      <c r="AC4">
        <v>0.73752415179999997</v>
      </c>
      <c r="AD4">
        <v>-0.57752978799999999</v>
      </c>
      <c r="AE4">
        <v>1.0157492160999999</v>
      </c>
      <c r="AF4">
        <v>1.6677796799999998E-2</v>
      </c>
      <c r="AG4">
        <v>-0.51794409750000003</v>
      </c>
      <c r="AH4">
        <v>-0.7203527689</v>
      </c>
      <c r="AI4">
        <v>0.22965377570000001</v>
      </c>
      <c r="AJ4">
        <v>0.39247095580000002</v>
      </c>
      <c r="AK4">
        <v>1.703536E-4</v>
      </c>
      <c r="AL4">
        <v>4.1453231100000001E-2</v>
      </c>
      <c r="AM4">
        <v>0.13732486960000001</v>
      </c>
      <c r="AN4">
        <v>0.15206284819999999</v>
      </c>
      <c r="AO4">
        <v>0.29950925709999998</v>
      </c>
      <c r="AP4">
        <v>0.29950925709999998</v>
      </c>
      <c r="AQ4">
        <v>11.383395396099999</v>
      </c>
      <c r="AR4" t="s">
        <v>269</v>
      </c>
      <c r="AS4" t="s">
        <v>270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571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-1.00136E-5</v>
      </c>
      <c r="R5">
        <v>7.1591830254</v>
      </c>
      <c r="S5">
        <v>7.0745458602999998</v>
      </c>
      <c r="T5">
        <v>7.9498538970999997</v>
      </c>
      <c r="U5">
        <v>11.694532394399999</v>
      </c>
      <c r="V5">
        <v>-7.4505224227999998</v>
      </c>
      <c r="W5">
        <v>-0.61445391179999997</v>
      </c>
      <c r="X5">
        <v>-6.2860383986999997</v>
      </c>
      <c r="Y5">
        <v>-1.8643915653000001</v>
      </c>
      <c r="Z5">
        <v>-1.0054081678</v>
      </c>
      <c r="AA5">
        <v>7.3730468800000004E-2</v>
      </c>
      <c r="AB5">
        <v>-3.74690485</v>
      </c>
      <c r="AC5">
        <v>2.050989151</v>
      </c>
      <c r="AD5">
        <v>-0.50259113310000003</v>
      </c>
      <c r="AE5">
        <v>2.4730880260000001</v>
      </c>
      <c r="AF5">
        <v>9.9211633199999996E-2</v>
      </c>
      <c r="AG5">
        <v>0.39901143309999998</v>
      </c>
      <c r="AH5">
        <v>-0.22579085830000001</v>
      </c>
      <c r="AI5">
        <v>0.61666202550000004</v>
      </c>
      <c r="AJ5">
        <v>0.55451351400000004</v>
      </c>
      <c r="AK5">
        <v>1.8105169999999999E-4</v>
      </c>
      <c r="AL5">
        <v>4.3887864800000002E-2</v>
      </c>
      <c r="AM5">
        <v>0.19954791669999999</v>
      </c>
      <c r="AN5">
        <v>0.2005794346</v>
      </c>
      <c r="AO5">
        <v>0.38131445650000001</v>
      </c>
      <c r="AP5">
        <v>0.38131445650000001</v>
      </c>
      <c r="AQ5">
        <v>10.0649441489</v>
      </c>
      <c r="AR5" t="s">
        <v>269</v>
      </c>
      <c r="AS5" t="s">
        <v>270</v>
      </c>
      <c r="AT5">
        <v>3</v>
      </c>
      <c r="AU5">
        <v>2.9</v>
      </c>
      <c r="AX5">
        <v>1</v>
      </c>
    </row>
    <row r="6" spans="1:50">
      <c r="A6" t="s">
        <v>589</v>
      </c>
      <c r="B6" t="s">
        <v>590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-1.90735E-5</v>
      </c>
      <c r="R6">
        <v>8.4711513518999997</v>
      </c>
      <c r="S6">
        <v>3.6718525887000002</v>
      </c>
      <c r="T6">
        <v>4.2982892990000003</v>
      </c>
      <c r="U6">
        <v>6.0208353996000001</v>
      </c>
      <c r="V6">
        <v>-2.0909190178000001</v>
      </c>
      <c r="W6">
        <v>-0.1195575893</v>
      </c>
      <c r="X6">
        <v>1.1727944613000001</v>
      </c>
      <c r="Y6">
        <v>-1.1142482758000001</v>
      </c>
      <c r="Z6">
        <v>2.6438653499999999E-2</v>
      </c>
      <c r="AA6">
        <v>0.70416808129999997</v>
      </c>
      <c r="AB6">
        <v>-2.2489738464000002</v>
      </c>
      <c r="AC6">
        <v>0.93949210640000003</v>
      </c>
      <c r="AD6">
        <v>-5.40448725E-2</v>
      </c>
      <c r="AE6">
        <v>-0.25404417509999999</v>
      </c>
      <c r="AF6">
        <v>0.36636170740000001</v>
      </c>
      <c r="AG6">
        <v>-0.3313299119</v>
      </c>
      <c r="AH6">
        <v>-1.0882934332</v>
      </c>
      <c r="AI6">
        <v>2.9953897E-2</v>
      </c>
      <c r="AJ6">
        <v>-0.14233165980000001</v>
      </c>
      <c r="AK6">
        <v>1.489719E-4</v>
      </c>
      <c r="AL6">
        <v>3.9507977700000002E-2</v>
      </c>
      <c r="AM6">
        <v>0.1177032217</v>
      </c>
      <c r="AN6">
        <v>7.1993611799999996E-2</v>
      </c>
      <c r="AO6">
        <v>0.2051929981</v>
      </c>
      <c r="AP6">
        <v>0.2051929981</v>
      </c>
      <c r="AQ6">
        <v>9.2327085223999994</v>
      </c>
      <c r="AR6" t="s">
        <v>269</v>
      </c>
      <c r="AS6" t="s">
        <v>270</v>
      </c>
      <c r="AT6">
        <v>3</v>
      </c>
      <c r="AU6">
        <v>2.9</v>
      </c>
      <c r="AX6">
        <v>1</v>
      </c>
    </row>
    <row r="7" spans="1:50">
      <c r="A7" t="s">
        <v>591</v>
      </c>
      <c r="B7" t="s">
        <v>592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-9.7751999999999992E-6</v>
      </c>
      <c r="R7">
        <v>10.004585266099999</v>
      </c>
      <c r="S7">
        <v>11.0887088776</v>
      </c>
      <c r="T7">
        <v>4.5493788719000001</v>
      </c>
      <c r="U7">
        <v>5.2220454215999998</v>
      </c>
      <c r="V7">
        <v>-0.36341786380000002</v>
      </c>
      <c r="W7">
        <v>-1.3391354084</v>
      </c>
      <c r="X7">
        <v>-4.5186367035000004</v>
      </c>
      <c r="Y7">
        <v>-0.50484168529999995</v>
      </c>
      <c r="Z7">
        <v>1.0404806137</v>
      </c>
      <c r="AA7">
        <v>-0.86932498219999998</v>
      </c>
      <c r="AB7">
        <v>-2.1690897942</v>
      </c>
      <c r="AC7">
        <v>0.57277476790000004</v>
      </c>
      <c r="AD7">
        <v>0.24504494669999999</v>
      </c>
      <c r="AE7">
        <v>1.2454462050999999</v>
      </c>
      <c r="AF7">
        <v>-0.13145296279999999</v>
      </c>
      <c r="AG7">
        <v>-0.4405201674</v>
      </c>
      <c r="AH7">
        <v>0.23317229749999999</v>
      </c>
      <c r="AI7">
        <v>-0.5615377426</v>
      </c>
      <c r="AJ7">
        <v>0.34091329570000001</v>
      </c>
      <c r="AK7">
        <v>1.21834E-4</v>
      </c>
      <c r="AL7">
        <v>3.6511506899999997E-2</v>
      </c>
      <c r="AM7">
        <v>0.16959172489999999</v>
      </c>
      <c r="AN7">
        <v>0.2487033159</v>
      </c>
      <c r="AO7">
        <v>0.32616767289999998</v>
      </c>
      <c r="AP7">
        <v>0.32616767289999998</v>
      </c>
      <c r="AQ7">
        <v>14.9348984234</v>
      </c>
      <c r="AR7" t="s">
        <v>269</v>
      </c>
      <c r="AS7" t="s">
        <v>270</v>
      </c>
      <c r="AT7">
        <v>3</v>
      </c>
      <c r="AU7">
        <v>2.9</v>
      </c>
      <c r="AX7">
        <v>1</v>
      </c>
    </row>
    <row r="8" spans="1:50">
      <c r="A8" t="s">
        <v>608</v>
      </c>
      <c r="B8" t="s">
        <v>610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3.1352000000000001E-5</v>
      </c>
      <c r="R8">
        <v>3.2915496825999999</v>
      </c>
      <c r="S8">
        <v>2.2483711243000002</v>
      </c>
      <c r="T8">
        <v>5.8949098587000002</v>
      </c>
      <c r="U8">
        <v>7.3710012436000003</v>
      </c>
      <c r="V8">
        <v>-3.1234226227000002</v>
      </c>
      <c r="W8">
        <v>-1.8722997904000001</v>
      </c>
      <c r="X8">
        <v>-0.40902835129999998</v>
      </c>
      <c r="Y8">
        <v>-1.5984792709</v>
      </c>
      <c r="Z8">
        <v>-1.14853382E-2</v>
      </c>
      <c r="AA8">
        <v>0.49776446819999998</v>
      </c>
      <c r="AB8">
        <v>-2.2822189330999998</v>
      </c>
      <c r="AC8">
        <v>1.3467297554</v>
      </c>
      <c r="AD8">
        <v>0.85413211580000004</v>
      </c>
      <c r="AE8">
        <v>0.1833806634</v>
      </c>
      <c r="AF8">
        <v>0.18621845540000001</v>
      </c>
      <c r="AG8">
        <v>-0.4257145524</v>
      </c>
      <c r="AH8">
        <v>-0.53919875620000002</v>
      </c>
      <c r="AI8">
        <v>0.41910570860000002</v>
      </c>
      <c r="AJ8">
        <v>0.44622749090000002</v>
      </c>
      <c r="AK8">
        <v>1.485166E-4</v>
      </c>
      <c r="AL8">
        <v>3.9302933999999998E-2</v>
      </c>
      <c r="AM8">
        <v>8.9378252599999999E-2</v>
      </c>
      <c r="AN8">
        <v>7.3030240799999993E-2</v>
      </c>
      <c r="AO8">
        <v>0.20293928680000001</v>
      </c>
      <c r="AP8">
        <v>0.20293928680000001</v>
      </c>
      <c r="AQ8">
        <v>3.9861600602</v>
      </c>
      <c r="AR8" t="s">
        <v>269</v>
      </c>
      <c r="AS8" t="s">
        <v>270</v>
      </c>
      <c r="AT8">
        <v>4</v>
      </c>
      <c r="AU8">
        <v>2.9</v>
      </c>
      <c r="AX8">
        <v>1</v>
      </c>
    </row>
    <row r="9" spans="1:50">
      <c r="A9" t="s">
        <v>620</v>
      </c>
      <c r="B9" t="s">
        <v>621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1.7046900000000001E-5</v>
      </c>
      <c r="R9">
        <v>2.4921293259000001</v>
      </c>
      <c r="S9">
        <v>3.0966837406000001</v>
      </c>
      <c r="T9">
        <v>8.8279495238999992</v>
      </c>
      <c r="U9">
        <v>7.9415531157999997</v>
      </c>
      <c r="V9">
        <v>-6.4416971206999998</v>
      </c>
      <c r="W9">
        <v>0.53254807000000004</v>
      </c>
      <c r="X9">
        <v>-0.80728399750000002</v>
      </c>
      <c r="Y9">
        <v>-1.9452011585</v>
      </c>
      <c r="Z9">
        <v>0.60096168520000004</v>
      </c>
      <c r="AA9">
        <v>-7.65634179E-2</v>
      </c>
      <c r="AB9">
        <v>-3.0908503532</v>
      </c>
      <c r="AC9">
        <v>1.5131765604</v>
      </c>
      <c r="AD9">
        <v>-0.43713596459999998</v>
      </c>
      <c r="AE9">
        <v>0.28657615180000001</v>
      </c>
      <c r="AF9">
        <v>-0.26113352179999999</v>
      </c>
      <c r="AG9">
        <v>-0.57045936580000001</v>
      </c>
      <c r="AH9">
        <v>-0.38626274469999999</v>
      </c>
      <c r="AI9">
        <v>-6.8148374600000006E-2</v>
      </c>
      <c r="AJ9">
        <v>0.46912249919999999</v>
      </c>
      <c r="AK9">
        <v>1.3907780000000001E-4</v>
      </c>
      <c r="AL9">
        <v>3.8098689200000001E-2</v>
      </c>
      <c r="AM9">
        <v>0.1062621027</v>
      </c>
      <c r="AN9">
        <v>0.1245931461</v>
      </c>
      <c r="AO9">
        <v>0.2288501859</v>
      </c>
      <c r="AP9">
        <v>0.2288501859</v>
      </c>
      <c r="AQ9">
        <v>3.9749413537999998</v>
      </c>
      <c r="AR9" t="s">
        <v>269</v>
      </c>
      <c r="AS9" t="s">
        <v>270</v>
      </c>
      <c r="AT9">
        <v>3</v>
      </c>
      <c r="AU9">
        <v>2.9</v>
      </c>
      <c r="AX9">
        <v>1</v>
      </c>
    </row>
    <row r="10" spans="1:50">
      <c r="A10" t="s">
        <v>639</v>
      </c>
      <c r="B10" t="s">
        <v>640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-1.8596600000000001E-5</v>
      </c>
      <c r="R10">
        <v>13.6828708649</v>
      </c>
      <c r="S10">
        <v>11.9233865738</v>
      </c>
      <c r="T10">
        <v>3.7301530837999999</v>
      </c>
      <c r="U10">
        <v>4.8735895157</v>
      </c>
      <c r="V10">
        <v>-3.4309973717000002</v>
      </c>
      <c r="W10">
        <v>-2.4879548549999999</v>
      </c>
      <c r="X10">
        <v>-4.8018951416000002</v>
      </c>
      <c r="Y10">
        <v>-0.3131246567</v>
      </c>
      <c r="Z10">
        <v>1.5949010849</v>
      </c>
      <c r="AA10">
        <v>0.39464962479999999</v>
      </c>
      <c r="AB10">
        <v>-1.9170031547999999</v>
      </c>
      <c r="AC10">
        <v>1.0848166942999999</v>
      </c>
      <c r="AD10">
        <v>0.75809490680000002</v>
      </c>
      <c r="AE10">
        <v>1.9177205562999999</v>
      </c>
      <c r="AF10">
        <v>0.3627799451</v>
      </c>
      <c r="AG10">
        <v>-0.47427982089999998</v>
      </c>
      <c r="AH10">
        <v>-5.3120613099999998E-2</v>
      </c>
      <c r="AI10">
        <v>-0.16184401509999999</v>
      </c>
      <c r="AJ10">
        <v>0.26654300089999999</v>
      </c>
      <c r="AK10">
        <v>1.8716060000000001E-4</v>
      </c>
      <c r="AL10">
        <v>4.5471429799999998E-2</v>
      </c>
      <c r="AM10">
        <v>0.23362946509999999</v>
      </c>
      <c r="AN10">
        <v>0.23870724439999999</v>
      </c>
      <c r="AO10">
        <v>0.33771550659999999</v>
      </c>
      <c r="AP10">
        <v>0.33771550659999999</v>
      </c>
      <c r="AQ10">
        <v>18.149052385499999</v>
      </c>
      <c r="AR10" t="s">
        <v>269</v>
      </c>
      <c r="AS10" t="s">
        <v>270</v>
      </c>
      <c r="AT10">
        <v>3</v>
      </c>
      <c r="AU10">
        <v>2.9</v>
      </c>
      <c r="AX10">
        <v>1</v>
      </c>
    </row>
    <row r="11" spans="1:50">
      <c r="A11" t="s">
        <v>644</v>
      </c>
      <c r="B11" t="s">
        <v>645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1.2636199999999999E-5</v>
      </c>
      <c r="R11">
        <v>12.732239723199999</v>
      </c>
      <c r="S11">
        <v>9.0702171325999998</v>
      </c>
      <c r="T11">
        <v>5.4849429131000003</v>
      </c>
      <c r="U11">
        <v>7.8260536193999997</v>
      </c>
      <c r="V11">
        <v>-1.5173426866999999</v>
      </c>
      <c r="W11">
        <v>-1.4799675940999999</v>
      </c>
      <c r="X11">
        <v>-3.5199649333999998</v>
      </c>
      <c r="Y11">
        <v>-1.1859933138000001</v>
      </c>
      <c r="Z11">
        <v>-3.9295375299999998E-2</v>
      </c>
      <c r="AA11">
        <v>-0.48909103869999998</v>
      </c>
      <c r="AB11">
        <v>-2.5910074711000002</v>
      </c>
      <c r="AC11">
        <v>0.77728152279999996</v>
      </c>
      <c r="AD11">
        <v>0.17584806680000001</v>
      </c>
      <c r="AE11">
        <v>1.4490239620000001</v>
      </c>
      <c r="AF11">
        <v>0.2693692446</v>
      </c>
      <c r="AG11">
        <v>-0.45510432119999999</v>
      </c>
      <c r="AH11">
        <v>-0.29990661140000002</v>
      </c>
      <c r="AI11">
        <v>-0.18423318859999999</v>
      </c>
      <c r="AJ11">
        <v>0.2462860942</v>
      </c>
      <c r="AK11">
        <v>1.242541E-4</v>
      </c>
      <c r="AL11">
        <v>3.5995807499999997E-2</v>
      </c>
      <c r="AM11">
        <v>0.18932317200000001</v>
      </c>
      <c r="AN11">
        <v>0.1990434378</v>
      </c>
      <c r="AO11">
        <v>0.357421875</v>
      </c>
      <c r="AP11">
        <v>0.357421875</v>
      </c>
      <c r="AQ11">
        <v>15.632618693</v>
      </c>
      <c r="AR11" t="s">
        <v>269</v>
      </c>
      <c r="AS11" t="s">
        <v>270</v>
      </c>
      <c r="AT11">
        <v>3</v>
      </c>
      <c r="AU11">
        <v>2.9</v>
      </c>
      <c r="AX11">
        <v>1</v>
      </c>
    </row>
    <row r="12" spans="1:50">
      <c r="A12" t="s">
        <v>654</v>
      </c>
      <c r="B12" t="s">
        <v>658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5.9366200000000001E-5</v>
      </c>
      <c r="R12">
        <v>1.1811556816</v>
      </c>
      <c r="S12">
        <v>9.9636650084999996</v>
      </c>
      <c r="T12">
        <v>5.1239356994999996</v>
      </c>
      <c r="U12">
        <v>6.8366031646999996</v>
      </c>
      <c r="V12">
        <v>-0.43017816539999998</v>
      </c>
      <c r="W12">
        <v>1.0314832925999999</v>
      </c>
      <c r="X12">
        <v>-0.98123955730000001</v>
      </c>
      <c r="Y12">
        <v>-1.338254571</v>
      </c>
      <c r="Z12">
        <v>0.27109771970000002</v>
      </c>
      <c r="AA12">
        <v>0.4910960197</v>
      </c>
      <c r="AB12">
        <v>-2.4646680354999999</v>
      </c>
      <c r="AC12">
        <v>0.91847550870000005</v>
      </c>
      <c r="AD12">
        <v>-0.2490234375</v>
      </c>
      <c r="AE12">
        <v>3.11486721E-2</v>
      </c>
      <c r="AF12">
        <v>0.79374504089999998</v>
      </c>
      <c r="AG12">
        <v>-0.80607688430000002</v>
      </c>
      <c r="AH12">
        <v>0.54837739470000002</v>
      </c>
      <c r="AI12">
        <v>-0.45785534379999998</v>
      </c>
      <c r="AJ12">
        <v>-2.6715517000000001E-2</v>
      </c>
      <c r="AK12">
        <v>1.609495E-4</v>
      </c>
      <c r="AL12">
        <v>4.2481824799999998E-2</v>
      </c>
      <c r="AM12">
        <v>2.14139372E-2</v>
      </c>
      <c r="AN12">
        <v>0.16212494669999999</v>
      </c>
      <c r="AO12">
        <v>0.23396191</v>
      </c>
      <c r="AP12">
        <v>0.23396191</v>
      </c>
      <c r="AQ12">
        <v>10.0334315738</v>
      </c>
      <c r="AR12" t="s">
        <v>269</v>
      </c>
      <c r="AS12" t="s">
        <v>270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-1.5497200000000001E-5</v>
      </c>
      <c r="R13">
        <v>5.6568574905000002</v>
      </c>
      <c r="S13">
        <v>10.1913852692</v>
      </c>
      <c r="T13">
        <v>1.2034628391</v>
      </c>
      <c r="U13">
        <v>2.3607001305000002</v>
      </c>
      <c r="V13">
        <v>-2.4857168197999999</v>
      </c>
      <c r="W13">
        <v>-1.4439717531</v>
      </c>
      <c r="X13">
        <v>-1.634968996</v>
      </c>
      <c r="Y13">
        <v>-0.11936670539999999</v>
      </c>
      <c r="Z13">
        <v>1.5579426289</v>
      </c>
      <c r="AA13">
        <v>7.00724125E-2</v>
      </c>
      <c r="AB13">
        <v>-0.75976878400000003</v>
      </c>
      <c r="AC13">
        <v>1.4427341223000001</v>
      </c>
      <c r="AD13">
        <v>0.86133897299999995</v>
      </c>
      <c r="AE13">
        <v>0.32074749470000002</v>
      </c>
      <c r="AF13">
        <v>-9.5963195000000001E-2</v>
      </c>
      <c r="AG13">
        <v>-0.62348455189999996</v>
      </c>
      <c r="AH13">
        <v>0.22690242529999999</v>
      </c>
      <c r="AI13">
        <v>-0.67102193830000001</v>
      </c>
      <c r="AJ13">
        <v>-0.29944163559999998</v>
      </c>
      <c r="AK13">
        <v>1.9281659999999999E-4</v>
      </c>
      <c r="AL13">
        <v>4.5570403299999999E-2</v>
      </c>
      <c r="AM13">
        <v>0.1121787578</v>
      </c>
      <c r="AN13">
        <v>0.1868480444</v>
      </c>
      <c r="AO13">
        <v>0.19076415899999999</v>
      </c>
      <c r="AP13">
        <v>0.19076415899999999</v>
      </c>
      <c r="AQ13">
        <v>11.6560872669</v>
      </c>
      <c r="AR13" t="s">
        <v>269</v>
      </c>
      <c r="AS13" t="s">
        <v>270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284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-8.2111436950000005</v>
      </c>
      <c r="R2">
        <v>-56</v>
      </c>
      <c r="S2">
        <v>79.471025132700007</v>
      </c>
      <c r="T2">
        <v>107.9680693321</v>
      </c>
      <c r="U2">
        <v>3.5012872815999998</v>
      </c>
      <c r="V2">
        <v>3.1713345999999998E-3</v>
      </c>
      <c r="W2">
        <v>-6.9918600000000005E-5</v>
      </c>
      <c r="X2">
        <v>3.3213204269999999</v>
      </c>
      <c r="Y2">
        <v>79.364541144200004</v>
      </c>
      <c r="Z2">
        <v>64.469096850100001</v>
      </c>
      <c r="AA2">
        <v>328.26162033510002</v>
      </c>
      <c r="AB2">
        <v>350.39974617989998</v>
      </c>
      <c r="AC2">
        <v>1</v>
      </c>
      <c r="AF2">
        <v>1</v>
      </c>
    </row>
    <row r="3" spans="1:32">
      <c r="A3" t="s">
        <v>546</v>
      </c>
      <c r="B3" t="s">
        <v>548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-8.2111436950000005</v>
      </c>
      <c r="R3">
        <v>-56</v>
      </c>
      <c r="S3">
        <v>79.269407257799998</v>
      </c>
      <c r="T3">
        <v>108.1650433483</v>
      </c>
      <c r="U3">
        <v>3.5446118831</v>
      </c>
      <c r="V3">
        <v>2.5437576E-3</v>
      </c>
      <c r="W3">
        <v>-6.8953499999999996E-5</v>
      </c>
      <c r="X3">
        <v>3.3406206663</v>
      </c>
      <c r="Y3">
        <v>76.415576500399993</v>
      </c>
      <c r="Z3">
        <v>58.310227896000001</v>
      </c>
      <c r="AA3">
        <v>322.90268214460002</v>
      </c>
      <c r="AB3">
        <v>344.49682203259999</v>
      </c>
      <c r="AC3">
        <v>1</v>
      </c>
      <c r="AF3">
        <v>1</v>
      </c>
    </row>
    <row r="4" spans="1:32">
      <c r="A4" t="s">
        <v>558</v>
      </c>
      <c r="B4" t="s">
        <v>560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-9.3841642229000009</v>
      </c>
      <c r="R4">
        <v>-64</v>
      </c>
      <c r="S4">
        <v>74.832134037399996</v>
      </c>
      <c r="T4">
        <v>109.4209696404</v>
      </c>
      <c r="U4">
        <v>3.7175778722000001</v>
      </c>
      <c r="V4">
        <v>2.7004355999999999E-3</v>
      </c>
      <c r="W4">
        <v>-7.2263999999999998E-5</v>
      </c>
      <c r="X4">
        <v>3.4717211633999998</v>
      </c>
      <c r="Y4">
        <v>74.817132941699995</v>
      </c>
      <c r="Z4">
        <v>57.068425950799998</v>
      </c>
      <c r="AA4">
        <v>354.11865491610001</v>
      </c>
      <c r="AB4">
        <v>376.37322427940001</v>
      </c>
      <c r="AC4">
        <v>1</v>
      </c>
      <c r="AF4">
        <v>1</v>
      </c>
    </row>
    <row r="5" spans="1:32">
      <c r="A5" t="s">
        <v>570</v>
      </c>
      <c r="B5" t="s">
        <v>572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-9.3841642229000009</v>
      </c>
      <c r="R5">
        <v>-64</v>
      </c>
      <c r="S5">
        <v>79.7567540286</v>
      </c>
      <c r="T5">
        <v>112.4555433285</v>
      </c>
      <c r="U5">
        <v>3.5197327534</v>
      </c>
      <c r="V5">
        <v>3.0932363000000002E-3</v>
      </c>
      <c r="W5">
        <v>-7.0865300000000001E-5</v>
      </c>
      <c r="X5">
        <v>3.3443533604</v>
      </c>
      <c r="Y5">
        <v>78.8255590471</v>
      </c>
      <c r="Z5">
        <v>61.719287040399998</v>
      </c>
      <c r="AA5">
        <v>327.80847484499998</v>
      </c>
      <c r="AB5">
        <v>349.5466460586</v>
      </c>
      <c r="AC5">
        <v>1</v>
      </c>
      <c r="AF5">
        <v>1</v>
      </c>
    </row>
    <row r="6" spans="1:32">
      <c r="A6" t="s">
        <v>589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-9.3841642229000009</v>
      </c>
      <c r="R6">
        <v>-64</v>
      </c>
      <c r="S6">
        <v>75.8034691326</v>
      </c>
      <c r="T6">
        <v>108.478469276</v>
      </c>
      <c r="U6">
        <v>3.5172495280999998</v>
      </c>
      <c r="V6">
        <v>3.0888726000000001E-3</v>
      </c>
      <c r="W6">
        <v>-7.19186E-5</v>
      </c>
      <c r="X6">
        <v>3.3360747578000001</v>
      </c>
      <c r="Y6">
        <v>75.800315831999995</v>
      </c>
      <c r="Z6">
        <v>61.074500229599998</v>
      </c>
      <c r="AA6">
        <v>326.54623081170001</v>
      </c>
      <c r="AB6">
        <v>349.06655814430002</v>
      </c>
      <c r="AC6">
        <v>1</v>
      </c>
      <c r="AF6">
        <v>1</v>
      </c>
    </row>
    <row r="7" spans="1:32">
      <c r="A7" t="s">
        <v>591</v>
      </c>
      <c r="B7" t="s">
        <v>594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-8.2111436950000005</v>
      </c>
      <c r="R7">
        <v>-56</v>
      </c>
      <c r="S7">
        <v>81.679995777100004</v>
      </c>
      <c r="T7">
        <v>110.8060242602</v>
      </c>
      <c r="U7">
        <v>3.5783437294999998</v>
      </c>
      <c r="V7">
        <v>3.1979008999999999E-3</v>
      </c>
      <c r="W7">
        <v>-7.3433899999999995E-5</v>
      </c>
      <c r="X7">
        <v>3.3643373354000001</v>
      </c>
      <c r="Y7">
        <v>81.667874227699997</v>
      </c>
      <c r="Z7">
        <v>66.602580372600002</v>
      </c>
      <c r="AA7">
        <v>338.46847929</v>
      </c>
      <c r="AB7">
        <v>360.2297548903</v>
      </c>
      <c r="AC7">
        <v>1</v>
      </c>
      <c r="AF7">
        <v>1</v>
      </c>
    </row>
    <row r="8" spans="1:32">
      <c r="A8" t="s">
        <v>608</v>
      </c>
      <c r="B8" t="s">
        <v>609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-9.3841642229000009</v>
      </c>
      <c r="R8">
        <v>-64</v>
      </c>
      <c r="S8">
        <v>77.602571908200005</v>
      </c>
      <c r="T8">
        <v>110.3998280318</v>
      </c>
      <c r="U8">
        <v>3.5243044700000001</v>
      </c>
      <c r="V8">
        <v>2.5128704000000001E-3</v>
      </c>
      <c r="W8">
        <v>-6.5472499999999994E-5</v>
      </c>
      <c r="X8">
        <v>3.3104812860999999</v>
      </c>
      <c r="Y8">
        <v>77.587531257799995</v>
      </c>
      <c r="Z8">
        <v>61.728895792199999</v>
      </c>
      <c r="AA8">
        <v>338.12092842150003</v>
      </c>
      <c r="AB8">
        <v>359.06331471039999</v>
      </c>
      <c r="AC8">
        <v>1</v>
      </c>
      <c r="AF8">
        <v>1</v>
      </c>
    </row>
    <row r="9" spans="1:32">
      <c r="A9" t="s">
        <v>620</v>
      </c>
      <c r="B9" t="s">
        <v>622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-8.2111436950000005</v>
      </c>
      <c r="R9">
        <v>-56</v>
      </c>
      <c r="S9">
        <v>81.469418647799998</v>
      </c>
      <c r="T9">
        <v>111.0019586824</v>
      </c>
      <c r="U9">
        <v>3.6188378794</v>
      </c>
      <c r="V9">
        <v>2.1432452999999999E-3</v>
      </c>
      <c r="W9">
        <v>-6.8194999999999993E-5</v>
      </c>
      <c r="X9">
        <v>3.3758029192999999</v>
      </c>
      <c r="Y9">
        <v>79.3147613724</v>
      </c>
      <c r="Z9">
        <v>59.559366091000001</v>
      </c>
      <c r="AA9">
        <v>332.72194890359998</v>
      </c>
      <c r="AB9">
        <v>354.3453638638</v>
      </c>
      <c r="AC9">
        <v>1</v>
      </c>
      <c r="AF9">
        <v>1</v>
      </c>
    </row>
    <row r="10" spans="1:32">
      <c r="A10" t="s">
        <v>639</v>
      </c>
      <c r="B10" t="s">
        <v>641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-7.0381231672000002</v>
      </c>
      <c r="R10">
        <v>-48</v>
      </c>
      <c r="S10">
        <v>89.872678045499995</v>
      </c>
      <c r="T10">
        <v>114.6070611204</v>
      </c>
      <c r="U10">
        <v>3.5360598693999998</v>
      </c>
      <c r="V10">
        <v>2.6166861E-3</v>
      </c>
      <c r="W10">
        <v>-6.6613599999999995E-5</v>
      </c>
      <c r="X10">
        <v>3.3225937814000002</v>
      </c>
      <c r="Y10">
        <v>88.931217048500002</v>
      </c>
      <c r="Z10">
        <v>70.108949529399993</v>
      </c>
      <c r="AA10">
        <v>330.73009850839998</v>
      </c>
      <c r="AB10">
        <v>352.45376532300003</v>
      </c>
      <c r="AC10">
        <v>1</v>
      </c>
      <c r="AF10">
        <v>1</v>
      </c>
    </row>
    <row r="11" spans="1:32">
      <c r="A11" t="s">
        <v>644</v>
      </c>
      <c r="B11" t="s">
        <v>646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-7.0381231672000002</v>
      </c>
      <c r="R11">
        <v>-48</v>
      </c>
      <c r="S11">
        <v>84.116226468600004</v>
      </c>
      <c r="T11">
        <v>109.7093025643</v>
      </c>
      <c r="U11">
        <v>3.6607917211999998</v>
      </c>
      <c r="V11">
        <v>2.9435644999999998E-3</v>
      </c>
      <c r="W11">
        <v>-7.5198900000000003E-5</v>
      </c>
      <c r="X11">
        <v>3.4494525247999999</v>
      </c>
      <c r="Y11">
        <v>84.099567103799998</v>
      </c>
      <c r="Z11">
        <v>64.7735758667</v>
      </c>
      <c r="AA11">
        <v>328.9167417667</v>
      </c>
      <c r="AB11">
        <v>350.96392687209999</v>
      </c>
      <c r="AC11">
        <v>1</v>
      </c>
      <c r="AF11">
        <v>1</v>
      </c>
    </row>
    <row r="12" spans="1:32">
      <c r="A12" t="s">
        <v>654</v>
      </c>
      <c r="B12" t="s">
        <v>655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-7.0381231672000002</v>
      </c>
      <c r="R12">
        <v>-48</v>
      </c>
      <c r="S12">
        <v>81.423098115000002</v>
      </c>
      <c r="T12">
        <v>106.4331825897</v>
      </c>
      <c r="U12">
        <v>3.5763357231000001</v>
      </c>
      <c r="V12">
        <v>2.7486324000000001E-3</v>
      </c>
      <c r="W12">
        <v>-7.01388E-5</v>
      </c>
      <c r="X12">
        <v>3.3794232835</v>
      </c>
      <c r="Y12">
        <v>81.088572332300004</v>
      </c>
      <c r="Z12">
        <v>62.965926864799997</v>
      </c>
      <c r="AA12">
        <v>322.78972070029999</v>
      </c>
      <c r="AB12">
        <v>344.7292370957</v>
      </c>
      <c r="AC12">
        <v>1</v>
      </c>
      <c r="AF12">
        <v>1</v>
      </c>
    </row>
    <row r="13" spans="1:32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-8.2111436950000005</v>
      </c>
      <c r="R13">
        <v>-56</v>
      </c>
      <c r="S13">
        <v>83.303562256899994</v>
      </c>
      <c r="T13">
        <v>112.2201065916</v>
      </c>
      <c r="U13">
        <v>3.5497547301000001</v>
      </c>
      <c r="V13">
        <v>2.8530997999999998E-3</v>
      </c>
      <c r="W13">
        <v>-6.9790999999999996E-5</v>
      </c>
      <c r="X13">
        <v>3.3495919804000001</v>
      </c>
      <c r="Y13">
        <v>83.292314453700001</v>
      </c>
      <c r="Z13">
        <v>65.427551712600007</v>
      </c>
      <c r="AA13">
        <v>330.96893334869998</v>
      </c>
      <c r="AB13">
        <v>352.57990654679998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297</v>
      </c>
      <c r="AD1" t="s">
        <v>298</v>
      </c>
      <c r="AE1" t="s">
        <v>299</v>
      </c>
      <c r="AF1" t="s">
        <v>300</v>
      </c>
      <c r="AG1" t="s">
        <v>301</v>
      </c>
      <c r="AH1" t="s">
        <v>302</v>
      </c>
      <c r="AI1" t="s">
        <v>303</v>
      </c>
      <c r="AJ1" t="s">
        <v>304</v>
      </c>
      <c r="AK1" t="s">
        <v>305</v>
      </c>
      <c r="AL1" t="s">
        <v>306</v>
      </c>
      <c r="AM1" t="s">
        <v>307</v>
      </c>
      <c r="AN1" t="s">
        <v>308</v>
      </c>
      <c r="AO1" t="s">
        <v>309</v>
      </c>
      <c r="AP1" t="s">
        <v>310</v>
      </c>
      <c r="AQ1" t="s">
        <v>311</v>
      </c>
      <c r="AR1" t="s">
        <v>312</v>
      </c>
      <c r="AS1" t="s">
        <v>313</v>
      </c>
      <c r="AT1" t="s">
        <v>314</v>
      </c>
      <c r="AU1" t="s">
        <v>315</v>
      </c>
      <c r="AV1" t="s">
        <v>316</v>
      </c>
      <c r="AW1" t="s">
        <v>317</v>
      </c>
      <c r="AX1" t="s">
        <v>318</v>
      </c>
      <c r="AY1" t="s">
        <v>319</v>
      </c>
      <c r="AZ1" t="s">
        <v>320</v>
      </c>
      <c r="BA1" t="s">
        <v>321</v>
      </c>
      <c r="BB1" t="s">
        <v>322</v>
      </c>
      <c r="BC1" t="s">
        <v>323</v>
      </c>
      <c r="BD1" t="s">
        <v>324</v>
      </c>
      <c r="BE1" t="s">
        <v>325</v>
      </c>
      <c r="BF1" t="s">
        <v>326</v>
      </c>
      <c r="BG1" t="s">
        <v>327</v>
      </c>
      <c r="BH1" t="s">
        <v>328</v>
      </c>
      <c r="BI1" t="s">
        <v>329</v>
      </c>
      <c r="BJ1" t="s">
        <v>330</v>
      </c>
      <c r="BK1" t="s">
        <v>331</v>
      </c>
      <c r="BL1" t="s">
        <v>332</v>
      </c>
      <c r="BM1" t="s">
        <v>333</v>
      </c>
      <c r="BN1" t="s">
        <v>334</v>
      </c>
      <c r="BO1" t="s">
        <v>335</v>
      </c>
      <c r="BP1" t="s">
        <v>336</v>
      </c>
      <c r="BQ1" t="s">
        <v>337</v>
      </c>
      <c r="BR1" t="s">
        <v>338</v>
      </c>
      <c r="BS1" t="s">
        <v>339</v>
      </c>
      <c r="BT1" t="s">
        <v>340</v>
      </c>
      <c r="BU1" t="s">
        <v>341</v>
      </c>
      <c r="BV1" t="s">
        <v>342</v>
      </c>
      <c r="BW1" t="s">
        <v>343</v>
      </c>
      <c r="BX1" t="s">
        <v>344</v>
      </c>
      <c r="BY1" t="s">
        <v>345</v>
      </c>
      <c r="BZ1" t="s">
        <v>346</v>
      </c>
      <c r="CA1" t="s">
        <v>347</v>
      </c>
      <c r="CB1" t="s">
        <v>348</v>
      </c>
      <c r="CC1" t="s">
        <v>349</v>
      </c>
      <c r="CD1" t="s">
        <v>350</v>
      </c>
      <c r="CE1" t="s">
        <v>351</v>
      </c>
      <c r="CF1" t="s">
        <v>352</v>
      </c>
      <c r="CG1" t="s">
        <v>353</v>
      </c>
      <c r="CH1" t="s">
        <v>354</v>
      </c>
      <c r="CI1" t="s">
        <v>355</v>
      </c>
      <c r="CJ1" t="s">
        <v>356</v>
      </c>
      <c r="CK1" t="s">
        <v>357</v>
      </c>
      <c r="CL1" t="s">
        <v>358</v>
      </c>
      <c r="CM1" t="s">
        <v>359</v>
      </c>
      <c r="CN1" t="s">
        <v>360</v>
      </c>
      <c r="CO1" t="s">
        <v>361</v>
      </c>
      <c r="CP1" t="s">
        <v>362</v>
      </c>
      <c r="CQ1" t="s">
        <v>363</v>
      </c>
      <c r="CR1" t="s">
        <v>364</v>
      </c>
      <c r="CS1" t="s">
        <v>365</v>
      </c>
      <c r="CT1" t="s">
        <v>366</v>
      </c>
      <c r="CU1" t="s">
        <v>367</v>
      </c>
      <c r="CV1" t="s">
        <v>368</v>
      </c>
      <c r="CW1" t="s">
        <v>369</v>
      </c>
      <c r="CX1" t="s">
        <v>370</v>
      </c>
      <c r="CY1" t="s">
        <v>371</v>
      </c>
      <c r="CZ1" t="s">
        <v>372</v>
      </c>
      <c r="DA1" t="s">
        <v>373</v>
      </c>
      <c r="DB1" t="s">
        <v>374</v>
      </c>
      <c r="DC1" t="s">
        <v>375</v>
      </c>
      <c r="DD1" t="s">
        <v>376</v>
      </c>
      <c r="DE1" t="s">
        <v>377</v>
      </c>
      <c r="DF1" t="s">
        <v>378</v>
      </c>
      <c r="DG1" t="s">
        <v>379</v>
      </c>
      <c r="DH1" t="s">
        <v>380</v>
      </c>
      <c r="DI1" t="s">
        <v>381</v>
      </c>
      <c r="DJ1" t="s">
        <v>382</v>
      </c>
      <c r="DK1" t="s">
        <v>383</v>
      </c>
      <c r="DL1" t="s">
        <v>384</v>
      </c>
      <c r="DM1" t="s">
        <v>385</v>
      </c>
      <c r="DN1" t="s">
        <v>386</v>
      </c>
      <c r="DO1" t="s">
        <v>387</v>
      </c>
      <c r="DP1" t="s">
        <v>388</v>
      </c>
      <c r="DQ1" t="s">
        <v>389</v>
      </c>
      <c r="DR1" t="s">
        <v>390</v>
      </c>
      <c r="DS1" t="s">
        <v>391</v>
      </c>
      <c r="DT1" t="s">
        <v>392</v>
      </c>
      <c r="DU1" t="s">
        <v>393</v>
      </c>
      <c r="DV1" t="s">
        <v>394</v>
      </c>
      <c r="DW1" t="s">
        <v>395</v>
      </c>
      <c r="DX1" t="s">
        <v>396</v>
      </c>
      <c r="DY1" t="s">
        <v>397</v>
      </c>
      <c r="DZ1" t="s">
        <v>398</v>
      </c>
      <c r="EA1" t="s">
        <v>399</v>
      </c>
      <c r="EB1" t="s">
        <v>400</v>
      </c>
      <c r="EC1" t="s">
        <v>401</v>
      </c>
      <c r="ED1" t="s">
        <v>402</v>
      </c>
      <c r="EE1" t="s">
        <v>403</v>
      </c>
      <c r="EF1" t="s">
        <v>404</v>
      </c>
      <c r="EG1" t="s">
        <v>405</v>
      </c>
      <c r="EH1" t="s">
        <v>406</v>
      </c>
      <c r="EI1" t="s">
        <v>407</v>
      </c>
      <c r="EJ1" t="s">
        <v>408</v>
      </c>
      <c r="EK1" t="s">
        <v>409</v>
      </c>
      <c r="EL1" t="s">
        <v>410</v>
      </c>
      <c r="EM1" t="s">
        <v>411</v>
      </c>
      <c r="EN1" t="s">
        <v>412</v>
      </c>
      <c r="EO1" t="s">
        <v>413</v>
      </c>
      <c r="EP1" t="s">
        <v>414</v>
      </c>
      <c r="EQ1" t="s">
        <v>415</v>
      </c>
      <c r="ER1" t="s">
        <v>416</v>
      </c>
      <c r="ES1" t="s">
        <v>417</v>
      </c>
      <c r="ET1" t="s">
        <v>418</v>
      </c>
      <c r="EU1" t="s">
        <v>419</v>
      </c>
      <c r="EV1" t="s">
        <v>420</v>
      </c>
      <c r="EW1" t="s">
        <v>421</v>
      </c>
      <c r="EX1" t="s">
        <v>422</v>
      </c>
      <c r="EY1" t="s">
        <v>423</v>
      </c>
      <c r="EZ1" t="s">
        <v>424</v>
      </c>
      <c r="FA1" t="s">
        <v>425</v>
      </c>
      <c r="FB1" t="s">
        <v>426</v>
      </c>
      <c r="FC1" t="s">
        <v>427</v>
      </c>
      <c r="FD1" t="s">
        <v>428</v>
      </c>
      <c r="FE1" t="s">
        <v>429</v>
      </c>
      <c r="FF1" t="s">
        <v>430</v>
      </c>
      <c r="FG1" t="s">
        <v>431</v>
      </c>
      <c r="FH1" t="s">
        <v>432</v>
      </c>
      <c r="FI1" t="s">
        <v>433</v>
      </c>
      <c r="FJ1" t="s">
        <v>434</v>
      </c>
      <c r="FK1" t="s">
        <v>435</v>
      </c>
      <c r="FL1" t="s">
        <v>436</v>
      </c>
      <c r="FM1" t="s">
        <v>437</v>
      </c>
      <c r="FN1" t="s">
        <v>438</v>
      </c>
      <c r="FO1" t="s">
        <v>439</v>
      </c>
      <c r="FP1" t="s">
        <v>440</v>
      </c>
      <c r="FQ1" t="s">
        <v>441</v>
      </c>
      <c r="FR1" t="s">
        <v>442</v>
      </c>
      <c r="FS1" t="s">
        <v>443</v>
      </c>
      <c r="FT1" t="s">
        <v>444</v>
      </c>
      <c r="FU1" t="s">
        <v>445</v>
      </c>
      <c r="FV1" t="s">
        <v>446</v>
      </c>
      <c r="FW1" t="s">
        <v>447</v>
      </c>
      <c r="FX1" t="s">
        <v>448</v>
      </c>
      <c r="FY1" t="s">
        <v>449</v>
      </c>
      <c r="FZ1" t="s">
        <v>450</v>
      </c>
      <c r="GA1" t="s">
        <v>451</v>
      </c>
      <c r="GB1" t="s">
        <v>452</v>
      </c>
      <c r="GC1" t="s">
        <v>453</v>
      </c>
      <c r="GD1" t="s">
        <v>454</v>
      </c>
      <c r="GE1" t="s">
        <v>455</v>
      </c>
      <c r="GF1" t="s">
        <v>456</v>
      </c>
      <c r="GG1" t="s">
        <v>457</v>
      </c>
      <c r="GH1" t="s">
        <v>458</v>
      </c>
      <c r="GI1" t="s">
        <v>459</v>
      </c>
      <c r="GJ1" t="s">
        <v>460</v>
      </c>
      <c r="GK1" t="s">
        <v>461</v>
      </c>
      <c r="GL1" t="s">
        <v>462</v>
      </c>
      <c r="GM1" t="s">
        <v>463</v>
      </c>
      <c r="GN1" t="s">
        <v>464</v>
      </c>
      <c r="GO1" t="s">
        <v>465</v>
      </c>
      <c r="GP1" t="s">
        <v>466</v>
      </c>
      <c r="GQ1" t="s">
        <v>467</v>
      </c>
      <c r="GR1" t="s">
        <v>468</v>
      </c>
      <c r="GS1" t="s">
        <v>469</v>
      </c>
      <c r="GT1" t="s">
        <v>470</v>
      </c>
      <c r="GU1" t="s">
        <v>471</v>
      </c>
      <c r="GV1" t="s">
        <v>472</v>
      </c>
      <c r="GW1" t="s">
        <v>473</v>
      </c>
      <c r="GX1" t="s">
        <v>474</v>
      </c>
      <c r="GY1" t="s">
        <v>475</v>
      </c>
      <c r="GZ1" t="s">
        <v>476</v>
      </c>
      <c r="HA1" t="s">
        <v>477</v>
      </c>
      <c r="HB1" t="s">
        <v>478</v>
      </c>
      <c r="HC1" t="s">
        <v>479</v>
      </c>
      <c r="HD1" t="s">
        <v>480</v>
      </c>
      <c r="HE1" t="s">
        <v>481</v>
      </c>
      <c r="HF1" t="s">
        <v>482</v>
      </c>
      <c r="HG1" t="s">
        <v>483</v>
      </c>
      <c r="HH1" t="s">
        <v>484</v>
      </c>
      <c r="HI1" t="s">
        <v>485</v>
      </c>
      <c r="HJ1" t="s">
        <v>486</v>
      </c>
      <c r="HK1" t="s">
        <v>487</v>
      </c>
      <c r="HL1" t="s">
        <v>488</v>
      </c>
      <c r="HM1" t="s">
        <v>489</v>
      </c>
      <c r="HN1" t="s">
        <v>490</v>
      </c>
      <c r="HO1" t="s">
        <v>491</v>
      </c>
      <c r="HP1" t="s">
        <v>492</v>
      </c>
      <c r="HQ1" t="s">
        <v>493</v>
      </c>
      <c r="HR1" t="s">
        <v>494</v>
      </c>
      <c r="HS1" t="s">
        <v>495</v>
      </c>
      <c r="HT1" t="s">
        <v>496</v>
      </c>
      <c r="HU1" t="s">
        <v>497</v>
      </c>
      <c r="HV1" t="s">
        <v>498</v>
      </c>
      <c r="HW1" t="s">
        <v>499</v>
      </c>
      <c r="HX1" t="s">
        <v>500</v>
      </c>
      <c r="HY1" t="s">
        <v>501</v>
      </c>
      <c r="HZ1" t="s">
        <v>502</v>
      </c>
      <c r="IA1" t="s">
        <v>503</v>
      </c>
      <c r="IB1" t="s">
        <v>504</v>
      </c>
      <c r="IC1" t="s">
        <v>505</v>
      </c>
      <c r="ID1" t="s">
        <v>506</v>
      </c>
      <c r="IE1" t="s">
        <v>507</v>
      </c>
      <c r="IF1" t="s">
        <v>508</v>
      </c>
      <c r="IG1" t="s">
        <v>509</v>
      </c>
      <c r="IH1" t="s">
        <v>510</v>
      </c>
      <c r="II1" t="s">
        <v>511</v>
      </c>
      <c r="IJ1" t="s">
        <v>512</v>
      </c>
      <c r="IK1" t="s">
        <v>513</v>
      </c>
      <c r="IL1" t="s">
        <v>514</v>
      </c>
      <c r="IM1" t="s">
        <v>515</v>
      </c>
      <c r="IN1" t="s">
        <v>516</v>
      </c>
      <c r="IO1" t="s">
        <v>517</v>
      </c>
      <c r="IP1" t="s">
        <v>518</v>
      </c>
      <c r="IQ1" t="s">
        <v>519</v>
      </c>
      <c r="IR1" t="s">
        <v>520</v>
      </c>
      <c r="IS1" t="s">
        <v>521</v>
      </c>
      <c r="IT1" t="s">
        <v>522</v>
      </c>
      <c r="IU1" t="s">
        <v>523</v>
      </c>
      <c r="IV1" t="s">
        <v>524</v>
      </c>
      <c r="IW1" t="s">
        <v>525</v>
      </c>
      <c r="IX1" t="s">
        <v>526</v>
      </c>
      <c r="IY1" t="s">
        <v>527</v>
      </c>
      <c r="IZ1" t="s">
        <v>528</v>
      </c>
      <c r="JA1" t="s">
        <v>529</v>
      </c>
      <c r="JB1" t="s">
        <v>530</v>
      </c>
      <c r="JC1" t="s">
        <v>531</v>
      </c>
      <c r="JD1" t="s">
        <v>532</v>
      </c>
      <c r="JE1" t="s">
        <v>533</v>
      </c>
      <c r="JF1" t="s">
        <v>534</v>
      </c>
      <c r="JG1" t="s">
        <v>535</v>
      </c>
      <c r="JH1" t="s">
        <v>536</v>
      </c>
      <c r="JI1" t="s">
        <v>537</v>
      </c>
      <c r="JJ1" t="s">
        <v>538</v>
      </c>
      <c r="JK1" t="s">
        <v>278</v>
      </c>
      <c r="JL1" t="s">
        <v>539</v>
      </c>
      <c r="JM1" t="s">
        <v>540</v>
      </c>
      <c r="JN1" t="s">
        <v>541</v>
      </c>
      <c r="JO1" t="s">
        <v>207</v>
      </c>
      <c r="JP1" t="s">
        <v>208</v>
      </c>
      <c r="JQ1" t="s">
        <v>209</v>
      </c>
    </row>
    <row r="2" spans="1:277">
      <c r="A2" t="s">
        <v>542</v>
      </c>
      <c r="B2" t="s">
        <v>543</v>
      </c>
      <c r="C2" t="s">
        <v>212</v>
      </c>
      <c r="D2">
        <v>3</v>
      </c>
      <c r="E2" t="s">
        <v>213</v>
      </c>
      <c r="F2" t="s">
        <v>214</v>
      </c>
      <c r="G2" t="s">
        <v>544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0.29999999970000002</v>
      </c>
      <c r="R2">
        <v>0.7000000005</v>
      </c>
      <c r="S2">
        <v>0.79999999980000003</v>
      </c>
      <c r="T2">
        <v>0.79999999980000003</v>
      </c>
      <c r="U2">
        <v>0.90000000089999999</v>
      </c>
      <c r="V2">
        <v>0.79999999980000003</v>
      </c>
      <c r="W2">
        <v>0.90000000089999999</v>
      </c>
      <c r="X2">
        <v>0.90000000089999999</v>
      </c>
      <c r="Y2">
        <v>0.90000000089999999</v>
      </c>
      <c r="Z2">
        <v>1.0000000002</v>
      </c>
      <c r="AA2">
        <v>1.0000000002</v>
      </c>
      <c r="AB2">
        <v>0.90000000089999999</v>
      </c>
      <c r="AC2">
        <v>0.7000000005</v>
      </c>
      <c r="AD2">
        <v>0.40000000079999998</v>
      </c>
      <c r="AE2">
        <v>0.20000000039999999</v>
      </c>
      <c r="AF2">
        <v>0</v>
      </c>
      <c r="AG2">
        <v>0.1000000011</v>
      </c>
      <c r="AH2">
        <v>0.90000000089999999</v>
      </c>
      <c r="AI2">
        <v>3.6</v>
      </c>
      <c r="AJ2">
        <v>8.1000000008999997</v>
      </c>
      <c r="AK2">
        <v>14.5000000011</v>
      </c>
      <c r="AL2">
        <v>21.200000000999999</v>
      </c>
      <c r="AM2">
        <v>27.6000000013</v>
      </c>
      <c r="AN2">
        <v>34.600000000900003</v>
      </c>
      <c r="AO2">
        <v>41.900000000200002</v>
      </c>
      <c r="AP2">
        <v>49.500000000999997</v>
      </c>
      <c r="AQ2">
        <v>57.200000001100001</v>
      </c>
      <c r="AR2">
        <v>65.200000000900005</v>
      </c>
      <c r="AS2">
        <v>72.900000000999995</v>
      </c>
      <c r="AT2">
        <v>79.999999999899998</v>
      </c>
      <c r="AU2">
        <v>87.499999999600007</v>
      </c>
      <c r="AV2">
        <v>95.500000001299995</v>
      </c>
      <c r="AW2">
        <v>103.8000000008</v>
      </c>
      <c r="AX2">
        <v>112.6000000004</v>
      </c>
      <c r="AY2">
        <v>121.1000000003</v>
      </c>
      <c r="AZ2">
        <v>128.80000000039999</v>
      </c>
      <c r="BA2">
        <v>136.4000000012</v>
      </c>
      <c r="BB2">
        <v>144.50000000029999</v>
      </c>
      <c r="BC2">
        <v>152.79999999980001</v>
      </c>
      <c r="BD2">
        <v>161.20000000050001</v>
      </c>
      <c r="BE2">
        <v>169.6000000011</v>
      </c>
      <c r="BF2">
        <v>177.6000000009</v>
      </c>
      <c r="BG2">
        <v>185.10000000060001</v>
      </c>
      <c r="BH2">
        <v>193.1000000004</v>
      </c>
      <c r="BI2">
        <v>201.2000000013</v>
      </c>
      <c r="BJ2">
        <v>209.30000000039999</v>
      </c>
      <c r="BK2">
        <v>217.4000000014</v>
      </c>
      <c r="BL2">
        <v>225.4000000012</v>
      </c>
      <c r="BM2">
        <v>232.79999999980001</v>
      </c>
      <c r="BN2">
        <v>240.40000000059999</v>
      </c>
      <c r="BO2">
        <v>248.2</v>
      </c>
      <c r="BP2">
        <v>256.00000000120002</v>
      </c>
      <c r="BQ2">
        <v>263.80000000059999</v>
      </c>
      <c r="BR2">
        <v>271.60000000000002</v>
      </c>
      <c r="BS2">
        <v>278.9000000012</v>
      </c>
      <c r="BT2">
        <v>285.90000000079999</v>
      </c>
      <c r="BU2">
        <v>293.10000000079998</v>
      </c>
      <c r="BV2">
        <v>300.30000000080003</v>
      </c>
      <c r="BW2">
        <v>307.60000000010001</v>
      </c>
      <c r="BX2">
        <v>314.8000000001</v>
      </c>
      <c r="BY2">
        <v>321.90000000079999</v>
      </c>
      <c r="BZ2">
        <v>328.7</v>
      </c>
      <c r="CA2">
        <v>335.20000000139999</v>
      </c>
      <c r="CB2">
        <v>341.50000000049999</v>
      </c>
      <c r="CC2">
        <v>348.1000000011</v>
      </c>
      <c r="CD2">
        <v>354.60000000060001</v>
      </c>
      <c r="CE2">
        <v>361.10000000010001</v>
      </c>
      <c r="CF2">
        <v>367.50000000030002</v>
      </c>
      <c r="CG2">
        <v>373.90000000049997</v>
      </c>
      <c r="CH2">
        <v>379.89999999989999</v>
      </c>
      <c r="CI2">
        <v>385.50000000030002</v>
      </c>
      <c r="CJ2">
        <v>391.2</v>
      </c>
      <c r="CK2">
        <v>397.10000000010001</v>
      </c>
      <c r="CL2">
        <v>402.90000000100002</v>
      </c>
      <c r="CM2">
        <v>408.5000000014</v>
      </c>
      <c r="CN2">
        <v>414.30000000040002</v>
      </c>
      <c r="CO2">
        <v>419.90000000079999</v>
      </c>
      <c r="CP2">
        <v>425.30000000080003</v>
      </c>
      <c r="CQ2">
        <v>430.5999999997</v>
      </c>
      <c r="CR2">
        <v>435.5000000014</v>
      </c>
      <c r="CS2">
        <v>440.20000000089999</v>
      </c>
      <c r="CT2">
        <v>442.50000000099999</v>
      </c>
      <c r="CU2">
        <v>443.19999999970003</v>
      </c>
      <c r="CV2">
        <v>443.30000000080003</v>
      </c>
      <c r="CW2">
        <v>443.40000000010002</v>
      </c>
      <c r="CX2">
        <v>443.30000000080003</v>
      </c>
      <c r="CY2">
        <v>443.40000000010002</v>
      </c>
      <c r="CZ2">
        <v>443.30000000080003</v>
      </c>
      <c r="DA2">
        <v>443.30000000080003</v>
      </c>
      <c r="DB2">
        <v>443.30000000080003</v>
      </c>
      <c r="DC2">
        <v>443.30000000080003</v>
      </c>
      <c r="DD2">
        <v>443.40000000010002</v>
      </c>
      <c r="DE2">
        <v>443.30000000080003</v>
      </c>
      <c r="DF2">
        <v>443.40000000010002</v>
      </c>
      <c r="DG2">
        <v>1.6000000014</v>
      </c>
      <c r="DH2">
        <v>2.2000000007999998</v>
      </c>
      <c r="DI2">
        <v>2.2000000007999998</v>
      </c>
      <c r="DJ2">
        <v>2.0999999997000001</v>
      </c>
      <c r="DK2">
        <v>2.2000000007999998</v>
      </c>
      <c r="DL2">
        <v>2.2000000007999998</v>
      </c>
      <c r="DM2">
        <v>2.3000000000999998</v>
      </c>
      <c r="DN2">
        <v>2.3000000000999998</v>
      </c>
      <c r="DO2">
        <v>2.3000000000999998</v>
      </c>
      <c r="DP2">
        <v>2.3000000000999998</v>
      </c>
      <c r="DQ2">
        <v>2.0000000004</v>
      </c>
      <c r="DR2">
        <v>1.8</v>
      </c>
      <c r="DS2">
        <v>1.5000000003</v>
      </c>
      <c r="DT2">
        <v>1.2999999999</v>
      </c>
      <c r="DU2">
        <v>1.2000000006</v>
      </c>
      <c r="DV2">
        <v>1.1000000013</v>
      </c>
      <c r="DW2">
        <v>2.4000000012</v>
      </c>
      <c r="DX2">
        <v>6.1999999998000002</v>
      </c>
      <c r="DY2">
        <v>12.3999999996</v>
      </c>
      <c r="DZ2">
        <v>19.200000000599999</v>
      </c>
      <c r="EA2">
        <v>25.600000000800001</v>
      </c>
      <c r="EB2">
        <v>32.300000000799997</v>
      </c>
      <c r="EC2">
        <v>39.899999999800002</v>
      </c>
      <c r="ED2">
        <v>47.4000000013</v>
      </c>
      <c r="EE2">
        <v>54.900000001000002</v>
      </c>
      <c r="EF2">
        <v>62.900000000799999</v>
      </c>
      <c r="EG2">
        <v>70.700000000200006</v>
      </c>
      <c r="EH2">
        <v>77.699999999799999</v>
      </c>
      <c r="EI2">
        <v>85.200000001399999</v>
      </c>
      <c r="EJ2">
        <v>93.200000001199996</v>
      </c>
      <c r="EK2">
        <v>101.3000000003</v>
      </c>
      <c r="EL2">
        <v>109.9000000013</v>
      </c>
      <c r="EM2">
        <v>118.8000000002</v>
      </c>
      <c r="EN2">
        <v>126.2999999999</v>
      </c>
      <c r="EO2">
        <v>133.9000000007</v>
      </c>
      <c r="EP2">
        <v>141.9999999998</v>
      </c>
      <c r="EQ2">
        <v>150.19999999999999</v>
      </c>
      <c r="ER2">
        <v>158.60000000069999</v>
      </c>
      <c r="ES2">
        <v>167.1999999999</v>
      </c>
      <c r="ET2">
        <v>175.1999999997</v>
      </c>
      <c r="EU2">
        <v>182.70000000120001</v>
      </c>
      <c r="EV2">
        <v>190.8000000003</v>
      </c>
      <c r="EW2">
        <v>199.00000000049999</v>
      </c>
      <c r="EX2">
        <v>207.20000000069999</v>
      </c>
      <c r="EY2">
        <v>215.60000000139999</v>
      </c>
      <c r="EZ2">
        <v>223.60000000119999</v>
      </c>
      <c r="FA2">
        <v>231.20000000019999</v>
      </c>
      <c r="FB2">
        <v>238.800000001</v>
      </c>
      <c r="FC2">
        <v>246.6999999997</v>
      </c>
      <c r="FD2">
        <v>254.7000000013</v>
      </c>
      <c r="FE2">
        <v>262.60000000000002</v>
      </c>
      <c r="FF2">
        <v>270.50000000049999</v>
      </c>
      <c r="FG2">
        <v>278.10000000140002</v>
      </c>
      <c r="FH2">
        <v>284.99999999990001</v>
      </c>
      <c r="FI2">
        <v>292.1999999999</v>
      </c>
      <c r="FJ2">
        <v>299.60000000029999</v>
      </c>
      <c r="FK2">
        <v>306.90000000139997</v>
      </c>
      <c r="FL2">
        <v>314.3</v>
      </c>
      <c r="FM2">
        <v>321.4000000007</v>
      </c>
      <c r="FN2">
        <v>328.10000000060001</v>
      </c>
      <c r="FO2">
        <v>334.60000000010001</v>
      </c>
      <c r="FP2">
        <v>341.2000000008</v>
      </c>
      <c r="FQ2">
        <v>347.9000000007</v>
      </c>
      <c r="FR2">
        <v>354.50000000130001</v>
      </c>
      <c r="FS2">
        <v>361.00000000080001</v>
      </c>
      <c r="FT2">
        <v>367.90000000110001</v>
      </c>
      <c r="FU2">
        <v>374.40000000060002</v>
      </c>
      <c r="FV2">
        <v>380.30000000069998</v>
      </c>
      <c r="FW2">
        <v>385.8</v>
      </c>
      <c r="FX2">
        <v>391.30000000109999</v>
      </c>
      <c r="FY2">
        <v>397.20000000120001</v>
      </c>
      <c r="FZ2">
        <v>403.10000000140002</v>
      </c>
      <c r="GA2">
        <v>408.80000000109999</v>
      </c>
      <c r="GB2">
        <v>414.30000000040002</v>
      </c>
      <c r="GC2">
        <v>420.00000000009999</v>
      </c>
      <c r="GD2">
        <v>425.40000000010002</v>
      </c>
      <c r="GE2">
        <v>430.3</v>
      </c>
      <c r="GF2">
        <v>435.00000000130001</v>
      </c>
      <c r="GG2">
        <v>439.40000000110001</v>
      </c>
      <c r="GH2">
        <v>442.1000000002</v>
      </c>
      <c r="GI2">
        <v>442.9</v>
      </c>
      <c r="GJ2">
        <v>443.19999999970003</v>
      </c>
      <c r="GK2">
        <v>443.19999999970003</v>
      </c>
      <c r="GL2">
        <v>443.30000000080003</v>
      </c>
      <c r="GM2">
        <v>443.19999999970003</v>
      </c>
      <c r="GN2">
        <v>443.19999999970003</v>
      </c>
      <c r="GO2">
        <v>443.19999999970003</v>
      </c>
      <c r="GP2">
        <v>443.19999999970003</v>
      </c>
      <c r="GQ2">
        <v>443.19999999970003</v>
      </c>
      <c r="GR2">
        <v>443.30000000080003</v>
      </c>
      <c r="GS2">
        <v>443.30000000080003</v>
      </c>
      <c r="GT2">
        <v>443.40000000010002</v>
      </c>
      <c r="GU2">
        <v>443.30000000080003</v>
      </c>
      <c r="GV2">
        <v>443.40000000010002</v>
      </c>
      <c r="GW2">
        <v>1</v>
      </c>
      <c r="GX2">
        <v>109.9000000013</v>
      </c>
      <c r="GY2">
        <v>103.8000000008</v>
      </c>
      <c r="GZ2">
        <v>103.8000000008</v>
      </c>
      <c r="HA2">
        <v>118.8000000002</v>
      </c>
      <c r="HB2">
        <v>107.5652232753</v>
      </c>
      <c r="HC2">
        <v>-14.9999999994</v>
      </c>
      <c r="HD2">
        <v>443.40000000010002</v>
      </c>
      <c r="HE2">
        <v>300.1674221925</v>
      </c>
      <c r="HF2">
        <v>92.563294992699994</v>
      </c>
      <c r="HG2">
        <v>443.40000000010002</v>
      </c>
      <c r="HH2">
        <v>443.40000000010002</v>
      </c>
      <c r="HI2">
        <v>443.40000000010002</v>
      </c>
      <c r="HJ2">
        <v>443.40000000010002</v>
      </c>
      <c r="HK2">
        <v>112.6099706745</v>
      </c>
      <c r="HL2">
        <v>3.3213204269999999</v>
      </c>
      <c r="HM2">
        <v>3.2041067085999999</v>
      </c>
      <c r="HN2">
        <v>3.2426138727999998</v>
      </c>
      <c r="HO2">
        <v>3.1564806339999998</v>
      </c>
      <c r="HP2">
        <v>3.5012872815999998</v>
      </c>
      <c r="HQ2">
        <v>2.2493304359000001</v>
      </c>
      <c r="HR2">
        <v>15.0019282826</v>
      </c>
      <c r="HS2">
        <v>-28.152492668600001</v>
      </c>
      <c r="HT2">
        <v>-192</v>
      </c>
      <c r="HU2">
        <v>407.73264546780001</v>
      </c>
      <c r="HV2">
        <v>93.841642228699996</v>
      </c>
      <c r="HW2">
        <v>640</v>
      </c>
      <c r="HX2">
        <v>15.0019282826</v>
      </c>
      <c r="HY2">
        <v>-28.152492668600001</v>
      </c>
      <c r="HZ2">
        <v>-192</v>
      </c>
      <c r="IA2">
        <v>407.73264546780001</v>
      </c>
      <c r="IB2">
        <v>93.841642228699996</v>
      </c>
      <c r="IC2">
        <v>640</v>
      </c>
      <c r="ID2">
        <v>35.667354532300003</v>
      </c>
      <c r="IE2">
        <v>0.1064839885</v>
      </c>
      <c r="IF2">
        <v>-37.536656891500002</v>
      </c>
      <c r="IG2">
        <v>-256</v>
      </c>
      <c r="IH2">
        <v>429.87077131260003</v>
      </c>
      <c r="II2">
        <v>103.22580645159999</v>
      </c>
      <c r="IJ2">
        <v>704</v>
      </c>
      <c r="IK2">
        <v>392.73071718519998</v>
      </c>
      <c r="IL2">
        <v>121.9941348974</v>
      </c>
      <c r="IM2">
        <v>415.48519395599999</v>
      </c>
      <c r="IN2">
        <v>131.37829912020001</v>
      </c>
      <c r="IO2">
        <v>6.8000000009999999</v>
      </c>
      <c r="IP2">
        <v>5.6999999997000002</v>
      </c>
      <c r="IQ2">
        <v>8.8999999989000003</v>
      </c>
      <c r="IR2">
        <v>5.8861368041000004</v>
      </c>
      <c r="IS2">
        <v>5.8861368041000004</v>
      </c>
      <c r="IT2">
        <v>11.0999999997</v>
      </c>
      <c r="IU2">
        <v>-30.4985337243</v>
      </c>
      <c r="IV2">
        <v>14.9999999994</v>
      </c>
      <c r="IW2">
        <v>0</v>
      </c>
      <c r="IX2">
        <v>11.0999999997</v>
      </c>
      <c r="IY2">
        <v>100.87976539589999</v>
      </c>
      <c r="IZ2">
        <v>-32.812913037100003</v>
      </c>
      <c r="JA2">
        <v>0.33374336049999997</v>
      </c>
      <c r="JB2">
        <v>-3.3864449999999999E-4</v>
      </c>
      <c r="JC2">
        <v>6.8999999999999996E-7</v>
      </c>
      <c r="JD2">
        <v>0.30108507200000001</v>
      </c>
      <c r="JE2">
        <v>0.27977111989999998</v>
      </c>
      <c r="JF2">
        <v>0.11093437389999999</v>
      </c>
      <c r="JG2">
        <v>107.9680693321</v>
      </c>
      <c r="JH2">
        <v>3.5012872815999998</v>
      </c>
      <c r="JI2">
        <v>3.1713345999999998E-3</v>
      </c>
      <c r="JJ2">
        <v>-6.9918600000000005E-5</v>
      </c>
      <c r="JK2">
        <v>3.3213204269999999</v>
      </c>
      <c r="JL2">
        <v>1.5302739515999999</v>
      </c>
      <c r="JM2">
        <v>0.51589020360000004</v>
      </c>
      <c r="JN2" t="s">
        <v>545</v>
      </c>
      <c r="JQ2">
        <v>1</v>
      </c>
    </row>
    <row r="3" spans="1:277">
      <c r="A3" t="s">
        <v>549</v>
      </c>
      <c r="B3" t="s">
        <v>550</v>
      </c>
      <c r="C3" t="s">
        <v>212</v>
      </c>
      <c r="D3">
        <v>3</v>
      </c>
      <c r="E3" t="s">
        <v>213</v>
      </c>
      <c r="F3" t="s">
        <v>214</v>
      </c>
      <c r="G3" t="s">
        <v>544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</v>
      </c>
      <c r="R3">
        <v>0.40000000079999998</v>
      </c>
      <c r="S3">
        <v>0.50000000010000001</v>
      </c>
      <c r="T3">
        <v>0.40000000079999998</v>
      </c>
      <c r="U3">
        <v>0.40000000079999998</v>
      </c>
      <c r="V3">
        <v>0.40000000079999998</v>
      </c>
      <c r="W3">
        <v>0.40000000079999998</v>
      </c>
      <c r="X3">
        <v>0.40000000079999998</v>
      </c>
      <c r="Y3">
        <v>0.40000000079999998</v>
      </c>
      <c r="Z3">
        <v>0.40000000079999998</v>
      </c>
      <c r="AA3">
        <v>0.40000000079999998</v>
      </c>
      <c r="AB3">
        <v>0.40000000079999998</v>
      </c>
      <c r="AC3">
        <v>0.40000000079999998</v>
      </c>
      <c r="AD3">
        <v>0.40000000079999998</v>
      </c>
      <c r="AE3">
        <v>0.40000000079999998</v>
      </c>
      <c r="AF3">
        <v>0.40000000079999998</v>
      </c>
      <c r="AG3">
        <v>1.0000000002</v>
      </c>
      <c r="AH3">
        <v>2.8000000001999998</v>
      </c>
      <c r="AI3">
        <v>5.4</v>
      </c>
      <c r="AJ3">
        <v>8.4000000006000004</v>
      </c>
      <c r="AK3">
        <v>13.5000000009</v>
      </c>
      <c r="AL3">
        <v>20.300000000099999</v>
      </c>
      <c r="AM3">
        <v>26.900000000799999</v>
      </c>
      <c r="AN3">
        <v>33.700000000000003</v>
      </c>
      <c r="AO3">
        <v>41.499999999400004</v>
      </c>
      <c r="AP3">
        <v>49.6000000003</v>
      </c>
      <c r="AQ3">
        <v>57.199999999299997</v>
      </c>
      <c r="AR3">
        <v>64.599999999700003</v>
      </c>
      <c r="AS3">
        <v>72.299999999799994</v>
      </c>
      <c r="AT3">
        <v>79.600000000899996</v>
      </c>
      <c r="AU3">
        <v>87.100000000600005</v>
      </c>
      <c r="AV3">
        <v>95.699999999900001</v>
      </c>
      <c r="AW3">
        <v>104.4000000002</v>
      </c>
      <c r="AX3">
        <v>112.6999999997</v>
      </c>
      <c r="AY3">
        <v>120.8999999999</v>
      </c>
      <c r="AZ3">
        <v>129.30000000050001</v>
      </c>
      <c r="BA3">
        <v>136.89999999950001</v>
      </c>
      <c r="BB3">
        <v>145.3000000001</v>
      </c>
      <c r="BC3">
        <v>154.0999999997</v>
      </c>
      <c r="BD3">
        <v>162.00000000029999</v>
      </c>
      <c r="BE3">
        <v>169.79999999969999</v>
      </c>
      <c r="BF3">
        <v>177.90000000059999</v>
      </c>
      <c r="BG3">
        <v>185.7</v>
      </c>
      <c r="BH3">
        <v>193.80000000090001</v>
      </c>
      <c r="BI3">
        <v>202.60000000049999</v>
      </c>
      <c r="BJ3">
        <v>210.49999999920001</v>
      </c>
      <c r="BK3">
        <v>218.1</v>
      </c>
      <c r="BL3">
        <v>225.89999999950001</v>
      </c>
      <c r="BM3">
        <v>233.89999999930001</v>
      </c>
      <c r="BN3">
        <v>241.70000000050001</v>
      </c>
      <c r="BO3">
        <v>249.59999999920001</v>
      </c>
      <c r="BP3">
        <v>257.40000000039998</v>
      </c>
      <c r="BQ3">
        <v>264.69999999970003</v>
      </c>
      <c r="BR3">
        <v>271.80000000040002</v>
      </c>
      <c r="BS3">
        <v>279.20000000089999</v>
      </c>
      <c r="BT3">
        <v>286.79999999990002</v>
      </c>
      <c r="BU3">
        <v>294.10000000100001</v>
      </c>
      <c r="BV3">
        <v>301.49999999959999</v>
      </c>
      <c r="BW3">
        <v>308.60000000029999</v>
      </c>
      <c r="BX3">
        <v>315.30000000019999</v>
      </c>
      <c r="BY3">
        <v>321.79999999969999</v>
      </c>
      <c r="BZ3">
        <v>328.60000000069999</v>
      </c>
      <c r="CA3">
        <v>335.39999999989999</v>
      </c>
      <c r="CB3">
        <v>342.20000000099998</v>
      </c>
      <c r="CC3">
        <v>348.59999999939998</v>
      </c>
      <c r="CD3">
        <v>355.2</v>
      </c>
      <c r="CE3">
        <v>361.5000000009</v>
      </c>
      <c r="CF3">
        <v>367.29999999990002</v>
      </c>
      <c r="CG3">
        <v>373.29999999929998</v>
      </c>
      <c r="CH3">
        <v>379.30000000050001</v>
      </c>
      <c r="CI3">
        <v>385.29999999990002</v>
      </c>
      <c r="CJ3">
        <v>391.29999999929998</v>
      </c>
      <c r="CK3">
        <v>397.19999999940001</v>
      </c>
      <c r="CL3">
        <v>403.00000000019998</v>
      </c>
      <c r="CM3">
        <v>408.7</v>
      </c>
      <c r="CN3">
        <v>413.70000000099998</v>
      </c>
      <c r="CO3">
        <v>418.90000000060002</v>
      </c>
      <c r="CP3">
        <v>424.1000000002</v>
      </c>
      <c r="CQ3">
        <v>429.50000000019998</v>
      </c>
      <c r="CR3">
        <v>434.80000000090001</v>
      </c>
      <c r="CS3">
        <v>440.00000000049999</v>
      </c>
      <c r="CT3">
        <v>444.99999999969998</v>
      </c>
      <c r="CU3">
        <v>448.50000000040001</v>
      </c>
      <c r="CV3">
        <v>449.50000000059998</v>
      </c>
      <c r="CW3">
        <v>449.50000000059998</v>
      </c>
      <c r="CX3">
        <v>449.50000000059998</v>
      </c>
      <c r="CY3">
        <v>449.50000000059998</v>
      </c>
      <c r="CZ3">
        <v>449.59999999989998</v>
      </c>
      <c r="DA3">
        <v>449.59999999989998</v>
      </c>
      <c r="DB3">
        <v>449.59999999989998</v>
      </c>
      <c r="DC3">
        <v>449.59999999989998</v>
      </c>
      <c r="DD3">
        <v>449.69999999919997</v>
      </c>
      <c r="DE3">
        <v>449.69999999919997</v>
      </c>
      <c r="DF3">
        <v>449.59999999989998</v>
      </c>
      <c r="DG3">
        <v>1.2999999999</v>
      </c>
      <c r="DH3">
        <v>1.8</v>
      </c>
      <c r="DI3">
        <v>1.8</v>
      </c>
      <c r="DJ3">
        <v>1.8</v>
      </c>
      <c r="DK3">
        <v>1.7000000007</v>
      </c>
      <c r="DL3">
        <v>1.7000000007</v>
      </c>
      <c r="DM3">
        <v>1.7000000007</v>
      </c>
      <c r="DN3">
        <v>1.7000000007</v>
      </c>
      <c r="DO3">
        <v>1.7000000007</v>
      </c>
      <c r="DP3">
        <v>1.7000000007</v>
      </c>
      <c r="DQ3">
        <v>1.5999999996000001</v>
      </c>
      <c r="DR3">
        <v>1.5999999996000001</v>
      </c>
      <c r="DS3">
        <v>1.5000000003</v>
      </c>
      <c r="DT3">
        <v>1.5000000003</v>
      </c>
      <c r="DU3">
        <v>1.5000000003</v>
      </c>
      <c r="DV3">
        <v>2.3999999993999999</v>
      </c>
      <c r="DW3">
        <v>4.8000000005999999</v>
      </c>
      <c r="DX3">
        <v>7.4999999997</v>
      </c>
      <c r="DY3">
        <v>11.5999999998</v>
      </c>
      <c r="DZ3">
        <v>18.299999999699999</v>
      </c>
      <c r="EA3">
        <v>24.799999999200001</v>
      </c>
      <c r="EB3">
        <v>31.699999999500001</v>
      </c>
      <c r="EC3">
        <v>39.600000000100003</v>
      </c>
      <c r="ED3">
        <v>47.700000000999999</v>
      </c>
      <c r="EE3">
        <v>55.200000000700001</v>
      </c>
      <c r="EF3">
        <v>62.5</v>
      </c>
      <c r="EG3">
        <v>70.100000000799994</v>
      </c>
      <c r="EH3">
        <v>77.499999999400004</v>
      </c>
      <c r="EI3">
        <v>84.800000000500006</v>
      </c>
      <c r="EJ3">
        <v>93.300000000500006</v>
      </c>
      <c r="EK3">
        <v>102.0000000008</v>
      </c>
      <c r="EL3">
        <v>110.0000000006</v>
      </c>
      <c r="EM3">
        <v>118.39999999939999</v>
      </c>
      <c r="EN3">
        <v>126.50000000030001</v>
      </c>
      <c r="EO3">
        <v>134.0999999993</v>
      </c>
      <c r="EP3">
        <v>142.7999999996</v>
      </c>
      <c r="EQ3">
        <v>151.59999999920001</v>
      </c>
      <c r="ER3">
        <v>159.70000000019999</v>
      </c>
      <c r="ES3">
        <v>167.60000000069999</v>
      </c>
      <c r="ET3">
        <v>175.60000000049999</v>
      </c>
      <c r="EU3">
        <v>183.39999999989999</v>
      </c>
      <c r="EV3">
        <v>191.80000000050001</v>
      </c>
      <c r="EW3">
        <v>200.60000000010001</v>
      </c>
      <c r="EX3">
        <v>208.6999999992</v>
      </c>
      <c r="EY3">
        <v>216.39999999930001</v>
      </c>
      <c r="EZ3">
        <v>224.2999999999</v>
      </c>
      <c r="FA3">
        <v>232.40000000079999</v>
      </c>
      <c r="FB3">
        <v>240.40000000059999</v>
      </c>
      <c r="FC3">
        <v>248.29999999930001</v>
      </c>
      <c r="FD3">
        <v>256.19999999980001</v>
      </c>
      <c r="FE3">
        <v>263.69999999949999</v>
      </c>
      <c r="FF3">
        <v>270.89999999949998</v>
      </c>
      <c r="FG3">
        <v>278.39999999920002</v>
      </c>
      <c r="FH3">
        <v>286.00000000009999</v>
      </c>
      <c r="FI3">
        <v>293.40000000049997</v>
      </c>
      <c r="FJ3">
        <v>300.90000000020001</v>
      </c>
      <c r="FK3">
        <v>308.19999999949999</v>
      </c>
      <c r="FL3">
        <v>315.09999999979999</v>
      </c>
      <c r="FM3">
        <v>321.79999999969999</v>
      </c>
      <c r="FN3">
        <v>328.60000000069999</v>
      </c>
      <c r="FO3">
        <v>335.69999999959998</v>
      </c>
      <c r="FP3">
        <v>342.39999999949998</v>
      </c>
      <c r="FQ3">
        <v>349.09999999950003</v>
      </c>
      <c r="FR3">
        <v>355.70000000009998</v>
      </c>
      <c r="FS3">
        <v>361.89999999989999</v>
      </c>
      <c r="FT3">
        <v>367.8</v>
      </c>
      <c r="FU3">
        <v>373.90000000049997</v>
      </c>
      <c r="FV3">
        <v>379.89999999989999</v>
      </c>
      <c r="FW3">
        <v>386.00000000040001</v>
      </c>
      <c r="FX3">
        <v>391.99999999980002</v>
      </c>
      <c r="FY3">
        <v>397.69999999949999</v>
      </c>
      <c r="FZ3">
        <v>403.59999999960002</v>
      </c>
      <c r="GA3">
        <v>409.29999999929998</v>
      </c>
      <c r="GB3">
        <v>414.30000000040002</v>
      </c>
      <c r="GC3">
        <v>419.2999999996</v>
      </c>
      <c r="GD3">
        <v>424.50000000099999</v>
      </c>
      <c r="GE3">
        <v>429.79999999990002</v>
      </c>
      <c r="GF3">
        <v>434.80000000090001</v>
      </c>
      <c r="GG3">
        <v>439.8000000001</v>
      </c>
      <c r="GH3">
        <v>444.49999999959999</v>
      </c>
      <c r="GI3">
        <v>448.00000000030002</v>
      </c>
      <c r="GJ3">
        <v>449.39999999949998</v>
      </c>
      <c r="GK3">
        <v>449.39999999949998</v>
      </c>
      <c r="GL3">
        <v>449.39999999949998</v>
      </c>
      <c r="GM3">
        <v>449.39999999949998</v>
      </c>
      <c r="GN3">
        <v>449.39999999949998</v>
      </c>
      <c r="GO3">
        <v>449.39999999949998</v>
      </c>
      <c r="GP3">
        <v>449.39999999949998</v>
      </c>
      <c r="GQ3">
        <v>449.39999999949998</v>
      </c>
      <c r="GR3">
        <v>449.50000000059998</v>
      </c>
      <c r="GS3">
        <v>449.50000000059998</v>
      </c>
      <c r="GT3">
        <v>449.59999999989998</v>
      </c>
      <c r="GU3">
        <v>449.59999999989998</v>
      </c>
      <c r="GV3">
        <v>449.59999999989998</v>
      </c>
      <c r="GW3">
        <v>1</v>
      </c>
      <c r="GX3">
        <v>110.6</v>
      </c>
      <c r="GY3">
        <v>104.4000000002</v>
      </c>
      <c r="GZ3">
        <v>104.4000000002</v>
      </c>
      <c r="HA3">
        <v>118.39999999939999</v>
      </c>
      <c r="HB3">
        <v>107.8684754809</v>
      </c>
      <c r="HC3">
        <v>-13.9999999992</v>
      </c>
      <c r="HD3">
        <v>449.59999999989998</v>
      </c>
      <c r="HE3">
        <v>294.3036139216</v>
      </c>
      <c r="HF3">
        <v>86.909296119100006</v>
      </c>
      <c r="HG3">
        <v>449.69999999919997</v>
      </c>
      <c r="HH3">
        <v>449.59999999989998</v>
      </c>
      <c r="HI3">
        <v>449.69999999919997</v>
      </c>
      <c r="HJ3">
        <v>449.59999999989998</v>
      </c>
      <c r="HK3">
        <v>114.9560117302</v>
      </c>
      <c r="HL3">
        <v>3.3406206663</v>
      </c>
      <c r="HM3">
        <v>3.2476431108999999</v>
      </c>
      <c r="HN3">
        <v>3.2753889196000001</v>
      </c>
      <c r="HO3">
        <v>3.2755576959999999</v>
      </c>
      <c r="HP3">
        <v>3.5446118831</v>
      </c>
      <c r="HQ3">
        <v>2.2783761559000002</v>
      </c>
      <c r="HR3">
        <v>20.9591793618</v>
      </c>
      <c r="HS3">
        <v>-25.806451612899998</v>
      </c>
      <c r="HT3">
        <v>-176</v>
      </c>
      <c r="HU3">
        <v>402.17208940249998</v>
      </c>
      <c r="HV3">
        <v>91.495601172999997</v>
      </c>
      <c r="HW3">
        <v>624</v>
      </c>
      <c r="HX3">
        <v>20.9591793618</v>
      </c>
      <c r="HY3">
        <v>-25.806451612899998</v>
      </c>
      <c r="HZ3">
        <v>-176</v>
      </c>
      <c r="IA3">
        <v>402.17208940249998</v>
      </c>
      <c r="IB3">
        <v>91.495601172999997</v>
      </c>
      <c r="IC3">
        <v>624</v>
      </c>
      <c r="ID3">
        <v>47.4279105974</v>
      </c>
      <c r="IE3">
        <v>2.8538307574999999</v>
      </c>
      <c r="IF3">
        <v>-35.190615835800003</v>
      </c>
      <c r="IG3">
        <v>-240</v>
      </c>
      <c r="IH3">
        <v>423.76622929050001</v>
      </c>
      <c r="II3">
        <v>100.87976539589999</v>
      </c>
      <c r="IJ3">
        <v>688</v>
      </c>
      <c r="IK3">
        <v>381.21291004059998</v>
      </c>
      <c r="IL3">
        <v>117.3020527859</v>
      </c>
      <c r="IM3">
        <v>404.57571444429999</v>
      </c>
      <c r="IN3">
        <v>126.6862170088</v>
      </c>
      <c r="IO3">
        <v>6.7999999991999998</v>
      </c>
      <c r="IP3">
        <v>5.9000000001000004</v>
      </c>
      <c r="IQ3">
        <v>8.7999999996000007</v>
      </c>
      <c r="IR3">
        <v>6.3977294162999998</v>
      </c>
      <c r="IS3">
        <v>6.3977294162999998</v>
      </c>
      <c r="IT3">
        <v>11.299999998300001</v>
      </c>
      <c r="IU3">
        <v>-28.152492668600001</v>
      </c>
      <c r="IV3">
        <v>14.9000000001</v>
      </c>
      <c r="IW3">
        <v>-4.6920821114000004</v>
      </c>
      <c r="IX3">
        <v>12.0999999999</v>
      </c>
      <c r="IY3">
        <v>93.841642228699996</v>
      </c>
      <c r="IZ3">
        <v>-32.326461951799999</v>
      </c>
      <c r="JA3">
        <v>0.32703737020000001</v>
      </c>
      <c r="JB3">
        <v>-3.2230140000000002E-4</v>
      </c>
      <c r="JC3">
        <v>6.8299999999999996E-7</v>
      </c>
      <c r="JD3">
        <v>0.29934557070000001</v>
      </c>
      <c r="JE3">
        <v>0.2471900309</v>
      </c>
      <c r="JF3">
        <v>8.7941245299999998E-2</v>
      </c>
      <c r="JG3">
        <v>108.1650433483</v>
      </c>
      <c r="JH3">
        <v>3.5446118831</v>
      </c>
      <c r="JI3">
        <v>2.5437576E-3</v>
      </c>
      <c r="JJ3">
        <v>-6.8953499999999996E-5</v>
      </c>
      <c r="JK3">
        <v>3.3406206663</v>
      </c>
      <c r="JL3">
        <v>1.3888551907</v>
      </c>
      <c r="JM3">
        <v>0.50703665519999996</v>
      </c>
      <c r="JN3" t="s">
        <v>545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544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4.1999999994000001</v>
      </c>
      <c r="R4">
        <v>4.0999999983000004</v>
      </c>
      <c r="S4">
        <v>3.9999999989999999</v>
      </c>
      <c r="T4">
        <v>4.0999999983000004</v>
      </c>
      <c r="U4">
        <v>3.9999999989999999</v>
      </c>
      <c r="V4">
        <v>4.0999999983000004</v>
      </c>
      <c r="W4">
        <v>3.9999999989999999</v>
      </c>
      <c r="X4">
        <v>4.0999999983000004</v>
      </c>
      <c r="Y4">
        <v>4.0999999983000004</v>
      </c>
      <c r="Z4">
        <v>4.0999999983000004</v>
      </c>
      <c r="AA4">
        <v>4.0999999983000004</v>
      </c>
      <c r="AB4">
        <v>3.9999999989999999</v>
      </c>
      <c r="AC4">
        <v>3.6999999993000001</v>
      </c>
      <c r="AD4">
        <v>2.9999999987999999</v>
      </c>
      <c r="AE4">
        <v>2.2999999983000001</v>
      </c>
      <c r="AF4">
        <v>1.5999999996000001</v>
      </c>
      <c r="AG4">
        <v>0.79999999980000003</v>
      </c>
      <c r="AH4">
        <v>0</v>
      </c>
      <c r="AI4">
        <v>0.79999999980000003</v>
      </c>
      <c r="AJ4">
        <v>4.2999999986999997</v>
      </c>
      <c r="AK4">
        <v>10.299999999900001</v>
      </c>
      <c r="AL4">
        <v>16.9999999998</v>
      </c>
      <c r="AM4">
        <v>23.9999999994</v>
      </c>
      <c r="AN4">
        <v>31.599999998400001</v>
      </c>
      <c r="AO4">
        <v>39.999999999099998</v>
      </c>
      <c r="AP4">
        <v>48.1</v>
      </c>
      <c r="AQ4">
        <v>55.799999998300002</v>
      </c>
      <c r="AR4">
        <v>63.299999999800001</v>
      </c>
      <c r="AS4">
        <v>71.099999999199994</v>
      </c>
      <c r="AT4">
        <v>79.399999998699997</v>
      </c>
      <c r="AU4">
        <v>87.7</v>
      </c>
      <c r="AV4">
        <v>96.399999998499993</v>
      </c>
      <c r="AW4">
        <v>105.39999999859999</v>
      </c>
      <c r="AX4">
        <v>113.49999999950001</v>
      </c>
      <c r="AY4">
        <v>121.79999999899999</v>
      </c>
      <c r="AZ4">
        <v>130.4999999993</v>
      </c>
      <c r="BA4">
        <v>138.99999999920001</v>
      </c>
      <c r="BB4">
        <v>147.99999999920001</v>
      </c>
      <c r="BC4">
        <v>156.79999999879999</v>
      </c>
      <c r="BD4">
        <v>164.8999999998</v>
      </c>
      <c r="BE4">
        <v>173.19999999929999</v>
      </c>
      <c r="BF4">
        <v>181.7999999985</v>
      </c>
      <c r="BG4">
        <v>190.39999999950001</v>
      </c>
      <c r="BH4">
        <v>198.89999999939999</v>
      </c>
      <c r="BI4">
        <v>207.39999999930001</v>
      </c>
      <c r="BJ4">
        <v>215.6999999988</v>
      </c>
      <c r="BK4">
        <v>224.0999999995</v>
      </c>
      <c r="BL4">
        <v>232.59999999940001</v>
      </c>
      <c r="BM4">
        <v>240.7999999996</v>
      </c>
      <c r="BN4">
        <v>249.09999999909999</v>
      </c>
      <c r="BO4">
        <v>257.49999999969998</v>
      </c>
      <c r="BP4">
        <v>265.39999999840001</v>
      </c>
      <c r="BQ4">
        <v>273.19999999959998</v>
      </c>
      <c r="BR4">
        <v>281.19999999940001</v>
      </c>
      <c r="BS4">
        <v>288.99999999890002</v>
      </c>
      <c r="BT4">
        <v>296.89999999939999</v>
      </c>
      <c r="BU4">
        <v>304.49999999840003</v>
      </c>
      <c r="BV4">
        <v>311.99999999990001</v>
      </c>
      <c r="BW4">
        <v>319.1999999999</v>
      </c>
      <c r="BX4">
        <v>326.59999999849998</v>
      </c>
      <c r="BY4">
        <v>333.79999999850003</v>
      </c>
      <c r="BZ4">
        <v>340.69999999880002</v>
      </c>
      <c r="CA4">
        <v>347.89999999880001</v>
      </c>
      <c r="CB4">
        <v>354.5999999988</v>
      </c>
      <c r="CC4">
        <v>361.2999999987</v>
      </c>
      <c r="CD4">
        <v>367.9999999986</v>
      </c>
      <c r="CE4">
        <v>374.6999999985</v>
      </c>
      <c r="CF4">
        <v>381.49999999950001</v>
      </c>
      <c r="CG4">
        <v>387.99999999900001</v>
      </c>
      <c r="CH4">
        <v>394.29999999990002</v>
      </c>
      <c r="CI4">
        <v>400.69999999829997</v>
      </c>
      <c r="CJ4">
        <v>406.9</v>
      </c>
      <c r="CK4">
        <v>412.89999999939999</v>
      </c>
      <c r="CL4">
        <v>418.99999999990001</v>
      </c>
      <c r="CM4">
        <v>424.9</v>
      </c>
      <c r="CN4">
        <v>430.7999999983</v>
      </c>
      <c r="CO4">
        <v>436.59999999910002</v>
      </c>
      <c r="CP4">
        <v>442.09999999839999</v>
      </c>
      <c r="CQ4">
        <v>447.69999999880002</v>
      </c>
      <c r="CR4">
        <v>453.0999999988</v>
      </c>
      <c r="CS4">
        <v>455.99999999829998</v>
      </c>
      <c r="CT4">
        <v>456.09999999939998</v>
      </c>
      <c r="CU4">
        <v>456.09999999939998</v>
      </c>
      <c r="CV4">
        <v>456.19999999869998</v>
      </c>
      <c r="CW4">
        <v>456.19999999869998</v>
      </c>
      <c r="CX4">
        <v>456.19999999869998</v>
      </c>
      <c r="CY4">
        <v>456.19999999869998</v>
      </c>
      <c r="CZ4">
        <v>456.29999999979998</v>
      </c>
      <c r="DA4">
        <v>456.29999999979998</v>
      </c>
      <c r="DB4">
        <v>456.29999999979998</v>
      </c>
      <c r="DC4">
        <v>456.29999999979998</v>
      </c>
      <c r="DD4">
        <v>456.29999999979998</v>
      </c>
      <c r="DE4">
        <v>456.29999999979998</v>
      </c>
      <c r="DF4">
        <v>456.29999999979998</v>
      </c>
      <c r="DG4">
        <v>4.1999999994000001</v>
      </c>
      <c r="DH4">
        <v>4.4999999990999999</v>
      </c>
      <c r="DI4">
        <v>4.4999999990999999</v>
      </c>
      <c r="DJ4">
        <v>4.4999999990999999</v>
      </c>
      <c r="DK4">
        <v>4.4999999990999999</v>
      </c>
      <c r="DL4">
        <v>4.4999999990999999</v>
      </c>
      <c r="DM4">
        <v>4.5999999984000004</v>
      </c>
      <c r="DN4">
        <v>4.4999999990999999</v>
      </c>
      <c r="DO4">
        <v>4.3999999998000003</v>
      </c>
      <c r="DP4">
        <v>4.4999999990999999</v>
      </c>
      <c r="DQ4">
        <v>4.3999999998000003</v>
      </c>
      <c r="DR4">
        <v>4.1999999994000001</v>
      </c>
      <c r="DS4">
        <v>3.6999999993000001</v>
      </c>
      <c r="DT4">
        <v>3.2999999985000001</v>
      </c>
      <c r="DU4">
        <v>2.7999999984000001</v>
      </c>
      <c r="DV4">
        <v>2.3999999993999999</v>
      </c>
      <c r="DW4">
        <v>2.2999999983000001</v>
      </c>
      <c r="DX4">
        <v>3.6999999993000001</v>
      </c>
      <c r="DY4">
        <v>8.8999999989000003</v>
      </c>
      <c r="DZ4">
        <v>16.399999998599998</v>
      </c>
      <c r="EA4">
        <v>23.8999999983</v>
      </c>
      <c r="EB4">
        <v>31.399999999799999</v>
      </c>
      <c r="EC4">
        <v>39.1</v>
      </c>
      <c r="ED4">
        <v>46.799999998300002</v>
      </c>
      <c r="EE4">
        <v>54.5999999995</v>
      </c>
      <c r="EF4">
        <v>62.599999999300003</v>
      </c>
      <c r="EG4">
        <v>70.699999998400003</v>
      </c>
      <c r="EH4">
        <v>78.899999998599995</v>
      </c>
      <c r="EI4">
        <v>86.999999999500005</v>
      </c>
      <c r="EJ4">
        <v>95.299999998999994</v>
      </c>
      <c r="EK4">
        <v>103.5999999986</v>
      </c>
      <c r="EL4">
        <v>112.0999999985</v>
      </c>
      <c r="EM4">
        <v>120.8999999999</v>
      </c>
      <c r="EN4">
        <v>129.59999999839999</v>
      </c>
      <c r="EO4">
        <v>138.09999999830001</v>
      </c>
      <c r="EP4">
        <v>146.6</v>
      </c>
      <c r="EQ4">
        <v>154.99999999880001</v>
      </c>
      <c r="ER4">
        <v>163.59999999990001</v>
      </c>
      <c r="ES4">
        <v>172.29999999840001</v>
      </c>
      <c r="ET4">
        <v>180.99999999869999</v>
      </c>
      <c r="EU4">
        <v>189.39999999930001</v>
      </c>
      <c r="EV4">
        <v>198.09999999959999</v>
      </c>
      <c r="EW4">
        <v>206.5999999995</v>
      </c>
      <c r="EX4">
        <v>214.99999999830001</v>
      </c>
      <c r="EY4">
        <v>223.50000000009999</v>
      </c>
      <c r="EZ4">
        <v>232</v>
      </c>
      <c r="FA4">
        <v>240.29999999949999</v>
      </c>
      <c r="FB4">
        <v>248.599999999</v>
      </c>
      <c r="FC4">
        <v>256.6999999999</v>
      </c>
      <c r="FD4">
        <v>264.79999999900002</v>
      </c>
      <c r="FE4">
        <v>272.89999999989999</v>
      </c>
      <c r="FF4">
        <v>280.89999999970001</v>
      </c>
      <c r="FG4">
        <v>288.69999999919997</v>
      </c>
      <c r="FH4">
        <v>296.5999999997</v>
      </c>
      <c r="FI4">
        <v>304.29999999979998</v>
      </c>
      <c r="FJ4">
        <v>311.69999999840002</v>
      </c>
      <c r="FK4">
        <v>319.0999999988</v>
      </c>
      <c r="FL4">
        <v>326.49999999919999</v>
      </c>
      <c r="FM4">
        <v>333.89999999960003</v>
      </c>
      <c r="FN4">
        <v>340.99999999850002</v>
      </c>
      <c r="FO4">
        <v>347.89999999880001</v>
      </c>
      <c r="FP4">
        <v>354.89999999849999</v>
      </c>
      <c r="FQ4">
        <v>361.59999999839999</v>
      </c>
      <c r="FR4">
        <v>368.2999999983</v>
      </c>
      <c r="FS4">
        <v>374.8999999989</v>
      </c>
      <c r="FT4">
        <v>381.49999999950001</v>
      </c>
      <c r="FU4">
        <v>387.99999999900001</v>
      </c>
      <c r="FV4">
        <v>394.09999999950003</v>
      </c>
      <c r="FW4">
        <v>400.49999999969998</v>
      </c>
      <c r="FX4">
        <v>406.59999999839999</v>
      </c>
      <c r="FY4">
        <v>412.49999999850002</v>
      </c>
      <c r="FZ4">
        <v>418.39999999870003</v>
      </c>
      <c r="GA4">
        <v>424.09999999839999</v>
      </c>
      <c r="GB4">
        <v>429.69999999880002</v>
      </c>
      <c r="GC4">
        <v>435.39999999849999</v>
      </c>
      <c r="GD4">
        <v>440.69999999919997</v>
      </c>
      <c r="GE4">
        <v>445.99999999990001</v>
      </c>
      <c r="GF4">
        <v>451.39999999989999</v>
      </c>
      <c r="GG4">
        <v>455.1999999985</v>
      </c>
      <c r="GH4">
        <v>456.29999999979998</v>
      </c>
      <c r="GI4">
        <v>456.29999999979998</v>
      </c>
      <c r="GJ4">
        <v>456.39999999909998</v>
      </c>
      <c r="GK4">
        <v>456.39999999909998</v>
      </c>
      <c r="GL4">
        <v>456.39999999909998</v>
      </c>
      <c r="GM4">
        <v>456.39999999909998</v>
      </c>
      <c r="GN4">
        <v>456.39999999909998</v>
      </c>
      <c r="GO4">
        <v>456.09999999939998</v>
      </c>
      <c r="GP4">
        <v>456.09999999939998</v>
      </c>
      <c r="GQ4">
        <v>456.19999999869998</v>
      </c>
      <c r="GR4">
        <v>456.19999999869998</v>
      </c>
      <c r="GS4">
        <v>456.19999999869998</v>
      </c>
      <c r="GT4">
        <v>456.19999999869998</v>
      </c>
      <c r="GU4">
        <v>456.29999999979998</v>
      </c>
      <c r="GV4">
        <v>456.29999999979998</v>
      </c>
      <c r="GW4">
        <v>1</v>
      </c>
      <c r="GX4">
        <v>107.5000000001</v>
      </c>
      <c r="GY4">
        <v>105.39999999859999</v>
      </c>
      <c r="GZ4">
        <v>105.39999999859999</v>
      </c>
      <c r="HA4">
        <v>120.8999999999</v>
      </c>
      <c r="HB4">
        <v>109.24357878470001</v>
      </c>
      <c r="HC4">
        <v>-15.5000000013</v>
      </c>
      <c r="HD4">
        <v>456.29999999979998</v>
      </c>
      <c r="HE4">
        <v>319.70721016869999</v>
      </c>
      <c r="HF4">
        <v>91.479870698100001</v>
      </c>
      <c r="HG4">
        <v>456.39999999909998</v>
      </c>
      <c r="HH4">
        <v>456.39999999909998</v>
      </c>
      <c r="HI4">
        <v>456.29999999979998</v>
      </c>
      <c r="HJ4">
        <v>456.39999999909998</v>
      </c>
      <c r="HK4">
        <v>110.26392961880001</v>
      </c>
      <c r="HL4">
        <v>3.4717211633999998</v>
      </c>
      <c r="HM4">
        <v>3.3692710691999999</v>
      </c>
      <c r="HN4">
        <v>3.3775767295999999</v>
      </c>
      <c r="HO4">
        <v>3.4338230347000001</v>
      </c>
      <c r="HP4">
        <v>3.7175778722000001</v>
      </c>
      <c r="HQ4">
        <v>2.2313015503</v>
      </c>
      <c r="HR4">
        <v>17.763708086600001</v>
      </c>
      <c r="HS4">
        <v>-25.806451612899998</v>
      </c>
      <c r="HT4">
        <v>-176</v>
      </c>
      <c r="HU4">
        <v>428.95078895350002</v>
      </c>
      <c r="HV4">
        <v>96.187683284499997</v>
      </c>
      <c r="HW4">
        <v>656</v>
      </c>
      <c r="HX4">
        <v>17.763708086600001</v>
      </c>
      <c r="HY4">
        <v>-25.806451612899998</v>
      </c>
      <c r="HZ4">
        <v>-176</v>
      </c>
      <c r="IA4">
        <v>428.95078895350002</v>
      </c>
      <c r="IB4">
        <v>96.187683284499997</v>
      </c>
      <c r="IC4">
        <v>656</v>
      </c>
      <c r="ID4">
        <v>27.449211045599998</v>
      </c>
      <c r="IE4">
        <v>1.5001095799999999E-2</v>
      </c>
      <c r="IF4">
        <v>-35.190615835800003</v>
      </c>
      <c r="IG4">
        <v>-240</v>
      </c>
      <c r="IH4">
        <v>451.20535831680002</v>
      </c>
      <c r="II4">
        <v>105.57184750730001</v>
      </c>
      <c r="IJ4">
        <v>720</v>
      </c>
      <c r="IK4">
        <v>411.18708086689998</v>
      </c>
      <c r="IL4">
        <v>121.9941348974</v>
      </c>
      <c r="IM4">
        <v>435.6796844186</v>
      </c>
      <c r="IN4">
        <v>131.37829912020001</v>
      </c>
      <c r="IO4">
        <v>7.4999999997</v>
      </c>
      <c r="IP4">
        <v>5.8000000007999999</v>
      </c>
      <c r="IQ4">
        <v>9</v>
      </c>
      <c r="IR4">
        <v>7.2308644191000004</v>
      </c>
      <c r="IS4">
        <v>7.2308644191000004</v>
      </c>
      <c r="IT4">
        <v>13.5999999984</v>
      </c>
      <c r="IU4">
        <v>-28.152492668600001</v>
      </c>
      <c r="IV4">
        <v>16.300000001099999</v>
      </c>
      <c r="IW4">
        <v>21.114369501500001</v>
      </c>
      <c r="IX4">
        <v>9.9000000009000004</v>
      </c>
      <c r="IY4">
        <v>100.87976539589999</v>
      </c>
      <c r="IZ4">
        <v>-31.233765190500002</v>
      </c>
      <c r="JA4">
        <v>0.31375774499999998</v>
      </c>
      <c r="JB4">
        <v>-3.1243489999999998E-4</v>
      </c>
      <c r="JC4">
        <v>6.3580000000000002E-7</v>
      </c>
      <c r="JD4">
        <v>0.28804156580000001</v>
      </c>
      <c r="JE4">
        <v>0.14305419289999999</v>
      </c>
      <c r="JF4">
        <v>6.4962026000000006E-2</v>
      </c>
      <c r="JG4">
        <v>109.4209696404</v>
      </c>
      <c r="JH4">
        <v>3.7175778722000001</v>
      </c>
      <c r="JI4">
        <v>2.7004355999999999E-3</v>
      </c>
      <c r="JJ4">
        <v>-7.2263999999999998E-5</v>
      </c>
      <c r="JK4">
        <v>3.4717211633999998</v>
      </c>
      <c r="JL4">
        <v>1.2702350147000001</v>
      </c>
      <c r="JM4">
        <v>0.55528893010000002</v>
      </c>
      <c r="JN4" t="s">
        <v>545</v>
      </c>
      <c r="JQ4">
        <v>1</v>
      </c>
    </row>
    <row r="5" spans="1:277">
      <c r="A5" t="s">
        <v>573</v>
      </c>
      <c r="B5" t="s">
        <v>574</v>
      </c>
      <c r="C5" t="s">
        <v>212</v>
      </c>
      <c r="D5">
        <v>3</v>
      </c>
      <c r="E5" t="s">
        <v>213</v>
      </c>
      <c r="F5" t="s">
        <v>214</v>
      </c>
      <c r="G5" t="s">
        <v>544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0.29999999970000002</v>
      </c>
      <c r="S5">
        <v>0.29999999970000002</v>
      </c>
      <c r="T5">
        <v>0.29999999970000002</v>
      </c>
      <c r="U5">
        <v>0.29999999970000002</v>
      </c>
      <c r="V5">
        <v>0.39999999899999999</v>
      </c>
      <c r="W5">
        <v>0.39999999899999999</v>
      </c>
      <c r="X5">
        <v>0.39999999899999999</v>
      </c>
      <c r="Y5">
        <v>0.39999999899999999</v>
      </c>
      <c r="Z5">
        <v>0.39999999899999999</v>
      </c>
      <c r="AA5">
        <v>0.50000000010000001</v>
      </c>
      <c r="AB5">
        <v>0.50000000010000001</v>
      </c>
      <c r="AC5">
        <v>0.50000000010000001</v>
      </c>
      <c r="AD5">
        <v>0.50000000010000001</v>
      </c>
      <c r="AE5">
        <v>0.39999999899999999</v>
      </c>
      <c r="AF5">
        <v>0.19999999860000001</v>
      </c>
      <c r="AG5">
        <v>0.89999999909999995</v>
      </c>
      <c r="AH5">
        <v>2.9999999987999999</v>
      </c>
      <c r="AI5">
        <v>5.9999999994</v>
      </c>
      <c r="AJ5">
        <v>10.8</v>
      </c>
      <c r="AK5">
        <v>17.399999998799998</v>
      </c>
      <c r="AL5">
        <v>24.299999999099999</v>
      </c>
      <c r="AM5">
        <v>31.499999999100002</v>
      </c>
      <c r="AN5">
        <v>39.1</v>
      </c>
      <c r="AO5">
        <v>46.699999998999999</v>
      </c>
      <c r="AP5">
        <v>54.299999999800001</v>
      </c>
      <c r="AQ5">
        <v>61.499999999800004</v>
      </c>
      <c r="AR5">
        <v>68.999999999500005</v>
      </c>
      <c r="AS5">
        <v>76.699999999599996</v>
      </c>
      <c r="AT5">
        <v>84.499999998999996</v>
      </c>
      <c r="AU5">
        <v>92.699999999200003</v>
      </c>
      <c r="AV5">
        <v>100.6999999991</v>
      </c>
      <c r="AW5">
        <v>108.5999999996</v>
      </c>
      <c r="AX5">
        <v>116.5000000001</v>
      </c>
      <c r="AY5">
        <v>124.4999999999</v>
      </c>
      <c r="AZ5">
        <v>132.7000000001</v>
      </c>
      <c r="BA5">
        <v>141.09999999889999</v>
      </c>
      <c r="BB5">
        <v>149.40000000020001</v>
      </c>
      <c r="BC5">
        <v>157.6999999997</v>
      </c>
      <c r="BD5">
        <v>165.79999999890001</v>
      </c>
      <c r="BE5">
        <v>173.49999999900001</v>
      </c>
      <c r="BF5">
        <v>181.59999999990001</v>
      </c>
      <c r="BG5">
        <v>189.89999999939999</v>
      </c>
      <c r="BH5">
        <v>198.3</v>
      </c>
      <c r="BI5">
        <v>206.5000000002</v>
      </c>
      <c r="BJ5">
        <v>214.69999999859999</v>
      </c>
      <c r="BK5">
        <v>222.20000000019999</v>
      </c>
      <c r="BL5">
        <v>229.9000000003</v>
      </c>
      <c r="BM5">
        <v>237.90000000009999</v>
      </c>
      <c r="BN5">
        <v>245.99999999920001</v>
      </c>
      <c r="BO5">
        <v>254.10000000010001</v>
      </c>
      <c r="BP5">
        <v>261.89999999949998</v>
      </c>
      <c r="BQ5">
        <v>269.50000000030002</v>
      </c>
      <c r="BR5">
        <v>276.49999999990001</v>
      </c>
      <c r="BS5">
        <v>283.7999999992</v>
      </c>
      <c r="BT5">
        <v>291.29999999900002</v>
      </c>
      <c r="BU5">
        <v>298.8999999998</v>
      </c>
      <c r="BV5">
        <v>306.59999999989998</v>
      </c>
      <c r="BW5">
        <v>313.79999999990002</v>
      </c>
      <c r="BX5">
        <v>320.70000000020002</v>
      </c>
      <c r="BY5">
        <v>327.09999999860003</v>
      </c>
      <c r="BZ5">
        <v>333.59999999989998</v>
      </c>
      <c r="CA5">
        <v>340.50000000019998</v>
      </c>
      <c r="CB5">
        <v>347.39999999870003</v>
      </c>
      <c r="CC5">
        <v>354.40000000020001</v>
      </c>
      <c r="CD5">
        <v>361.10000000010001</v>
      </c>
      <c r="CE5">
        <v>367.39999999920002</v>
      </c>
      <c r="CF5">
        <v>373.29999999929998</v>
      </c>
      <c r="CG5">
        <v>378.89999999970001</v>
      </c>
      <c r="CH5">
        <v>384.69999999869998</v>
      </c>
      <c r="CI5">
        <v>390.9000000003</v>
      </c>
      <c r="CJ5">
        <v>397.10000000010001</v>
      </c>
      <c r="CK5">
        <v>403.59999999960002</v>
      </c>
      <c r="CL5">
        <v>409.59999999899998</v>
      </c>
      <c r="CM5">
        <v>415.1000000002</v>
      </c>
      <c r="CN5">
        <v>420.59999999950003</v>
      </c>
      <c r="CO5">
        <v>425.79999999910001</v>
      </c>
      <c r="CP5">
        <v>430.8000000001</v>
      </c>
      <c r="CQ5">
        <v>435.89999999859998</v>
      </c>
      <c r="CR5">
        <v>441.19999999930002</v>
      </c>
      <c r="CS5">
        <v>446.3999999989</v>
      </c>
      <c r="CT5">
        <v>449.89999999960003</v>
      </c>
      <c r="CU5">
        <v>452.29999999900002</v>
      </c>
      <c r="CV5">
        <v>453.89999999859998</v>
      </c>
      <c r="CW5">
        <v>454.39999999870003</v>
      </c>
      <c r="CX5">
        <v>454.39999999870003</v>
      </c>
      <c r="CY5">
        <v>454.39999999870003</v>
      </c>
      <c r="CZ5">
        <v>454.39999999870003</v>
      </c>
      <c r="DA5">
        <v>454.49999999980002</v>
      </c>
      <c r="DB5">
        <v>454.39999999870003</v>
      </c>
      <c r="DC5">
        <v>454.29999999939997</v>
      </c>
      <c r="DD5">
        <v>454.29999999939997</v>
      </c>
      <c r="DE5">
        <v>454.20000000009998</v>
      </c>
      <c r="DF5">
        <v>454.09999999899998</v>
      </c>
      <c r="DG5">
        <v>0.89999999909999995</v>
      </c>
      <c r="DH5">
        <v>1.5999999996000001</v>
      </c>
      <c r="DI5">
        <v>1.5999999996000001</v>
      </c>
      <c r="DJ5">
        <v>1.5999999996000001</v>
      </c>
      <c r="DK5">
        <v>1.5999999996000001</v>
      </c>
      <c r="DL5">
        <v>1.5999999996000001</v>
      </c>
      <c r="DM5">
        <v>1.5999999996000001</v>
      </c>
      <c r="DN5">
        <v>1.5999999996000001</v>
      </c>
      <c r="DO5">
        <v>1.5999999996000001</v>
      </c>
      <c r="DP5">
        <v>1.6999999989000001</v>
      </c>
      <c r="DQ5">
        <v>1.6999999989000001</v>
      </c>
      <c r="DR5">
        <v>1.8</v>
      </c>
      <c r="DS5">
        <v>1.8</v>
      </c>
      <c r="DT5">
        <v>1.5000000003</v>
      </c>
      <c r="DU5">
        <v>1.2999999999</v>
      </c>
      <c r="DV5">
        <v>2.3999999993999999</v>
      </c>
      <c r="DW5">
        <v>5.4</v>
      </c>
      <c r="DX5">
        <v>9.5000000001</v>
      </c>
      <c r="DY5">
        <v>15.699999999899999</v>
      </c>
      <c r="DZ5">
        <v>22.699999999500001</v>
      </c>
      <c r="EA5">
        <v>29.699999999100001</v>
      </c>
      <c r="EB5">
        <v>37.199999998800003</v>
      </c>
      <c r="EC5">
        <v>44.799999999699999</v>
      </c>
      <c r="ED5">
        <v>52.200000000099998</v>
      </c>
      <c r="EE5">
        <v>59.5999999987</v>
      </c>
      <c r="EF5">
        <v>66.899999999800002</v>
      </c>
      <c r="EG5">
        <v>74.499999998800007</v>
      </c>
      <c r="EH5">
        <v>82.399999999299993</v>
      </c>
      <c r="EI5">
        <v>90.500000000200004</v>
      </c>
      <c r="EJ5">
        <v>98.500000000100002</v>
      </c>
      <c r="EK5">
        <v>106.3999999988</v>
      </c>
      <c r="EL5">
        <v>114.2999999993</v>
      </c>
      <c r="EM5">
        <v>122.1999999998</v>
      </c>
      <c r="EN5">
        <v>130.29999999890001</v>
      </c>
      <c r="EO5">
        <v>138.69999999949999</v>
      </c>
      <c r="EP5">
        <v>146.99999999900001</v>
      </c>
      <c r="EQ5">
        <v>155.09999999990001</v>
      </c>
      <c r="ER5">
        <v>163.09999999979999</v>
      </c>
      <c r="ES5">
        <v>171.19999999890001</v>
      </c>
      <c r="ET5">
        <v>179.19999999870001</v>
      </c>
      <c r="EU5">
        <v>187.5</v>
      </c>
      <c r="EV5">
        <v>195.89999999880001</v>
      </c>
      <c r="EW5">
        <v>204.3999999987</v>
      </c>
      <c r="EX5">
        <v>212.4000000003</v>
      </c>
      <c r="EY5">
        <v>219.9999999993</v>
      </c>
      <c r="EZ5">
        <v>227.69999999949999</v>
      </c>
      <c r="FA5">
        <v>235.80000000039999</v>
      </c>
      <c r="FB5">
        <v>243.89999999950001</v>
      </c>
      <c r="FC5">
        <v>252.3000000001</v>
      </c>
      <c r="FD5">
        <v>260.29999999990002</v>
      </c>
      <c r="FE5">
        <v>267.59999999920001</v>
      </c>
      <c r="FF5">
        <v>274.6999999999</v>
      </c>
      <c r="FG5">
        <v>282.19999999959998</v>
      </c>
      <c r="FH5">
        <v>289.69999999940001</v>
      </c>
      <c r="FI5">
        <v>297.59999999989998</v>
      </c>
      <c r="FJ5">
        <v>305.39999999930001</v>
      </c>
      <c r="FK5">
        <v>312.5</v>
      </c>
      <c r="FL5">
        <v>319.49999999959999</v>
      </c>
      <c r="FM5">
        <v>325.9999999991</v>
      </c>
      <c r="FN5">
        <v>332.4999999986</v>
      </c>
      <c r="FO5">
        <v>339.3999999989</v>
      </c>
      <c r="FP5">
        <v>346.2999999992</v>
      </c>
      <c r="FQ5">
        <v>353.49999999929997</v>
      </c>
      <c r="FR5">
        <v>360.19999999919997</v>
      </c>
      <c r="FS5">
        <v>366.50000000009999</v>
      </c>
      <c r="FT5">
        <v>372.6999999999</v>
      </c>
      <c r="FU5">
        <v>378.39999999960003</v>
      </c>
      <c r="FV5">
        <v>384.0999999993</v>
      </c>
      <c r="FW5">
        <v>390.19999999980001</v>
      </c>
      <c r="FX5">
        <v>396.6</v>
      </c>
      <c r="FY5">
        <v>403.09999999950003</v>
      </c>
      <c r="FZ5">
        <v>408.90000000039998</v>
      </c>
      <c r="GA5">
        <v>414.30000000040002</v>
      </c>
      <c r="GB5">
        <v>419.79999999969999</v>
      </c>
      <c r="GC5">
        <v>425.10000000039997</v>
      </c>
      <c r="GD5">
        <v>429.89999999920002</v>
      </c>
      <c r="GE5">
        <v>434.79999999910001</v>
      </c>
      <c r="GF5">
        <v>439.99999999869999</v>
      </c>
      <c r="GG5">
        <v>445.20000000009998</v>
      </c>
      <c r="GH5">
        <v>448.99999999869999</v>
      </c>
      <c r="GI5">
        <v>451.39999999989999</v>
      </c>
      <c r="GJ5">
        <v>453.4000000003</v>
      </c>
      <c r="GK5">
        <v>454.09999999899998</v>
      </c>
      <c r="GL5">
        <v>454.20000000009998</v>
      </c>
      <c r="GM5">
        <v>454.20000000009998</v>
      </c>
      <c r="GN5">
        <v>454.29999999939997</v>
      </c>
      <c r="GO5">
        <v>454.29999999939997</v>
      </c>
      <c r="GP5">
        <v>454.29999999939997</v>
      </c>
      <c r="GQ5">
        <v>454.29999999939997</v>
      </c>
      <c r="GR5">
        <v>454.29999999939997</v>
      </c>
      <c r="GS5">
        <v>454.29999999939997</v>
      </c>
      <c r="GT5">
        <v>454.20000000009998</v>
      </c>
      <c r="GU5">
        <v>454.20000000009998</v>
      </c>
      <c r="GV5">
        <v>454.09999999899998</v>
      </c>
      <c r="GW5">
        <v>1</v>
      </c>
      <c r="GX5">
        <v>115.20000000020001</v>
      </c>
      <c r="GY5">
        <v>108.5999999996</v>
      </c>
      <c r="GZ5">
        <v>108.5999999996</v>
      </c>
      <c r="HA5">
        <v>122.1999999998</v>
      </c>
      <c r="HB5">
        <v>112.0538732391</v>
      </c>
      <c r="HC5">
        <v>-13.6000000002</v>
      </c>
      <c r="HD5">
        <v>454.09999999899998</v>
      </c>
      <c r="HE5">
        <v>295.51135563449998</v>
      </c>
      <c r="HF5">
        <v>94.016406250800003</v>
      </c>
      <c r="HG5">
        <v>454.49999999980002</v>
      </c>
      <c r="HH5">
        <v>454.30001100290002</v>
      </c>
      <c r="HI5">
        <v>454.49999999980002</v>
      </c>
      <c r="HJ5">
        <v>454.29999999939997</v>
      </c>
      <c r="HK5">
        <v>114.9560117302</v>
      </c>
      <c r="HL5">
        <v>3.3443533604</v>
      </c>
      <c r="HM5">
        <v>3.248924105</v>
      </c>
      <c r="HN5">
        <v>3.2612109834999998</v>
      </c>
      <c r="HO5">
        <v>3.1770724316000001</v>
      </c>
      <c r="HP5">
        <v>3.5197327534</v>
      </c>
      <c r="HQ5">
        <v>2.3060319663</v>
      </c>
      <c r="HR5">
        <v>18.037466988199998</v>
      </c>
      <c r="HS5">
        <v>-28.152492668600001</v>
      </c>
      <c r="HT5">
        <v>-192</v>
      </c>
      <c r="HU5">
        <v>407.56522887360001</v>
      </c>
      <c r="HV5">
        <v>91.495601172999997</v>
      </c>
      <c r="HW5">
        <v>624</v>
      </c>
      <c r="HX5">
        <v>18.037466988199998</v>
      </c>
      <c r="HY5">
        <v>-28.152492668600001</v>
      </c>
      <c r="HZ5">
        <v>-192</v>
      </c>
      <c r="IA5">
        <v>407.56522887360001</v>
      </c>
      <c r="IB5">
        <v>91.495601172999997</v>
      </c>
      <c r="IC5">
        <v>624</v>
      </c>
      <c r="ID5">
        <v>46.734782129400003</v>
      </c>
      <c r="IE5">
        <v>0.93119498150000002</v>
      </c>
      <c r="IF5">
        <v>-37.536656891500002</v>
      </c>
      <c r="IG5">
        <v>-256</v>
      </c>
      <c r="IH5">
        <v>429.30340008719998</v>
      </c>
      <c r="II5">
        <v>100.87976539589999</v>
      </c>
      <c r="IJ5">
        <v>688</v>
      </c>
      <c r="IK5">
        <v>389.52776188529998</v>
      </c>
      <c r="IL5">
        <v>119.6480938416</v>
      </c>
      <c r="IM5">
        <v>412.677233715</v>
      </c>
      <c r="IN5">
        <v>129.03225806450001</v>
      </c>
      <c r="IO5">
        <v>6.9999999996</v>
      </c>
      <c r="IP5">
        <v>5.5000000011000001</v>
      </c>
      <c r="IQ5">
        <v>8.4999999999</v>
      </c>
      <c r="IR5">
        <v>5.7826079484999999</v>
      </c>
      <c r="IS5">
        <v>5.7826079484999999</v>
      </c>
      <c r="IT5">
        <v>11.8999999995</v>
      </c>
      <c r="IU5">
        <v>-30.4985337243</v>
      </c>
      <c r="IV5">
        <v>14.4999999993</v>
      </c>
      <c r="IW5">
        <v>23.460410557199999</v>
      </c>
      <c r="IX5">
        <v>10.200000000599999</v>
      </c>
      <c r="IY5">
        <v>96.187683284499997</v>
      </c>
      <c r="IZ5">
        <v>-34.052624039199998</v>
      </c>
      <c r="JA5">
        <v>0.33319041560000001</v>
      </c>
      <c r="JB5">
        <v>-3.360285E-4</v>
      </c>
      <c r="JC5">
        <v>6.7459999999999997E-7</v>
      </c>
      <c r="JD5">
        <v>0.29901146569999998</v>
      </c>
      <c r="JE5">
        <v>0.2414380746</v>
      </c>
      <c r="JF5">
        <v>8.6175336899999996E-2</v>
      </c>
      <c r="JG5">
        <v>112.4555433285</v>
      </c>
      <c r="JH5">
        <v>3.5197327534</v>
      </c>
      <c r="JI5">
        <v>3.0932363000000002E-3</v>
      </c>
      <c r="JJ5">
        <v>-7.0865300000000001E-5</v>
      </c>
      <c r="JK5">
        <v>3.3443533604</v>
      </c>
      <c r="JL5">
        <v>1.4540965162999999</v>
      </c>
      <c r="JM5">
        <v>0.45584656210000002</v>
      </c>
      <c r="JN5" t="s">
        <v>545</v>
      </c>
      <c r="JQ5">
        <v>1</v>
      </c>
    </row>
    <row r="6" spans="1:277">
      <c r="A6" t="s">
        <v>595</v>
      </c>
      <c r="B6" t="s">
        <v>596</v>
      </c>
      <c r="C6" t="s">
        <v>212</v>
      </c>
      <c r="D6">
        <v>3</v>
      </c>
      <c r="E6" t="s">
        <v>213</v>
      </c>
      <c r="F6" t="s">
        <v>214</v>
      </c>
      <c r="G6" t="s">
        <v>544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5.0999999985000004</v>
      </c>
      <c r="R6">
        <v>5.4</v>
      </c>
      <c r="S6">
        <v>5.4999999992999999</v>
      </c>
      <c r="T6">
        <v>5.4999999992999999</v>
      </c>
      <c r="U6">
        <v>5.4999999992999999</v>
      </c>
      <c r="V6">
        <v>5.4</v>
      </c>
      <c r="W6">
        <v>5.4999999992999999</v>
      </c>
      <c r="X6">
        <v>5.4999999992999999</v>
      </c>
      <c r="Y6">
        <v>5.1999999996000001</v>
      </c>
      <c r="Z6">
        <v>4.8999999999000003</v>
      </c>
      <c r="AA6">
        <v>4.4999999990999999</v>
      </c>
      <c r="AB6">
        <v>3.9999999989999999</v>
      </c>
      <c r="AC6">
        <v>3.4999999988999999</v>
      </c>
      <c r="AD6">
        <v>3.2999999985000001</v>
      </c>
      <c r="AE6">
        <v>2.6999999991000001</v>
      </c>
      <c r="AF6">
        <v>1.3999999992000001</v>
      </c>
      <c r="AG6">
        <v>0</v>
      </c>
      <c r="AH6">
        <v>0.19999999860000001</v>
      </c>
      <c r="AI6">
        <v>2.7999999984000001</v>
      </c>
      <c r="AJ6">
        <v>7.7999999993999998</v>
      </c>
      <c r="AK6">
        <v>14.199999999599999</v>
      </c>
      <c r="AL6">
        <v>20.699999999100001</v>
      </c>
      <c r="AM6">
        <v>28.0999999995</v>
      </c>
      <c r="AN6">
        <v>35.699999998499997</v>
      </c>
      <c r="AO6">
        <v>42.799999999299999</v>
      </c>
      <c r="AP6">
        <v>49.9</v>
      </c>
      <c r="AQ6">
        <v>57.499999999000003</v>
      </c>
      <c r="AR6">
        <v>64.800000000099999</v>
      </c>
      <c r="AS6">
        <v>72.299999999799994</v>
      </c>
      <c r="AT6">
        <v>80.199999998500004</v>
      </c>
      <c r="AU6">
        <v>88.599999999100007</v>
      </c>
      <c r="AV6">
        <v>96.099999998800001</v>
      </c>
      <c r="AW6">
        <v>104.1999999998</v>
      </c>
      <c r="AX6">
        <v>112.79999999899999</v>
      </c>
      <c r="AY6">
        <v>120.8999999999</v>
      </c>
      <c r="AZ6">
        <v>129.3999999998</v>
      </c>
      <c r="BA6">
        <v>137.99999999900001</v>
      </c>
      <c r="BB6">
        <v>145.79999999840001</v>
      </c>
      <c r="BC6">
        <v>153.59999999959999</v>
      </c>
      <c r="BD6">
        <v>161.89999999919999</v>
      </c>
      <c r="BE6">
        <v>169.69999999859999</v>
      </c>
      <c r="BF6">
        <v>177.70000000019999</v>
      </c>
      <c r="BG6">
        <v>186.2999999994</v>
      </c>
      <c r="BH6">
        <v>194.59999999889999</v>
      </c>
      <c r="BI6">
        <v>202.1999999997</v>
      </c>
      <c r="BJ6">
        <v>210.29999999879999</v>
      </c>
      <c r="BK6">
        <v>218.1</v>
      </c>
      <c r="BL6">
        <v>225.99999999869999</v>
      </c>
      <c r="BM6">
        <v>234.0999999997</v>
      </c>
      <c r="BN6">
        <v>242.39999999919999</v>
      </c>
      <c r="BO6">
        <v>249.7999999996</v>
      </c>
      <c r="BP6">
        <v>257.2</v>
      </c>
      <c r="BQ6">
        <v>264.69999999970003</v>
      </c>
      <c r="BR6">
        <v>271.99999999900001</v>
      </c>
      <c r="BS6">
        <v>279.3000000001</v>
      </c>
      <c r="BT6">
        <v>287.09999999960002</v>
      </c>
      <c r="BU6">
        <v>294.3999999989</v>
      </c>
      <c r="BV6">
        <v>301.2999999992</v>
      </c>
      <c r="BW6">
        <v>308.59999999849998</v>
      </c>
      <c r="BX6">
        <v>315.59999999989998</v>
      </c>
      <c r="BY6">
        <v>322.29999999979998</v>
      </c>
      <c r="BZ6">
        <v>328.89999999859998</v>
      </c>
      <c r="CA6">
        <v>335.49999999919999</v>
      </c>
      <c r="CB6">
        <v>342.19999999909999</v>
      </c>
      <c r="CC6">
        <v>348.79999999979998</v>
      </c>
      <c r="CD6">
        <v>355.29999999929998</v>
      </c>
      <c r="CE6">
        <v>361.79999999879999</v>
      </c>
      <c r="CF6">
        <v>368.0999999997</v>
      </c>
      <c r="CG6">
        <v>373.89999999870003</v>
      </c>
      <c r="CH6">
        <v>379.79999999879999</v>
      </c>
      <c r="CI6">
        <v>385.69999999890001</v>
      </c>
      <c r="CJ6">
        <v>391.49999999969998</v>
      </c>
      <c r="CK6">
        <v>397.3999999998</v>
      </c>
      <c r="CL6">
        <v>403.19999999880002</v>
      </c>
      <c r="CM6">
        <v>408.7999999992</v>
      </c>
      <c r="CN6">
        <v>414.60000000010001</v>
      </c>
      <c r="CO6">
        <v>420.19999999869998</v>
      </c>
      <c r="CP6">
        <v>425.40000000010002</v>
      </c>
      <c r="CQ6">
        <v>430.39999999930001</v>
      </c>
      <c r="CR6">
        <v>435.2999999992</v>
      </c>
      <c r="CS6">
        <v>440.29999999839998</v>
      </c>
      <c r="CT6">
        <v>445.39999999870003</v>
      </c>
      <c r="CU6">
        <v>450.60000000010001</v>
      </c>
      <c r="CV6">
        <v>455.5</v>
      </c>
      <c r="CW6">
        <v>457.89999999939999</v>
      </c>
      <c r="CX6">
        <v>457.99999999869999</v>
      </c>
      <c r="CY6">
        <v>458.09999999979999</v>
      </c>
      <c r="CZ6">
        <v>458.09999999979999</v>
      </c>
      <c r="DA6">
        <v>458.09999999979999</v>
      </c>
      <c r="DB6">
        <v>458.09999999979999</v>
      </c>
      <c r="DC6">
        <v>458.09999999979999</v>
      </c>
      <c r="DD6">
        <v>458.19999999909999</v>
      </c>
      <c r="DE6">
        <v>458.19999999909999</v>
      </c>
      <c r="DF6">
        <v>458.19999999909999</v>
      </c>
      <c r="DG6">
        <v>5.5999999986000004</v>
      </c>
      <c r="DH6">
        <v>6.2999999990999997</v>
      </c>
      <c r="DI6">
        <v>6.2999999990999997</v>
      </c>
      <c r="DJ6">
        <v>6.2999999990999997</v>
      </c>
      <c r="DK6">
        <v>6.3999999984000002</v>
      </c>
      <c r="DL6">
        <v>6.3999999984000002</v>
      </c>
      <c r="DM6">
        <v>6.2999999990999997</v>
      </c>
      <c r="DN6">
        <v>6.0999999987000004</v>
      </c>
      <c r="DO6">
        <v>5.6999999997000002</v>
      </c>
      <c r="DP6">
        <v>5.2999999988999997</v>
      </c>
      <c r="DQ6">
        <v>4.7999999987999997</v>
      </c>
      <c r="DR6">
        <v>4.1999999994000001</v>
      </c>
      <c r="DS6">
        <v>3.8999999996999999</v>
      </c>
      <c r="DT6">
        <v>3.0999999999000001</v>
      </c>
      <c r="DU6">
        <v>1.5999999996000001</v>
      </c>
      <c r="DV6">
        <v>0.69999999869999996</v>
      </c>
      <c r="DW6">
        <v>1.6999999989000001</v>
      </c>
      <c r="DX6">
        <v>5.9999999994</v>
      </c>
      <c r="DY6">
        <v>12.299999998500001</v>
      </c>
      <c r="DZ6">
        <v>19.0999999995</v>
      </c>
      <c r="EA6">
        <v>26.199999998399999</v>
      </c>
      <c r="EB6">
        <v>33.8999999985</v>
      </c>
      <c r="EC6">
        <v>40.999999999300002</v>
      </c>
      <c r="ED6">
        <v>47.999999998900002</v>
      </c>
      <c r="EE6">
        <v>55.499999998600003</v>
      </c>
      <c r="EF6">
        <v>62.899999999000002</v>
      </c>
      <c r="EG6">
        <v>70.099999999000005</v>
      </c>
      <c r="EH6">
        <v>78.099999998800001</v>
      </c>
      <c r="EI6">
        <v>86.400000000099993</v>
      </c>
      <c r="EJ6">
        <v>93.999999999099998</v>
      </c>
      <c r="EK6">
        <v>101.6</v>
      </c>
      <c r="EL6">
        <v>109.99999999880001</v>
      </c>
      <c r="EM6">
        <v>118.49999999870001</v>
      </c>
      <c r="EN6">
        <v>127.0999999997</v>
      </c>
      <c r="EO6">
        <v>135.69999999890001</v>
      </c>
      <c r="EP6">
        <v>143.79999999980001</v>
      </c>
      <c r="EQ6">
        <v>151.39999999880001</v>
      </c>
      <c r="ER6">
        <v>159.599999999</v>
      </c>
      <c r="ES6">
        <v>167.59999999889999</v>
      </c>
      <c r="ET6">
        <v>175.40000000009999</v>
      </c>
      <c r="EU6">
        <v>183.9</v>
      </c>
      <c r="EV6">
        <v>192.9</v>
      </c>
      <c r="EW6">
        <v>200.69999999940001</v>
      </c>
      <c r="EX6">
        <v>208.59999999990001</v>
      </c>
      <c r="EY6">
        <v>216.4999999986</v>
      </c>
      <c r="EZ6">
        <v>224.2999999999</v>
      </c>
      <c r="FA6">
        <v>232.50000000009999</v>
      </c>
      <c r="FB6">
        <v>240.8999999989</v>
      </c>
      <c r="FC6">
        <v>248.39999999860001</v>
      </c>
      <c r="FD6">
        <v>255.90000000009999</v>
      </c>
      <c r="FE6">
        <v>263.69999999949999</v>
      </c>
      <c r="FF6">
        <v>271.19999999919997</v>
      </c>
      <c r="FG6">
        <v>278.49999999850002</v>
      </c>
      <c r="FH6">
        <v>286.19999999859999</v>
      </c>
      <c r="FI6">
        <v>293.79999999950002</v>
      </c>
      <c r="FJ6">
        <v>300.59999999870001</v>
      </c>
      <c r="FK6">
        <v>307.9999999991</v>
      </c>
      <c r="FL6">
        <v>315.19999999909999</v>
      </c>
      <c r="FM6">
        <v>322.09999999939998</v>
      </c>
      <c r="FN6">
        <v>328.79999999929998</v>
      </c>
      <c r="FO6">
        <v>335.39999999989999</v>
      </c>
      <c r="FP6">
        <v>342.19999999909999</v>
      </c>
      <c r="FQ6">
        <v>349.00000000019998</v>
      </c>
      <c r="FR6">
        <v>355.59999999899998</v>
      </c>
      <c r="FS6">
        <v>362.19999999959998</v>
      </c>
      <c r="FT6">
        <v>368.39999999939999</v>
      </c>
      <c r="FU6">
        <v>374.39999999880001</v>
      </c>
      <c r="FV6">
        <v>380.4</v>
      </c>
      <c r="FW6">
        <v>386.3000000001</v>
      </c>
      <c r="FX6">
        <v>392.09999999910002</v>
      </c>
      <c r="FY6">
        <v>398.09999999849998</v>
      </c>
      <c r="FZ6">
        <v>403.9999999986</v>
      </c>
      <c r="GA6">
        <v>409.70000000020002</v>
      </c>
      <c r="GB6">
        <v>415.49999999919999</v>
      </c>
      <c r="GC6">
        <v>421.09999999960002</v>
      </c>
      <c r="GD6">
        <v>425.79999999910001</v>
      </c>
      <c r="GE6">
        <v>430.699999999</v>
      </c>
      <c r="GF6">
        <v>435.59999999889999</v>
      </c>
      <c r="GG6">
        <v>440.59999999989998</v>
      </c>
      <c r="GH6">
        <v>445.39999999870003</v>
      </c>
      <c r="GI6">
        <v>450.19999999930002</v>
      </c>
      <c r="GJ6">
        <v>454.59999999910002</v>
      </c>
      <c r="GK6">
        <v>457.39999999930001</v>
      </c>
      <c r="GL6">
        <v>457.89999999939999</v>
      </c>
      <c r="GM6">
        <v>457.99999999869999</v>
      </c>
      <c r="GN6">
        <v>457.99999999869999</v>
      </c>
      <c r="GO6">
        <v>458.09999999979999</v>
      </c>
      <c r="GP6">
        <v>458.09999999979999</v>
      </c>
      <c r="GQ6">
        <v>458.09999999979999</v>
      </c>
      <c r="GR6">
        <v>458.09999999979999</v>
      </c>
      <c r="GS6">
        <v>458.19999999909999</v>
      </c>
      <c r="GT6">
        <v>458.19999999909999</v>
      </c>
      <c r="GU6">
        <v>458.19999999909999</v>
      </c>
      <c r="GV6">
        <v>458.29999999839998</v>
      </c>
      <c r="GW6">
        <v>1</v>
      </c>
      <c r="GX6">
        <v>105.60000000079999</v>
      </c>
      <c r="GY6">
        <v>104.1999999998</v>
      </c>
      <c r="GZ6">
        <v>104.1999999998</v>
      </c>
      <c r="HA6">
        <v>118.49999999870001</v>
      </c>
      <c r="HB6">
        <v>107.6747517725</v>
      </c>
      <c r="HC6">
        <v>-14.299999998900001</v>
      </c>
      <c r="HD6">
        <v>458.29999999839998</v>
      </c>
      <c r="HE6">
        <v>294.67494817170001</v>
      </c>
      <c r="HF6">
        <v>92.945782869599995</v>
      </c>
      <c r="HG6">
        <v>458.29999999839998</v>
      </c>
      <c r="HH6">
        <v>458.29999999839998</v>
      </c>
      <c r="HI6">
        <v>458.19999999909999</v>
      </c>
      <c r="HJ6">
        <v>458.29999999839998</v>
      </c>
      <c r="HK6">
        <v>117.3020527859</v>
      </c>
      <c r="HL6">
        <v>3.3360747578000001</v>
      </c>
      <c r="HM6">
        <v>3.2180534591000001</v>
      </c>
      <c r="HN6">
        <v>3.2445213775999999</v>
      </c>
      <c r="HO6">
        <v>3.1723304945000002</v>
      </c>
      <c r="HP6">
        <v>3.5172495280999998</v>
      </c>
      <c r="HQ6">
        <v>2.2762974362000001</v>
      </c>
      <c r="HR6">
        <v>14.728968903</v>
      </c>
      <c r="HS6">
        <v>-28.152492668600001</v>
      </c>
      <c r="HT6">
        <v>-192</v>
      </c>
      <c r="HU6">
        <v>402.34969994419998</v>
      </c>
      <c r="HV6">
        <v>91.495601172999997</v>
      </c>
      <c r="HW6">
        <v>624</v>
      </c>
      <c r="HX6">
        <v>14.728968903</v>
      </c>
      <c r="HY6">
        <v>-28.152492668600001</v>
      </c>
      <c r="HZ6">
        <v>-192</v>
      </c>
      <c r="IA6">
        <v>402.34969994419998</v>
      </c>
      <c r="IB6">
        <v>91.495601172999997</v>
      </c>
      <c r="IC6">
        <v>624</v>
      </c>
      <c r="ID6">
        <v>55.9503000542</v>
      </c>
      <c r="IE6">
        <v>3.1533006000000001E-3</v>
      </c>
      <c r="IF6">
        <v>-37.536656891500002</v>
      </c>
      <c r="IG6">
        <v>-256</v>
      </c>
      <c r="IH6">
        <v>424.87002727689998</v>
      </c>
      <c r="II6">
        <v>100.87976539589999</v>
      </c>
      <c r="IJ6">
        <v>688</v>
      </c>
      <c r="IK6">
        <v>387.62073104119997</v>
      </c>
      <c r="IL6">
        <v>119.6480938416</v>
      </c>
      <c r="IM6">
        <v>411.23094380869998</v>
      </c>
      <c r="IN6">
        <v>129.03225806450001</v>
      </c>
      <c r="IO6">
        <v>6.8000000009999999</v>
      </c>
      <c r="IP6">
        <v>5.8000000007999999</v>
      </c>
      <c r="IQ6">
        <v>9</v>
      </c>
      <c r="IR6">
        <v>6.3003193600999996</v>
      </c>
      <c r="IS6">
        <v>6.3003193600999996</v>
      </c>
      <c r="IT6">
        <v>11.9999999988</v>
      </c>
      <c r="IU6">
        <v>-28.152492668600001</v>
      </c>
      <c r="IV6">
        <v>15.199999999799999</v>
      </c>
      <c r="IW6">
        <v>21.114369501500001</v>
      </c>
      <c r="IX6">
        <v>12.300000000300001</v>
      </c>
      <c r="IY6">
        <v>98.533724340199996</v>
      </c>
      <c r="IZ6">
        <v>-32.795813515699997</v>
      </c>
      <c r="JA6">
        <v>0.3319853163</v>
      </c>
      <c r="JB6">
        <v>-3.375373E-4</v>
      </c>
      <c r="JC6">
        <v>6.9670000000000004E-7</v>
      </c>
      <c r="JD6">
        <v>0.29975347450000001</v>
      </c>
      <c r="JE6">
        <v>0.214976211</v>
      </c>
      <c r="JF6">
        <v>8.8843993299999993E-2</v>
      </c>
      <c r="JG6">
        <v>108.478469276</v>
      </c>
      <c r="JH6">
        <v>3.5172495280999998</v>
      </c>
      <c r="JI6">
        <v>3.0888726000000001E-3</v>
      </c>
      <c r="JJ6">
        <v>-7.19186E-5</v>
      </c>
      <c r="JK6">
        <v>3.3360747578000001</v>
      </c>
      <c r="JL6">
        <v>1.2861473479000001</v>
      </c>
      <c r="JM6">
        <v>0.56029514749999998</v>
      </c>
      <c r="JN6" t="s">
        <v>545</v>
      </c>
      <c r="JQ6">
        <v>1</v>
      </c>
    </row>
    <row r="7" spans="1:277">
      <c r="A7" t="s">
        <v>597</v>
      </c>
      <c r="B7" t="s">
        <v>598</v>
      </c>
      <c r="C7" t="s">
        <v>212</v>
      </c>
      <c r="D7">
        <v>3</v>
      </c>
      <c r="E7" t="s">
        <v>213</v>
      </c>
      <c r="F7" t="s">
        <v>214</v>
      </c>
      <c r="G7" t="s">
        <v>544</v>
      </c>
      <c r="H7" t="s">
        <v>216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2.8999999994999999</v>
      </c>
      <c r="R7">
        <v>1.0000000002</v>
      </c>
      <c r="S7">
        <v>0.89999999909999995</v>
      </c>
      <c r="T7">
        <v>0.79999999980000003</v>
      </c>
      <c r="U7">
        <v>0.7000000005</v>
      </c>
      <c r="V7">
        <v>0.59999999940000004</v>
      </c>
      <c r="W7">
        <v>0.59999999940000004</v>
      </c>
      <c r="X7">
        <v>0.59999999940000004</v>
      </c>
      <c r="Y7">
        <v>0.50000000010000001</v>
      </c>
      <c r="Z7">
        <v>0.50000000010000001</v>
      </c>
      <c r="AA7">
        <v>0.29999999970000002</v>
      </c>
      <c r="AB7">
        <v>0.29999999970000002</v>
      </c>
      <c r="AC7">
        <v>0.20000000039999999</v>
      </c>
      <c r="AD7">
        <v>0.20000000039999999</v>
      </c>
      <c r="AE7">
        <v>9.9999999300000003E-2</v>
      </c>
      <c r="AF7">
        <v>9.9999999300000003E-2</v>
      </c>
      <c r="AG7">
        <v>0</v>
      </c>
      <c r="AH7">
        <v>1.3999999992000001</v>
      </c>
      <c r="AI7">
        <v>4.3000000004999999</v>
      </c>
      <c r="AJ7">
        <v>7.9999999998</v>
      </c>
      <c r="AK7">
        <v>14.4999999993</v>
      </c>
      <c r="AL7">
        <v>21.800000000400001</v>
      </c>
      <c r="AM7">
        <v>28.8999999993</v>
      </c>
      <c r="AN7">
        <v>36.299999999800001</v>
      </c>
      <c r="AO7">
        <v>44.200000000300001</v>
      </c>
      <c r="AP7">
        <v>51.4999999996</v>
      </c>
      <c r="AQ7">
        <v>58.399999999899997</v>
      </c>
      <c r="AR7">
        <v>66.3999999997</v>
      </c>
      <c r="AS7">
        <v>74.599999999900007</v>
      </c>
      <c r="AT7">
        <v>82.599999999700003</v>
      </c>
      <c r="AU7">
        <v>90.5999999995</v>
      </c>
      <c r="AV7">
        <v>98.700000000499998</v>
      </c>
      <c r="AW7">
        <v>106.4000000006</v>
      </c>
      <c r="AX7">
        <v>114.4000000004</v>
      </c>
      <c r="AY7">
        <v>123.2</v>
      </c>
      <c r="AZ7">
        <v>131.6999999999</v>
      </c>
      <c r="BA7">
        <v>139.99999999939999</v>
      </c>
      <c r="BB7">
        <v>148.4</v>
      </c>
      <c r="BC7">
        <v>156.3999999998</v>
      </c>
      <c r="BD7">
        <v>164.1</v>
      </c>
      <c r="BE7">
        <v>172.59999999990001</v>
      </c>
      <c r="BF7">
        <v>181.30000000019999</v>
      </c>
      <c r="BG7">
        <v>189.50000000040001</v>
      </c>
      <c r="BH7">
        <v>198.09999999959999</v>
      </c>
      <c r="BI7">
        <v>206.00000000009999</v>
      </c>
      <c r="BJ7">
        <v>213.59999999909999</v>
      </c>
      <c r="BK7">
        <v>221.79999999930001</v>
      </c>
      <c r="BL7">
        <v>230.49999999970001</v>
      </c>
      <c r="BM7">
        <v>238.49999999950001</v>
      </c>
      <c r="BN7">
        <v>246.6000000004</v>
      </c>
      <c r="BO7">
        <v>254.30000000050001</v>
      </c>
      <c r="BP7">
        <v>261.69999999909999</v>
      </c>
      <c r="BQ7">
        <v>269.09999999950003</v>
      </c>
      <c r="BR7">
        <v>277.2000000004</v>
      </c>
      <c r="BS7">
        <v>285.09999999910002</v>
      </c>
      <c r="BT7">
        <v>292.60000000069999</v>
      </c>
      <c r="BU7">
        <v>300.19999999970003</v>
      </c>
      <c r="BV7">
        <v>307.10000000000002</v>
      </c>
      <c r="BW7">
        <v>314.00000000030002</v>
      </c>
      <c r="BX7">
        <v>320.70000000020002</v>
      </c>
      <c r="BY7">
        <v>328.1999999999</v>
      </c>
      <c r="BZ7">
        <v>335.39999999989999</v>
      </c>
      <c r="CA7">
        <v>342.19999999909999</v>
      </c>
      <c r="CB7">
        <v>349.00000000019998</v>
      </c>
      <c r="CC7">
        <v>355.29999999929998</v>
      </c>
      <c r="CD7">
        <v>361.30000000050001</v>
      </c>
      <c r="CE7">
        <v>367.59999999960002</v>
      </c>
      <c r="CF7">
        <v>373.59999999899998</v>
      </c>
      <c r="CG7">
        <v>380.29999999889998</v>
      </c>
      <c r="CH7">
        <v>386.69999999909999</v>
      </c>
      <c r="CI7">
        <v>392.7999999996</v>
      </c>
      <c r="CJ7">
        <v>398.69999999970003</v>
      </c>
      <c r="CK7">
        <v>404.3000000001</v>
      </c>
      <c r="CL7">
        <v>409.70000000020002</v>
      </c>
      <c r="CM7">
        <v>415.30000000059999</v>
      </c>
      <c r="CN7">
        <v>420.50000000019998</v>
      </c>
      <c r="CO7">
        <v>425.90000000020001</v>
      </c>
      <c r="CP7">
        <v>431.59999999989998</v>
      </c>
      <c r="CQ7">
        <v>437.3999999989</v>
      </c>
      <c r="CR7">
        <v>442.69999999959998</v>
      </c>
      <c r="CS7">
        <v>447.09999999939998</v>
      </c>
      <c r="CT7">
        <v>448.89999999939999</v>
      </c>
      <c r="CU7">
        <v>449.09999999979999</v>
      </c>
      <c r="CV7">
        <v>449.09999999979999</v>
      </c>
      <c r="CW7">
        <v>449.09999999979999</v>
      </c>
      <c r="CX7">
        <v>449.09999999979999</v>
      </c>
      <c r="CY7">
        <v>449.19999999909999</v>
      </c>
      <c r="CZ7">
        <v>449.09999999979999</v>
      </c>
      <c r="DA7">
        <v>449.09999999979999</v>
      </c>
      <c r="DB7">
        <v>449.09999999979999</v>
      </c>
      <c r="DC7">
        <v>449.09999999979999</v>
      </c>
      <c r="DD7">
        <v>449.19999999909999</v>
      </c>
      <c r="DE7">
        <v>449.19999999909999</v>
      </c>
      <c r="DF7">
        <v>449.19999999909999</v>
      </c>
      <c r="DG7">
        <v>3.9999999989999999</v>
      </c>
      <c r="DH7">
        <v>1.8999999993000001</v>
      </c>
      <c r="DI7">
        <v>1.8999999993000001</v>
      </c>
      <c r="DJ7">
        <v>1.8999999993000001</v>
      </c>
      <c r="DK7">
        <v>1.8999999993000001</v>
      </c>
      <c r="DL7">
        <v>1.8</v>
      </c>
      <c r="DM7">
        <v>1.6999999989000001</v>
      </c>
      <c r="DN7">
        <v>1.6999999989000001</v>
      </c>
      <c r="DO7">
        <v>1.5000000003</v>
      </c>
      <c r="DP7">
        <v>1.3999999992000001</v>
      </c>
      <c r="DQ7">
        <v>1.2000000006</v>
      </c>
      <c r="DR7">
        <v>1.2000000006</v>
      </c>
      <c r="DS7">
        <v>1.0999999995</v>
      </c>
      <c r="DT7">
        <v>1.0999999995</v>
      </c>
      <c r="DU7">
        <v>0.89999999909999995</v>
      </c>
      <c r="DV7">
        <v>1.2000000006</v>
      </c>
      <c r="DW7">
        <v>3.3000000002999998</v>
      </c>
      <c r="DX7">
        <v>6.6000000005999997</v>
      </c>
      <c r="DY7">
        <v>12.0000000006</v>
      </c>
      <c r="DZ7">
        <v>19.8999999993</v>
      </c>
      <c r="EA7">
        <v>27</v>
      </c>
      <c r="EB7">
        <v>34.299999999299999</v>
      </c>
      <c r="EC7">
        <v>41.900000000200002</v>
      </c>
      <c r="ED7">
        <v>49.4999999992</v>
      </c>
      <c r="EE7">
        <v>56.399999999499997</v>
      </c>
      <c r="EF7">
        <v>64.000000000300005</v>
      </c>
      <c r="EG7">
        <v>72.399999999100004</v>
      </c>
      <c r="EH7">
        <v>80.299999999600004</v>
      </c>
      <c r="EI7">
        <v>88.4000000005</v>
      </c>
      <c r="EJ7">
        <v>96.799999999299999</v>
      </c>
      <c r="EK7">
        <v>104.49999999950001</v>
      </c>
      <c r="EL7">
        <v>112.1000000003</v>
      </c>
      <c r="EM7">
        <v>120.6000000002</v>
      </c>
      <c r="EN7">
        <v>129.3999999998</v>
      </c>
      <c r="EO7">
        <v>137.69999999929999</v>
      </c>
      <c r="EP7">
        <v>146.3000000003</v>
      </c>
      <c r="EQ7">
        <v>154.39999999939999</v>
      </c>
      <c r="ER7">
        <v>162.00000000029999</v>
      </c>
      <c r="ES7">
        <v>170.5000000002</v>
      </c>
      <c r="ET7">
        <v>179.29999999980001</v>
      </c>
      <c r="EU7">
        <v>187.7000000004</v>
      </c>
      <c r="EV7">
        <v>196.2999999996</v>
      </c>
      <c r="EW7">
        <v>204.59999999909999</v>
      </c>
      <c r="EX7">
        <v>212.10000000060001</v>
      </c>
      <c r="EY7">
        <v>220.10000000049999</v>
      </c>
      <c r="EZ7">
        <v>228.79999999899999</v>
      </c>
      <c r="FA7">
        <v>237.10000000030001</v>
      </c>
      <c r="FB7">
        <v>245.30000000050001</v>
      </c>
      <c r="FC7">
        <v>253.09999999990001</v>
      </c>
      <c r="FD7">
        <v>260.50000000030002</v>
      </c>
      <c r="FE7">
        <v>268.0999999993</v>
      </c>
      <c r="FF7">
        <v>276.20000000020002</v>
      </c>
      <c r="FG7">
        <v>284.20000000009998</v>
      </c>
      <c r="FH7">
        <v>291.79999999910001</v>
      </c>
      <c r="FI7">
        <v>299.49999999919999</v>
      </c>
      <c r="FJ7">
        <v>306.80000000029997</v>
      </c>
      <c r="FK7">
        <v>313.50000000019998</v>
      </c>
      <c r="FL7">
        <v>320.29999999939997</v>
      </c>
      <c r="FM7">
        <v>327.79999999910001</v>
      </c>
      <c r="FN7">
        <v>335.30000000059999</v>
      </c>
      <c r="FO7">
        <v>342.19999999909999</v>
      </c>
      <c r="FP7">
        <v>349.09999999950003</v>
      </c>
      <c r="FQ7">
        <v>355.49999999969998</v>
      </c>
      <c r="FR7">
        <v>361.69999999949999</v>
      </c>
      <c r="FS7">
        <v>367.89999999930001</v>
      </c>
      <c r="FT7">
        <v>373.99999999980002</v>
      </c>
      <c r="FU7">
        <v>380.69999999970003</v>
      </c>
      <c r="FV7">
        <v>387.19999999919997</v>
      </c>
      <c r="FW7">
        <v>393.2000000004</v>
      </c>
      <c r="FX7">
        <v>399.29999999910001</v>
      </c>
      <c r="FY7">
        <v>404.89999999949998</v>
      </c>
      <c r="FZ7">
        <v>410.2999999996</v>
      </c>
      <c r="GA7">
        <v>415.80000000069998</v>
      </c>
      <c r="GB7">
        <v>421.00000000030002</v>
      </c>
      <c r="GC7">
        <v>426.1999999999</v>
      </c>
      <c r="GD7">
        <v>431.80000000029997</v>
      </c>
      <c r="GE7">
        <v>437.20000000030001</v>
      </c>
      <c r="GF7">
        <v>442.19999999949999</v>
      </c>
      <c r="GG7">
        <v>446.3999999989</v>
      </c>
      <c r="GH7">
        <v>448.5999999997</v>
      </c>
      <c r="GI7">
        <v>449.00000000049999</v>
      </c>
      <c r="GJ7">
        <v>449.00000000049999</v>
      </c>
      <c r="GK7">
        <v>449.00000000049999</v>
      </c>
      <c r="GL7">
        <v>449.09999999979999</v>
      </c>
      <c r="GM7">
        <v>449.09999999979999</v>
      </c>
      <c r="GN7">
        <v>449.09999999979999</v>
      </c>
      <c r="GO7">
        <v>449.09999999979999</v>
      </c>
      <c r="GP7">
        <v>449.09999999979999</v>
      </c>
      <c r="GQ7">
        <v>449.09999999979999</v>
      </c>
      <c r="GR7">
        <v>449.00000000049999</v>
      </c>
      <c r="GS7">
        <v>449.09999999979999</v>
      </c>
      <c r="GT7">
        <v>449.09999999979999</v>
      </c>
      <c r="GU7">
        <v>449.19999999909999</v>
      </c>
      <c r="GV7">
        <v>449.09999999979999</v>
      </c>
      <c r="GW7">
        <v>1</v>
      </c>
      <c r="GX7">
        <v>109.5999999998</v>
      </c>
      <c r="GY7">
        <v>106.4000000006</v>
      </c>
      <c r="GZ7">
        <v>106.4000000006</v>
      </c>
      <c r="HA7">
        <v>120.6000000002</v>
      </c>
      <c r="HB7">
        <v>109.9879341056</v>
      </c>
      <c r="HC7">
        <v>-14.199999999599999</v>
      </c>
      <c r="HD7">
        <v>449.10001113070001</v>
      </c>
      <c r="HE7">
        <v>310.16054096149998</v>
      </c>
      <c r="HF7">
        <v>94.910518701100003</v>
      </c>
      <c r="HG7">
        <v>449.19999999909999</v>
      </c>
      <c r="HH7">
        <v>449.19999999909999</v>
      </c>
      <c r="HI7">
        <v>449.19999999909999</v>
      </c>
      <c r="HJ7">
        <v>449.19999999909999</v>
      </c>
      <c r="HK7">
        <v>110.26392961880001</v>
      </c>
      <c r="HL7">
        <v>3.3643373354000001</v>
      </c>
      <c r="HM7">
        <v>3.2423785714000002</v>
      </c>
      <c r="HN7">
        <v>3.2837513626999999</v>
      </c>
      <c r="HO7">
        <v>3.2236831211000001</v>
      </c>
      <c r="HP7">
        <v>3.5783437294999998</v>
      </c>
      <c r="HQ7">
        <v>2.1552954059</v>
      </c>
      <c r="HR7">
        <v>15.0774154045</v>
      </c>
      <c r="HS7">
        <v>-28.152492668600001</v>
      </c>
      <c r="HT7">
        <v>-192</v>
      </c>
      <c r="HU7">
        <v>420.14847506709998</v>
      </c>
      <c r="HV7">
        <v>96.187683284499997</v>
      </c>
      <c r="HW7">
        <v>656</v>
      </c>
      <c r="HX7">
        <v>15.0774154045</v>
      </c>
      <c r="HY7">
        <v>-28.152492668600001</v>
      </c>
      <c r="HZ7">
        <v>-192</v>
      </c>
      <c r="IA7">
        <v>420.14847506709998</v>
      </c>
      <c r="IB7">
        <v>96.187683284499997</v>
      </c>
      <c r="IC7">
        <v>656</v>
      </c>
      <c r="ID7">
        <v>29.051524932</v>
      </c>
      <c r="IE7">
        <v>1.2121549400000001E-2</v>
      </c>
      <c r="IF7">
        <v>-37.536656891500002</v>
      </c>
      <c r="IG7">
        <v>-256</v>
      </c>
      <c r="IH7">
        <v>441.90975066739998</v>
      </c>
      <c r="II7">
        <v>105.57184750730001</v>
      </c>
      <c r="IJ7">
        <v>720</v>
      </c>
      <c r="IK7">
        <v>405.07105966260002</v>
      </c>
      <c r="IL7">
        <v>124.3401759531</v>
      </c>
      <c r="IM7">
        <v>426.78045414050001</v>
      </c>
      <c r="IN7">
        <v>133.724340176</v>
      </c>
      <c r="IO7">
        <v>7.8999999987000002</v>
      </c>
      <c r="IP7">
        <v>5.7999999989999997</v>
      </c>
      <c r="IQ7">
        <v>8.7999999996000007</v>
      </c>
      <c r="IR7">
        <v>7.0512107371999999</v>
      </c>
      <c r="IS7">
        <v>7.0512107371999999</v>
      </c>
      <c r="IT7">
        <v>12.5000000007</v>
      </c>
      <c r="IU7">
        <v>-28.152492668600001</v>
      </c>
      <c r="IV7">
        <v>15.300000000900001</v>
      </c>
      <c r="IW7">
        <v>32.844574780099997</v>
      </c>
      <c r="IX7">
        <v>11.300000000100001</v>
      </c>
      <c r="IY7">
        <v>103.22580645159999</v>
      </c>
      <c r="IZ7">
        <v>-33.096652155199997</v>
      </c>
      <c r="JA7">
        <v>0.3310068431</v>
      </c>
      <c r="JB7">
        <v>-3.5541469999999999E-4</v>
      </c>
      <c r="JC7">
        <v>7.0989999999999997E-7</v>
      </c>
      <c r="JD7">
        <v>0.29723535429999998</v>
      </c>
      <c r="JE7">
        <v>0.30230751490000002</v>
      </c>
      <c r="JF7">
        <v>9.6593841400000005E-2</v>
      </c>
      <c r="JG7">
        <v>110.8060242602</v>
      </c>
      <c r="JH7">
        <v>3.5783437294999998</v>
      </c>
      <c r="JI7">
        <v>3.1979008999999999E-3</v>
      </c>
      <c r="JJ7">
        <v>-7.3433899999999995E-5</v>
      </c>
      <c r="JK7">
        <v>3.3643373354000001</v>
      </c>
      <c r="JL7">
        <v>1.2364316955000001</v>
      </c>
      <c r="JM7">
        <v>0.51984395260000005</v>
      </c>
      <c r="JN7" t="s">
        <v>545</v>
      </c>
      <c r="JQ7">
        <v>1</v>
      </c>
    </row>
    <row r="8" spans="1:277">
      <c r="A8" t="s">
        <v>606</v>
      </c>
      <c r="B8" t="s">
        <v>607</v>
      </c>
      <c r="C8" t="s">
        <v>212</v>
      </c>
      <c r="D8">
        <v>3</v>
      </c>
      <c r="E8" t="s">
        <v>213</v>
      </c>
      <c r="F8" t="s">
        <v>214</v>
      </c>
      <c r="G8" t="s">
        <v>544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4.3000000004999999</v>
      </c>
      <c r="R8">
        <v>5.6999999997000002</v>
      </c>
      <c r="S8">
        <v>4.8999999999000003</v>
      </c>
      <c r="T8">
        <v>3.6</v>
      </c>
      <c r="U8">
        <v>2.5999999998000001</v>
      </c>
      <c r="V8">
        <v>1.7000000007</v>
      </c>
      <c r="W8">
        <v>1.7000000007</v>
      </c>
      <c r="X8">
        <v>1.9000000011</v>
      </c>
      <c r="Y8">
        <v>2.4000000012</v>
      </c>
      <c r="Z8">
        <v>1.5000000003</v>
      </c>
      <c r="AA8">
        <v>1.5000000003</v>
      </c>
      <c r="AB8">
        <v>1.400000001</v>
      </c>
      <c r="AC8">
        <v>1.2000000006</v>
      </c>
      <c r="AD8">
        <v>1.0000000002</v>
      </c>
      <c r="AE8">
        <v>1.0999999995</v>
      </c>
      <c r="AF8">
        <v>0.7000000005</v>
      </c>
      <c r="AG8">
        <v>0</v>
      </c>
      <c r="AH8">
        <v>1.2999999999</v>
      </c>
      <c r="AI8">
        <v>4.2000000012000003</v>
      </c>
      <c r="AJ8">
        <v>8.6000000009999997</v>
      </c>
      <c r="AK8">
        <v>15.300000000900001</v>
      </c>
      <c r="AL8">
        <v>22.300000000499999</v>
      </c>
      <c r="AM8">
        <v>29.800000000299999</v>
      </c>
      <c r="AN8">
        <v>37.000000000299998</v>
      </c>
      <c r="AO8">
        <v>44.5</v>
      </c>
      <c r="AP8">
        <v>51.400000000299997</v>
      </c>
      <c r="AQ8">
        <v>58.6000000003</v>
      </c>
      <c r="AR8">
        <v>66.300000000400004</v>
      </c>
      <c r="AS8">
        <v>73.900000001199999</v>
      </c>
      <c r="AT8">
        <v>81.900000000999995</v>
      </c>
      <c r="AU8">
        <v>90.200000000599999</v>
      </c>
      <c r="AV8">
        <v>98.1000000011</v>
      </c>
      <c r="AW8">
        <v>105.9999999998</v>
      </c>
      <c r="AX8">
        <v>114.4000000004</v>
      </c>
      <c r="AY8">
        <v>122.800000001</v>
      </c>
      <c r="AZ8">
        <v>131.19999999980001</v>
      </c>
      <c r="BA8">
        <v>139.90000000009999</v>
      </c>
      <c r="BB8">
        <v>147.89999999989999</v>
      </c>
      <c r="BC8">
        <v>155.70000000120001</v>
      </c>
      <c r="BD8">
        <v>163.59999999990001</v>
      </c>
      <c r="BE8">
        <v>171.50000000040001</v>
      </c>
      <c r="BF8">
        <v>179.29999999980001</v>
      </c>
      <c r="BG8">
        <v>188.10000000119999</v>
      </c>
      <c r="BH8">
        <v>196.6000000011</v>
      </c>
      <c r="BI8">
        <v>204.4999999998</v>
      </c>
      <c r="BJ8">
        <v>212.10000000060001</v>
      </c>
      <c r="BK8">
        <v>220.10000000049999</v>
      </c>
      <c r="BL8">
        <v>227.80000000059999</v>
      </c>
      <c r="BM8">
        <v>235.70000000109999</v>
      </c>
      <c r="BN8">
        <v>244.00000000060001</v>
      </c>
      <c r="BO8">
        <v>251.8</v>
      </c>
      <c r="BP8">
        <v>259.40000000079999</v>
      </c>
      <c r="BQ8">
        <v>266.70000000009998</v>
      </c>
      <c r="BR8">
        <v>273.80000000080003</v>
      </c>
      <c r="BS8">
        <v>281.0000000009</v>
      </c>
      <c r="BT8">
        <v>288.50000000059998</v>
      </c>
      <c r="BU8">
        <v>296.50000000040001</v>
      </c>
      <c r="BV8">
        <v>303.79999999969999</v>
      </c>
      <c r="BW8">
        <v>310.80000000109999</v>
      </c>
      <c r="BX8">
        <v>317.50000000099999</v>
      </c>
      <c r="BY8">
        <v>323.9000000012</v>
      </c>
      <c r="BZ8">
        <v>330.6000000011</v>
      </c>
      <c r="CA8">
        <v>337.30000000109999</v>
      </c>
      <c r="CB8">
        <v>344.4</v>
      </c>
      <c r="CC8">
        <v>351.30000000029997</v>
      </c>
      <c r="CD8">
        <v>357.70000000049998</v>
      </c>
      <c r="CE8">
        <v>363.800000001</v>
      </c>
      <c r="CF8">
        <v>369.80000000040002</v>
      </c>
      <c r="CG8">
        <v>375.50000000009999</v>
      </c>
      <c r="CH8">
        <v>381.30000000090001</v>
      </c>
      <c r="CI8">
        <v>387.30000000029997</v>
      </c>
      <c r="CJ8">
        <v>393.29999999969999</v>
      </c>
      <c r="CK8">
        <v>399.10000000050002</v>
      </c>
      <c r="CL8">
        <v>404.80000000029997</v>
      </c>
      <c r="CM8">
        <v>410.79999999969999</v>
      </c>
      <c r="CN8">
        <v>416.60000000050002</v>
      </c>
      <c r="CO8">
        <v>421.50000000040001</v>
      </c>
      <c r="CP8">
        <v>426.7</v>
      </c>
      <c r="CQ8">
        <v>432.20000000110002</v>
      </c>
      <c r="CR8">
        <v>437.5</v>
      </c>
      <c r="CS8">
        <v>442.69999999959998</v>
      </c>
      <c r="CT8">
        <v>447.70000000060003</v>
      </c>
      <c r="CU8">
        <v>452.40000000010002</v>
      </c>
      <c r="CV8">
        <v>454.79999999950002</v>
      </c>
      <c r="CW8">
        <v>454.99999999990001</v>
      </c>
      <c r="CX8">
        <v>454.99999999990001</v>
      </c>
      <c r="CY8">
        <v>454.99999999990001</v>
      </c>
      <c r="CZ8">
        <v>454.99999999990001</v>
      </c>
      <c r="DA8">
        <v>454.99999999990001</v>
      </c>
      <c r="DB8">
        <v>454.99999999990001</v>
      </c>
      <c r="DC8">
        <v>455.10000000100001</v>
      </c>
      <c r="DD8">
        <v>455.10000000100001</v>
      </c>
      <c r="DE8">
        <v>455.10000000100001</v>
      </c>
      <c r="DF8">
        <v>454.99999999990001</v>
      </c>
      <c r="DG8">
        <v>4.2000000012000003</v>
      </c>
      <c r="DH8">
        <v>4.3999999998000003</v>
      </c>
      <c r="DI8">
        <v>4.3999999998000003</v>
      </c>
      <c r="DJ8">
        <v>4.3000000004999999</v>
      </c>
      <c r="DK8">
        <v>4.3000000004999999</v>
      </c>
      <c r="DL8">
        <v>4.3000000004999999</v>
      </c>
      <c r="DM8">
        <v>4.2000000012000003</v>
      </c>
      <c r="DN8">
        <v>4.3000000004999999</v>
      </c>
      <c r="DO8">
        <v>3.8000000003999999</v>
      </c>
      <c r="DP8">
        <v>3.3000000002999998</v>
      </c>
      <c r="DQ8">
        <v>3.0999999999000001</v>
      </c>
      <c r="DR8">
        <v>2.7000000008999998</v>
      </c>
      <c r="DS8">
        <v>2.4000000012</v>
      </c>
      <c r="DT8">
        <v>2.2000000007999998</v>
      </c>
      <c r="DU8">
        <v>2.0999999997000001</v>
      </c>
      <c r="DV8">
        <v>2.0999999997000001</v>
      </c>
      <c r="DW8">
        <v>3.7000000010999998</v>
      </c>
      <c r="DX8">
        <v>7.2</v>
      </c>
      <c r="DY8">
        <v>13.300000000500001</v>
      </c>
      <c r="DZ8">
        <v>19.9000000011</v>
      </c>
      <c r="EA8">
        <v>27.500000000099998</v>
      </c>
      <c r="EB8">
        <v>35.200000000300001</v>
      </c>
      <c r="EC8">
        <v>42.4999999996</v>
      </c>
      <c r="ED8">
        <v>49.800000000700003</v>
      </c>
      <c r="EE8">
        <v>56.700000000999999</v>
      </c>
      <c r="EF8">
        <v>64.099999999600001</v>
      </c>
      <c r="EG8">
        <v>71.400000000700004</v>
      </c>
      <c r="EH8">
        <v>79.799999999500002</v>
      </c>
      <c r="EI8">
        <v>87.999999999699995</v>
      </c>
      <c r="EJ8">
        <v>95.800000001000001</v>
      </c>
      <c r="EK8">
        <v>103.50000000110001</v>
      </c>
      <c r="EL8">
        <v>111.5000000009</v>
      </c>
      <c r="EM8">
        <v>120.0000000008</v>
      </c>
      <c r="EN8">
        <v>128.70000000109999</v>
      </c>
      <c r="EO8">
        <v>137.3999999996</v>
      </c>
      <c r="EP8">
        <v>145.50000000049999</v>
      </c>
      <c r="EQ8">
        <v>153.40000000110001</v>
      </c>
      <c r="ER8">
        <v>161.20000000050001</v>
      </c>
      <c r="ES8">
        <v>168.99999999990001</v>
      </c>
      <c r="ET8">
        <v>176.99999999970001</v>
      </c>
      <c r="EU8">
        <v>185.80000000109999</v>
      </c>
      <c r="EV8">
        <v>194.49999999959999</v>
      </c>
      <c r="EW8">
        <v>202.50000000119999</v>
      </c>
      <c r="EX8">
        <v>210.30000000059999</v>
      </c>
      <c r="EY8">
        <v>217.59999999990001</v>
      </c>
      <c r="EZ8">
        <v>225.50000000049999</v>
      </c>
      <c r="FA8">
        <v>234.0999999997</v>
      </c>
      <c r="FB8">
        <v>242.50000000029999</v>
      </c>
      <c r="FC8">
        <v>250.2000000004</v>
      </c>
      <c r="FD8">
        <v>257.80000000119998</v>
      </c>
      <c r="FE8">
        <v>265.19999999980001</v>
      </c>
      <c r="FF8">
        <v>272.3999999998</v>
      </c>
      <c r="FG8">
        <v>279.59999999979999</v>
      </c>
      <c r="FH8">
        <v>287.7000000008</v>
      </c>
      <c r="FI8">
        <v>295.60000000129997</v>
      </c>
      <c r="FJ8">
        <v>302.79999999950002</v>
      </c>
      <c r="FK8">
        <v>309.90000000020001</v>
      </c>
      <c r="FL8">
        <v>316.50000000080001</v>
      </c>
      <c r="FM8">
        <v>323.09999999960002</v>
      </c>
      <c r="FN8">
        <v>329.99999999990001</v>
      </c>
      <c r="FO8">
        <v>337.30000000109999</v>
      </c>
      <c r="FP8">
        <v>344.50000000109998</v>
      </c>
      <c r="FQ8">
        <v>351.09999999989998</v>
      </c>
      <c r="FR8">
        <v>357.60000000119999</v>
      </c>
      <c r="FS8">
        <v>363.800000001</v>
      </c>
      <c r="FT8">
        <v>369.39999999960003</v>
      </c>
      <c r="FU8">
        <v>375.29999999969999</v>
      </c>
      <c r="FV8">
        <v>381.49999999950001</v>
      </c>
      <c r="FW8">
        <v>387.50000000070003</v>
      </c>
      <c r="FX8">
        <v>393.90000000089998</v>
      </c>
      <c r="FY8">
        <v>400.30000000119998</v>
      </c>
      <c r="FZ8">
        <v>406.0000000009</v>
      </c>
      <c r="GA8">
        <v>411.70000000060003</v>
      </c>
      <c r="GB8">
        <v>416.90000000020001</v>
      </c>
      <c r="GC8">
        <v>421.5999999997</v>
      </c>
      <c r="GD8">
        <v>426.60000000069999</v>
      </c>
      <c r="GE8">
        <v>432.1</v>
      </c>
      <c r="GF8">
        <v>437.20000000030001</v>
      </c>
      <c r="GG8">
        <v>442.1000000002</v>
      </c>
      <c r="GH8">
        <v>446.79999999969999</v>
      </c>
      <c r="GI8">
        <v>451.1000000002</v>
      </c>
      <c r="GJ8">
        <v>454.20000000009998</v>
      </c>
      <c r="GK8">
        <v>455.10000000100001</v>
      </c>
      <c r="GL8">
        <v>455.10000000100001</v>
      </c>
      <c r="GM8">
        <v>455.10000000100001</v>
      </c>
      <c r="GN8">
        <v>455.10000000100001</v>
      </c>
      <c r="GO8">
        <v>455.10000000100001</v>
      </c>
      <c r="GP8">
        <v>455.10000000100001</v>
      </c>
      <c r="GQ8">
        <v>455.10000000100001</v>
      </c>
      <c r="GR8">
        <v>455.10000000100001</v>
      </c>
      <c r="GS8">
        <v>455.10000000100001</v>
      </c>
      <c r="GT8">
        <v>454.99999999990001</v>
      </c>
      <c r="GU8">
        <v>455.10000000100001</v>
      </c>
      <c r="GV8">
        <v>454.99999999990001</v>
      </c>
      <c r="GW8">
        <v>1</v>
      </c>
      <c r="GX8">
        <v>108.7000000007</v>
      </c>
      <c r="GY8">
        <v>105.9999999998</v>
      </c>
      <c r="GZ8">
        <v>105.9999999998</v>
      </c>
      <c r="HA8">
        <v>120.0000000008</v>
      </c>
      <c r="HB8">
        <v>109.47615908589999</v>
      </c>
      <c r="HC8">
        <v>-14.000000001</v>
      </c>
      <c r="HD8">
        <v>454.99999999990001</v>
      </c>
      <c r="HE8">
        <v>306.24734124380001</v>
      </c>
      <c r="HF8">
        <v>93.602482969899995</v>
      </c>
      <c r="HG8">
        <v>455.10000000100001</v>
      </c>
      <c r="HH8">
        <v>455.10000000100001</v>
      </c>
      <c r="HI8">
        <v>455.10000000100001</v>
      </c>
      <c r="HJ8">
        <v>455.10000000100001</v>
      </c>
      <c r="HK8">
        <v>114.9560117302</v>
      </c>
      <c r="HL8">
        <v>3.3104812860999999</v>
      </c>
      <c r="HM8">
        <v>3.1969536654000001</v>
      </c>
      <c r="HN8">
        <v>3.2706374661000002</v>
      </c>
      <c r="HO8">
        <v>3.2271440887999998</v>
      </c>
      <c r="HP8">
        <v>3.5243044700000001</v>
      </c>
      <c r="HQ8">
        <v>2.1904498390999998</v>
      </c>
      <c r="HR8">
        <v>15.873676116</v>
      </c>
      <c r="HS8">
        <v>-28.152492668600001</v>
      </c>
      <c r="HT8">
        <v>-192</v>
      </c>
      <c r="HU8">
        <v>415.7235003298</v>
      </c>
      <c r="HV8">
        <v>96.187683284499997</v>
      </c>
      <c r="HW8">
        <v>656</v>
      </c>
      <c r="HX8">
        <v>15.873676116</v>
      </c>
      <c r="HY8">
        <v>-28.152492668600001</v>
      </c>
      <c r="HZ8">
        <v>-192</v>
      </c>
      <c r="IA8">
        <v>415.7235003298</v>
      </c>
      <c r="IB8">
        <v>96.187683284499997</v>
      </c>
      <c r="IC8">
        <v>656</v>
      </c>
      <c r="ID8">
        <v>39.376499671300003</v>
      </c>
      <c r="IE8">
        <v>1.5040650399999999E-2</v>
      </c>
      <c r="IF8">
        <v>-37.536656891500002</v>
      </c>
      <c r="IG8">
        <v>-256</v>
      </c>
      <c r="IH8">
        <v>436.66588661859998</v>
      </c>
      <c r="II8">
        <v>105.57184750730001</v>
      </c>
      <c r="IJ8">
        <v>720</v>
      </c>
      <c r="IK8">
        <v>399.8498242137</v>
      </c>
      <c r="IL8">
        <v>124.3401759531</v>
      </c>
      <c r="IM8">
        <v>421.48893649690001</v>
      </c>
      <c r="IN8">
        <v>133.724340176</v>
      </c>
      <c r="IO8">
        <v>6.6999999999000002</v>
      </c>
      <c r="IP8">
        <v>5.6999999997000002</v>
      </c>
      <c r="IQ8">
        <v>8.8000000014000008</v>
      </c>
      <c r="IR8">
        <v>6.7457511111999997</v>
      </c>
      <c r="IS8">
        <v>6.7457511111999997</v>
      </c>
      <c r="IT8">
        <v>11.300000000100001</v>
      </c>
      <c r="IU8">
        <v>-30.4985337243</v>
      </c>
      <c r="IV8">
        <v>15.199999999799999</v>
      </c>
      <c r="IW8">
        <v>21.114369501500001</v>
      </c>
      <c r="IX8">
        <v>10.5999999996</v>
      </c>
      <c r="IY8">
        <v>103.22580645159999</v>
      </c>
      <c r="IZ8">
        <v>-33.205120783600002</v>
      </c>
      <c r="JA8">
        <v>0.33021583440000002</v>
      </c>
      <c r="JB8">
        <v>-3.2791219999999999E-4</v>
      </c>
      <c r="JC8">
        <v>6.7850000000000005E-7</v>
      </c>
      <c r="JD8">
        <v>0.30207088139999999</v>
      </c>
      <c r="JE8">
        <v>0.25775576410000001</v>
      </c>
      <c r="JF8">
        <v>0.1155892604</v>
      </c>
      <c r="JG8">
        <v>110.3998280318</v>
      </c>
      <c r="JH8">
        <v>3.5243044700000001</v>
      </c>
      <c r="JI8">
        <v>2.5128704000000001E-3</v>
      </c>
      <c r="JJ8">
        <v>-6.5472499999999994E-5</v>
      </c>
      <c r="JK8">
        <v>3.3104812860999999</v>
      </c>
      <c r="JL8">
        <v>1.3460344849999999</v>
      </c>
      <c r="JM8">
        <v>0.68538469530000001</v>
      </c>
      <c r="JN8" t="s">
        <v>545</v>
      </c>
      <c r="JQ8">
        <v>1</v>
      </c>
    </row>
    <row r="9" spans="1:277">
      <c r="A9" t="s">
        <v>618</v>
      </c>
      <c r="B9" t="s">
        <v>619</v>
      </c>
      <c r="C9" t="s">
        <v>212</v>
      </c>
      <c r="D9">
        <v>3</v>
      </c>
      <c r="E9" t="s">
        <v>213</v>
      </c>
      <c r="F9" t="s">
        <v>214</v>
      </c>
      <c r="G9" t="s">
        <v>544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0</v>
      </c>
      <c r="R9">
        <v>0.40000000079999998</v>
      </c>
      <c r="S9">
        <v>0.40000000079999998</v>
      </c>
      <c r="T9">
        <v>0.40000000079999998</v>
      </c>
      <c r="U9">
        <v>0.40000000079999998</v>
      </c>
      <c r="V9">
        <v>0.40000000079999998</v>
      </c>
      <c r="W9">
        <v>0.40000000079999998</v>
      </c>
      <c r="X9">
        <v>0.50000000010000001</v>
      </c>
      <c r="Y9">
        <v>0.50000000010000001</v>
      </c>
      <c r="Z9">
        <v>0.50000000010000001</v>
      </c>
      <c r="AA9">
        <v>0.50000000010000001</v>
      </c>
      <c r="AB9">
        <v>0.60000000119999997</v>
      </c>
      <c r="AC9">
        <v>0.60000000119999997</v>
      </c>
      <c r="AD9">
        <v>0.60000000119999997</v>
      </c>
      <c r="AE9">
        <v>0.60000000119999997</v>
      </c>
      <c r="AF9">
        <v>0.60000000119999997</v>
      </c>
      <c r="AG9">
        <v>0.60000000119999997</v>
      </c>
      <c r="AH9">
        <v>2.1000000015000002</v>
      </c>
      <c r="AI9">
        <v>4.8000000005999999</v>
      </c>
      <c r="AJ9">
        <v>8.2000000001999993</v>
      </c>
      <c r="AK9">
        <v>14.000000001</v>
      </c>
      <c r="AL9">
        <v>21.100000001800002</v>
      </c>
      <c r="AM9">
        <v>28.4000000011</v>
      </c>
      <c r="AN9">
        <v>35.800000001500003</v>
      </c>
      <c r="AO9">
        <v>42.900000000399999</v>
      </c>
      <c r="AP9">
        <v>50.200000001500001</v>
      </c>
      <c r="AQ9">
        <v>57.800000000499999</v>
      </c>
      <c r="AR9">
        <v>65.500000000599996</v>
      </c>
      <c r="AS9">
        <v>73.500000000399993</v>
      </c>
      <c r="AT9">
        <v>81.600000001300003</v>
      </c>
      <c r="AU9">
        <v>90.000000000100002</v>
      </c>
      <c r="AV9">
        <v>98.000000001800004</v>
      </c>
      <c r="AW9">
        <v>106.0000000016</v>
      </c>
      <c r="AX9">
        <v>114.9000000005</v>
      </c>
      <c r="AY9">
        <v>123.9000000005</v>
      </c>
      <c r="AZ9">
        <v>132.60000000080001</v>
      </c>
      <c r="BA9">
        <v>141.30000000109999</v>
      </c>
      <c r="BB9">
        <v>149.30000000090001</v>
      </c>
      <c r="BC9">
        <v>157.60000000049999</v>
      </c>
      <c r="BD9">
        <v>165.30000000059999</v>
      </c>
      <c r="BE9">
        <v>173.30000000039999</v>
      </c>
      <c r="BF9">
        <v>181.9000000014</v>
      </c>
      <c r="BG9">
        <v>191.1</v>
      </c>
      <c r="BH9">
        <v>198.9000000012</v>
      </c>
      <c r="BI9">
        <v>206.900000001</v>
      </c>
      <c r="BJ9">
        <v>214.80000000160001</v>
      </c>
      <c r="BK9">
        <v>222.20000000019999</v>
      </c>
      <c r="BL9">
        <v>230.30000000109999</v>
      </c>
      <c r="BM9">
        <v>239.0000000014</v>
      </c>
      <c r="BN9">
        <v>247.20000000159999</v>
      </c>
      <c r="BO9">
        <v>254.80000000059999</v>
      </c>
      <c r="BP9">
        <v>262.50000000070003</v>
      </c>
      <c r="BQ9">
        <v>269.70000000070002</v>
      </c>
      <c r="BR9">
        <v>276.8000000015</v>
      </c>
      <c r="BS9">
        <v>285.00000000170002</v>
      </c>
      <c r="BT9">
        <v>293.00000000149998</v>
      </c>
      <c r="BU9">
        <v>300.00000000109998</v>
      </c>
      <c r="BV9">
        <v>307.00000000070003</v>
      </c>
      <c r="BW9">
        <v>314.20000000070002</v>
      </c>
      <c r="BX9">
        <v>320.60000000090002</v>
      </c>
      <c r="BY9">
        <v>327.20000000149997</v>
      </c>
      <c r="BZ9">
        <v>334.70000000120001</v>
      </c>
      <c r="CA9">
        <v>342.10000000169998</v>
      </c>
      <c r="CB9">
        <v>348.50000000009999</v>
      </c>
      <c r="CC9">
        <v>354.7000000017</v>
      </c>
      <c r="CD9">
        <v>361.10000000010001</v>
      </c>
      <c r="CE9">
        <v>367.30000000170003</v>
      </c>
      <c r="CF9">
        <v>373.30000000109999</v>
      </c>
      <c r="CG9">
        <v>379.10000000010001</v>
      </c>
      <c r="CH9">
        <v>385.50000000030002</v>
      </c>
      <c r="CI9">
        <v>392.00000000159997</v>
      </c>
      <c r="CJ9">
        <v>397.90000000179998</v>
      </c>
      <c r="CK9">
        <v>403.30000000180002</v>
      </c>
      <c r="CL9">
        <v>408.90000000039998</v>
      </c>
      <c r="CM9">
        <v>414.60000000010001</v>
      </c>
      <c r="CN9">
        <v>420.00000000009999</v>
      </c>
      <c r="CO9">
        <v>425.60000000050002</v>
      </c>
      <c r="CP9">
        <v>431.20000000089999</v>
      </c>
      <c r="CQ9">
        <v>436.50000000159997</v>
      </c>
      <c r="CR9">
        <v>441.80000000050001</v>
      </c>
      <c r="CS9">
        <v>445.90000000060002</v>
      </c>
      <c r="CT9">
        <v>447.00000000009999</v>
      </c>
      <c r="CU9">
        <v>447.00000000009999</v>
      </c>
      <c r="CV9">
        <v>447.10000000119999</v>
      </c>
      <c r="CW9">
        <v>447.10000000119999</v>
      </c>
      <c r="CX9">
        <v>447.00000000009999</v>
      </c>
      <c r="CY9">
        <v>447.00000000009999</v>
      </c>
      <c r="CZ9">
        <v>447.10000000119999</v>
      </c>
      <c r="DA9">
        <v>447.10000000119999</v>
      </c>
      <c r="DB9">
        <v>447.10000000119999</v>
      </c>
      <c r="DC9">
        <v>447.10000000119999</v>
      </c>
      <c r="DD9">
        <v>447.10000000119999</v>
      </c>
      <c r="DE9">
        <v>447.10000000119999</v>
      </c>
      <c r="DF9">
        <v>447.10000000119999</v>
      </c>
      <c r="DG9">
        <v>0.90000000089999999</v>
      </c>
      <c r="DH9">
        <v>1.6000000014</v>
      </c>
      <c r="DI9">
        <v>1.6000000014</v>
      </c>
      <c r="DJ9">
        <v>1.6000000014</v>
      </c>
      <c r="DK9">
        <v>1.6000000014</v>
      </c>
      <c r="DL9">
        <v>1.6000000014</v>
      </c>
      <c r="DM9">
        <v>1.6000000014</v>
      </c>
      <c r="DN9">
        <v>1.6000000014</v>
      </c>
      <c r="DO9">
        <v>1.6000000014</v>
      </c>
      <c r="DP9">
        <v>1.5000000003</v>
      </c>
      <c r="DQ9">
        <v>1.6000000014</v>
      </c>
      <c r="DR9">
        <v>1.6000000014</v>
      </c>
      <c r="DS9">
        <v>1.5000000003</v>
      </c>
      <c r="DT9">
        <v>1.7000000007</v>
      </c>
      <c r="DU9">
        <v>1.7000000007</v>
      </c>
      <c r="DV9">
        <v>1.8</v>
      </c>
      <c r="DW9">
        <v>4.1000000000999997</v>
      </c>
      <c r="DX9">
        <v>7.3000000010999999</v>
      </c>
      <c r="DY9">
        <v>12.1000000017</v>
      </c>
      <c r="DZ9">
        <v>19.400000000999999</v>
      </c>
      <c r="EA9">
        <v>26.700000000300001</v>
      </c>
      <c r="EB9">
        <v>34.200000000099998</v>
      </c>
      <c r="EC9">
        <v>41.600000000500003</v>
      </c>
      <c r="ED9">
        <v>48.700000001200003</v>
      </c>
      <c r="EE9">
        <v>56.200000000899998</v>
      </c>
      <c r="EF9">
        <v>63.700000000599999</v>
      </c>
      <c r="EG9">
        <v>71.700000000399996</v>
      </c>
      <c r="EH9">
        <v>79.700000000200006</v>
      </c>
      <c r="EI9">
        <v>88.200000000100005</v>
      </c>
      <c r="EJ9">
        <v>96.000000001399997</v>
      </c>
      <c r="EK9">
        <v>103.3000000007</v>
      </c>
      <c r="EL9">
        <v>111.7000000013</v>
      </c>
      <c r="EM9">
        <v>121.1000000003</v>
      </c>
      <c r="EN9">
        <v>130.10000000030001</v>
      </c>
      <c r="EO9">
        <v>139.00000000099999</v>
      </c>
      <c r="EP9">
        <v>147.30000000050001</v>
      </c>
      <c r="EQ9">
        <v>155.20000000109999</v>
      </c>
      <c r="ER9">
        <v>162.7000000008</v>
      </c>
      <c r="ES9">
        <v>170.8000000017</v>
      </c>
      <c r="ET9">
        <v>179.7000000006</v>
      </c>
      <c r="EU9">
        <v>188.7000000006</v>
      </c>
      <c r="EV9">
        <v>197.00000000009999</v>
      </c>
      <c r="EW9">
        <v>205.00000000169999</v>
      </c>
      <c r="EX9">
        <v>212.8000000012</v>
      </c>
      <c r="EY9">
        <v>220.20000000159999</v>
      </c>
      <c r="EZ9">
        <v>228.50000000110001</v>
      </c>
      <c r="FA9">
        <v>237.30000000070001</v>
      </c>
      <c r="FB9">
        <v>245.6000000002</v>
      </c>
      <c r="FC9">
        <v>253.3000000003</v>
      </c>
      <c r="FD9">
        <v>261.2000000008</v>
      </c>
      <c r="FE9">
        <v>268.50000000009999</v>
      </c>
      <c r="FF9">
        <v>275.70000000009998</v>
      </c>
      <c r="FG9">
        <v>284.00000000149998</v>
      </c>
      <c r="FH9">
        <v>292.2000000017</v>
      </c>
      <c r="FI9">
        <v>299.40000000169999</v>
      </c>
      <c r="FJ9">
        <v>306.50000000059998</v>
      </c>
      <c r="FK9">
        <v>313.60000000129997</v>
      </c>
      <c r="FL9">
        <v>320.50000000159997</v>
      </c>
      <c r="FM9">
        <v>327.00000000109998</v>
      </c>
      <c r="FN9">
        <v>334.70000000120001</v>
      </c>
      <c r="FO9">
        <v>342.00000000059998</v>
      </c>
      <c r="FP9">
        <v>348.60000000119999</v>
      </c>
      <c r="FQ9">
        <v>355.0000000014</v>
      </c>
      <c r="FR9">
        <v>361.7000000013</v>
      </c>
      <c r="FS9">
        <v>367.90000000110001</v>
      </c>
      <c r="FT9">
        <v>373.60000000079998</v>
      </c>
      <c r="FU9">
        <v>379.80000000059999</v>
      </c>
      <c r="FV9">
        <v>386.60000000159999</v>
      </c>
      <c r="FW9">
        <v>392.70000000030001</v>
      </c>
      <c r="FX9">
        <v>398.60000000039997</v>
      </c>
      <c r="FY9">
        <v>404.10000000159999</v>
      </c>
      <c r="FZ9">
        <v>409.70000000020002</v>
      </c>
      <c r="GA9">
        <v>415.2000000013</v>
      </c>
      <c r="GB9">
        <v>420.50000000019998</v>
      </c>
      <c r="GC9">
        <v>425.90000000020001</v>
      </c>
      <c r="GD9">
        <v>431.20000000089999</v>
      </c>
      <c r="GE9">
        <v>436.20000000009998</v>
      </c>
      <c r="GF9">
        <v>441.20000000110002</v>
      </c>
      <c r="GG9">
        <v>445.20000000009998</v>
      </c>
      <c r="GH9">
        <v>446.90000000079999</v>
      </c>
      <c r="GI9">
        <v>447.00000000009999</v>
      </c>
      <c r="GJ9">
        <v>447.00000000009999</v>
      </c>
      <c r="GK9">
        <v>447.00000000009999</v>
      </c>
      <c r="GL9">
        <v>447.00000000009999</v>
      </c>
      <c r="GM9">
        <v>447.00000000009999</v>
      </c>
      <c r="GN9">
        <v>447.00000000009999</v>
      </c>
      <c r="GO9">
        <v>447.00000000009999</v>
      </c>
      <c r="GP9">
        <v>447.10000000119999</v>
      </c>
      <c r="GQ9">
        <v>447.10000000119999</v>
      </c>
      <c r="GR9">
        <v>447.10000000119999</v>
      </c>
      <c r="GS9">
        <v>447.10000000119999</v>
      </c>
      <c r="GT9">
        <v>447.10000000119999</v>
      </c>
      <c r="GU9">
        <v>447.20000000049998</v>
      </c>
      <c r="GV9">
        <v>447.10000000119999</v>
      </c>
      <c r="GW9">
        <v>1</v>
      </c>
      <c r="GX9">
        <v>112.3000000007</v>
      </c>
      <c r="GY9">
        <v>106.0000000016</v>
      </c>
      <c r="GZ9">
        <v>106.0000000016</v>
      </c>
      <c r="HA9">
        <v>121.1000000003</v>
      </c>
      <c r="HB9">
        <v>109.8345186192</v>
      </c>
      <c r="HC9">
        <v>-15.0999999987</v>
      </c>
      <c r="HD9">
        <v>447.10000000119999</v>
      </c>
      <c r="HE9">
        <v>304.35684893220002</v>
      </c>
      <c r="HF9">
        <v>87.924466062500002</v>
      </c>
      <c r="HG9">
        <v>447.20000000049998</v>
      </c>
      <c r="HH9">
        <v>447.20000000049998</v>
      </c>
      <c r="HI9">
        <v>447.10000000119999</v>
      </c>
      <c r="HJ9">
        <v>447.20000000049998</v>
      </c>
      <c r="HK9">
        <v>110.26392961880001</v>
      </c>
      <c r="HL9">
        <v>3.3758029192999999</v>
      </c>
      <c r="HM9">
        <v>3.2539065514000001</v>
      </c>
      <c r="HN9">
        <v>3.2951475871000002</v>
      </c>
      <c r="HO9">
        <v>3.3719707566000001</v>
      </c>
      <c r="HP9">
        <v>3.6188378794</v>
      </c>
      <c r="HQ9">
        <v>2.2194626465999998</v>
      </c>
      <c r="HR9">
        <v>21.910052556699998</v>
      </c>
      <c r="HS9">
        <v>-25.806451612899998</v>
      </c>
      <c r="HT9">
        <v>-176</v>
      </c>
      <c r="HU9">
        <v>414.19136755139999</v>
      </c>
      <c r="HV9">
        <v>93.841642228699996</v>
      </c>
      <c r="HW9">
        <v>640</v>
      </c>
      <c r="HX9">
        <v>21.910052556699998</v>
      </c>
      <c r="HY9">
        <v>-25.806451612899998</v>
      </c>
      <c r="HZ9">
        <v>-176</v>
      </c>
      <c r="IA9">
        <v>414.19136755139999</v>
      </c>
      <c r="IB9">
        <v>93.841642228699996</v>
      </c>
      <c r="IC9">
        <v>640</v>
      </c>
      <c r="ID9">
        <v>33.008632449099998</v>
      </c>
      <c r="IE9">
        <v>2.1546572754</v>
      </c>
      <c r="IF9">
        <v>-35.190615835800003</v>
      </c>
      <c r="IG9">
        <v>-240</v>
      </c>
      <c r="IH9">
        <v>435.81478251160001</v>
      </c>
      <c r="II9">
        <v>103.22580645159999</v>
      </c>
      <c r="IJ9">
        <v>704</v>
      </c>
      <c r="IK9">
        <v>392.2813149946</v>
      </c>
      <c r="IL9">
        <v>119.6480938416</v>
      </c>
      <c r="IM9">
        <v>416.67454992720002</v>
      </c>
      <c r="IN9">
        <v>129.03225806450001</v>
      </c>
      <c r="IO9">
        <v>7.2999999992999998</v>
      </c>
      <c r="IP9">
        <v>5.6000000003999997</v>
      </c>
      <c r="IQ9">
        <v>9.3999999990000003</v>
      </c>
      <c r="IR9">
        <v>7.0614788782</v>
      </c>
      <c r="IS9">
        <v>7.0614788782</v>
      </c>
      <c r="IT9">
        <v>12.699999999299999</v>
      </c>
      <c r="IU9">
        <v>-28.152492668600001</v>
      </c>
      <c r="IV9">
        <v>15.4000000002</v>
      </c>
      <c r="IW9">
        <v>18.7683284457</v>
      </c>
      <c r="IX9">
        <v>11.200000000799999</v>
      </c>
      <c r="IY9">
        <v>100.87976539589999</v>
      </c>
      <c r="IZ9">
        <v>-32.478091433700001</v>
      </c>
      <c r="JA9">
        <v>0.3212692332</v>
      </c>
      <c r="JB9">
        <v>-3.1906790000000001E-4</v>
      </c>
      <c r="JC9">
        <v>6.7339999999999998E-7</v>
      </c>
      <c r="JD9">
        <v>0.29622582359999999</v>
      </c>
      <c r="JE9">
        <v>0.31267073680000002</v>
      </c>
      <c r="JF9">
        <v>0.13490442620000001</v>
      </c>
      <c r="JG9">
        <v>111.0019586824</v>
      </c>
      <c r="JH9">
        <v>3.6188378794</v>
      </c>
      <c r="JI9">
        <v>2.1432452999999999E-3</v>
      </c>
      <c r="JJ9">
        <v>-6.8194999999999993E-5</v>
      </c>
      <c r="JK9">
        <v>3.3758029192999999</v>
      </c>
      <c r="JL9">
        <v>1.6980892135000001</v>
      </c>
      <c r="JM9">
        <v>0.70467940929999995</v>
      </c>
      <c r="JN9" t="s">
        <v>545</v>
      </c>
      <c r="JQ9">
        <v>1</v>
      </c>
    </row>
    <row r="10" spans="1:277">
      <c r="A10" t="s">
        <v>630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544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0.20000000039999999</v>
      </c>
      <c r="R10">
        <v>0</v>
      </c>
      <c r="S10">
        <v>0</v>
      </c>
      <c r="T10">
        <v>0.1000000011</v>
      </c>
      <c r="U10">
        <v>0.1000000011</v>
      </c>
      <c r="V10">
        <v>0.20000000039999999</v>
      </c>
      <c r="W10">
        <v>0.20000000039999999</v>
      </c>
      <c r="X10">
        <v>0.3000000015</v>
      </c>
      <c r="Y10">
        <v>0.3000000015</v>
      </c>
      <c r="Z10">
        <v>0.3000000015</v>
      </c>
      <c r="AA10">
        <v>0.40000000079999998</v>
      </c>
      <c r="AB10">
        <v>0.50000000010000001</v>
      </c>
      <c r="AC10">
        <v>0.50000000010000001</v>
      </c>
      <c r="AD10">
        <v>0.60000000119999997</v>
      </c>
      <c r="AE10">
        <v>0.60000000119999997</v>
      </c>
      <c r="AF10">
        <v>0.79999999980000003</v>
      </c>
      <c r="AG10">
        <v>0.90000000089999999</v>
      </c>
      <c r="AH10">
        <v>3.6</v>
      </c>
      <c r="AI10">
        <v>7.9000000005000004</v>
      </c>
      <c r="AJ10">
        <v>12.700000001099999</v>
      </c>
      <c r="AK10">
        <v>19.1000000013</v>
      </c>
      <c r="AL10">
        <v>25.9999999998</v>
      </c>
      <c r="AM10">
        <v>33.100000000599998</v>
      </c>
      <c r="AN10">
        <v>40.6000000003</v>
      </c>
      <c r="AO10">
        <v>48.200000001100001</v>
      </c>
      <c r="AP10">
        <v>55.800000000099999</v>
      </c>
      <c r="AQ10">
        <v>63.000000000100002</v>
      </c>
      <c r="AR10">
        <v>70.700000000200006</v>
      </c>
      <c r="AS10">
        <v>78.500000001399997</v>
      </c>
      <c r="AT10">
        <v>86.200000001600003</v>
      </c>
      <c r="AU10">
        <v>94.1000000003</v>
      </c>
      <c r="AV10">
        <v>102.40000000160001</v>
      </c>
      <c r="AW10">
        <v>110.5000000007</v>
      </c>
      <c r="AX10">
        <v>118.50000000049999</v>
      </c>
      <c r="AY10">
        <v>126.8</v>
      </c>
      <c r="AZ10">
        <v>135.0000000002</v>
      </c>
      <c r="BA10">
        <v>143.2000000004</v>
      </c>
      <c r="BB10">
        <v>151.6000000011</v>
      </c>
      <c r="BC10">
        <v>159.99999999990001</v>
      </c>
      <c r="BD10">
        <v>167.80000000109999</v>
      </c>
      <c r="BE10">
        <v>175.80000000090001</v>
      </c>
      <c r="BF10">
        <v>183.9</v>
      </c>
      <c r="BG10">
        <v>192.1000000002</v>
      </c>
      <c r="BH10">
        <v>200.50000000079999</v>
      </c>
      <c r="BI10">
        <v>208.8000000003</v>
      </c>
      <c r="BJ10">
        <v>216.50000000049999</v>
      </c>
      <c r="BK10">
        <v>224.2999999999</v>
      </c>
      <c r="BL10">
        <v>232.2000000004</v>
      </c>
      <c r="BM10">
        <v>240.40000000059999</v>
      </c>
      <c r="BN10">
        <v>248.30000000109999</v>
      </c>
      <c r="BO10">
        <v>256.19999999980001</v>
      </c>
      <c r="BP10">
        <v>263.89999999989999</v>
      </c>
      <c r="BQ10">
        <v>271.20000000099998</v>
      </c>
      <c r="BR10">
        <v>278.60000000150001</v>
      </c>
      <c r="BS10">
        <v>286.10000000119999</v>
      </c>
      <c r="BT10">
        <v>293.50000000159997</v>
      </c>
      <c r="BU10">
        <v>301.00000000130001</v>
      </c>
      <c r="BV10">
        <v>308.30000000059999</v>
      </c>
      <c r="BW10">
        <v>315.40000000129999</v>
      </c>
      <c r="BX10">
        <v>322.10000000119999</v>
      </c>
      <c r="BY10">
        <v>329.00000000149998</v>
      </c>
      <c r="BZ10">
        <v>335.80000000069998</v>
      </c>
      <c r="CA10">
        <v>342.90000000150002</v>
      </c>
      <c r="CB10">
        <v>349.50000000030002</v>
      </c>
      <c r="CC10">
        <v>355.90000000049997</v>
      </c>
      <c r="CD10">
        <v>362.50000000109998</v>
      </c>
      <c r="CE10">
        <v>368.70000000089999</v>
      </c>
      <c r="CF10">
        <v>374.70000000030001</v>
      </c>
      <c r="CG10">
        <v>380.80000000080003</v>
      </c>
      <c r="CH10">
        <v>386.90000000129999</v>
      </c>
      <c r="CI10">
        <v>393.2000000004</v>
      </c>
      <c r="CJ10">
        <v>399.30000000090001</v>
      </c>
      <c r="CK10">
        <v>405.00000000070003</v>
      </c>
      <c r="CL10">
        <v>410.7000000004</v>
      </c>
      <c r="CM10">
        <v>416.20000000149997</v>
      </c>
      <c r="CN10">
        <v>421.40000000110001</v>
      </c>
      <c r="CO10">
        <v>426.80000000109999</v>
      </c>
      <c r="CP10">
        <v>432.30000000040002</v>
      </c>
      <c r="CQ10">
        <v>437.6000000011</v>
      </c>
      <c r="CR10">
        <v>443.20000000149997</v>
      </c>
      <c r="CS10">
        <v>448.8000000001</v>
      </c>
      <c r="CT10">
        <v>452.60000000050002</v>
      </c>
      <c r="CU10">
        <v>453.7</v>
      </c>
      <c r="CV10">
        <v>453.7</v>
      </c>
      <c r="CW10">
        <v>453.80000000109999</v>
      </c>
      <c r="CX10">
        <v>453.7</v>
      </c>
      <c r="CY10">
        <v>453.7</v>
      </c>
      <c r="CZ10">
        <v>453.7</v>
      </c>
      <c r="DA10">
        <v>453.7</v>
      </c>
      <c r="DB10">
        <v>453.7</v>
      </c>
      <c r="DC10">
        <v>453.7</v>
      </c>
      <c r="DD10">
        <v>453.7</v>
      </c>
      <c r="DE10">
        <v>453.7</v>
      </c>
      <c r="DF10">
        <v>453.80000000109999</v>
      </c>
      <c r="DG10">
        <v>1.0000000002</v>
      </c>
      <c r="DH10">
        <v>1.2000000006</v>
      </c>
      <c r="DI10">
        <v>1.1000000013</v>
      </c>
      <c r="DJ10">
        <v>1.2000000006</v>
      </c>
      <c r="DK10">
        <v>1.2000000006</v>
      </c>
      <c r="DL10">
        <v>1.2999999999</v>
      </c>
      <c r="DM10">
        <v>1.2999999999</v>
      </c>
      <c r="DN10">
        <v>1.400000001</v>
      </c>
      <c r="DO10">
        <v>1.2999999999</v>
      </c>
      <c r="DP10">
        <v>1.400000001</v>
      </c>
      <c r="DQ10">
        <v>1.5000000003</v>
      </c>
      <c r="DR10">
        <v>1.5000000003</v>
      </c>
      <c r="DS10">
        <v>1.5000000003</v>
      </c>
      <c r="DT10">
        <v>1.6000000014</v>
      </c>
      <c r="DU10">
        <v>1.7000000007</v>
      </c>
      <c r="DV10">
        <v>2.7000000008999998</v>
      </c>
      <c r="DW10">
        <v>6.1999999998000002</v>
      </c>
      <c r="DX10">
        <v>10.8</v>
      </c>
      <c r="DY10">
        <v>16.800000001200001</v>
      </c>
      <c r="DZ10">
        <v>24.000000001299998</v>
      </c>
      <c r="EA10">
        <v>31.100000000200001</v>
      </c>
      <c r="EB10">
        <v>38.300000000200001</v>
      </c>
      <c r="EC10">
        <v>46.000000000299998</v>
      </c>
      <c r="ED10">
        <v>53.800000001500003</v>
      </c>
      <c r="EE10">
        <v>61.100000000800001</v>
      </c>
      <c r="EF10">
        <v>68.300000000799997</v>
      </c>
      <c r="EG10">
        <v>76.100000000199998</v>
      </c>
      <c r="EH10">
        <v>83.800000000300003</v>
      </c>
      <c r="EI10">
        <v>91.700000000900005</v>
      </c>
      <c r="EJ10">
        <v>99.900000001099997</v>
      </c>
      <c r="EK10">
        <v>108.0000000002</v>
      </c>
      <c r="EL10">
        <v>116</v>
      </c>
      <c r="EM10">
        <v>124.4000000006</v>
      </c>
      <c r="EN10">
        <v>132.7000000001</v>
      </c>
      <c r="EO10">
        <v>140.9000000003</v>
      </c>
      <c r="EP10">
        <v>149.30000000090001</v>
      </c>
      <c r="EQ10">
        <v>157.70000000159999</v>
      </c>
      <c r="ER10">
        <v>165.70000000140001</v>
      </c>
      <c r="ES10">
        <v>173.80000000050001</v>
      </c>
      <c r="ET10">
        <v>181.9000000014</v>
      </c>
      <c r="EU10">
        <v>190.00000000049999</v>
      </c>
      <c r="EV10">
        <v>198.3</v>
      </c>
      <c r="EW10">
        <v>206.7000000006</v>
      </c>
      <c r="EX10">
        <v>214.60000000119999</v>
      </c>
      <c r="EY10">
        <v>222.30000000129999</v>
      </c>
      <c r="EZ10">
        <v>230.40000000040001</v>
      </c>
      <c r="FA10">
        <v>238.6999999999</v>
      </c>
      <c r="FB10">
        <v>246.8000000008</v>
      </c>
      <c r="FC10">
        <v>254.3999999998</v>
      </c>
      <c r="FD10">
        <v>262.40000000139997</v>
      </c>
      <c r="FE10">
        <v>269.90000000110001</v>
      </c>
      <c r="FF10">
        <v>277.40000000089998</v>
      </c>
      <c r="FG10">
        <v>284.90000000060002</v>
      </c>
      <c r="FH10">
        <v>292.60000000069999</v>
      </c>
      <c r="FI10">
        <v>300.20000000149997</v>
      </c>
      <c r="FJ10">
        <v>307.40000000150002</v>
      </c>
      <c r="FK10">
        <v>314.7000000008</v>
      </c>
      <c r="FL10">
        <v>321.4000000007</v>
      </c>
      <c r="FM10">
        <v>328.4000000003</v>
      </c>
      <c r="FN10">
        <v>335.39999999989999</v>
      </c>
      <c r="FO10">
        <v>342.30000000029997</v>
      </c>
      <c r="FP10">
        <v>349.20000000060003</v>
      </c>
      <c r="FQ10">
        <v>355.80000000119998</v>
      </c>
      <c r="FR10">
        <v>362.30000000069998</v>
      </c>
      <c r="FS10">
        <v>368.4000000012</v>
      </c>
      <c r="FT10">
        <v>374.49999999990001</v>
      </c>
      <c r="FU10">
        <v>380.80000000080003</v>
      </c>
      <c r="FV10">
        <v>387.00000000059998</v>
      </c>
      <c r="FW10">
        <v>393.3000000015</v>
      </c>
      <c r="FX10">
        <v>399.40000000020001</v>
      </c>
      <c r="FY10">
        <v>404.90000000139997</v>
      </c>
      <c r="FZ10">
        <v>410.90000000079999</v>
      </c>
      <c r="GA10">
        <v>416.50000000120002</v>
      </c>
      <c r="GB10">
        <v>421.50000000040001</v>
      </c>
      <c r="GC10">
        <v>426.80000000109999</v>
      </c>
      <c r="GD10">
        <v>432.20000000110002</v>
      </c>
      <c r="GE10">
        <v>437.5</v>
      </c>
      <c r="GF10">
        <v>442.70000000139999</v>
      </c>
      <c r="GG10">
        <v>447.70000000060003</v>
      </c>
      <c r="GH10">
        <v>451.60000000029999</v>
      </c>
      <c r="GI10">
        <v>453.1999999999</v>
      </c>
      <c r="GJ10">
        <v>453.5000000014</v>
      </c>
      <c r="GK10">
        <v>453.5000000014</v>
      </c>
      <c r="GL10">
        <v>453.5000000014</v>
      </c>
      <c r="GM10">
        <v>453.60000000069999</v>
      </c>
      <c r="GN10">
        <v>453.60000000069999</v>
      </c>
      <c r="GO10">
        <v>453.5000000014</v>
      </c>
      <c r="GP10">
        <v>453.5000000014</v>
      </c>
      <c r="GQ10">
        <v>453.60000000069999</v>
      </c>
      <c r="GR10">
        <v>453.5000000014</v>
      </c>
      <c r="GS10">
        <v>453.5000000014</v>
      </c>
      <c r="GT10">
        <v>453.60000000069999</v>
      </c>
      <c r="GU10">
        <v>453.7</v>
      </c>
      <c r="GV10">
        <v>453.80000000109999</v>
      </c>
      <c r="GW10">
        <v>1</v>
      </c>
      <c r="GX10">
        <v>116.0999999993</v>
      </c>
      <c r="GY10">
        <v>110.5000000007</v>
      </c>
      <c r="GZ10">
        <v>110.5000000007</v>
      </c>
      <c r="HA10">
        <v>124.4000000006</v>
      </c>
      <c r="HB10">
        <v>114.09752093500001</v>
      </c>
      <c r="HC10">
        <v>-13.8999999999</v>
      </c>
      <c r="HD10">
        <v>453.80000000109999</v>
      </c>
      <c r="HE10">
        <v>306.50525561889998</v>
      </c>
      <c r="HF10">
        <v>94.333792418900003</v>
      </c>
      <c r="HG10">
        <v>453.80000000109999</v>
      </c>
      <c r="HH10">
        <v>453.80000000109999</v>
      </c>
      <c r="HI10">
        <v>453.80000000109999</v>
      </c>
      <c r="HJ10">
        <v>453.80000000109999</v>
      </c>
      <c r="HK10">
        <v>112.6099706745</v>
      </c>
      <c r="HL10">
        <v>3.3225937814000002</v>
      </c>
      <c r="HM10">
        <v>3.1968915770000002</v>
      </c>
      <c r="HN10">
        <v>3.2709037768</v>
      </c>
      <c r="HO10">
        <v>3.2303410839</v>
      </c>
      <c r="HP10">
        <v>3.5360598693999998</v>
      </c>
      <c r="HQ10">
        <v>2.1905056351000001</v>
      </c>
      <c r="HR10">
        <v>19.763728516099999</v>
      </c>
      <c r="HS10">
        <v>-28.152492668600001</v>
      </c>
      <c r="HT10">
        <v>-192</v>
      </c>
      <c r="HU10">
        <v>420.60277655390001</v>
      </c>
      <c r="HV10">
        <v>96.187683284499997</v>
      </c>
      <c r="HW10">
        <v>656</v>
      </c>
      <c r="HX10">
        <v>19.763728516099999</v>
      </c>
      <c r="HY10">
        <v>-28.152492668600001</v>
      </c>
      <c r="HZ10">
        <v>-192</v>
      </c>
      <c r="IA10">
        <v>420.60277655390001</v>
      </c>
      <c r="IB10">
        <v>96.187683284499997</v>
      </c>
      <c r="IC10">
        <v>656</v>
      </c>
      <c r="ID10">
        <v>33.197223447200003</v>
      </c>
      <c r="IE10">
        <v>0.94146099689999996</v>
      </c>
      <c r="IF10">
        <v>-37.536656891500002</v>
      </c>
      <c r="IG10">
        <v>-256</v>
      </c>
      <c r="IH10">
        <v>442.32644336850001</v>
      </c>
      <c r="II10">
        <v>105.57184750730001</v>
      </c>
      <c r="IJ10">
        <v>720</v>
      </c>
      <c r="IK10">
        <v>400.83904803780001</v>
      </c>
      <c r="IL10">
        <v>124.3401759531</v>
      </c>
      <c r="IM10">
        <v>423.41521595469999</v>
      </c>
      <c r="IN10">
        <v>133.724340176</v>
      </c>
      <c r="IO10">
        <v>7.2</v>
      </c>
      <c r="IP10">
        <v>5.6000000003999997</v>
      </c>
      <c r="IQ10">
        <v>8.4000000006000004</v>
      </c>
      <c r="IR10">
        <v>6.6294491439999996</v>
      </c>
      <c r="IS10">
        <v>6.6294491439999996</v>
      </c>
      <c r="IT10">
        <v>11.300000000100001</v>
      </c>
      <c r="IU10">
        <v>-30.4985337243</v>
      </c>
      <c r="IV10">
        <v>14.6000000004</v>
      </c>
      <c r="IW10">
        <v>23.460410557199999</v>
      </c>
      <c r="IX10">
        <v>10.400000001</v>
      </c>
      <c r="IY10">
        <v>105.57184750730001</v>
      </c>
      <c r="IZ10">
        <v>-34.516384579899999</v>
      </c>
      <c r="JA10">
        <v>0.33249698039999998</v>
      </c>
      <c r="JB10">
        <v>-3.3837230000000003E-4</v>
      </c>
      <c r="JC10">
        <v>6.7869999999999996E-7</v>
      </c>
      <c r="JD10">
        <v>0.30096968390000001</v>
      </c>
      <c r="JE10">
        <v>0.21376924219999999</v>
      </c>
      <c r="JF10">
        <v>6.33108644E-2</v>
      </c>
      <c r="JG10">
        <v>114.6070611204</v>
      </c>
      <c r="JH10">
        <v>3.5360598693999998</v>
      </c>
      <c r="JI10">
        <v>2.6166861E-3</v>
      </c>
      <c r="JJ10">
        <v>-6.6613599999999995E-5</v>
      </c>
      <c r="JK10">
        <v>3.3225937814000002</v>
      </c>
      <c r="JL10">
        <v>1.1453555848999999</v>
      </c>
      <c r="JM10">
        <v>0.51662266670000001</v>
      </c>
      <c r="JN10" t="s">
        <v>545</v>
      </c>
      <c r="JQ10">
        <v>1</v>
      </c>
    </row>
    <row r="11" spans="1:277">
      <c r="A11" t="s">
        <v>642</v>
      </c>
      <c r="B11" t="s">
        <v>643</v>
      </c>
      <c r="C11" t="s">
        <v>212</v>
      </c>
      <c r="D11">
        <v>3</v>
      </c>
      <c r="E11" t="s">
        <v>213</v>
      </c>
      <c r="F11" t="s">
        <v>214</v>
      </c>
      <c r="G11" t="s">
        <v>544</v>
      </c>
      <c r="H11" t="s">
        <v>216</v>
      </c>
      <c r="J11" t="s">
        <v>634</v>
      </c>
      <c r="K11" t="s">
        <v>635</v>
      </c>
      <c r="L11" t="s">
        <v>636</v>
      </c>
      <c r="M11" t="s">
        <v>637</v>
      </c>
      <c r="N11" t="s">
        <v>638</v>
      </c>
      <c r="O11">
        <v>0</v>
      </c>
      <c r="P11">
        <v>0</v>
      </c>
      <c r="Q11">
        <v>2.3000000000999998</v>
      </c>
      <c r="R11">
        <v>2.5999999998000001</v>
      </c>
      <c r="S11">
        <v>2.6999999991000001</v>
      </c>
      <c r="T11">
        <v>2.4999999986999999</v>
      </c>
      <c r="U11">
        <v>2.5999999998000001</v>
      </c>
      <c r="V11">
        <v>2.6999999991000001</v>
      </c>
      <c r="W11">
        <v>2.6999999991000001</v>
      </c>
      <c r="X11">
        <v>2.6999999991000001</v>
      </c>
      <c r="Y11">
        <v>2.6999999991000001</v>
      </c>
      <c r="Z11">
        <v>2.8000000001999998</v>
      </c>
      <c r="AA11">
        <v>2.6999999991000001</v>
      </c>
      <c r="AB11">
        <v>2.6999999991000001</v>
      </c>
      <c r="AC11">
        <v>2.3999999993999999</v>
      </c>
      <c r="AD11">
        <v>2.1999999990000001</v>
      </c>
      <c r="AE11">
        <v>1.8</v>
      </c>
      <c r="AF11">
        <v>1.2999999999</v>
      </c>
      <c r="AG11">
        <v>0.59999999940000004</v>
      </c>
      <c r="AH11">
        <v>0</v>
      </c>
      <c r="AI11">
        <v>1.2999999999</v>
      </c>
      <c r="AJ11">
        <v>5.0999999985000004</v>
      </c>
      <c r="AK11">
        <v>11.199999998999999</v>
      </c>
      <c r="AL11">
        <v>18.599999999400001</v>
      </c>
      <c r="AM11">
        <v>25.9999999998</v>
      </c>
      <c r="AN11">
        <v>33.700000000000003</v>
      </c>
      <c r="AO11">
        <v>41.499999999400004</v>
      </c>
      <c r="AP11">
        <v>49.100000000199998</v>
      </c>
      <c r="AQ11">
        <v>56.399999999499997</v>
      </c>
      <c r="AR11">
        <v>64.399999999299993</v>
      </c>
      <c r="AS11">
        <v>72.5999999995</v>
      </c>
      <c r="AT11">
        <v>80.599999999299996</v>
      </c>
      <c r="AU11">
        <v>88.899999998799998</v>
      </c>
      <c r="AV11">
        <v>97.299999999400001</v>
      </c>
      <c r="AW11">
        <v>105.2999999993</v>
      </c>
      <c r="AX11">
        <v>113.1999999998</v>
      </c>
      <c r="AY11">
        <v>122.49999999950001</v>
      </c>
      <c r="AZ11">
        <v>130.79999999899999</v>
      </c>
      <c r="BA11">
        <v>139.4999999993</v>
      </c>
      <c r="BB11">
        <v>148.09999999850001</v>
      </c>
      <c r="BC11">
        <v>156.2999999987</v>
      </c>
      <c r="BD11">
        <v>164.49999999900001</v>
      </c>
      <c r="BE11">
        <v>173.19999999929999</v>
      </c>
      <c r="BF11">
        <v>181.49999999880001</v>
      </c>
      <c r="BG11">
        <v>189.99999999869999</v>
      </c>
      <c r="BH11">
        <v>198.8000000001</v>
      </c>
      <c r="BI11">
        <v>207.09999999959999</v>
      </c>
      <c r="BJ11">
        <v>215.19999999870001</v>
      </c>
      <c r="BK11">
        <v>223.29999999969999</v>
      </c>
      <c r="BL11">
        <v>231.59999999920001</v>
      </c>
      <c r="BM11">
        <v>239.7000000001</v>
      </c>
      <c r="BN11">
        <v>248.09999999889999</v>
      </c>
      <c r="BO11">
        <v>256.19999999980001</v>
      </c>
      <c r="BP11">
        <v>263.89999999989999</v>
      </c>
      <c r="BQ11">
        <v>271.49999999890002</v>
      </c>
      <c r="BR11">
        <v>279.199999999</v>
      </c>
      <c r="BS11">
        <v>286.69999999869998</v>
      </c>
      <c r="BT11">
        <v>294.5</v>
      </c>
      <c r="BU11">
        <v>302.20000000009998</v>
      </c>
      <c r="BV11">
        <v>309.59999999870001</v>
      </c>
      <c r="BW11">
        <v>316.69999999940001</v>
      </c>
      <c r="BX11">
        <v>323.8000000001</v>
      </c>
      <c r="BY11">
        <v>330.79999999969999</v>
      </c>
      <c r="BZ11">
        <v>337.59999999889999</v>
      </c>
      <c r="CA11">
        <v>344.69999999959998</v>
      </c>
      <c r="CB11">
        <v>351.69999999930002</v>
      </c>
      <c r="CC11">
        <v>358.59999999960002</v>
      </c>
      <c r="CD11">
        <v>364.89999999870003</v>
      </c>
      <c r="CE11">
        <v>371.19999999959998</v>
      </c>
      <c r="CF11">
        <v>377.49999999869999</v>
      </c>
      <c r="CG11">
        <v>383.6999999985</v>
      </c>
      <c r="CH11">
        <v>389.79999999900002</v>
      </c>
      <c r="CI11">
        <v>395.99999999879998</v>
      </c>
      <c r="CJ11">
        <v>402.29999999969999</v>
      </c>
      <c r="CK11">
        <v>408.29999999910001</v>
      </c>
      <c r="CL11">
        <v>413.89999999960003</v>
      </c>
      <c r="CM11">
        <v>419.20000000030001</v>
      </c>
      <c r="CN11">
        <v>424.9</v>
      </c>
      <c r="CO11">
        <v>430.4999999986</v>
      </c>
      <c r="CP11">
        <v>435.79999999929998</v>
      </c>
      <c r="CQ11">
        <v>440.89999999960003</v>
      </c>
      <c r="CR11">
        <v>446.3999999989</v>
      </c>
      <c r="CS11">
        <v>452.19999999970003</v>
      </c>
      <c r="CT11">
        <v>455.5999999993</v>
      </c>
      <c r="CU11">
        <v>456.50000000019998</v>
      </c>
      <c r="CV11">
        <v>456.39999999909998</v>
      </c>
      <c r="CW11">
        <v>456.50000000019998</v>
      </c>
      <c r="CX11">
        <v>456.39999999909998</v>
      </c>
      <c r="CY11">
        <v>456.39999999909998</v>
      </c>
      <c r="CZ11">
        <v>456.29999999979998</v>
      </c>
      <c r="DA11">
        <v>456.39999999909998</v>
      </c>
      <c r="DB11">
        <v>456.39999999909998</v>
      </c>
      <c r="DC11">
        <v>456.39999999909998</v>
      </c>
      <c r="DD11">
        <v>456.50000000019998</v>
      </c>
      <c r="DE11">
        <v>456.50000000019998</v>
      </c>
      <c r="DF11">
        <v>456.50000000019998</v>
      </c>
      <c r="DG11">
        <v>2.5999999998000001</v>
      </c>
      <c r="DH11">
        <v>2.8999999994999999</v>
      </c>
      <c r="DI11">
        <v>2.8999999994999999</v>
      </c>
      <c r="DJ11">
        <v>2.8999999994999999</v>
      </c>
      <c r="DK11">
        <v>3.0999999999000001</v>
      </c>
      <c r="DL11">
        <v>3.0999999999000001</v>
      </c>
      <c r="DM11">
        <v>2.8999999994999999</v>
      </c>
      <c r="DN11">
        <v>2.8999999994999999</v>
      </c>
      <c r="DO11">
        <v>2.9999999987999999</v>
      </c>
      <c r="DP11">
        <v>2.9999999987999999</v>
      </c>
      <c r="DQ11">
        <v>2.8000000001999998</v>
      </c>
      <c r="DR11">
        <v>2.8000000001999998</v>
      </c>
      <c r="DS11">
        <v>2.3999999993999999</v>
      </c>
      <c r="DT11">
        <v>2.0999999997000001</v>
      </c>
      <c r="DU11">
        <v>1.4999999985000001</v>
      </c>
      <c r="DV11">
        <v>1.0999999995</v>
      </c>
      <c r="DW11">
        <v>1.2999999999</v>
      </c>
      <c r="DX11">
        <v>3.8999999996999999</v>
      </c>
      <c r="DY11">
        <v>9.5999999993999996</v>
      </c>
      <c r="DZ11">
        <v>17.200000000199999</v>
      </c>
      <c r="EA11">
        <v>24.400000000199999</v>
      </c>
      <c r="EB11">
        <v>31.9999999992</v>
      </c>
      <c r="EC11">
        <v>39.899999999800002</v>
      </c>
      <c r="ED11">
        <v>47.699999999200003</v>
      </c>
      <c r="EE11">
        <v>55.000000000299998</v>
      </c>
      <c r="EF11">
        <v>62.799999999699999</v>
      </c>
      <c r="EG11">
        <v>70.899999998799998</v>
      </c>
      <c r="EH11">
        <v>78.899999998599995</v>
      </c>
      <c r="EI11">
        <v>87.099999998800001</v>
      </c>
      <c r="EJ11">
        <v>95.400000000199995</v>
      </c>
      <c r="EK11">
        <v>103.4999999993</v>
      </c>
      <c r="EL11">
        <v>111.6000000002</v>
      </c>
      <c r="EM11">
        <v>120.4999999991</v>
      </c>
      <c r="EN11">
        <v>129.10000000010001</v>
      </c>
      <c r="EO11">
        <v>137.69999999929999</v>
      </c>
      <c r="EP11">
        <v>146.3999999996</v>
      </c>
      <c r="EQ11">
        <v>154.59999999979999</v>
      </c>
      <c r="ER11">
        <v>162.5999999997</v>
      </c>
      <c r="ES11">
        <v>171.3</v>
      </c>
      <c r="ET11">
        <v>179.6999999988</v>
      </c>
      <c r="EU11">
        <v>188.19999999870001</v>
      </c>
      <c r="EV11">
        <v>196.89999999899999</v>
      </c>
      <c r="EW11">
        <v>205.5</v>
      </c>
      <c r="EX11">
        <v>213.4999999998</v>
      </c>
      <c r="EY11">
        <v>221.49999999970001</v>
      </c>
      <c r="EZ11">
        <v>229.9000000003</v>
      </c>
      <c r="FA11">
        <v>237.99999999939999</v>
      </c>
      <c r="FB11">
        <v>246.4999999993</v>
      </c>
      <c r="FC11">
        <v>254.79999999879999</v>
      </c>
      <c r="FD11">
        <v>262.69999999930002</v>
      </c>
      <c r="FE11">
        <v>270.39999999939999</v>
      </c>
      <c r="FF11">
        <v>278.19999999880002</v>
      </c>
      <c r="FG11">
        <v>285.79999999969999</v>
      </c>
      <c r="FH11">
        <v>293.70000000020002</v>
      </c>
      <c r="FI11">
        <v>301.49999999959999</v>
      </c>
      <c r="FJ11">
        <v>309.09999999860003</v>
      </c>
      <c r="FK11">
        <v>316.19999999930002</v>
      </c>
      <c r="FL11">
        <v>323.39999999930001</v>
      </c>
      <c r="FM11">
        <v>330.5999999993</v>
      </c>
      <c r="FN11">
        <v>337.49999999959999</v>
      </c>
      <c r="FO11">
        <v>344.59999999849998</v>
      </c>
      <c r="FP11">
        <v>351.69999999930002</v>
      </c>
      <c r="FQ11">
        <v>358.69999999890001</v>
      </c>
      <c r="FR11">
        <v>364.99999999980002</v>
      </c>
      <c r="FS11">
        <v>371.29999999889998</v>
      </c>
      <c r="FT11">
        <v>377.69999999909999</v>
      </c>
      <c r="FU11">
        <v>384</v>
      </c>
      <c r="FV11">
        <v>389.79999999900002</v>
      </c>
      <c r="FW11">
        <v>396.09999999989998</v>
      </c>
      <c r="FX11">
        <v>402.50000000009999</v>
      </c>
      <c r="FY11">
        <v>408.5999999988</v>
      </c>
      <c r="FZ11">
        <v>414.29999999850003</v>
      </c>
      <c r="GA11">
        <v>419.69999999859999</v>
      </c>
      <c r="GB11">
        <v>425.19999999970003</v>
      </c>
      <c r="GC11">
        <v>430.699999999</v>
      </c>
      <c r="GD11">
        <v>435.7</v>
      </c>
      <c r="GE11">
        <v>440.39999999949998</v>
      </c>
      <c r="GF11">
        <v>445.29999999939997</v>
      </c>
      <c r="GG11">
        <v>450.60000000010001</v>
      </c>
      <c r="GH11">
        <v>454.59999999910002</v>
      </c>
      <c r="GI11">
        <v>456.09999999939998</v>
      </c>
      <c r="GJ11">
        <v>456.29999999979998</v>
      </c>
      <c r="GK11">
        <v>456.29999999979998</v>
      </c>
      <c r="GL11">
        <v>456.29999999979998</v>
      </c>
      <c r="GM11">
        <v>456.39999999909998</v>
      </c>
      <c r="GN11">
        <v>456.39999999909998</v>
      </c>
      <c r="GO11">
        <v>456.39999999909998</v>
      </c>
      <c r="GP11">
        <v>456.39999999909998</v>
      </c>
      <c r="GQ11">
        <v>456.50000000019998</v>
      </c>
      <c r="GR11">
        <v>456.50000000019998</v>
      </c>
      <c r="GS11">
        <v>456.50000000019998</v>
      </c>
      <c r="GT11">
        <v>456.50000000019998</v>
      </c>
      <c r="GU11">
        <v>456.50000000019998</v>
      </c>
      <c r="GV11">
        <v>456.50000000019998</v>
      </c>
      <c r="GW11">
        <v>1</v>
      </c>
      <c r="GX11">
        <v>109.0999999997</v>
      </c>
      <c r="GY11">
        <v>105.2999999993</v>
      </c>
      <c r="GZ11">
        <v>105.2999999993</v>
      </c>
      <c r="HA11">
        <v>120.4999999991</v>
      </c>
      <c r="HB11">
        <v>109.05921139020001</v>
      </c>
      <c r="HC11">
        <v>-15.199999999799999</v>
      </c>
      <c r="HD11">
        <v>456.50000000019998</v>
      </c>
      <c r="HE11">
        <v>303.97375684500003</v>
      </c>
      <c r="HF11">
        <v>89.716560788400002</v>
      </c>
      <c r="HG11">
        <v>456.50000000019998</v>
      </c>
      <c r="HH11">
        <v>456.50000000019998</v>
      </c>
      <c r="HI11">
        <v>456.50000000019998</v>
      </c>
      <c r="HJ11">
        <v>456.50000000019998</v>
      </c>
      <c r="HK11">
        <v>112.6099706745</v>
      </c>
      <c r="HL11">
        <v>3.4494525247999999</v>
      </c>
      <c r="HM11">
        <v>3.2993564484000002</v>
      </c>
      <c r="HN11">
        <v>3.3483858753</v>
      </c>
      <c r="HO11">
        <v>3.3586245570000002</v>
      </c>
      <c r="HP11">
        <v>3.6607917211999998</v>
      </c>
      <c r="HQ11">
        <v>2.3108683102000001</v>
      </c>
      <c r="HR11">
        <v>19.342650601799999</v>
      </c>
      <c r="HS11">
        <v>-25.806451612899998</v>
      </c>
      <c r="HT11">
        <v>-176</v>
      </c>
      <c r="HU11">
        <v>413.03296823519997</v>
      </c>
      <c r="HV11">
        <v>91.495601172999997</v>
      </c>
      <c r="HW11">
        <v>624</v>
      </c>
      <c r="HX11">
        <v>19.342650601799999</v>
      </c>
      <c r="HY11">
        <v>-25.806451612899998</v>
      </c>
      <c r="HZ11">
        <v>-176</v>
      </c>
      <c r="IA11">
        <v>413.03296823519997</v>
      </c>
      <c r="IB11">
        <v>91.495601172999997</v>
      </c>
      <c r="IC11">
        <v>624</v>
      </c>
      <c r="ID11">
        <v>43.467031765000002</v>
      </c>
      <c r="IE11">
        <v>1.6659364699999998E-2</v>
      </c>
      <c r="IF11">
        <v>-35.190615835800003</v>
      </c>
      <c r="IG11">
        <v>-240</v>
      </c>
      <c r="IH11">
        <v>435.08015334060002</v>
      </c>
      <c r="II11">
        <v>100.87976539589999</v>
      </c>
      <c r="IJ11">
        <v>688</v>
      </c>
      <c r="IK11">
        <v>393.69031763340001</v>
      </c>
      <c r="IL11">
        <v>117.3020527859</v>
      </c>
      <c r="IM11">
        <v>418.88981380180002</v>
      </c>
      <c r="IN11">
        <v>126.6862170088</v>
      </c>
      <c r="IO11">
        <v>7.6000000007999997</v>
      </c>
      <c r="IP11">
        <v>5.8000000007999999</v>
      </c>
      <c r="IQ11">
        <v>9.2999999997000007</v>
      </c>
      <c r="IR11">
        <v>6.5617512656999999</v>
      </c>
      <c r="IS11">
        <v>6.5617512656999999</v>
      </c>
      <c r="IT11">
        <v>13.200000001199999</v>
      </c>
      <c r="IU11">
        <v>-28.152492668600001</v>
      </c>
      <c r="IV11">
        <v>15.9000000003</v>
      </c>
      <c r="IW11">
        <v>2.3460410557000002</v>
      </c>
      <c r="IX11">
        <v>9.9000000009000004</v>
      </c>
      <c r="IY11">
        <v>103.22580645159999</v>
      </c>
      <c r="IZ11">
        <v>-31.850763526600002</v>
      </c>
      <c r="JA11">
        <v>0.31891699559999998</v>
      </c>
      <c r="JB11">
        <v>-3.2005860000000001E-4</v>
      </c>
      <c r="JC11">
        <v>6.5600000000000005E-7</v>
      </c>
      <c r="JD11">
        <v>0.28990107640000001</v>
      </c>
      <c r="JE11">
        <v>0.1606372975</v>
      </c>
      <c r="JF11">
        <v>6.1157341300000001E-2</v>
      </c>
      <c r="JG11">
        <v>109.7093025643</v>
      </c>
      <c r="JH11">
        <v>3.6607917211999998</v>
      </c>
      <c r="JI11">
        <v>2.9435644999999998E-3</v>
      </c>
      <c r="JJ11">
        <v>-7.5198900000000003E-5</v>
      </c>
      <c r="JK11">
        <v>3.4494525247999999</v>
      </c>
      <c r="JL11">
        <v>1.3340482333999999</v>
      </c>
      <c r="JM11">
        <v>0.50173398739999997</v>
      </c>
      <c r="JN11" t="s">
        <v>545</v>
      </c>
      <c r="JQ11">
        <v>1</v>
      </c>
    </row>
    <row r="12" spans="1:277">
      <c r="A12" t="s">
        <v>656</v>
      </c>
      <c r="B12" t="s">
        <v>657</v>
      </c>
      <c r="C12" t="s">
        <v>212</v>
      </c>
      <c r="D12">
        <v>3</v>
      </c>
      <c r="E12" t="s">
        <v>213</v>
      </c>
      <c r="F12" t="s">
        <v>214</v>
      </c>
      <c r="G12" t="s">
        <v>544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1.9000000011</v>
      </c>
      <c r="R12">
        <v>1.2000000006</v>
      </c>
      <c r="S12">
        <v>1.2000000006</v>
      </c>
      <c r="T12">
        <v>1.2999999999</v>
      </c>
      <c r="U12">
        <v>1.2000000006</v>
      </c>
      <c r="V12">
        <v>1.2000000006</v>
      </c>
      <c r="W12">
        <v>1.1000000013</v>
      </c>
      <c r="X12">
        <v>1.1000000013</v>
      </c>
      <c r="Y12">
        <v>1.1000000013</v>
      </c>
      <c r="Z12">
        <v>1.1000000013</v>
      </c>
      <c r="AA12">
        <v>1.0000000002</v>
      </c>
      <c r="AB12">
        <v>1.1000000013</v>
      </c>
      <c r="AC12">
        <v>1.0000000002</v>
      </c>
      <c r="AD12">
        <v>0.90000000089999999</v>
      </c>
      <c r="AE12">
        <v>0.79999999980000003</v>
      </c>
      <c r="AF12">
        <v>0.50000000010000001</v>
      </c>
      <c r="AG12">
        <v>0</v>
      </c>
      <c r="AH12">
        <v>0.3000000015</v>
      </c>
      <c r="AI12">
        <v>2.9000000013</v>
      </c>
      <c r="AJ12">
        <v>7.0000000014000001</v>
      </c>
      <c r="AK12">
        <v>11.700000000899999</v>
      </c>
      <c r="AL12">
        <v>17.800000001400001</v>
      </c>
      <c r="AM12">
        <v>24.699999999900001</v>
      </c>
      <c r="AN12">
        <v>32.100000000400001</v>
      </c>
      <c r="AO12">
        <v>39.600000000100003</v>
      </c>
      <c r="AP12">
        <v>47.200000000899998</v>
      </c>
      <c r="AQ12">
        <v>55.000000000299998</v>
      </c>
      <c r="AR12">
        <v>62.300000001400001</v>
      </c>
      <c r="AS12">
        <v>69.7</v>
      </c>
      <c r="AT12">
        <v>77.500000001199993</v>
      </c>
      <c r="AU12">
        <v>85.399999999900004</v>
      </c>
      <c r="AV12">
        <v>93.700000001299998</v>
      </c>
      <c r="AW12">
        <v>102.3999999998</v>
      </c>
      <c r="AX12">
        <v>111.2000000012</v>
      </c>
      <c r="AY12">
        <v>119.5000000007</v>
      </c>
      <c r="AZ12">
        <v>127.50000000049999</v>
      </c>
      <c r="BA12">
        <v>135.80000000000001</v>
      </c>
      <c r="BB12">
        <v>144.2999999999</v>
      </c>
      <c r="BC12">
        <v>152.7000000006</v>
      </c>
      <c r="BD12">
        <v>160.90000000079999</v>
      </c>
      <c r="BE12">
        <v>168.70000000019999</v>
      </c>
      <c r="BF12">
        <v>176.5000000014</v>
      </c>
      <c r="BG12">
        <v>184.80000000090001</v>
      </c>
      <c r="BH12">
        <v>193.40000000009999</v>
      </c>
      <c r="BI12">
        <v>201.60000000030001</v>
      </c>
      <c r="BJ12">
        <v>209.80000000050001</v>
      </c>
      <c r="BK12">
        <v>217.59999999990001</v>
      </c>
      <c r="BL12">
        <v>225.3000000001</v>
      </c>
      <c r="BM12">
        <v>233.2000000006</v>
      </c>
      <c r="BN12">
        <v>241.3000000015</v>
      </c>
      <c r="BO12">
        <v>249.60000000100001</v>
      </c>
      <c r="BP12">
        <v>257.30000000109999</v>
      </c>
      <c r="BQ12">
        <v>264.80000000080003</v>
      </c>
      <c r="BR12">
        <v>271.89999999970001</v>
      </c>
      <c r="BS12">
        <v>279.50000000059998</v>
      </c>
      <c r="BT12">
        <v>286.90000000100002</v>
      </c>
      <c r="BU12">
        <v>294.5</v>
      </c>
      <c r="BV12">
        <v>301.7</v>
      </c>
      <c r="BW12">
        <v>309.00000000109998</v>
      </c>
      <c r="BX12">
        <v>316.00000000070003</v>
      </c>
      <c r="BY12">
        <v>322.60000000129997</v>
      </c>
      <c r="BZ12">
        <v>329.40000000049997</v>
      </c>
      <c r="CA12">
        <v>336.10000000039997</v>
      </c>
      <c r="CB12">
        <v>343.00000000080001</v>
      </c>
      <c r="CC12">
        <v>350.00000000040001</v>
      </c>
      <c r="CD12">
        <v>356.40000000060002</v>
      </c>
      <c r="CE12">
        <v>362.80000000080003</v>
      </c>
      <c r="CF12">
        <v>369.00000000059998</v>
      </c>
      <c r="CG12">
        <v>374.9000000007</v>
      </c>
      <c r="CH12">
        <v>380.90000000010002</v>
      </c>
      <c r="CI12">
        <v>387.00000000059998</v>
      </c>
      <c r="CJ12">
        <v>393.1000000011</v>
      </c>
      <c r="CK12">
        <v>399.30000000090001</v>
      </c>
      <c r="CL12">
        <v>405.00000000070003</v>
      </c>
      <c r="CM12">
        <v>410.6000000011</v>
      </c>
      <c r="CN12">
        <v>416.10000000039997</v>
      </c>
      <c r="CO12">
        <v>421.40000000110001</v>
      </c>
      <c r="CP12">
        <v>426.60000000069999</v>
      </c>
      <c r="CQ12">
        <v>431.90000000139997</v>
      </c>
      <c r="CR12">
        <v>437.10000000100001</v>
      </c>
      <c r="CS12">
        <v>442.39999999989999</v>
      </c>
      <c r="CT12">
        <v>447.29999999979998</v>
      </c>
      <c r="CU12">
        <v>451.1000000002</v>
      </c>
      <c r="CV12">
        <v>452.69999999980001</v>
      </c>
      <c r="CW12">
        <v>452.80000000090001</v>
      </c>
      <c r="CX12">
        <v>452.80000000090001</v>
      </c>
      <c r="CY12">
        <v>452.80000000090001</v>
      </c>
      <c r="CZ12">
        <v>452.80000000090001</v>
      </c>
      <c r="DA12">
        <v>452.69999999980001</v>
      </c>
      <c r="DB12">
        <v>452.80000000090001</v>
      </c>
      <c r="DC12">
        <v>452.69999999980001</v>
      </c>
      <c r="DD12">
        <v>452.69999999980001</v>
      </c>
      <c r="DE12">
        <v>452.80000000090001</v>
      </c>
      <c r="DF12">
        <v>452.80000000090001</v>
      </c>
      <c r="DG12">
        <v>2.5999999998000001</v>
      </c>
      <c r="DH12">
        <v>2.2000000007999998</v>
      </c>
      <c r="DI12">
        <v>2.2000000007999998</v>
      </c>
      <c r="DJ12">
        <v>2.0999999997000001</v>
      </c>
      <c r="DK12">
        <v>2.0999999997000001</v>
      </c>
      <c r="DL12">
        <v>2.0999999997000001</v>
      </c>
      <c r="DM12">
        <v>2.0999999997000001</v>
      </c>
      <c r="DN12">
        <v>2.0999999997000001</v>
      </c>
      <c r="DO12">
        <v>2.0000000004</v>
      </c>
      <c r="DP12">
        <v>2.0000000004</v>
      </c>
      <c r="DQ12">
        <v>2.0000000004</v>
      </c>
      <c r="DR12">
        <v>1.9000000011</v>
      </c>
      <c r="DS12">
        <v>1.8</v>
      </c>
      <c r="DT12">
        <v>1.6000000014</v>
      </c>
      <c r="DU12">
        <v>1.2000000006</v>
      </c>
      <c r="DV12">
        <v>0.60000000119999997</v>
      </c>
      <c r="DW12">
        <v>1.8</v>
      </c>
      <c r="DX12">
        <v>5.6000000003999997</v>
      </c>
      <c r="DY12">
        <v>10.1000000013</v>
      </c>
      <c r="DZ12">
        <v>16.0000000014</v>
      </c>
      <c r="EA12">
        <v>23.000000001</v>
      </c>
      <c r="EB12">
        <v>30.200000001100001</v>
      </c>
      <c r="EC12">
        <v>37.800000000099999</v>
      </c>
      <c r="ED12">
        <v>45.4000000009</v>
      </c>
      <c r="EE12">
        <v>53.200000000300001</v>
      </c>
      <c r="EF12">
        <v>60.6000000007</v>
      </c>
      <c r="EG12">
        <v>67.800000000699995</v>
      </c>
      <c r="EH12">
        <v>75.3999999997</v>
      </c>
      <c r="EI12">
        <v>83.300000000200001</v>
      </c>
      <c r="EJ12">
        <v>91.400000001199999</v>
      </c>
      <c r="EK12">
        <v>99.700000000700001</v>
      </c>
      <c r="EL12">
        <v>108.400000001</v>
      </c>
      <c r="EM12">
        <v>117.0000000002</v>
      </c>
      <c r="EN12">
        <v>125.3000000015</v>
      </c>
      <c r="EO12">
        <v>133.60000000100001</v>
      </c>
      <c r="EP12">
        <v>141.9000000005</v>
      </c>
      <c r="EQ12">
        <v>150.3000000012</v>
      </c>
      <c r="ER12">
        <v>158.80000000109999</v>
      </c>
      <c r="ES12">
        <v>166.80000000090001</v>
      </c>
      <c r="ET12">
        <v>174.70000000140001</v>
      </c>
      <c r="EU12">
        <v>182.80000000050001</v>
      </c>
      <c r="EV12">
        <v>191.39999999969999</v>
      </c>
      <c r="EW12">
        <v>200.0000000007</v>
      </c>
      <c r="EX12">
        <v>208.09999999979999</v>
      </c>
      <c r="EY12">
        <v>216.00000000029999</v>
      </c>
      <c r="EZ12">
        <v>223.79999999980001</v>
      </c>
      <c r="FA12">
        <v>231.9000000007</v>
      </c>
      <c r="FB12">
        <v>239.9999999998</v>
      </c>
      <c r="FC12">
        <v>248.2</v>
      </c>
      <c r="FD12">
        <v>256.10000000050002</v>
      </c>
      <c r="FE12">
        <v>263.89999999989999</v>
      </c>
      <c r="FF12">
        <v>271.20000000099998</v>
      </c>
      <c r="FG12">
        <v>278.60000000150001</v>
      </c>
      <c r="FH12">
        <v>286.29999999979998</v>
      </c>
      <c r="FI12">
        <v>293.99999999990001</v>
      </c>
      <c r="FJ12">
        <v>301.5000000014</v>
      </c>
      <c r="FK12">
        <v>308.80000000069998</v>
      </c>
      <c r="FL12">
        <v>316.00000000070003</v>
      </c>
      <c r="FM12">
        <v>322.70000000060003</v>
      </c>
      <c r="FN12">
        <v>329.49999999980002</v>
      </c>
      <c r="FO12">
        <v>336.40000000010002</v>
      </c>
      <c r="FP12">
        <v>343.30000000050001</v>
      </c>
      <c r="FQ12">
        <v>350.3000000001</v>
      </c>
      <c r="FR12">
        <v>356.9000000007</v>
      </c>
      <c r="FS12">
        <v>363.30000000090001</v>
      </c>
      <c r="FT12">
        <v>369.6</v>
      </c>
      <c r="FU12">
        <v>375.50000000009999</v>
      </c>
      <c r="FV12">
        <v>381.60000000060001</v>
      </c>
      <c r="FW12">
        <v>387.6</v>
      </c>
      <c r="FX12">
        <v>393.70000000049998</v>
      </c>
      <c r="FY12">
        <v>399.80000000109999</v>
      </c>
      <c r="FZ12">
        <v>405.70000000120001</v>
      </c>
      <c r="GA12">
        <v>411.10000000119999</v>
      </c>
      <c r="GB12">
        <v>416.60000000050002</v>
      </c>
      <c r="GC12">
        <v>421.9000000012</v>
      </c>
      <c r="GD12">
        <v>426.90000000039998</v>
      </c>
      <c r="GE12">
        <v>432.00000000070003</v>
      </c>
      <c r="GF12">
        <v>437.10000000100001</v>
      </c>
      <c r="GG12">
        <v>441.8999999998</v>
      </c>
      <c r="GH12">
        <v>446.30000000140001</v>
      </c>
      <c r="GI12">
        <v>450.1</v>
      </c>
      <c r="GJ12">
        <v>452.30000000080003</v>
      </c>
      <c r="GK12">
        <v>452.69999999980001</v>
      </c>
      <c r="GL12">
        <v>452.69999999980001</v>
      </c>
      <c r="GM12">
        <v>452.80000000090001</v>
      </c>
      <c r="GN12">
        <v>452.69999999980001</v>
      </c>
      <c r="GO12">
        <v>452.69999999980001</v>
      </c>
      <c r="GP12">
        <v>452.69999999980001</v>
      </c>
      <c r="GQ12">
        <v>452.80000000090001</v>
      </c>
      <c r="GR12">
        <v>452.80000000090001</v>
      </c>
      <c r="GS12">
        <v>452.90000000020001</v>
      </c>
      <c r="GT12">
        <v>452.90000000020001</v>
      </c>
      <c r="GU12">
        <v>452.90000000020001</v>
      </c>
      <c r="GV12">
        <v>452.80000000090001</v>
      </c>
      <c r="GW12">
        <v>1</v>
      </c>
      <c r="GX12">
        <v>107.3000000015</v>
      </c>
      <c r="GY12">
        <v>102.3999999998</v>
      </c>
      <c r="GZ12">
        <v>102.3999999998</v>
      </c>
      <c r="HA12">
        <v>117.0000000002</v>
      </c>
      <c r="HB12">
        <v>105.9367561001</v>
      </c>
      <c r="HC12">
        <v>-14.6000000004</v>
      </c>
      <c r="HD12">
        <v>452.80000000090001</v>
      </c>
      <c r="HE12">
        <v>298.2760627152</v>
      </c>
      <c r="HF12">
        <v>87.479584849899993</v>
      </c>
      <c r="HG12">
        <v>452.90000000020001</v>
      </c>
      <c r="HH12">
        <v>452.90000000020001</v>
      </c>
      <c r="HI12">
        <v>452.80000000090001</v>
      </c>
      <c r="HJ12">
        <v>452.90000000020001</v>
      </c>
      <c r="HK12">
        <v>114.9560117302</v>
      </c>
      <c r="HL12">
        <v>3.3794232835</v>
      </c>
      <c r="HM12">
        <v>3.2553228890999999</v>
      </c>
      <c r="HN12">
        <v>3.2973658484000001</v>
      </c>
      <c r="HO12">
        <v>3.2943390985000001</v>
      </c>
      <c r="HP12">
        <v>3.5763357231000001</v>
      </c>
      <c r="HQ12">
        <v>2.3178207666000001</v>
      </c>
      <c r="HR12">
        <v>18.457171250199998</v>
      </c>
      <c r="HS12">
        <v>-25.806451612899998</v>
      </c>
      <c r="HT12">
        <v>-176</v>
      </c>
      <c r="HU12">
        <v>404.2128188154</v>
      </c>
      <c r="HV12">
        <v>91.495601172999997</v>
      </c>
      <c r="HW12">
        <v>624</v>
      </c>
      <c r="HX12">
        <v>18.457171250199998</v>
      </c>
      <c r="HY12">
        <v>-25.806451612899998</v>
      </c>
      <c r="HZ12">
        <v>-176</v>
      </c>
      <c r="IA12">
        <v>404.2128188154</v>
      </c>
      <c r="IB12">
        <v>91.495601172999997</v>
      </c>
      <c r="IC12">
        <v>624</v>
      </c>
      <c r="ID12">
        <v>48.687181184899998</v>
      </c>
      <c r="IE12">
        <v>0.3345257827</v>
      </c>
      <c r="IF12">
        <v>-35.190615835800003</v>
      </c>
      <c r="IG12">
        <v>-240</v>
      </c>
      <c r="IH12">
        <v>426.15233521070002</v>
      </c>
      <c r="II12">
        <v>100.87976539589999</v>
      </c>
      <c r="IJ12">
        <v>688</v>
      </c>
      <c r="IK12">
        <v>385.75564756509999</v>
      </c>
      <c r="IL12">
        <v>117.3020527859</v>
      </c>
      <c r="IM12">
        <v>408.29431378949999</v>
      </c>
      <c r="IN12">
        <v>126.6862170088</v>
      </c>
      <c r="IO12">
        <v>6.9999999996</v>
      </c>
      <c r="IP12">
        <v>5.4999999992999999</v>
      </c>
      <c r="IQ12">
        <v>8.8000000014000008</v>
      </c>
      <c r="IR12">
        <v>6.2305140042999998</v>
      </c>
      <c r="IS12">
        <v>6.2305140042999998</v>
      </c>
      <c r="IT12">
        <v>12.3999999996</v>
      </c>
      <c r="IU12">
        <v>-25.806451612899998</v>
      </c>
      <c r="IV12">
        <v>15.199999999799999</v>
      </c>
      <c r="IW12">
        <v>23.460410557199999</v>
      </c>
      <c r="IX12">
        <v>11.300000000100001</v>
      </c>
      <c r="IY12">
        <v>98.533724340199996</v>
      </c>
      <c r="IZ12">
        <v>-31.493698750699998</v>
      </c>
      <c r="JA12">
        <v>0.32295095419999997</v>
      </c>
      <c r="JB12">
        <v>-3.1205270000000002E-4</v>
      </c>
      <c r="JC12">
        <v>6.581E-7</v>
      </c>
      <c r="JD12">
        <v>0.29590847790000002</v>
      </c>
      <c r="JE12">
        <v>0.25861491930000002</v>
      </c>
      <c r="JF12">
        <v>0.1017768076</v>
      </c>
      <c r="JG12">
        <v>106.4331825897</v>
      </c>
      <c r="JH12">
        <v>3.5763357231000001</v>
      </c>
      <c r="JI12">
        <v>2.7486324000000001E-3</v>
      </c>
      <c r="JJ12">
        <v>-7.01388E-5</v>
      </c>
      <c r="JK12">
        <v>3.3794232835</v>
      </c>
      <c r="JL12">
        <v>1.3979558760999999</v>
      </c>
      <c r="JM12">
        <v>0.56485147970000005</v>
      </c>
      <c r="JN12" t="s">
        <v>545</v>
      </c>
      <c r="JQ12">
        <v>1</v>
      </c>
    </row>
    <row r="13" spans="1:277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544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1.1999999988000001</v>
      </c>
      <c r="R13">
        <v>2.3999999993999999</v>
      </c>
      <c r="S13">
        <v>2.4999999986999999</v>
      </c>
      <c r="T13">
        <v>2.3999999993999999</v>
      </c>
      <c r="U13">
        <v>2.4999999986999999</v>
      </c>
      <c r="V13">
        <v>2.4999999986999999</v>
      </c>
      <c r="W13">
        <v>2.4999999986999999</v>
      </c>
      <c r="X13">
        <v>2.5999999998000001</v>
      </c>
      <c r="Y13">
        <v>2.4999999986999999</v>
      </c>
      <c r="Z13">
        <v>2.6999999991000001</v>
      </c>
      <c r="AA13">
        <v>2.3999999993999999</v>
      </c>
      <c r="AB13">
        <v>1.8</v>
      </c>
      <c r="AC13">
        <v>1.3999999992000001</v>
      </c>
      <c r="AD13">
        <v>1.1999999988000001</v>
      </c>
      <c r="AE13">
        <v>0.89999999909999995</v>
      </c>
      <c r="AF13">
        <v>0.39999999899999999</v>
      </c>
      <c r="AG13">
        <v>0</v>
      </c>
      <c r="AH13">
        <v>1.0999999995</v>
      </c>
      <c r="AI13">
        <v>4.3999999998000003</v>
      </c>
      <c r="AJ13">
        <v>10.4999999985</v>
      </c>
      <c r="AK13">
        <v>17.299999999499999</v>
      </c>
      <c r="AL13">
        <v>23.699999999700001</v>
      </c>
      <c r="AM13">
        <v>30.799999998600001</v>
      </c>
      <c r="AN13">
        <v>37.699999998899997</v>
      </c>
      <c r="AO13">
        <v>44.799999999699999</v>
      </c>
      <c r="AP13">
        <v>52.499999999800004</v>
      </c>
      <c r="AQ13">
        <v>60.799999999299999</v>
      </c>
      <c r="AR13">
        <v>68.899999998400006</v>
      </c>
      <c r="AS13">
        <v>76.299999998800004</v>
      </c>
      <c r="AT13">
        <v>84.099999998200005</v>
      </c>
      <c r="AU13">
        <v>91.499999998600003</v>
      </c>
      <c r="AV13">
        <v>98.999999998299998</v>
      </c>
      <c r="AW13">
        <v>107.9999999984</v>
      </c>
      <c r="AX13">
        <v>117.0999999995</v>
      </c>
      <c r="AY13">
        <v>125.0999999993</v>
      </c>
      <c r="AZ13">
        <v>133.19999999839999</v>
      </c>
      <c r="BA13">
        <v>141.39999999860001</v>
      </c>
      <c r="BB13">
        <v>148.89999999829999</v>
      </c>
      <c r="BC13">
        <v>157.3999999982</v>
      </c>
      <c r="BD13">
        <v>166.1999999997</v>
      </c>
      <c r="BE13">
        <v>174.69999999960001</v>
      </c>
      <c r="BF13">
        <v>182.49999999900001</v>
      </c>
      <c r="BG13">
        <v>190.29999999840001</v>
      </c>
      <c r="BH13">
        <v>197.89999999919999</v>
      </c>
      <c r="BI13">
        <v>206.19999999870001</v>
      </c>
      <c r="BJ13">
        <v>214.79999999969999</v>
      </c>
      <c r="BK13">
        <v>223.29999999969999</v>
      </c>
      <c r="BL13">
        <v>230.9999999998</v>
      </c>
      <c r="BM13">
        <v>238.89999999849999</v>
      </c>
      <c r="BN13">
        <v>246.29999999890001</v>
      </c>
      <c r="BO13">
        <v>253.69999999929999</v>
      </c>
      <c r="BP13">
        <v>261.69999999909999</v>
      </c>
      <c r="BQ13">
        <v>269.9999999986</v>
      </c>
      <c r="BR13">
        <v>277.59999999939998</v>
      </c>
      <c r="BS13">
        <v>284.89999999870003</v>
      </c>
      <c r="BT13">
        <v>292.49999999959999</v>
      </c>
      <c r="BU13">
        <v>299.19999999949999</v>
      </c>
      <c r="BV13">
        <v>305.99999999869999</v>
      </c>
      <c r="BW13">
        <v>313.69999999880002</v>
      </c>
      <c r="BX13">
        <v>321.3999999989</v>
      </c>
      <c r="BY13">
        <v>328.0999999988</v>
      </c>
      <c r="BZ13">
        <v>334.7999999987</v>
      </c>
      <c r="CA13">
        <v>341.5999999997</v>
      </c>
      <c r="CB13">
        <v>347.7999999996</v>
      </c>
      <c r="CC13">
        <v>353.79999999900002</v>
      </c>
      <c r="CD13">
        <v>360.29999999850003</v>
      </c>
      <c r="CE13">
        <v>367.39999999920002</v>
      </c>
      <c r="CF13">
        <v>374.19999999840002</v>
      </c>
      <c r="CG13">
        <v>380.09999999849998</v>
      </c>
      <c r="CH13">
        <v>386.0999999997</v>
      </c>
      <c r="CI13">
        <v>392.19999999840002</v>
      </c>
      <c r="CJ13">
        <v>397.89999999989999</v>
      </c>
      <c r="CK13">
        <v>403.29999999990002</v>
      </c>
      <c r="CL13">
        <v>408.89999999849999</v>
      </c>
      <c r="CM13">
        <v>414.9999999991</v>
      </c>
      <c r="CN13">
        <v>421.19999999890001</v>
      </c>
      <c r="CO13">
        <v>426.49999999959999</v>
      </c>
      <c r="CP13">
        <v>431.69999999919997</v>
      </c>
      <c r="CQ13">
        <v>436.99999999990001</v>
      </c>
      <c r="CR13">
        <v>442.39999999989999</v>
      </c>
      <c r="CS13">
        <v>446.99999999829998</v>
      </c>
      <c r="CT13">
        <v>451.09999999839999</v>
      </c>
      <c r="CU13">
        <v>454.09999999899998</v>
      </c>
      <c r="CV13">
        <v>454.89999999880001</v>
      </c>
      <c r="CW13">
        <v>454.89999999880001</v>
      </c>
      <c r="CX13">
        <v>454.89999999880001</v>
      </c>
      <c r="CY13">
        <v>454.99999999990001</v>
      </c>
      <c r="CZ13">
        <v>454.99999999990001</v>
      </c>
      <c r="DA13">
        <v>454.99999999990001</v>
      </c>
      <c r="DB13">
        <v>455.09999999920001</v>
      </c>
      <c r="DC13">
        <v>455.09999999920001</v>
      </c>
      <c r="DD13">
        <v>455.1999999985</v>
      </c>
      <c r="DE13">
        <v>455.09999999920001</v>
      </c>
      <c r="DF13">
        <v>455.1999999985</v>
      </c>
      <c r="DG13">
        <v>3.1999999992000001</v>
      </c>
      <c r="DH13">
        <v>3.6999999993000001</v>
      </c>
      <c r="DI13">
        <v>3.6999999993000001</v>
      </c>
      <c r="DJ13">
        <v>3.7999999986000002</v>
      </c>
      <c r="DK13">
        <v>3.7999999986000002</v>
      </c>
      <c r="DL13">
        <v>3.7999999986000002</v>
      </c>
      <c r="DM13">
        <v>3.7999999986000002</v>
      </c>
      <c r="DN13">
        <v>3.6999999993000001</v>
      </c>
      <c r="DO13">
        <v>3.6999999993000001</v>
      </c>
      <c r="DP13">
        <v>3.6</v>
      </c>
      <c r="DQ13">
        <v>3.0999999999000001</v>
      </c>
      <c r="DR13">
        <v>2.3999999993999999</v>
      </c>
      <c r="DS13">
        <v>2.1999999990000001</v>
      </c>
      <c r="DT13">
        <v>1.8</v>
      </c>
      <c r="DU13">
        <v>1.3999999992000001</v>
      </c>
      <c r="DV13">
        <v>1.2999999999</v>
      </c>
      <c r="DW13">
        <v>3.1999999992000001</v>
      </c>
      <c r="DX13">
        <v>8.0999999990999996</v>
      </c>
      <c r="DY13">
        <v>14.9999999994</v>
      </c>
      <c r="DZ13">
        <v>21.599999998200001</v>
      </c>
      <c r="EA13">
        <v>28.699999998900001</v>
      </c>
      <c r="EB13">
        <v>35.599999999200001</v>
      </c>
      <c r="EC13">
        <v>42.4999999996</v>
      </c>
      <c r="ED13">
        <v>50.199999999699997</v>
      </c>
      <c r="EE13">
        <v>58.399999999899997</v>
      </c>
      <c r="EF13">
        <v>66.599999998300007</v>
      </c>
      <c r="EG13">
        <v>73.999999998700005</v>
      </c>
      <c r="EH13">
        <v>81.799999999899995</v>
      </c>
      <c r="EI13">
        <v>88.899999998799998</v>
      </c>
      <c r="EJ13">
        <v>96.499999999699995</v>
      </c>
      <c r="EK13">
        <v>105.2999999993</v>
      </c>
      <c r="EL13">
        <v>114.39999999859999</v>
      </c>
      <c r="EM13">
        <v>122.6999999999</v>
      </c>
      <c r="EN13">
        <v>130.89999999829999</v>
      </c>
      <c r="EO13">
        <v>138.69999999949999</v>
      </c>
      <c r="EP13">
        <v>146.3999999996</v>
      </c>
      <c r="EQ13">
        <v>155.2999999985</v>
      </c>
      <c r="ER13">
        <v>164.2999999985</v>
      </c>
      <c r="ES13">
        <v>172.39999999950001</v>
      </c>
      <c r="ET13">
        <v>180.19999999890001</v>
      </c>
      <c r="EU13">
        <v>187.89999999899999</v>
      </c>
      <c r="EV13">
        <v>195.69999999839999</v>
      </c>
      <c r="EW13">
        <v>203.99999999970001</v>
      </c>
      <c r="EX13">
        <v>212.99999999970001</v>
      </c>
      <c r="EY13">
        <v>221.2999999992</v>
      </c>
      <c r="EZ13">
        <v>229.19999999980001</v>
      </c>
      <c r="FA13">
        <v>237.09999999850001</v>
      </c>
      <c r="FB13">
        <v>244.2999999985</v>
      </c>
      <c r="FC13">
        <v>251.9999999986</v>
      </c>
      <c r="FD13">
        <v>260.49999999850002</v>
      </c>
      <c r="FE13">
        <v>268.89999999909998</v>
      </c>
      <c r="FF13">
        <v>276.29999999950002</v>
      </c>
      <c r="FG13">
        <v>283.7</v>
      </c>
      <c r="FH13">
        <v>290.89999999999998</v>
      </c>
      <c r="FI13">
        <v>297.79999999850003</v>
      </c>
      <c r="FJ13">
        <v>305.09999999960002</v>
      </c>
      <c r="FK13">
        <v>312.89999999899999</v>
      </c>
      <c r="FL13">
        <v>320.59999999910002</v>
      </c>
      <c r="FM13">
        <v>327.49999999940002</v>
      </c>
      <c r="FN13">
        <v>334.29999999860001</v>
      </c>
      <c r="FO13">
        <v>341.19999999890001</v>
      </c>
      <c r="FP13">
        <v>347.39999999870003</v>
      </c>
      <c r="FQ13">
        <v>353.69999999970003</v>
      </c>
      <c r="FR13">
        <v>360.89999999970001</v>
      </c>
      <c r="FS13">
        <v>367.69999999890001</v>
      </c>
      <c r="FT13">
        <v>374.09999999910002</v>
      </c>
      <c r="FU13">
        <v>380.09999999849998</v>
      </c>
      <c r="FV13">
        <v>386.0999999997</v>
      </c>
      <c r="FW13">
        <v>392.19999999840002</v>
      </c>
      <c r="FX13">
        <v>397.59999999839999</v>
      </c>
      <c r="FY13">
        <v>402.99999999840003</v>
      </c>
      <c r="FZ13">
        <v>409.39999999859998</v>
      </c>
      <c r="GA13">
        <v>415.49999999919999</v>
      </c>
      <c r="GB13">
        <v>420.89999999920002</v>
      </c>
      <c r="GC13">
        <v>426.2999999992</v>
      </c>
      <c r="GD13">
        <v>431.29999999839998</v>
      </c>
      <c r="GE13">
        <v>436.39999999870003</v>
      </c>
      <c r="GF13">
        <v>441.49999999900001</v>
      </c>
      <c r="GG13">
        <v>445.79999999950002</v>
      </c>
      <c r="GH13">
        <v>449.69999999919997</v>
      </c>
      <c r="GI13">
        <v>453.1999999999</v>
      </c>
      <c r="GJ13">
        <v>454.89999999880001</v>
      </c>
      <c r="GK13">
        <v>454.89999999880001</v>
      </c>
      <c r="GL13">
        <v>454.89999999880001</v>
      </c>
      <c r="GM13">
        <v>454.89999999880001</v>
      </c>
      <c r="GN13">
        <v>454.99999999990001</v>
      </c>
      <c r="GO13">
        <v>454.99999999990001</v>
      </c>
      <c r="GP13">
        <v>455.09999999920001</v>
      </c>
      <c r="GQ13">
        <v>455.09999999920001</v>
      </c>
      <c r="GR13">
        <v>455.09999999920001</v>
      </c>
      <c r="GS13">
        <v>455.1999999985</v>
      </c>
      <c r="GT13">
        <v>455.1999999985</v>
      </c>
      <c r="GU13">
        <v>455.1999999985</v>
      </c>
      <c r="GV13">
        <v>455.1999999985</v>
      </c>
      <c r="GW13">
        <v>1</v>
      </c>
      <c r="GX13">
        <v>113.60000000060001</v>
      </c>
      <c r="GY13">
        <v>107.9999999984</v>
      </c>
      <c r="GZ13">
        <v>107.9999999984</v>
      </c>
      <c r="HA13">
        <v>122.6999999999</v>
      </c>
      <c r="HB13">
        <v>111.7250549196</v>
      </c>
      <c r="HC13">
        <v>-14.700000001499999</v>
      </c>
      <c r="HD13">
        <v>455.1999999985</v>
      </c>
      <c r="HE13">
        <v>302.54744068590003</v>
      </c>
      <c r="HF13">
        <v>93.849044375399998</v>
      </c>
      <c r="HG13">
        <v>455.1999999985</v>
      </c>
      <c r="HH13">
        <v>455.1999999985</v>
      </c>
      <c r="HI13">
        <v>455.1999999985</v>
      </c>
      <c r="HJ13">
        <v>455.1999999985</v>
      </c>
      <c r="HK13">
        <v>114.9560117302</v>
      </c>
      <c r="HL13">
        <v>3.3495919804000001</v>
      </c>
      <c r="HM13">
        <v>3.2356988095000001</v>
      </c>
      <c r="HN13">
        <v>3.2726154088000001</v>
      </c>
      <c r="HO13">
        <v>3.2231697029999999</v>
      </c>
      <c r="HP13">
        <v>3.5497547301000001</v>
      </c>
      <c r="HQ13">
        <v>2.2414418406999999</v>
      </c>
      <c r="HR13">
        <v>17.876010544300001</v>
      </c>
      <c r="HS13">
        <v>-28.152492668600001</v>
      </c>
      <c r="HT13">
        <v>-192</v>
      </c>
      <c r="HU13">
        <v>414.2724956056</v>
      </c>
      <c r="HV13">
        <v>93.841642228699996</v>
      </c>
      <c r="HW13">
        <v>640</v>
      </c>
      <c r="HX13">
        <v>17.876010544300001</v>
      </c>
      <c r="HY13">
        <v>-28.152492668600001</v>
      </c>
      <c r="HZ13">
        <v>-192</v>
      </c>
      <c r="IA13">
        <v>414.2724956056</v>
      </c>
      <c r="IB13">
        <v>93.841642228699996</v>
      </c>
      <c r="IC13">
        <v>640</v>
      </c>
      <c r="ID13">
        <v>40.927504392899998</v>
      </c>
      <c r="IE13">
        <v>1.12478032E-2</v>
      </c>
      <c r="IF13">
        <v>-37.536656891500002</v>
      </c>
      <c r="IG13">
        <v>-256</v>
      </c>
      <c r="IH13">
        <v>435.8834688037</v>
      </c>
      <c r="II13">
        <v>103.22580645159999</v>
      </c>
      <c r="IJ13">
        <v>704</v>
      </c>
      <c r="IK13">
        <v>396.39648506129998</v>
      </c>
      <c r="IL13">
        <v>121.9941348974</v>
      </c>
      <c r="IM13">
        <v>420.81644332100001</v>
      </c>
      <c r="IN13">
        <v>131.37829912020001</v>
      </c>
      <c r="IO13">
        <v>6.9000000003000004</v>
      </c>
      <c r="IP13">
        <v>5.4</v>
      </c>
      <c r="IQ13">
        <v>9.1000000010999997</v>
      </c>
      <c r="IR13">
        <v>6.0456531651000001</v>
      </c>
      <c r="IS13">
        <v>6.0456531651000001</v>
      </c>
      <c r="IT13">
        <v>11.0999999997</v>
      </c>
      <c r="IU13">
        <v>-30.4985337243</v>
      </c>
      <c r="IV13">
        <v>15.4000000002</v>
      </c>
      <c r="IW13">
        <v>-2.3460410557000002</v>
      </c>
      <c r="IX13">
        <v>10.0999999995</v>
      </c>
      <c r="IY13">
        <v>100.87976539589999</v>
      </c>
      <c r="IZ13">
        <v>-33.6344458226</v>
      </c>
      <c r="JA13">
        <v>0.33002171289999999</v>
      </c>
      <c r="JB13">
        <v>-3.339835E-4</v>
      </c>
      <c r="JC13">
        <v>6.7680000000000003E-7</v>
      </c>
      <c r="JD13">
        <v>0.29854382439999999</v>
      </c>
      <c r="JE13">
        <v>0.31465962079999998</v>
      </c>
      <c r="JF13">
        <v>0.11710301200000001</v>
      </c>
      <c r="JG13">
        <v>112.2201065916</v>
      </c>
      <c r="JH13">
        <v>3.5497547301000001</v>
      </c>
      <c r="JI13">
        <v>2.8530997999999998E-3</v>
      </c>
      <c r="JJ13">
        <v>-6.9790999999999996E-5</v>
      </c>
      <c r="JK13">
        <v>3.3495919804000001</v>
      </c>
      <c r="JL13">
        <v>1.7718668021999999</v>
      </c>
      <c r="JM13">
        <v>0.58160362269999999</v>
      </c>
      <c r="JN13" t="s">
        <v>545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70.469096850100001</v>
      </c>
      <c r="D16" s="9">
        <f>AVERAGE(C18:C20)</f>
        <v>65.954071073599991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64.310227896000001</v>
      </c>
      <c r="D17" s="9">
        <f>AVERAGE(C21:C23)</f>
        <v>68.630280751933341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63.068425950799998</v>
      </c>
      <c r="D18" s="11">
        <f>AVERAGE(C24:C26)</f>
        <v>71.949484086966663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67.71928704039999</v>
      </c>
      <c r="D19" s="6">
        <f>AVERAGE('Summary(3pcs)'!E34:E35)</f>
        <v>140.07904564983789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67.074500229600005</v>
      </c>
      <c r="D20" s="9">
        <f>AVERAGE('Summary(3pcs)'!E36:E38)</f>
        <v>150.65468126750457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72.602580372600002</v>
      </c>
      <c r="D21" s="9">
        <f>AVERAGE('Summary(3pcs)'!E39:E41)</f>
        <v>150.93401328167124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67.728895792200007</v>
      </c>
      <c r="D22" s="11">
        <f>AVERAGE('Summary(3pcs)'!E42:E44)</f>
        <v>141.97574806840456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65.559366091000001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76.108949529399993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70.7735758667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68.965926864799997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-9.3126354081000002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-13.9634347405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-3.9168761097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-7.6849158750999997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-14.2266181506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-9.6859271073999995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3.4792374891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-5.6631800601000002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-8.7194655333500002</v>
      </c>
      <c r="C39" s="5">
        <f>'Summary(3pcs)'!M34</f>
        <v>-9.3126354081000002</v>
      </c>
      <c r="D39" s="11">
        <f t="shared" si="0"/>
        <v>-12.377703394799999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-13.9634347405</v>
      </c>
      <c r="D40" s="6">
        <f t="shared" si="0"/>
        <v>-9.9347113114999992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-3.9168761097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-7.6849158750999997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-6.5241219572500002</v>
      </c>
      <c r="C43" s="8">
        <f>'Summary(3pcs)'!M39</f>
        <v>-14.2266181506</v>
      </c>
      <c r="D43" s="6">
        <f t="shared" ref="D43:D54" si="2">C55</f>
        <v>-2.2826621155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-9.6859271073999995</v>
      </c>
      <c r="D44" s="9">
        <f t="shared" si="2"/>
        <v>-0.25146608910000001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3.4792374891</v>
      </c>
      <c r="D45" s="11">
        <f t="shared" si="2"/>
        <v>5.1687774937000004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-5.6631800601000002</v>
      </c>
      <c r="D46" s="6">
        <f t="shared" si="2"/>
        <v>9.2231632380999997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-12.377703394799999</v>
      </c>
      <c r="D47" s="9">
        <f t="shared" si="2"/>
        <v>8.4126674572000013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-9.9347113114999992</v>
      </c>
      <c r="D48" s="11">
        <f t="shared" si="2"/>
        <v>6.6027088959000002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-2.9901288268000004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-2.5989700042999999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7.2446605490999998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-5.8009551489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2.9644531318</v>
      </c>
      <c r="C55" s="5">
        <f>'Summary(3pcs)'!N34</f>
        <v>-2.2826621155</v>
      </c>
      <c r="D55" s="6">
        <f>AVERAGE(D31:D33)</f>
        <v>-9.0643154194333331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-0.25146608910000001</v>
      </c>
      <c r="D56" s="9">
        <f>AVERAGE(D34:D36)</f>
        <v>-10.532487044366666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5.1687774937000004</v>
      </c>
      <c r="D57" s="9">
        <f>AVERAGE(D37:D39)</f>
        <v>-4.8538819886000004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9.2231632380999997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2.3565693805000008</v>
      </c>
      <c r="C59" s="8">
        <f>'Summary(3pcs)'!N39</f>
        <v>8.4126674572000013</v>
      </c>
      <c r="D59" s="9">
        <f>AVERAGE(D43:D45)</f>
        <v>0.87821642970000013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6.6027088959000002</v>
      </c>
      <c r="D60" s="9">
        <f>AVERAGE(D46:D48)</f>
        <v>8.0795131970666674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-2.9901288268000004</v>
      </c>
      <c r="D61" s="9">
        <f>AVERAGE(D49:D51)</f>
        <v>0.55185390599999984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-2.5989700042999999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7.2446605490999998</v>
      </c>
      <c r="D63" s="6">
        <f>AVERAGE(C71:C73)</f>
        <v>-0.31121722859999973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-5.8009551489</v>
      </c>
      <c r="D64" s="9">
        <f>AVERAGE(C74:C76)</f>
        <v>1.5449732144666664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-0.51115004220000004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-0.4765823682333335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4.6264324187999994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4.2783691088666664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2.7561471462333333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6.7417558034333327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-4.7731521130000001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2.2317409515000008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1.6077594757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0.15918302539999996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1.4711513518999997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3.0045852660999994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-3.7084503174000001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-4.5078706740999994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6.6828708648999999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5.7322397231999993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-5.8188443184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-1.3431425094999998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1.7422633170999999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7.6879959105999998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4.4490380287000004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4.0745458602999998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0.6718525887000002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8.0887088776000002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-0.75162887569999981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9.6683740600000068E-2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8.9233865738000002</v>
      </c>
    </row>
    <row r="96" spans="1:7">
      <c r="A96" s="1" t="s">
        <v>87</v>
      </c>
      <c r="C96" s="5">
        <f>'Summary(3pcs)'!W43</f>
        <v>6.0702171325999998</v>
      </c>
    </row>
    <row r="97" spans="1:3">
      <c r="A97" s="1" t="s">
        <v>87</v>
      </c>
      <c r="C97" s="8">
        <f>'Summary(3pcs)'!W44</f>
        <v>6.9636650084999996</v>
      </c>
    </row>
    <row r="98" spans="1:3" ht="17.25" thickBot="1">
      <c r="A98" s="1" t="s">
        <v>87</v>
      </c>
      <c r="C98" s="10">
        <f>'Summary(3pcs)'!W45</f>
        <v>7.1913852691999995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