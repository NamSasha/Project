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1570" windowHeight="7980" activeTab="2"/>
  </bookViews>
  <sheets>
    <sheet name="History" sheetId="10" r:id="rId1"/>
    <sheet name="File location" sheetId="8" r:id="rId2"/>
    <sheet name="Summary(3pcs)" sheetId="1" r:id="rId3"/>
    <sheet name="OC" sheetId="6" r:id="rId4"/>
    <sheet name="FPDC" sheetId="3" r:id="rId5"/>
    <sheet name="IPQC" sheetId="5" r:id="rId6"/>
    <sheet name="VCM" sheetId="4" r:id="rId7"/>
    <sheet name="전산등록" sheetId="7" r:id="rId8"/>
    <sheet name="Tester offset" sheetId="9" r:id="rId9"/>
  </sheets>
  <externalReferences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N43" i="1" l="1"/>
  <c r="N41" i="1"/>
  <c r="W39" i="1"/>
  <c r="N35" i="1" l="1"/>
  <c r="N36" i="1"/>
  <c r="L39" i="1" l="1"/>
  <c r="B41" i="1"/>
  <c r="U44" i="1"/>
  <c r="L45" i="1"/>
  <c r="B44" i="1"/>
  <c r="N42" i="1"/>
  <c r="P41" i="1" s="1"/>
  <c r="V40" i="1" l="1"/>
  <c r="V36" i="1" l="1"/>
  <c r="L43" i="1" l="1"/>
  <c r="U43" i="1"/>
  <c r="U41" i="1"/>
  <c r="B39" i="1"/>
  <c r="U40" i="1"/>
  <c r="B42" i="1"/>
  <c r="L42" i="1"/>
  <c r="B40" i="1"/>
  <c r="L37" i="1"/>
  <c r="I66" i="1" l="1"/>
  <c r="I65" i="1"/>
  <c r="I64" i="1"/>
  <c r="I63" i="1"/>
  <c r="I62" i="1"/>
  <c r="I61" i="1"/>
  <c r="I60" i="1"/>
  <c r="I59" i="1"/>
  <c r="I58" i="1"/>
  <c r="I57" i="1"/>
  <c r="I56" i="1"/>
  <c r="I55" i="1"/>
  <c r="U36" i="1" l="1"/>
  <c r="P56" i="1"/>
  <c r="W36" i="1"/>
  <c r="Q56" i="1" s="1"/>
  <c r="U37" i="1"/>
  <c r="V37" i="1"/>
  <c r="P57" i="1" s="1"/>
  <c r="W37" i="1"/>
  <c r="Q57" i="1" s="1"/>
  <c r="U38" i="1"/>
  <c r="V38" i="1"/>
  <c r="P58" i="1" s="1"/>
  <c r="W38" i="1"/>
  <c r="Q58" i="1" s="1"/>
  <c r="U39" i="1"/>
  <c r="V39" i="1"/>
  <c r="P59" i="1" s="1"/>
  <c r="Q59" i="1"/>
  <c r="P60" i="1"/>
  <c r="W40" i="1"/>
  <c r="Q60" i="1" s="1"/>
  <c r="V41" i="1"/>
  <c r="P61" i="1" s="1"/>
  <c r="W41" i="1"/>
  <c r="Q61" i="1" s="1"/>
  <c r="U42" i="1"/>
  <c r="V42" i="1"/>
  <c r="P62" i="1" s="1"/>
  <c r="W42" i="1"/>
  <c r="Q62" i="1" s="1"/>
  <c r="V43" i="1"/>
  <c r="P63" i="1" s="1"/>
  <c r="W43" i="1"/>
  <c r="Q63" i="1" s="1"/>
  <c r="V44" i="1"/>
  <c r="P64" i="1" s="1"/>
  <c r="W44" i="1"/>
  <c r="Q64" i="1" s="1"/>
  <c r="U45" i="1"/>
  <c r="V45" i="1"/>
  <c r="P65" i="1" s="1"/>
  <c r="W45" i="1"/>
  <c r="Q65" i="1" s="1"/>
  <c r="U46" i="1"/>
  <c r="V46" i="1"/>
  <c r="P66" i="1" s="1"/>
  <c r="W46" i="1"/>
  <c r="Q66" i="1" s="1"/>
  <c r="W35" i="1"/>
  <c r="Q55" i="1" s="1"/>
  <c r="V35" i="1"/>
  <c r="P55" i="1" s="1"/>
  <c r="U35" i="1"/>
  <c r="L36" i="1"/>
  <c r="M36" i="1"/>
  <c r="N56" i="1" s="1"/>
  <c r="O56" i="1"/>
  <c r="M37" i="1"/>
  <c r="N57" i="1" s="1"/>
  <c r="N37" i="1"/>
  <c r="O57" i="1" s="1"/>
  <c r="L38" i="1"/>
  <c r="M38" i="1"/>
  <c r="N58" i="1" s="1"/>
  <c r="N38" i="1"/>
  <c r="M39" i="1"/>
  <c r="N59" i="1" s="1"/>
  <c r="N39" i="1"/>
  <c r="O59" i="1" s="1"/>
  <c r="L40" i="1"/>
  <c r="M40" i="1"/>
  <c r="N60" i="1" s="1"/>
  <c r="N40" i="1"/>
  <c r="O60" i="1" s="1"/>
  <c r="L41" i="1"/>
  <c r="M41" i="1"/>
  <c r="N61" i="1" s="1"/>
  <c r="O61" i="1"/>
  <c r="M42" i="1"/>
  <c r="N62" i="1" s="1"/>
  <c r="O62" i="1"/>
  <c r="M43" i="1"/>
  <c r="N63" i="1" s="1"/>
  <c r="O63" i="1"/>
  <c r="L44" i="1"/>
  <c r="M44" i="1"/>
  <c r="N64" i="1" s="1"/>
  <c r="N44" i="1"/>
  <c r="O64" i="1" s="1"/>
  <c r="M45" i="1"/>
  <c r="N65" i="1" s="1"/>
  <c r="N45" i="1"/>
  <c r="O65" i="1" s="1"/>
  <c r="L46" i="1"/>
  <c r="M46" i="1"/>
  <c r="N66" i="1" s="1"/>
  <c r="N46" i="1"/>
  <c r="O66" i="1" s="1"/>
  <c r="O55" i="1"/>
  <c r="M35" i="1"/>
  <c r="L35" i="1"/>
  <c r="B36" i="1"/>
  <c r="C36" i="1"/>
  <c r="D36" i="1"/>
  <c r="L56" i="1" s="1"/>
  <c r="B37" i="1"/>
  <c r="C37" i="1"/>
  <c r="D37" i="1"/>
  <c r="L57" i="1" s="1"/>
  <c r="B38" i="1"/>
  <c r="C38" i="1"/>
  <c r="D38" i="1"/>
  <c r="L58" i="1" s="1"/>
  <c r="C39" i="1"/>
  <c r="K59" i="1" s="1"/>
  <c r="D39" i="1"/>
  <c r="L59" i="1" s="1"/>
  <c r="C40" i="1"/>
  <c r="D40" i="1"/>
  <c r="L60" i="1" s="1"/>
  <c r="C41" i="1"/>
  <c r="K61" i="1" s="1"/>
  <c r="D41" i="1"/>
  <c r="L61" i="1" s="1"/>
  <c r="C42" i="1"/>
  <c r="D42" i="1"/>
  <c r="L62" i="1" s="1"/>
  <c r="B43" i="1"/>
  <c r="C43" i="1"/>
  <c r="D43" i="1"/>
  <c r="L63" i="1" s="1"/>
  <c r="C44" i="1"/>
  <c r="D44" i="1"/>
  <c r="L64" i="1" s="1"/>
  <c r="B45" i="1"/>
  <c r="C45" i="1"/>
  <c r="D45" i="1"/>
  <c r="L65" i="1" s="1"/>
  <c r="B46" i="1"/>
  <c r="C46" i="1"/>
  <c r="D46" i="1"/>
  <c r="L66" i="1" s="1"/>
  <c r="D35" i="1"/>
  <c r="L55" i="1" s="1"/>
  <c r="C35" i="1"/>
  <c r="K55" i="1" s="1"/>
  <c r="B35" i="1"/>
  <c r="O58" i="1" l="1"/>
  <c r="P38" i="1"/>
  <c r="N55" i="1"/>
  <c r="O35" i="1"/>
  <c r="K65" i="1"/>
  <c r="K57" i="1"/>
  <c r="K63" i="1"/>
  <c r="K66" i="1"/>
  <c r="K62" i="1"/>
  <c r="K56" i="1"/>
  <c r="K64" i="1"/>
  <c r="K60" i="1"/>
  <c r="K58" i="1"/>
  <c r="K36" i="1"/>
  <c r="K37" i="1"/>
  <c r="C4" i="8" l="1"/>
  <c r="C5" i="8"/>
  <c r="C6" i="8"/>
  <c r="C3" i="8"/>
  <c r="A36" i="1" l="1"/>
  <c r="A37" i="1"/>
  <c r="A38" i="1"/>
  <c r="A39" i="1"/>
  <c r="A40" i="1"/>
  <c r="A41" i="1"/>
  <c r="A42" i="1"/>
  <c r="A43" i="1"/>
  <c r="A44" i="1"/>
  <c r="A45" i="1"/>
  <c r="A46" i="1"/>
  <c r="A35" i="1"/>
  <c r="K38" i="1"/>
  <c r="K39" i="1"/>
  <c r="K40" i="1"/>
  <c r="K41" i="1"/>
  <c r="K42" i="1"/>
  <c r="K43" i="1"/>
  <c r="K44" i="1"/>
  <c r="K45" i="1"/>
  <c r="K46" i="1"/>
  <c r="F35" i="1" l="1"/>
  <c r="K35" i="1"/>
  <c r="O38" i="1" l="1"/>
  <c r="C102" i="7"/>
  <c r="C101" i="7"/>
  <c r="C100" i="7"/>
  <c r="C99" i="7"/>
  <c r="C86" i="7"/>
  <c r="C85" i="7"/>
  <c r="C84" i="7"/>
  <c r="C83" i="7"/>
  <c r="C70" i="7"/>
  <c r="C69" i="7"/>
  <c r="C68" i="7"/>
  <c r="C67" i="7"/>
  <c r="C54" i="7"/>
  <c r="C53" i="7"/>
  <c r="C52" i="7"/>
  <c r="C51" i="7"/>
  <c r="C38" i="7"/>
  <c r="C37" i="7"/>
  <c r="C36" i="7"/>
  <c r="C35" i="7"/>
  <c r="C34" i="7"/>
  <c r="D26" i="7" s="1"/>
  <c r="C33" i="7"/>
  <c r="C32" i="7"/>
  <c r="D24" i="7" s="1"/>
  <c r="C31" i="7"/>
  <c r="D23" i="7" s="1"/>
  <c r="D30" i="7"/>
  <c r="C30" i="7"/>
  <c r="D29" i="7"/>
  <c r="C29" i="7"/>
  <c r="D28" i="7"/>
  <c r="C28" i="7"/>
  <c r="D27" i="7"/>
  <c r="C27" i="7"/>
  <c r="D25" i="7"/>
  <c r="C15" i="7"/>
  <c r="D15" i="7" s="1"/>
  <c r="C98" i="7"/>
  <c r="C82" i="7"/>
  <c r="C66" i="7"/>
  <c r="D54" i="7" s="1"/>
  <c r="C50" i="7"/>
  <c r="D42" i="7" s="1"/>
  <c r="C97" i="7"/>
  <c r="C81" i="7"/>
  <c r="C65" i="7"/>
  <c r="D53" i="7" s="1"/>
  <c r="C49" i="7"/>
  <c r="D41" i="7" s="1"/>
  <c r="C26" i="7"/>
  <c r="C96" i="7"/>
  <c r="C80" i="7"/>
  <c r="P44" i="1"/>
  <c r="Q44" i="1" s="1"/>
  <c r="C48" i="7"/>
  <c r="D40" i="7" s="1"/>
  <c r="C25" i="7"/>
  <c r="C95" i="7"/>
  <c r="C79" i="7"/>
  <c r="C63" i="7"/>
  <c r="C47" i="7"/>
  <c r="C24" i="7"/>
  <c r="C94" i="7"/>
  <c r="C78" i="7"/>
  <c r="C62" i="7"/>
  <c r="D50" i="7" s="1"/>
  <c r="C46" i="7"/>
  <c r="D38" i="7" s="1"/>
  <c r="C23" i="7"/>
  <c r="C93" i="7"/>
  <c r="C77" i="7"/>
  <c r="C61" i="7"/>
  <c r="D49" i="7" s="1"/>
  <c r="C45" i="7"/>
  <c r="D37" i="7" s="1"/>
  <c r="C22" i="7"/>
  <c r="C92" i="7"/>
  <c r="C76" i="7"/>
  <c r="C60" i="7"/>
  <c r="D48" i="7" s="1"/>
  <c r="C44" i="7"/>
  <c r="D36" i="7" s="1"/>
  <c r="C21" i="7"/>
  <c r="C91" i="7"/>
  <c r="C75" i="7"/>
  <c r="C59" i="7"/>
  <c r="C43" i="7"/>
  <c r="C20" i="7"/>
  <c r="C90" i="7"/>
  <c r="C74" i="7"/>
  <c r="C42" i="7"/>
  <c r="D34" i="7" s="1"/>
  <c r="C19" i="7"/>
  <c r="C89" i="7"/>
  <c r="C73" i="7"/>
  <c r="C57" i="7"/>
  <c r="D45" i="7" s="1"/>
  <c r="C41" i="7"/>
  <c r="D33" i="7" s="1"/>
  <c r="C18" i="7"/>
  <c r="C88" i="7"/>
  <c r="C72" i="7"/>
  <c r="C56" i="7"/>
  <c r="D44" i="7" s="1"/>
  <c r="C40" i="7"/>
  <c r="D32" i="7" s="1"/>
  <c r="C87" i="7"/>
  <c r="C55" i="7"/>
  <c r="C16" i="7"/>
  <c r="D33" i="1"/>
  <c r="N5" i="1"/>
  <c r="M5" i="1"/>
  <c r="L5" i="1"/>
  <c r="K5" i="1"/>
  <c r="D5" i="1"/>
  <c r="C5" i="1"/>
  <c r="B5" i="1"/>
  <c r="A5" i="1"/>
  <c r="E35" i="1" l="1"/>
  <c r="M55" i="1" s="1"/>
  <c r="E42" i="1"/>
  <c r="M62" i="1" s="1"/>
  <c r="E40" i="1"/>
  <c r="M60" i="1" s="1"/>
  <c r="E45" i="1"/>
  <c r="M65" i="1" s="1"/>
  <c r="E43" i="1"/>
  <c r="M63" i="1" s="1"/>
  <c r="E36" i="1"/>
  <c r="M56" i="1" s="1"/>
  <c r="E38" i="1"/>
  <c r="M58" i="1" s="1"/>
  <c r="E41" i="1"/>
  <c r="M61" i="1" s="1"/>
  <c r="E39" i="1"/>
  <c r="M59" i="1" s="1"/>
  <c r="E37" i="1"/>
  <c r="M57" i="1" s="1"/>
  <c r="E46" i="1"/>
  <c r="M66" i="1" s="1"/>
  <c r="E44" i="1"/>
  <c r="M64" i="1" s="1"/>
  <c r="B51" i="7"/>
  <c r="B67" i="7"/>
  <c r="X35" i="1"/>
  <c r="Z35" i="1" s="1"/>
  <c r="D17" i="7"/>
  <c r="D69" i="7"/>
  <c r="D64" i="7"/>
  <c r="I35" i="1"/>
  <c r="D68" i="7"/>
  <c r="R35" i="1"/>
  <c r="Q38" i="1"/>
  <c r="F44" i="1"/>
  <c r="I44" i="1" s="1"/>
  <c r="G35" i="1"/>
  <c r="G41" i="1"/>
  <c r="G44" i="1"/>
  <c r="F38" i="1"/>
  <c r="I38" i="1" s="1"/>
  <c r="F41" i="1"/>
  <c r="I41" i="1" s="1"/>
  <c r="D67" i="7"/>
  <c r="X38" i="1"/>
  <c r="Z38" i="1" s="1"/>
  <c r="Y38" i="1"/>
  <c r="AA38" i="1" s="1"/>
  <c r="C71" i="7"/>
  <c r="D63" i="7" s="1"/>
  <c r="D65" i="7"/>
  <c r="Y35" i="1"/>
  <c r="AA35" i="1" s="1"/>
  <c r="Y44" i="1"/>
  <c r="AA44" i="1" s="1"/>
  <c r="O41" i="1"/>
  <c r="R41" i="1" s="1"/>
  <c r="P35" i="1"/>
  <c r="Q35" i="1" s="1"/>
  <c r="D70" i="7"/>
  <c r="D66" i="7"/>
  <c r="Y41" i="1"/>
  <c r="AA41" i="1" s="1"/>
  <c r="X44" i="1"/>
  <c r="Z44" i="1" s="1"/>
  <c r="X41" i="1"/>
  <c r="Z41" i="1" s="1"/>
  <c r="B43" i="7"/>
  <c r="D35" i="7"/>
  <c r="D56" i="7" s="1"/>
  <c r="B59" i="7"/>
  <c r="D47" i="7"/>
  <c r="D43" i="7"/>
  <c r="D59" i="7" s="1"/>
  <c r="B47" i="7"/>
  <c r="D39" i="7"/>
  <c r="D57" i="7" s="1"/>
  <c r="D51" i="7"/>
  <c r="D61" i="7" s="1"/>
  <c r="D58" i="7"/>
  <c r="Q41" i="1"/>
  <c r="C39" i="7"/>
  <c r="C64" i="7"/>
  <c r="D52" i="7" s="1"/>
  <c r="D62" i="7" s="1"/>
  <c r="R38" i="1"/>
  <c r="C58" i="7"/>
  <c r="D46" i="7" s="1"/>
  <c r="O44" i="1"/>
  <c r="R44" i="1" s="1"/>
  <c r="D16" i="7"/>
  <c r="D18" i="7"/>
  <c r="C17" i="7"/>
  <c r="G38" i="1"/>
  <c r="D22" i="7" l="1"/>
  <c r="H38" i="1"/>
  <c r="D21" i="7"/>
  <c r="H35" i="1"/>
  <c r="H41" i="1"/>
  <c r="H44" i="1"/>
  <c r="D20" i="7"/>
  <c r="B55" i="7"/>
  <c r="D60" i="7"/>
  <c r="B63" i="7"/>
  <c r="D31" i="7"/>
  <c r="D55" i="7" s="1"/>
  <c r="B39" i="7"/>
  <c r="D19" i="7"/>
</calcChain>
</file>

<file path=xl/sharedStrings.xml><?xml version="1.0" encoding="utf-8"?>
<sst xmlns="http://schemas.openxmlformats.org/spreadsheetml/2006/main" count="1473" uniqueCount="710">
  <si>
    <t>Sensor ID</t>
  </si>
  <si>
    <t>Station</t>
  </si>
  <si>
    <t>FPDC</t>
  </si>
  <si>
    <t>Coeff02</t>
  </si>
  <si>
    <t>Coeff03</t>
  </si>
  <si>
    <t>Avg_Coeff02</t>
  </si>
  <si>
    <t>Avg_Coeff03</t>
  </si>
  <si>
    <t>Offset_Tx</t>
  </si>
  <si>
    <t>Offset_Ty</t>
  </si>
  <si>
    <t>OC</t>
  </si>
  <si>
    <t>Avg_OC X</t>
  </si>
  <si>
    <t>Avg_OC Y</t>
  </si>
  <si>
    <t>Offset_X</t>
  </si>
  <si>
    <t>Offset_Y</t>
  </si>
  <si>
    <t>Margin</t>
  </si>
  <si>
    <t>Inf.Peak</t>
  </si>
  <si>
    <t>Mac.Margin</t>
  </si>
  <si>
    <t>INF to Macro</t>
  </si>
  <si>
    <t>Avg_Inf.Peak</t>
  </si>
  <si>
    <t>Avg_Mac.Margin</t>
  </si>
  <si>
    <t>Avg_Inf.Margin</t>
  </si>
  <si>
    <t>Offset_NPU</t>
  </si>
  <si>
    <t>▶Push Test</t>
    <phoneticPr fontId="0" type="noConversion"/>
  </si>
  <si>
    <t>Lot</t>
    <phoneticPr fontId="0" type="noConversion"/>
  </si>
  <si>
    <t>UV</t>
    <phoneticPr fontId="0" type="noConversion"/>
  </si>
  <si>
    <t>Oven</t>
    <phoneticPr fontId="0" type="noConversion"/>
  </si>
  <si>
    <t>↓↓일괄등록↓↓</t>
    <phoneticPr fontId="0" type="noConversion"/>
  </si>
  <si>
    <t>Epoxy Volume Head1</t>
  </si>
  <si>
    <t>Epoxy Volume Head2</t>
    <phoneticPr fontId="0" type="noConversion"/>
  </si>
  <si>
    <t>Bench Test(Margin) Head1</t>
  </si>
  <si>
    <t xml:space="preserve"> Margin1 AVERAGE</t>
  </si>
  <si>
    <t xml:space="preserve"> Margin2 AVERAGE</t>
  </si>
  <si>
    <t xml:space="preserve"> Margin3 AVERAGE</t>
  </si>
  <si>
    <t>Bench Test(Margin) Head2</t>
  </si>
  <si>
    <t xml:space="preserve"> Margin4 AVERAGE</t>
  </si>
  <si>
    <t>Bench Test(Margin) Head3</t>
  </si>
  <si>
    <t>Macro Margin1 AVERAGE</t>
  </si>
  <si>
    <t>Macro Margin1 AVERAGE</t>
    <phoneticPr fontId="0" type="noConversion"/>
  </si>
  <si>
    <t>Bench Test(Margin) Head4</t>
  </si>
  <si>
    <t>Macro Margin2 AVERAGE</t>
  </si>
  <si>
    <t>Macro Margin2 AVERAGE</t>
    <phoneticPr fontId="0" type="noConversion"/>
  </si>
  <si>
    <t>Macro Margin3 AVERAGE</t>
  </si>
  <si>
    <t>Macro Margin3 AVERAGE</t>
    <phoneticPr fontId="0" type="noConversion"/>
  </si>
  <si>
    <t>Macro Margin4 AVERAGE</t>
  </si>
  <si>
    <t>Macro Margin4 AVERAGE</t>
    <phoneticPr fontId="0" type="noConversion"/>
  </si>
  <si>
    <t>UV Pull Test</t>
  </si>
  <si>
    <t>UV Pull Test</t>
    <phoneticPr fontId="0" type="noConversion"/>
  </si>
  <si>
    <t>Oven Pull Test</t>
  </si>
  <si>
    <t>Oven Pull Test</t>
    <phoneticPr fontId="0" type="noConversion"/>
  </si>
  <si>
    <t>OC_X Head1</t>
  </si>
  <si>
    <t>OC_X Head1</t>
    <phoneticPr fontId="0" type="noConversion"/>
  </si>
  <si>
    <t>OC_X Head2</t>
  </si>
  <si>
    <t>OC_X Head3</t>
  </si>
  <si>
    <t>OC_X Head4</t>
  </si>
  <si>
    <t>After UV Push Head1</t>
  </si>
  <si>
    <t>OC_Y Head1</t>
  </si>
  <si>
    <t>After UV Push Head2</t>
  </si>
  <si>
    <t>After UV Push Head3</t>
  </si>
  <si>
    <t>After UV Push Head4</t>
  </si>
  <si>
    <t>OC_Y Head2</t>
  </si>
  <si>
    <t>After Oven Push Head1</t>
  </si>
  <si>
    <t>After Oven Push Head2</t>
  </si>
  <si>
    <t>After Oven Push Head3</t>
  </si>
  <si>
    <t>OC_Y Head3</t>
  </si>
  <si>
    <t>After Oven Push Head4</t>
  </si>
  <si>
    <t>OC_Y Head4</t>
  </si>
  <si>
    <t>OC_X Head1 AVERAGE</t>
  </si>
  <si>
    <t>OC_X Head1 AVERAGE</t>
    <phoneticPr fontId="0" type="noConversion"/>
  </si>
  <si>
    <t>OC_X Head2 AVERAGE</t>
  </si>
  <si>
    <t>OC_X Head2 AVERAGE</t>
    <phoneticPr fontId="0" type="noConversion"/>
  </si>
  <si>
    <t>OC_X Head3 AVERAGE</t>
  </si>
  <si>
    <t>OC_X Head3 AVERAGE</t>
    <phoneticPr fontId="0" type="noConversion"/>
  </si>
  <si>
    <t>OC_X Head4 AVERAGE</t>
  </si>
  <si>
    <t>OC_X Head4 AVERAGE</t>
    <phoneticPr fontId="0" type="noConversion"/>
  </si>
  <si>
    <t>OC_Y Head1 AVERAGE</t>
  </si>
  <si>
    <t>OC_Y Head1 AVERAGE</t>
    <phoneticPr fontId="0" type="noConversion"/>
  </si>
  <si>
    <t>OC_Y Head3 AVERAGE</t>
  </si>
  <si>
    <t>OC_Y Head3 AVERAGE</t>
    <phoneticPr fontId="0" type="noConversion"/>
  </si>
  <si>
    <t>OC_Y Head4 AVERAGE</t>
  </si>
  <si>
    <t>OC_Y Head4 AVERAGE</t>
    <phoneticPr fontId="0" type="noConversion"/>
  </si>
  <si>
    <t>FPDC Coefficient 02 Head1</t>
  </si>
  <si>
    <t>FPDC Coefficient 02 Head2</t>
  </si>
  <si>
    <t>FPDC Coefficient 02 Head3</t>
  </si>
  <si>
    <t>FPDC Coefficient 02 Head4</t>
  </si>
  <si>
    <t>FPDC Coefficient 03 Head1</t>
  </si>
  <si>
    <t>FPDC Coefficient 03 Head2</t>
  </si>
  <si>
    <t>FPDC Coefficient 03 Head3</t>
  </si>
  <si>
    <t>FPDC Coefficient 03 Head4</t>
  </si>
  <si>
    <t>Placement Accuracy (By Mechanical) Head1</t>
  </si>
  <si>
    <t>Placement Accuracy (By Mechanical) Head2</t>
  </si>
  <si>
    <t>Placement Accuracy (By Mechanical) Head3</t>
  </si>
  <si>
    <t>Placement Accuracy (By Mechanical) Head4</t>
  </si>
  <si>
    <t>Glue Cosmetic Head1</t>
  </si>
  <si>
    <t>Glue Cosmetic Head2</t>
  </si>
  <si>
    <t>Glue Cosmetic Head3</t>
  </si>
  <si>
    <t>Glue Cosmetic Head4</t>
  </si>
  <si>
    <t>Glue Overflow Head1</t>
  </si>
  <si>
    <t>Glue Overflow Head2</t>
  </si>
  <si>
    <t>Glue Overflow Head3</t>
  </si>
  <si>
    <t>Glue Overflow Head4</t>
  </si>
  <si>
    <t>Dispense Coverage Head1</t>
  </si>
  <si>
    <t>Dispense Coverage Head2</t>
  </si>
  <si>
    <t>Dispense Coverage Head3</t>
  </si>
  <si>
    <t>Dispense Coverage Head4</t>
  </si>
  <si>
    <t>±25</t>
  </si>
  <si>
    <t>Spec</t>
  </si>
  <si>
    <t>Min. 35</t>
  </si>
  <si>
    <t>Min. 45</t>
  </si>
  <si>
    <t>Inf.Margin</t>
    <phoneticPr fontId="6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</si>
  <si>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1 AVERAGE</t>
    </r>
    <phoneticPr fontId="0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</si>
  <si>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2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</si>
  <si>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3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</si>
  <si>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4 AVERAGE</t>
    </r>
    <r>
      <rPr>
        <sz val="11"/>
        <color theme="1"/>
        <rFont val="맑은 고딕"/>
        <family val="2"/>
        <charset val="129"/>
        <scheme val="minor"/>
      </rPr>
      <t/>
    </r>
  </si>
  <si>
    <r>
      <t>OC_Y Head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AVERAGE</t>
    </r>
    <phoneticPr fontId="6" type="noConversion"/>
  </si>
  <si>
    <t>OC</t>
    <phoneticPr fontId="6" type="noConversion"/>
  </si>
  <si>
    <t>OCX_shift</t>
    <phoneticPr fontId="6" type="noConversion"/>
  </si>
  <si>
    <t>OCY_shift</t>
    <phoneticPr fontId="6" type="noConversion"/>
  </si>
  <si>
    <t>LOG</t>
  </si>
  <si>
    <t>Master Sheet</t>
  </si>
  <si>
    <t>Location</t>
  </si>
  <si>
    <t>ReMark</t>
  </si>
  <si>
    <t>FPDC_INFD_normal.csv</t>
  </si>
  <si>
    <t>IPQC</t>
  </si>
  <si>
    <t>INFDMargin_IPQC.csv</t>
  </si>
  <si>
    <t>VCM</t>
  </si>
  <si>
    <t>VCM_MEASURE.csv</t>
  </si>
  <si>
    <t>LOG SAVE</t>
  </si>
  <si>
    <t>LOT ID_TIME</t>
  </si>
  <si>
    <t>D:\EVMS\TP\LOG\</t>
    <phoneticPr fontId="6" type="noConversion"/>
  </si>
  <si>
    <t>AG</t>
    <phoneticPr fontId="6" type="noConversion"/>
  </si>
  <si>
    <t>MS</t>
    <phoneticPr fontId="6" type="noConversion"/>
  </si>
  <si>
    <t>MS</t>
    <phoneticPr fontId="6" type="noConversion"/>
  </si>
  <si>
    <t>AG</t>
    <phoneticPr fontId="6" type="noConversion"/>
  </si>
  <si>
    <t>Config</t>
    <phoneticPr fontId="6" type="noConversion"/>
  </si>
  <si>
    <t>AS</t>
    <phoneticPr fontId="6" type="noConversion"/>
  </si>
  <si>
    <t>D50_ON_OC.csv</t>
    <phoneticPr fontId="6" type="noConversion"/>
  </si>
  <si>
    <t>MG</t>
  </si>
  <si>
    <t>Oven offset</t>
  </si>
  <si>
    <t>FPDC_02</t>
  </si>
  <si>
    <t>FPDC_03</t>
  </si>
  <si>
    <t>OC-X</t>
  </si>
  <si>
    <t>OC-Y</t>
  </si>
  <si>
    <t>INF-Peak</t>
  </si>
  <si>
    <t>Up/Down offset</t>
  </si>
  <si>
    <t>Offset</t>
  </si>
  <si>
    <t>BC</t>
  </si>
  <si>
    <t>Tester</t>
  </si>
  <si>
    <t>Inf-P</t>
  </si>
  <si>
    <t>83~97</t>
  </si>
  <si>
    <t>±7</t>
  </si>
  <si>
    <t>STT</t>
  </si>
  <si>
    <t>Ngay</t>
  </si>
  <si>
    <t>Ver</t>
  </si>
  <si>
    <t>Noi dung</t>
  </si>
  <si>
    <t>30/06/2022</t>
  </si>
  <si>
    <t>Thay doi offset truoc sau oven config AG</t>
  </si>
  <si>
    <t>MES</t>
  </si>
  <si>
    <t>MS</t>
  </si>
  <si>
    <t>NAME</t>
  </si>
  <si>
    <t>X =&gt; MS
Z =&gt; AG</t>
  </si>
  <si>
    <t>14/07/2022</t>
    <phoneticPr fontId="6" type="noConversion"/>
  </si>
  <si>
    <t>Thay đổi spec OC theo ERS</t>
    <phoneticPr fontId="6" type="noConversion"/>
  </si>
  <si>
    <t>±28</t>
    <phoneticPr fontId="6" type="noConversion"/>
  </si>
  <si>
    <t>AVG Infu Peak</t>
  </si>
  <si>
    <t>Inf.Margin</t>
  </si>
  <si>
    <t>OOS</t>
  </si>
  <si>
    <t>AVG</t>
  </si>
  <si>
    <t>OOC</t>
  </si>
  <si>
    <t>±22.5</t>
  </si>
  <si>
    <t>±12</t>
  </si>
  <si>
    <t>±10.8</t>
  </si>
  <si>
    <t>AVG OOC</t>
  </si>
  <si>
    <t>D:\EVMS\TP\ELOG\VSY841N9NBF_2022092321</t>
    <phoneticPr fontId="6" type="noConversion"/>
  </si>
  <si>
    <t>GlobalTime</t>
  </si>
  <si>
    <t>SiteTime</t>
  </si>
  <si>
    <t>time</t>
  </si>
  <si>
    <t>station</t>
  </si>
  <si>
    <t>site</t>
  </si>
  <si>
    <t>moduleConfig</t>
  </si>
  <si>
    <t>inputParamterVersion</t>
  </si>
  <si>
    <t>SWversion</t>
  </si>
  <si>
    <t>lotNum</t>
  </si>
  <si>
    <t>barcode</t>
  </si>
  <si>
    <t>sensorID</t>
  </si>
  <si>
    <t>LensSN</t>
  </si>
  <si>
    <t>vcmID</t>
  </si>
  <si>
    <t>SPModuleSN</t>
  </si>
  <si>
    <t>FlexureSN</t>
  </si>
  <si>
    <t>standAlone</t>
  </si>
  <si>
    <t>TestSW_Rev_NVM</t>
  </si>
  <si>
    <t>oc_x</t>
  </si>
  <si>
    <t>oc_y</t>
  </si>
  <si>
    <t>oc_xShift</t>
  </si>
  <si>
    <t>oc_yShift</t>
  </si>
  <si>
    <t>oc_rShift</t>
  </si>
  <si>
    <t>OC_ROI_CENTER_MEAN</t>
  </si>
  <si>
    <t>OC_ROI_TOP_MEAN</t>
  </si>
  <si>
    <t>OC_ROI_BOTTOM_MEAN</t>
  </si>
  <si>
    <t>OC_ROI_LFET_MEAN</t>
  </si>
  <si>
    <t>OC_ROI_RIGHT_MEAN</t>
  </si>
  <si>
    <t>oc_threshold</t>
  </si>
  <si>
    <t>OC_ROI_CENTER</t>
  </si>
  <si>
    <t>OC_ROI_TOP</t>
  </si>
  <si>
    <t>OC_ROI_BOTTOM</t>
  </si>
  <si>
    <t>OC_ROI_LFET</t>
  </si>
  <si>
    <t>OC_ROI_RIGHT</t>
  </si>
  <si>
    <t>test_ver</t>
  </si>
  <si>
    <t>pass_items</t>
  </si>
  <si>
    <t>fail_items</t>
  </si>
  <si>
    <t>result</t>
  </si>
  <si>
    <t>T220923210318075VCMLEBC040</t>
  </si>
  <si>
    <t>'20220923210319</t>
  </si>
  <si>
    <t>'2022-09-23 21:03:26:899</t>
  </si>
  <si>
    <t>VCMLEBC040A</t>
  </si>
  <si>
    <t>DB_M_C2001</t>
  </si>
  <si>
    <t>220217A</t>
  </si>
  <si>
    <t>EPSSWEXCEPTION_POR_R22A_OC_MFG_C20_22051701_5d43eac</t>
  </si>
  <si>
    <t>VSY841N9NBF</t>
  </si>
  <si>
    <t>22cb76190427</t>
  </si>
  <si>
    <t>0x52800662f1801201</t>
  </si>
  <si>
    <t>MF3C3353A7JK14B1B349002016</t>
  </si>
  <si>
    <t>MF4C3574ABNN14A7A633</t>
  </si>
  <si>
    <t>DNA22296063900B03A</t>
  </si>
  <si>
    <t>2062 1462 2161 1561</t>
  </si>
  <si>
    <t>2062 0 2161 99</t>
  </si>
  <si>
    <t>2062 2924 2161 3023</t>
  </si>
  <si>
    <t>600 1462 699 1561</t>
  </si>
  <si>
    <t>3524 1462 3623 1561</t>
  </si>
  <si>
    <t xml:space="preserve">oc_rShift / oc_xShift / oc_yShift / </t>
  </si>
  <si>
    <t>T220923210427016VCMLEBC040</t>
  </si>
  <si>
    <t>'20220923210428</t>
  </si>
  <si>
    <t>'2022-09-23 21:04:35:899</t>
  </si>
  <si>
    <t>22cb76190577</t>
  </si>
  <si>
    <t>0x52800662f17e2701</t>
  </si>
  <si>
    <t>MF3C3353A7JC14B1A550110017</t>
  </si>
  <si>
    <t>MF4C3574ABNP14A7A620</t>
  </si>
  <si>
    <t>DNA22296063900B06A</t>
  </si>
  <si>
    <t>T220923210533127VCMLEBC040</t>
  </si>
  <si>
    <t>'20220923210534</t>
  </si>
  <si>
    <t>'2022-09-23 21:05:42:005</t>
  </si>
  <si>
    <t>22cb76190727</t>
  </si>
  <si>
    <t>0x52800662f17c0803</t>
  </si>
  <si>
    <t>MF3C3353A72L14B1B438012002</t>
  </si>
  <si>
    <t>MF4C3574ABND14A7A629</t>
  </si>
  <si>
    <t>DNA22296064250E10A</t>
  </si>
  <si>
    <t>T220923210639834VCMLEBC040</t>
  </si>
  <si>
    <t>'20220923210641</t>
  </si>
  <si>
    <t>'2022-09-23 21:06:49:289</t>
  </si>
  <si>
    <t>22cb76190862</t>
  </si>
  <si>
    <t>0x52800662f17f5b08</t>
  </si>
  <si>
    <t>MF2C3062B6AU52B1A938043004</t>
  </si>
  <si>
    <t>MF4C3514B4AJ14A7A649</t>
  </si>
  <si>
    <t>DNA22301051280I01A</t>
  </si>
  <si>
    <t>FPDC_Coefficient_01_Inf_normal</t>
  </si>
  <si>
    <t>FPDC_Coefficient_02_Inf_normal</t>
  </si>
  <si>
    <t>FPDC_Coefficient_03_Inf_normal</t>
  </si>
  <si>
    <t>FPDC_Coefficient_04_Inf_normal</t>
  </si>
  <si>
    <t>FPDC_Coefficient_05_Inf_normal</t>
  </si>
  <si>
    <t>FPDC_Coefficient_06_Inf_normal</t>
  </si>
  <si>
    <t>FPDC_Coefficient_07_Inf_normal</t>
  </si>
  <si>
    <t>FPDC_Coefficient_08_Inf_normal</t>
  </si>
  <si>
    <t>FPDC_Coefficient_09_Inf_normal</t>
  </si>
  <si>
    <t>FPDC_Coefficient_10_Inf_normal</t>
  </si>
  <si>
    <t>FPDC_Coefficient_11_Inf_normal</t>
  </si>
  <si>
    <t>FPDC_Coefficient_12_Inf_normal</t>
  </si>
  <si>
    <t>FPDC_Coefficient_13_Inf_normal</t>
  </si>
  <si>
    <t>FPDC_Coefficient_14_Inf_normal</t>
  </si>
  <si>
    <t>FPDC_Coefficient_15_Inf_normal</t>
  </si>
  <si>
    <t>FPDC_Coefficient_16_Inf_normal</t>
  </si>
  <si>
    <t>FPDC_Coefficient_17_Inf_normal</t>
  </si>
  <si>
    <t>FPDC_Coefficient_18_Inf_normal</t>
  </si>
  <si>
    <t>FPDC_Coefficient_19_Inf_normal</t>
  </si>
  <si>
    <t>FPDC_Coefficient_20_Inf_normal</t>
  </si>
  <si>
    <t>FPDC_Coefficient_Residual_ERR1_Inf_normal</t>
  </si>
  <si>
    <t>FPDC_Coefficient_Residual_ERR2_Inf_normal</t>
  </si>
  <si>
    <t>FPDC_Delta_01_Inf_normal</t>
  </si>
  <si>
    <t>FPDC_Delta_02_Inf_normal</t>
  </si>
  <si>
    <t>FPDC_Delta_03_Inf_normal</t>
  </si>
  <si>
    <t>FPDC_Delta_04_Inf_normal</t>
  </si>
  <si>
    <t>FPDC_Euclidean_Inf_normal</t>
  </si>
  <si>
    <t>deviceConfig_Inf_normal</t>
  </si>
  <si>
    <t>speedConfig_Inf_normal</t>
  </si>
  <si>
    <t>excute_time_Inf_normal</t>
  </si>
  <si>
    <t>FPDC_DLLVersion</t>
  </si>
  <si>
    <t>T220923210344505VCMLEBC040</t>
  </si>
  <si>
    <t>'20220923210346</t>
  </si>
  <si>
    <t>'2022-09-23 21:04:13:383</t>
  </si>
  <si>
    <t>EPSSWEXCEPTION_POR_R22A_IPQC_MFG_SFRInfinity_C20_22051701_5d43eac</t>
  </si>
  <si>
    <t>D6x_Wide</t>
  </si>
  <si>
    <t>Normal</t>
  </si>
  <si>
    <t>T220923210453427VCMLEBC040</t>
  </si>
  <si>
    <t>'20220923210455</t>
  </si>
  <si>
    <t>'2022-09-23 21:05:23:270</t>
  </si>
  <si>
    <t>T220923210559510VCMLEBC040</t>
  </si>
  <si>
    <t>'20220923210601</t>
  </si>
  <si>
    <t>'2022-09-23 21:06:28:284</t>
  </si>
  <si>
    <t>x_ma</t>
  </si>
  <si>
    <t>af_peak_dac</t>
  </si>
  <si>
    <t>z_peak</t>
  </si>
  <si>
    <t>aps_vcmPoly_ummA_c0</t>
  </si>
  <si>
    <t>aps_vcmPoly_ummA_c1</t>
  </si>
  <si>
    <t>aps_vcmPoly_ummA_c2</t>
  </si>
  <si>
    <t>aps_vcmPoly_ummA_c3</t>
  </si>
  <si>
    <t>vcm_af_force_sensitivity_ummA</t>
  </si>
  <si>
    <t>aps_WIDE_inf_bottomEndStopMargin_um</t>
  </si>
  <si>
    <t>aps_WIDE_inf_bottomLinearMargin_um</t>
  </si>
  <si>
    <t>aps_WIDE_inf_topLinearMargin_um</t>
  </si>
  <si>
    <t>aps_WIDE_inf_topEndStopMargin_um</t>
  </si>
  <si>
    <t>aps_final_check_testVersion</t>
  </si>
  <si>
    <t>'2022-09-23 21:04:03:355</t>
  </si>
  <si>
    <t>'2022-09-23 21:05:13:241</t>
  </si>
  <si>
    <t>'2022-09-23 21:06:18:255</t>
  </si>
  <si>
    <t>vcm_stroke_mA_F_-150.000000</t>
  </si>
  <si>
    <t>vcm_stroke_mA_F_-72.727273</t>
  </si>
  <si>
    <t>vcm_stroke_mA_F_-70.381232</t>
  </si>
  <si>
    <t>vcm_stroke_mA_F_-68.035191</t>
  </si>
  <si>
    <t>vcm_stroke_mA_F_-65.689150</t>
  </si>
  <si>
    <t>vcm_stroke_mA_F_-63.343109</t>
  </si>
  <si>
    <t>vcm_stroke_mA_F_-60.997067</t>
  </si>
  <si>
    <t>vcm_stroke_mA_F_-58.651026</t>
  </si>
  <si>
    <t>vcm_stroke_mA_F_-56.304985</t>
  </si>
  <si>
    <t>vcm_stroke_mA_F_-53.958944</t>
  </si>
  <si>
    <t>vcm_stroke_mA_F_-51.612903</t>
  </si>
  <si>
    <t>vcm_stroke_mA_F_-49.266862</t>
  </si>
  <si>
    <t>vcm_stroke_mA_F_-46.920821</t>
  </si>
  <si>
    <t>vcm_stroke_mA_F_-44.574780</t>
  </si>
  <si>
    <t>vcm_stroke_mA_F_-42.228739</t>
  </si>
  <si>
    <t>vcm_stroke_mA_F_-39.882698</t>
  </si>
  <si>
    <t>vcm_stroke_mA_F_-37.536657</t>
  </si>
  <si>
    <t>vcm_stroke_mA_F_-35.190616</t>
  </si>
  <si>
    <t>vcm_stroke_mA_F_-32.844575</t>
  </si>
  <si>
    <t>vcm_stroke_mA_F_-30.498534</t>
  </si>
  <si>
    <t>vcm_stroke_mA_F_-28.152493</t>
  </si>
  <si>
    <t>vcm_stroke_mA_F_-25.806452</t>
  </si>
  <si>
    <t>vcm_stroke_mA_F_-23.460411</t>
  </si>
  <si>
    <t>vcm_stroke_mA_F_-21.114370</t>
  </si>
  <si>
    <t>vcm_stroke_mA_F_-18.768328</t>
  </si>
  <si>
    <t>vcm_stroke_mA_F_-16.422287</t>
  </si>
  <si>
    <t>vcm_stroke_mA_F_-14.076246</t>
  </si>
  <si>
    <t>vcm_stroke_mA_F_-11.730205</t>
  </si>
  <si>
    <t>vcm_stroke_mA_F_-9.384164</t>
  </si>
  <si>
    <t>vcm_stroke_mA_F_-7.038123</t>
  </si>
  <si>
    <t>vcm_stroke_mA_F_-4.692082</t>
  </si>
  <si>
    <t>vcm_stroke_mA_F_-2.346041</t>
  </si>
  <si>
    <t>vcm_stroke_mA_F_0.000000</t>
  </si>
  <si>
    <t>vcm_stroke_mA_F_2.346041</t>
  </si>
  <si>
    <t>vcm_stroke_mA_F_4.692082</t>
  </si>
  <si>
    <t>vcm_stroke_mA_F_7.038123</t>
  </si>
  <si>
    <t>vcm_stroke_mA_F_9.384164</t>
  </si>
  <si>
    <t>vcm_stroke_mA_F_11.730205</t>
  </si>
  <si>
    <t>vcm_stroke_mA_F_14.076246</t>
  </si>
  <si>
    <t>vcm_stroke_mA_F_16.422287</t>
  </si>
  <si>
    <t>vcm_stroke_mA_F_18.768328</t>
  </si>
  <si>
    <t>vcm_stroke_mA_F_21.114370</t>
  </si>
  <si>
    <t>vcm_stroke_mA_F_23.460411</t>
  </si>
  <si>
    <t>vcm_stroke_mA_F_25.806452</t>
  </si>
  <si>
    <t>vcm_stroke_mA_F_28.152493</t>
  </si>
  <si>
    <t>vcm_stroke_mA_F_30.498534</t>
  </si>
  <si>
    <t>vcm_stroke_mA_F_32.844575</t>
  </si>
  <si>
    <t>vcm_stroke_mA_F_35.190616</t>
  </si>
  <si>
    <t>vcm_stroke_mA_F_37.536657</t>
  </si>
  <si>
    <t>vcm_stroke_mA_F_39.882698</t>
  </si>
  <si>
    <t>vcm_stroke_mA_F_42.228739</t>
  </si>
  <si>
    <t>vcm_stroke_mA_F_44.574780</t>
  </si>
  <si>
    <t>vcm_stroke_mA_F_46.920821</t>
  </si>
  <si>
    <t>vcm_stroke_mA_F_49.266862</t>
  </si>
  <si>
    <t>vcm_stroke_mA_F_51.612903</t>
  </si>
  <si>
    <t>vcm_stroke_mA_F_53.958944</t>
  </si>
  <si>
    <t>vcm_stroke_mA_F_56.304985</t>
  </si>
  <si>
    <t>vcm_stroke_mA_F_58.651026</t>
  </si>
  <si>
    <t>vcm_stroke_mA_F_60.997067</t>
  </si>
  <si>
    <t>vcm_stroke_mA_F_63.343109</t>
  </si>
  <si>
    <t>vcm_stroke_mA_F_65.689150</t>
  </si>
  <si>
    <t>vcm_stroke_mA_F_68.035191</t>
  </si>
  <si>
    <t>vcm_stroke_mA_F_70.381232</t>
  </si>
  <si>
    <t>vcm_stroke_mA_F_72.727273</t>
  </si>
  <si>
    <t>vcm_stroke_mA_F_75.073314</t>
  </si>
  <si>
    <t>vcm_stroke_mA_F_77.419355</t>
  </si>
  <si>
    <t>vcm_stroke_mA_F_79.765396</t>
  </si>
  <si>
    <t>vcm_stroke_mA_F_82.111437</t>
  </si>
  <si>
    <t>vcm_stroke_mA_F_84.457478</t>
  </si>
  <si>
    <t>vcm_stroke_mA_F_86.803519</t>
  </si>
  <si>
    <t>vcm_stroke_mA_F_89.149560</t>
  </si>
  <si>
    <t>vcm_stroke_mA_F_91.495601</t>
  </si>
  <si>
    <t>vcm_stroke_mA_F_93.841642</t>
  </si>
  <si>
    <t>vcm_stroke_mA_F_96.187683</t>
  </si>
  <si>
    <t>vcm_stroke_mA_F_98.533724</t>
  </si>
  <si>
    <t>vcm_stroke_mA_F_100.879765</t>
  </si>
  <si>
    <t>vcm_stroke_mA_F_103.225806</t>
  </si>
  <si>
    <t>vcm_stroke_mA_F_105.571848</t>
  </si>
  <si>
    <t>vcm_stroke_mA_F_107.917889</t>
  </si>
  <si>
    <t>vcm_stroke_mA_F_110.263930</t>
  </si>
  <si>
    <t>vcm_stroke_mA_F_112.609971</t>
  </si>
  <si>
    <t>vcm_stroke_mA_F_114.956012</t>
  </si>
  <si>
    <t>vcm_stroke_mA_F_117.302053</t>
  </si>
  <si>
    <t>vcm_stroke_mA_F_119.648094</t>
  </si>
  <si>
    <t>vcm_stroke_mA_F_121.994135</t>
  </si>
  <si>
    <t>vcm_stroke_mA_F_124.340176</t>
  </si>
  <si>
    <t>vcm_stroke_mA_F_126.686217</t>
  </si>
  <si>
    <t>vcm_stroke_mA_F_129.032258</t>
  </si>
  <si>
    <t>vcm_stroke_mA_F_131.378299</t>
  </si>
  <si>
    <t>vcm_stroke_mA_F_133.724340</t>
  </si>
  <si>
    <t>vcm_stroke_mA_F_136.070381</t>
  </si>
  <si>
    <t>vcm_stroke_mA_F_138.416422</t>
  </si>
  <si>
    <t>vcm_stroke_mA_F_140.762463</t>
  </si>
  <si>
    <t>vcm_stroke_mA_F_143.108504</t>
  </si>
  <si>
    <t>vcm_stroke_mA_R_-150.000000</t>
  </si>
  <si>
    <t>vcm_stroke_mA_R_-72.727273</t>
  </si>
  <si>
    <t>vcm_stroke_mA_R_-70.381232</t>
  </si>
  <si>
    <t>vcm_stroke_mA_R_-68.035191</t>
  </si>
  <si>
    <t>vcm_stroke_mA_R_-65.689150</t>
  </si>
  <si>
    <t>vcm_stroke_mA_R_-63.343109</t>
  </si>
  <si>
    <t>vcm_stroke_mA_R_-60.997067</t>
  </si>
  <si>
    <t>vcm_stroke_mA_R_-58.651026</t>
  </si>
  <si>
    <t>vcm_stroke_mA_R_-56.304985</t>
  </si>
  <si>
    <t>vcm_stroke_mA_R_-53.958944</t>
  </si>
  <si>
    <t>vcm_stroke_mA_R_-51.612903</t>
  </si>
  <si>
    <t>vcm_stroke_mA_R_-49.266862</t>
  </si>
  <si>
    <t>vcm_stroke_mA_R_-46.920821</t>
  </si>
  <si>
    <t>vcm_stroke_mA_R_-44.574780</t>
  </si>
  <si>
    <t>vcm_stroke_mA_R_-42.228739</t>
  </si>
  <si>
    <t>vcm_stroke_mA_R_-39.882698</t>
  </si>
  <si>
    <t>vcm_stroke_mA_R_-37.536657</t>
  </si>
  <si>
    <t>vcm_stroke_mA_R_-35.190616</t>
  </si>
  <si>
    <t>vcm_stroke_mA_R_-32.844575</t>
  </si>
  <si>
    <t>vcm_stroke_mA_R_-30.498534</t>
  </si>
  <si>
    <t>vcm_stroke_mA_R_-28.152493</t>
  </si>
  <si>
    <t>vcm_stroke_mA_R_-25.806452</t>
  </si>
  <si>
    <t>vcm_stroke_mA_R_-23.460411</t>
  </si>
  <si>
    <t>vcm_stroke_mA_R_-21.114370</t>
  </si>
  <si>
    <t>vcm_stroke_mA_R_-18.768328</t>
  </si>
  <si>
    <t>vcm_stroke_mA_R_-16.422287</t>
  </si>
  <si>
    <t>vcm_stroke_mA_R_-14.076246</t>
  </si>
  <si>
    <t>vcm_stroke_mA_R_-11.730205</t>
  </si>
  <si>
    <t>vcm_stroke_mA_R_-9.384164</t>
  </si>
  <si>
    <t>vcm_stroke_mA_R_-7.038123</t>
  </si>
  <si>
    <t>vcm_stroke_mA_R_-4.692082</t>
  </si>
  <si>
    <t>vcm_stroke_mA_R_-2.346041</t>
  </si>
  <si>
    <t>vcm_stroke_mA_R_0.000000</t>
  </si>
  <si>
    <t>vcm_stroke_mA_R_2.346041</t>
  </si>
  <si>
    <t>vcm_stroke_mA_R_4.692082</t>
  </si>
  <si>
    <t>vcm_stroke_mA_R_7.038123</t>
  </si>
  <si>
    <t>vcm_stroke_mA_R_9.384164</t>
  </si>
  <si>
    <t>vcm_stroke_mA_R_11.730205</t>
  </si>
  <si>
    <t>vcm_stroke_mA_R_14.076246</t>
  </si>
  <si>
    <t>vcm_stroke_mA_R_16.422287</t>
  </si>
  <si>
    <t>vcm_stroke_mA_R_18.768328</t>
  </si>
  <si>
    <t>vcm_stroke_mA_R_21.114370</t>
  </si>
  <si>
    <t>vcm_stroke_mA_R_23.460411</t>
  </si>
  <si>
    <t>vcm_stroke_mA_R_25.806452</t>
  </si>
  <si>
    <t>vcm_stroke_mA_R_28.152493</t>
  </si>
  <si>
    <t>vcm_stroke_mA_R_30.498534</t>
  </si>
  <si>
    <t>vcm_stroke_mA_R_32.844575</t>
  </si>
  <si>
    <t>vcm_stroke_mA_R_35.190616</t>
  </si>
  <si>
    <t>vcm_stroke_mA_R_37.536657</t>
  </si>
  <si>
    <t>vcm_stroke_mA_R_39.882698</t>
  </si>
  <si>
    <t>vcm_stroke_mA_R_42.228739</t>
  </si>
  <si>
    <t>vcm_stroke_mA_R_44.574780</t>
  </si>
  <si>
    <t>vcm_stroke_mA_R_46.920821</t>
  </si>
  <si>
    <t>vcm_stroke_mA_R_49.266862</t>
  </si>
  <si>
    <t>vcm_stroke_mA_R_51.612903</t>
  </si>
  <si>
    <t>vcm_stroke_mA_R_53.958944</t>
  </si>
  <si>
    <t>vcm_stroke_mA_R_56.304985</t>
  </si>
  <si>
    <t>vcm_stroke_mA_R_58.651026</t>
  </si>
  <si>
    <t>vcm_stroke_mA_R_60.997067</t>
  </si>
  <si>
    <t>vcm_stroke_mA_R_63.343109</t>
  </si>
  <si>
    <t>vcm_stroke_mA_R_65.689150</t>
  </si>
  <si>
    <t>vcm_stroke_mA_R_68.035191</t>
  </si>
  <si>
    <t>vcm_stroke_mA_R_70.381232</t>
  </si>
  <si>
    <t>vcm_stroke_mA_R_72.727273</t>
  </si>
  <si>
    <t>vcm_stroke_mA_R_75.073314</t>
  </si>
  <si>
    <t>vcm_stroke_mA_R_77.419355</t>
  </si>
  <si>
    <t>vcm_stroke_mA_R_79.765396</t>
  </si>
  <si>
    <t>vcm_stroke_mA_R_82.111437</t>
  </si>
  <si>
    <t>vcm_stroke_mA_R_84.457478</t>
  </si>
  <si>
    <t>vcm_stroke_mA_R_86.803519</t>
  </si>
  <si>
    <t>vcm_stroke_mA_R_89.149560</t>
  </si>
  <si>
    <t>vcm_stroke_mA_R_91.495601</t>
  </si>
  <si>
    <t>vcm_stroke_mA_R_93.841642</t>
  </si>
  <si>
    <t>vcm_stroke_mA_R_96.187683</t>
  </si>
  <si>
    <t>vcm_stroke_mA_R_98.533724</t>
  </si>
  <si>
    <t>vcm_stroke_mA_R_100.879765</t>
  </si>
  <si>
    <t>vcm_stroke_mA_R_103.225806</t>
  </si>
  <si>
    <t>vcm_stroke_mA_R_105.571848</t>
  </si>
  <si>
    <t>vcm_stroke_mA_R_107.917889</t>
  </si>
  <si>
    <t>vcm_stroke_mA_R_110.263930</t>
  </si>
  <si>
    <t>vcm_stroke_mA_R_112.609971</t>
  </si>
  <si>
    <t>vcm_stroke_mA_R_114.956012</t>
  </si>
  <si>
    <t>vcm_stroke_mA_R_117.302053</t>
  </si>
  <si>
    <t>vcm_stroke_mA_R_119.648094</t>
  </si>
  <si>
    <t>vcm_stroke_mA_R_121.994135</t>
  </si>
  <si>
    <t>vcm_stroke_mA_R_124.340176</t>
  </si>
  <si>
    <t>vcm_stroke_mA_R_126.686217</t>
  </si>
  <si>
    <t>vcm_stroke_mA_R_129.032258</t>
  </si>
  <si>
    <t>vcm_stroke_mA_R_131.378299</t>
  </si>
  <si>
    <t>vcm_stroke_mA_R_133.724340</t>
  </si>
  <si>
    <t>vcm_stroke_mA_R_136.070381</t>
  </si>
  <si>
    <t>vcm_stroke_mA_R_138.416422</t>
  </si>
  <si>
    <t>vcm_stroke_mA_R_140.762463</t>
  </si>
  <si>
    <t>vcm_stroke_mA_R_143.108504</t>
  </si>
  <si>
    <t>vcm_movement</t>
  </si>
  <si>
    <t>vcm_neutral_t0</t>
  </si>
  <si>
    <t>vcm_neutral</t>
  </si>
  <si>
    <t>vcm_neutral_up</t>
  </si>
  <si>
    <t>vcm_neutral_down</t>
  </si>
  <si>
    <t>vcm_neutral_weighted</t>
  </si>
  <si>
    <t>vcm_neutral_delta</t>
  </si>
  <si>
    <t>vcm_strokeRated</t>
  </si>
  <si>
    <t>vcm_positiveStroke</t>
  </si>
  <si>
    <t>vcm_negativeStroke</t>
  </si>
  <si>
    <t>vcm_strokeMax</t>
  </si>
  <si>
    <t>vcm_strokeMax_weighted</t>
  </si>
  <si>
    <t>vcm_strokeMax_up</t>
  </si>
  <si>
    <t>vcm_strokeMax_down</t>
  </si>
  <si>
    <t>vcm_endCurrent_stop</t>
  </si>
  <si>
    <t>vcm_sensitivity_weighted</t>
  </si>
  <si>
    <t>vcm_sensitivity_up</t>
  </si>
  <si>
    <t>vcm_sensitivity_down</t>
  </si>
  <si>
    <t>vcm_poly_sensitivity_up_start</t>
  </si>
  <si>
    <t>vcm_poly_sensitivity_up_neutral</t>
  </si>
  <si>
    <t>vcm_poly_sensitivity_up_end</t>
  </si>
  <si>
    <t>vcm_startStep</t>
  </si>
  <si>
    <t>vcm_startStep_mA</t>
  </si>
  <si>
    <t>vcm_startDAC</t>
  </si>
  <si>
    <t>vcm_endLinear</t>
  </si>
  <si>
    <t>vcm_endLinear_mA</t>
  </si>
  <si>
    <t>vcm_endDAC</t>
  </si>
  <si>
    <t>vcm_startFullLinear_um</t>
  </si>
  <si>
    <t>vcm_startFullLinear_mA</t>
  </si>
  <si>
    <t>vcm_startFullLinear_DAC</t>
  </si>
  <si>
    <t>vcm_endFullLinear_um</t>
  </si>
  <si>
    <t>vcm_endFullLinear_mA</t>
  </si>
  <si>
    <t>vcm_endFullLinear_DAC</t>
  </si>
  <si>
    <t>vcm_endStep</t>
  </si>
  <si>
    <t>vcm_bottomEndStop_um</t>
  </si>
  <si>
    <t>vcm_bottomEndStop_mA</t>
  </si>
  <si>
    <t>vcm_bottomEndStop_DAC</t>
  </si>
  <si>
    <t>vcm_topEndStop_um</t>
  </si>
  <si>
    <t>vcm_topEndStop_mA</t>
  </si>
  <si>
    <t>vcm_topEndStop_DAC</t>
  </si>
  <si>
    <t>vcm_linearRange</t>
  </si>
  <si>
    <t>vcm_linearRange_mA</t>
  </si>
  <si>
    <t>vcm_fullLinearRange</t>
  </si>
  <si>
    <t>vcm_fullLinearRange_mA</t>
  </si>
  <si>
    <t>vcm_jumpStep_btm</t>
  </si>
  <si>
    <t>vcm_jumpStep_top</t>
  </si>
  <si>
    <t>vcm_jumpStep_linear</t>
  </si>
  <si>
    <t>vcm_linearity</t>
  </si>
  <si>
    <t>vcm_linearityRange</t>
  </si>
  <si>
    <t>vcm_hysteresis_linear_btm_um</t>
  </si>
  <si>
    <t>vcm_hysteresis_linear_btm_mA</t>
  </si>
  <si>
    <t>vcm_hysteresis_linear_um</t>
  </si>
  <si>
    <t>vcm_hysteresis_linear_mA</t>
  </si>
  <si>
    <t>vcm_hysteresis_linear_top_um</t>
  </si>
  <si>
    <t>vcm_hysteresis_linear_top_mA</t>
  </si>
  <si>
    <t>vcm_poly_mAum_c0</t>
  </si>
  <si>
    <t>vcm_poly_mAum_c1</t>
  </si>
  <si>
    <t>vcm_poly_mAum_c2</t>
  </si>
  <si>
    <t>vcm_poly_mAum_c3</t>
  </si>
  <si>
    <t>vcm_af_force_sensitivity_mAum</t>
  </si>
  <si>
    <t>vcm_mAum_lin_max_res</t>
  </si>
  <si>
    <t>vcm_mAum_lin_rms_res</t>
  </si>
  <si>
    <t>vcm_poly_ummA_c0</t>
  </si>
  <si>
    <t>vcm_poly_ummA_c1</t>
  </si>
  <si>
    <t>vcm_poly_ummA_c2</t>
  </si>
  <si>
    <t>vcm_poly_ummA_c3</t>
  </si>
  <si>
    <t>vcm_ummA_lin_max_res</t>
  </si>
  <si>
    <t>vcm_ummA_lin_rms_res</t>
  </si>
  <si>
    <t>vcm_jumpStep_btm_normalized_ummA</t>
  </si>
  <si>
    <t>vcm_jumpStep_top_normalized_ummA</t>
  </si>
  <si>
    <t>vcm_jumpStep_linear_normalized_ummA</t>
  </si>
  <si>
    <t>vcm_versionERS</t>
  </si>
  <si>
    <t>T220923210329701VCMLEBC040</t>
  </si>
  <si>
    <t>'20220923210331</t>
  </si>
  <si>
    <t>'2022-09-23 21:03:42:276</t>
  </si>
  <si>
    <t>EPSSWEXCEPTION_POR_R22A_IPQC_MFG_Laser_C20_22051701_5d43eac</t>
  </si>
  <si>
    <t>v9p402</t>
  </si>
  <si>
    <t>T220923210438708VCMLEBC040</t>
  </si>
  <si>
    <t>'20220923210440</t>
  </si>
  <si>
    <t>'2022-09-23 21:04:51:266</t>
  </si>
  <si>
    <t>T220923210544794VCMLEBC040</t>
  </si>
  <si>
    <t>'20220923210546</t>
  </si>
  <si>
    <t>'2022-09-23 21:05:57:351</t>
  </si>
  <si>
    <t>T220923210748094VCMLEBC040</t>
  </si>
  <si>
    <t>'20220923210749</t>
  </si>
  <si>
    <t>'2022-09-23 21:07:57:359</t>
  </si>
  <si>
    <t>22cb76170539</t>
  </si>
  <si>
    <t>0x52800562f17ce803</t>
  </si>
  <si>
    <t>MF3C3353A72Y14B1B242006018</t>
  </si>
  <si>
    <t>MF4C3574ABCE14A7A621</t>
  </si>
  <si>
    <t>DNA22296063950G12A</t>
  </si>
  <si>
    <t>T220923210706769VCMLEBC040</t>
  </si>
  <si>
    <t>'20220923210708</t>
  </si>
  <si>
    <t>'2022-09-23 21:07:36:781</t>
  </si>
  <si>
    <t>T220923210814923VCMLEBC040</t>
  </si>
  <si>
    <t>'20220923210816</t>
  </si>
  <si>
    <t>'2022-09-23 21:08:44:077</t>
  </si>
  <si>
    <t>'2022-09-23 21:07:26:759</t>
  </si>
  <si>
    <t>'2022-09-23 21:08:34:052</t>
  </si>
  <si>
    <t>T220923210652055VCMLEBC040</t>
  </si>
  <si>
    <t>'20220923210653</t>
  </si>
  <si>
    <t>'2022-09-23 21:07:04:610</t>
  </si>
  <si>
    <t>T220923210800119VCMLEBC040</t>
  </si>
  <si>
    <t>'20220923210801</t>
  </si>
  <si>
    <t>'2022-09-23 21:08:12:693</t>
  </si>
  <si>
    <t>T220923210936611VCMLEBC040</t>
  </si>
  <si>
    <t>'20220923210938</t>
  </si>
  <si>
    <t>'2022-09-23 21:09:45:928</t>
  </si>
  <si>
    <t>22cb76170094</t>
  </si>
  <si>
    <t>0x52800562f1697602</t>
  </si>
  <si>
    <t>MF3C3353A7FU14B1A945006011</t>
  </si>
  <si>
    <t>MF4C3574AB8K14A7A625</t>
  </si>
  <si>
    <t>DNA22301022950I03A</t>
  </si>
  <si>
    <t>T220923211003798VCMLEBC040</t>
  </si>
  <si>
    <t>'20220923211005</t>
  </si>
  <si>
    <t>'2022-09-23 21:10:33:757</t>
  </si>
  <si>
    <t>'2022-09-23 21:10:23:734</t>
  </si>
  <si>
    <t>T220923210948995VCMLEBC040</t>
  </si>
  <si>
    <t>'20220923210950</t>
  </si>
  <si>
    <t>'2022-09-23 21:10:01:549</t>
  </si>
  <si>
    <t>T220923211045575VCMLEBC040</t>
  </si>
  <si>
    <t>'20220923211047</t>
  </si>
  <si>
    <t>'2022-09-23 21:10:54:493</t>
  </si>
  <si>
    <t>22cb76190856</t>
  </si>
  <si>
    <t>0x52800562f17dc404</t>
  </si>
  <si>
    <t>MF3C3353A7G414B1A947000022</t>
  </si>
  <si>
    <t>MF4C3574ABNR14A7A644</t>
  </si>
  <si>
    <t>DNA22301052970I05A</t>
  </si>
  <si>
    <t>T220923211151850VCMLEBC040</t>
  </si>
  <si>
    <t>'20220923211153</t>
  </si>
  <si>
    <t>'2022-09-23 21:12:00:747</t>
  </si>
  <si>
    <t>22cb76190574</t>
  </si>
  <si>
    <t>0x52800662f17c0c05</t>
  </si>
  <si>
    <t>MF3C3353A73114B1B041006104</t>
  </si>
  <si>
    <t>MF4C3574ABCD14A7A632</t>
  </si>
  <si>
    <t>DNA22301053520G09A</t>
  </si>
  <si>
    <t>T220923211258814VCMLEBC040</t>
  </si>
  <si>
    <t>'20220923211300</t>
  </si>
  <si>
    <t>'2022-09-23 21:13:08:116</t>
  </si>
  <si>
    <t>22cb76190721</t>
  </si>
  <si>
    <t>0x52800662f17e2a08</t>
  </si>
  <si>
    <t>MF3C3353A7FV14B1B341000026</t>
  </si>
  <si>
    <t>MF4C3574ABAW14A7A653</t>
  </si>
  <si>
    <t>DNA22301052970D04A</t>
  </si>
  <si>
    <t>T220923211112223VCMLEBC040</t>
  </si>
  <si>
    <t>'20220923211113</t>
  </si>
  <si>
    <t>'2022-09-23 21:11:41:786</t>
  </si>
  <si>
    <t>T220923211218320VCMLEBC040</t>
  </si>
  <si>
    <t>'20220923211219</t>
  </si>
  <si>
    <t>'2022-09-23 21:12:48:017</t>
  </si>
  <si>
    <t>'2022-09-23 21:11:31:763</t>
  </si>
  <si>
    <t>'2022-09-23 21:12:37:989</t>
  </si>
  <si>
    <t>T220923211057412VCMLEBC040</t>
  </si>
  <si>
    <t>'20220923211059</t>
  </si>
  <si>
    <t>'2022-09-23 21:11:09:993</t>
  </si>
  <si>
    <t>T220923211203515VCMLEBC040</t>
  </si>
  <si>
    <t>'20220923211205</t>
  </si>
  <si>
    <t>'2022-09-23 21:12:16:072</t>
  </si>
  <si>
    <t>T220923211310929VCMLEBC040</t>
  </si>
  <si>
    <t>'20220923211312</t>
  </si>
  <si>
    <t>'2022-09-23 21:13:23:493</t>
  </si>
  <si>
    <t>T220923211325747VCMLEBC040</t>
  </si>
  <si>
    <t>'20220923211327</t>
  </si>
  <si>
    <t>'2022-09-23 21:13:44:923</t>
  </si>
  <si>
    <t>'2022-09-23 21:13:54:956</t>
  </si>
  <si>
    <t>T220923211405628VCMLEBC040</t>
  </si>
  <si>
    <t>'20220923211407</t>
  </si>
  <si>
    <t>'2022-09-23 21:14:14:583</t>
  </si>
  <si>
    <t>22cb76190968</t>
  </si>
  <si>
    <t>0x52800662f17e1f03</t>
  </si>
  <si>
    <t>MF2C3062B7L652B1C244011103</t>
  </si>
  <si>
    <t>MF4C3514B1PH14A7A640</t>
  </si>
  <si>
    <t>DNA22301054810I07A</t>
  </si>
  <si>
    <t>T220923211511616VCMLEBC040</t>
  </si>
  <si>
    <t>'20220923211513</t>
  </si>
  <si>
    <t>'2022-09-23 21:15:20:494</t>
  </si>
  <si>
    <t>22cb76190587</t>
  </si>
  <si>
    <t>0x52800662f17c9b08</t>
  </si>
  <si>
    <t>MF2C3062B7U752B1B335049122</t>
  </si>
  <si>
    <t>MF4C3514B4AH14A7A645</t>
  </si>
  <si>
    <t>DNA22301053730D02A</t>
  </si>
  <si>
    <t>T220923211432165VCMLEBC040</t>
  </si>
  <si>
    <t>'20220923211433</t>
  </si>
  <si>
    <t>'2022-09-23 21:15:01:029</t>
  </si>
  <si>
    <t>'2022-09-23 21:14:51:003</t>
  </si>
  <si>
    <t>T220923211537989VCMLEBC040</t>
  </si>
  <si>
    <t>'20220923211539</t>
  </si>
  <si>
    <t>'2022-09-23 21:15:57:258</t>
  </si>
  <si>
    <t>T220923211417411VCMLEBC040</t>
  </si>
  <si>
    <t>'20220923211419</t>
  </si>
  <si>
    <t>'2022-09-23 21:14:29:970</t>
  </si>
  <si>
    <t>T220923211523274VCMLEBC040</t>
  </si>
  <si>
    <t>'20220923211524</t>
  </si>
  <si>
    <t>'2022-09-23 21:15:35:833</t>
  </si>
  <si>
    <t>'2022-09-23 21:16:07:283</t>
  </si>
  <si>
    <t>T220923211708408VCMLEBC040</t>
  </si>
  <si>
    <t>'20220923211710</t>
  </si>
  <si>
    <t>'2022-09-23 21:17:17:724</t>
  </si>
  <si>
    <t>22cb76170295</t>
  </si>
  <si>
    <t>0x52800662f1802607</t>
  </si>
  <si>
    <t>MF3C3353A7JJ14B1A946101008</t>
  </si>
  <si>
    <t>MF4C3574AB6114A7A619</t>
  </si>
  <si>
    <t>DNA22296064710M12A</t>
  </si>
  <si>
    <t>T220923211720498VCMLEBC040</t>
  </si>
  <si>
    <t>'20220923211722</t>
  </si>
  <si>
    <t>'2022-09-23 21:17:33:069</t>
  </si>
  <si>
    <t>T220923211735301VCMLEBC040</t>
  </si>
  <si>
    <t>'20220923211736</t>
  </si>
  <si>
    <t>'2022-09-23 21:18:04:922</t>
  </si>
  <si>
    <t>'2022-09-23 21:17:54:900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</si>
</sst>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3">
    <font>
      <sz val="11"/>
      <color theme="1"/>
      <name val="LG스마트체2.0 Regular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LG스마트체2.0 Regular"/>
      <family val="2"/>
      <charset val="129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3"/>
      <color theme="1"/>
      <name val="맑은 고딕"/>
      <family val="2"/>
      <charset val="129"/>
      <scheme val="minor"/>
    </font>
    <font>
      <b/>
      <sz val="13"/>
      <color theme="1"/>
      <name val="맑은 고딕"/>
      <family val="2"/>
      <scheme val="minor"/>
    </font>
    <font>
      <sz val="12"/>
      <color theme="1"/>
      <name val="Arial Unicode MS"/>
      <family val="3"/>
      <charset val="129"/>
    </font>
    <font>
      <b/>
      <sz val="18"/>
      <color theme="1"/>
      <name val="Arial"/>
      <family val="2"/>
    </font>
    <font>
      <b/>
      <sz val="28"/>
      <color rgb="FFFF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>
      <alignment vertical="center"/>
    </xf>
    <xf numFmtId="0" fontId="3" fillId="0" borderId="0">
      <alignment vertical="center"/>
    </xf>
  </cellStyleXfs>
  <cellXfs count="101">
    <xf numFmtId="0" fontId="0" fillId="0" borderId="0" xfId="0"/>
    <xf numFmtId="0" fontId="5" fillId="6" borderId="0" xfId="1" applyNumberFormat="1" applyFill="1" applyBorder="1" applyAlignment="1">
      <alignment horizontal="center" vertical="center"/>
    </xf>
    <xf numFmtId="0" fontId="5" fillId="6" borderId="1" xfId="1" applyNumberFormat="1" applyFill="1" applyBorder="1" applyAlignment="1">
      <alignment horizontal="center" vertical="center"/>
    </xf>
    <xf numFmtId="0" fontId="5" fillId="2" borderId="1" xfId="1" applyNumberFormat="1" applyFill="1" applyBorder="1" applyAlignment="1">
      <alignment horizontal="center" vertical="center"/>
    </xf>
    <xf numFmtId="0" fontId="5" fillId="2" borderId="0" xfId="1" applyNumberFormat="1" applyFill="1" applyBorder="1" applyAlignment="1">
      <alignment horizontal="center" vertical="center"/>
    </xf>
    <xf numFmtId="0" fontId="5" fillId="6" borderId="5" xfId="1" applyNumberFormat="1" applyFill="1" applyBorder="1" applyAlignment="1">
      <alignment horizontal="center" vertical="center"/>
    </xf>
    <xf numFmtId="0" fontId="5" fillId="5" borderId="14" xfId="1" applyNumberFormat="1" applyFill="1" applyBorder="1" applyAlignment="1">
      <alignment horizontal="center" vertical="center"/>
    </xf>
    <xf numFmtId="0" fontId="4" fillId="6" borderId="0" xfId="1" applyNumberFormat="1" applyFont="1" applyFill="1" applyBorder="1" applyAlignment="1">
      <alignment horizontal="center" vertical="center"/>
    </xf>
    <xf numFmtId="0" fontId="5" fillId="6" borderId="6" xfId="1" applyNumberFormat="1" applyFill="1" applyBorder="1" applyAlignment="1">
      <alignment horizontal="center" vertical="center"/>
    </xf>
    <xf numFmtId="0" fontId="5" fillId="5" borderId="15" xfId="1" applyNumberFormat="1" applyFill="1" applyBorder="1" applyAlignment="1">
      <alignment horizontal="center" vertical="center"/>
    </xf>
    <xf numFmtId="0" fontId="5" fillId="6" borderId="7" xfId="1" applyNumberFormat="1" applyFill="1" applyBorder="1" applyAlignment="1">
      <alignment horizontal="center" vertical="center"/>
    </xf>
    <xf numFmtId="0" fontId="5" fillId="5" borderId="16" xfId="1" applyNumberFormat="1" applyFill="1" applyBorder="1" applyAlignment="1">
      <alignment horizontal="center" vertical="center"/>
    </xf>
    <xf numFmtId="0" fontId="5" fillId="6" borderId="17" xfId="1" applyNumberFormat="1" applyFill="1" applyBorder="1" applyAlignment="1">
      <alignment horizontal="center" vertical="center"/>
    </xf>
    <xf numFmtId="0" fontId="5" fillId="6" borderId="18" xfId="1" applyNumberFormat="1" applyFill="1" applyBorder="1" applyAlignment="1">
      <alignment horizontal="center" vertical="center"/>
    </xf>
    <xf numFmtId="0" fontId="5" fillId="6" borderId="11" xfId="1" applyNumberFormat="1" applyFill="1" applyBorder="1" applyAlignment="1">
      <alignment horizontal="center" vertical="center"/>
    </xf>
    <xf numFmtId="0" fontId="5" fillId="6" borderId="12" xfId="1" applyNumberFormat="1" applyFill="1" applyBorder="1" applyAlignment="1">
      <alignment horizontal="center" vertical="center"/>
    </xf>
    <xf numFmtId="0" fontId="5" fillId="6" borderId="13" xfId="1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2">
      <alignment vertical="center"/>
    </xf>
    <xf numFmtId="0" fontId="7" fillId="8" borderId="1" xfId="2" applyFont="1" applyFill="1" applyBorder="1" applyAlignment="1">
      <alignment horizontal="center" vertical="center" wrapText="1"/>
    </xf>
    <xf numFmtId="0" fontId="8" fillId="0" borderId="1" xfId="2" applyFont="1" applyBorder="1">
      <alignment vertical="center"/>
    </xf>
    <xf numFmtId="0" fontId="3" fillId="0" borderId="0" xfId="2" applyAlignment="1">
      <alignment vertical="center"/>
    </xf>
    <xf numFmtId="0" fontId="7" fillId="8" borderId="1" xfId="2" applyFont="1" applyFill="1" applyBorder="1" applyAlignment="1">
      <alignment horizontal="center" vertical="center"/>
    </xf>
    <xf numFmtId="0" fontId="8" fillId="9" borderId="1" xfId="2" applyFont="1" applyFill="1" applyBorder="1">
      <alignment vertical="center"/>
    </xf>
    <xf numFmtId="0" fontId="9" fillId="9" borderId="1" xfId="2" applyFont="1" applyFill="1" applyBorder="1">
      <alignment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2" fillId="0" borderId="0" xfId="0" applyFont="1" applyBorder="1" applyAlignment="1">
      <alignment vertical="center"/>
    </xf>
    <xf numFmtId="0" fontId="12" fillId="0" borderId="0" xfId="0" applyFont="1" applyBorder="1" applyAlignment="1">
      <alignment horizontal="center" vertical="center"/>
    </xf>
    <xf numFmtId="0" fontId="17" fillId="2" borderId="1" xfId="2" applyFont="1" applyFill="1" applyBorder="1" applyAlignment="1">
      <alignment horizontal="center" vertical="center"/>
    </xf>
    <xf numFmtId="0" fontId="16" fillId="0" borderId="1" xfId="2" applyFont="1" applyBorder="1" applyAlignment="1">
      <alignment horizontal="center" vertical="center"/>
    </xf>
    <xf numFmtId="0" fontId="0" fillId="0" borderId="1" xfId="0" applyBorder="1"/>
    <xf numFmtId="0" fontId="2" fillId="0" borderId="0" xfId="2" applyFont="1" applyAlignment="1">
      <alignment horizontal="center" vertical="center"/>
    </xf>
    <xf numFmtId="0" fontId="18" fillId="0" borderId="0" xfId="0" applyFont="1" applyAlignment="1" applyProtection="1">
      <alignment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13" fillId="0" borderId="1" xfId="0" applyFont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5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176" fontId="12" fillId="0" borderId="1" xfId="0" applyNumberFormat="1" applyFont="1" applyFill="1" applyBorder="1" applyAlignment="1">
      <alignment horizontal="center" vertical="center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15" xfId="0" applyFill="1" applyBorder="1" applyAlignment="1" applyProtection="1">
      <alignment horizontal="center" vertical="center"/>
      <protection locked="0"/>
    </xf>
    <xf numFmtId="0" fontId="0" fillId="10" borderId="22" xfId="0" applyFill="1" applyBorder="1" applyAlignment="1" applyProtection="1">
      <alignment horizontal="center" vertical="center"/>
      <protection locked="0"/>
    </xf>
    <xf numFmtId="0" fontId="0" fillId="10" borderId="23" xfId="0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26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22" fillId="2" borderId="1" xfId="0" applyFont="1" applyFill="1" applyBorder="1" applyAlignment="1">
      <alignment horizontal="center" vertical="center"/>
    </xf>
    <xf numFmtId="0" fontId="18" fillId="6" borderId="1" xfId="0" applyFont="1" applyFill="1" applyBorder="1" applyAlignment="1" applyProtection="1">
      <alignment horizontal="center" vertical="center"/>
    </xf>
    <xf numFmtId="0" fontId="18" fillId="6" borderId="30" xfId="0" applyFont="1" applyFill="1" applyBorder="1" applyAlignment="1" applyProtection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9" fillId="2" borderId="30" xfId="0" applyFont="1" applyFill="1" applyBorder="1" applyAlignment="1" applyProtection="1">
      <alignment horizontal="center" vertical="center"/>
      <protection locked="0"/>
    </xf>
    <xf numFmtId="0" fontId="19" fillId="2" borderId="31" xfId="0" applyFont="1" applyFill="1" applyBorder="1" applyAlignment="1" applyProtection="1">
      <alignment horizontal="center" vertical="center"/>
      <protection locked="0"/>
    </xf>
    <xf numFmtId="0" fontId="19" fillId="2" borderId="32" xfId="0" applyFont="1" applyFill="1" applyBorder="1" applyAlignment="1" applyProtection="1">
      <alignment horizontal="center" vertical="center"/>
      <protection locked="0"/>
    </xf>
    <xf numFmtId="0" fontId="21" fillId="0" borderId="9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2" fontId="14" fillId="0" borderId="1" xfId="0" applyNumberFormat="1" applyFont="1" applyBorder="1" applyAlignment="1">
      <alignment horizontal="center" vertical="center"/>
    </xf>
    <xf numFmtId="176" fontId="14" fillId="0" borderId="1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" fontId="14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5" fillId="6" borderId="8" xfId="1" applyNumberFormat="1" applyFill="1" applyBorder="1" applyAlignment="1">
      <alignment horizontal="center" vertical="center"/>
    </xf>
    <xf numFmtId="0" fontId="5" fillId="6" borderId="9" xfId="1" applyNumberFormat="1" applyFill="1" applyBorder="1" applyAlignment="1">
      <alignment horizontal="center" vertical="center"/>
    </xf>
    <xf numFmtId="0" fontId="5" fillId="6" borderId="10" xfId="1" applyNumberFormat="1" applyFill="1" applyBorder="1" applyAlignment="1">
      <alignment horizontal="center" vertical="center"/>
    </xf>
    <xf numFmtId="0" fontId="5" fillId="6" borderId="2" xfId="1" applyNumberFormat="1" applyFill="1" applyBorder="1" applyAlignment="1">
      <alignment horizontal="center" vertical="center"/>
    </xf>
    <xf numFmtId="0" fontId="5" fillId="6" borderId="3" xfId="1" applyNumberFormat="1" applyFill="1" applyBorder="1" applyAlignment="1">
      <alignment horizontal="center" vertical="center"/>
    </xf>
    <xf numFmtId="0" fontId="5" fillId="6" borderId="4" xfId="1" applyNumberFormat="1" applyFill="1" applyBorder="1" applyAlignment="1">
      <alignment horizontal="center" vertical="center"/>
    </xf>
    <xf numFmtId="0" fontId="5" fillId="6" borderId="1" xfId="1" applyNumberFormat="1" applyFill="1" applyBorder="1" applyAlignment="1">
      <alignment horizontal="center" vertical="center"/>
    </xf>
  </cellXfs>
  <cellStyles count="3">
    <cellStyle name="Normal 2" xfId="2"/>
    <cellStyle name="표준" xfId="0" builtinId="0"/>
    <cellStyle name="표준 2" xfId="1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C7CE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'Summary(3pcs)'!$M$35:$M$38</c:f>
              <c:numCache>
                <c:formatCode>0.000</c:formatCode>
                <c:ptCount val="4"/>
                <c:pt idx="0">
                  <c:v>2.4869367390999999</c:v>
                </c:pt>
                <c:pt idx="1">
                  <c:v>2.4413456107</c:v>
                </c:pt>
                <c:pt idx="2">
                  <c:v>-2.2005837441999998</c:v>
                </c:pt>
                <c:pt idx="3">
                  <c:v>0.2262970883</c:v>
                </c:pt>
              </c:numCache>
            </c:numRef>
          </c:xVal>
          <c:yVal>
            <c:numRef>
              <c:f>'Summary(3pcs)'!$N$35:$N$38</c:f>
              <c:numCache>
                <c:formatCode>0.000</c:formatCode>
                <c:ptCount val="4"/>
                <c:pt idx="0">
                  <c:v>3.5657654736</c:v>
                </c:pt>
                <c:pt idx="1">
                  <c:v>1.5377007225999999</c:v>
                </c:pt>
                <c:pt idx="2">
                  <c:v>2.6702642730999999</c:v>
                </c:pt>
                <c:pt idx="3">
                  <c:v>8.0127552761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5F-40A3-8DEF-99DAD1A0345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'Summary(3pcs)'!$O$35</c:f>
              <c:numCache>
                <c:formatCode>0.00</c:formatCode>
                <c:ptCount val="1"/>
                <c:pt idx="0">
                  <c:v>0.9092328685333334</c:v>
                </c:pt>
              </c:numCache>
            </c:numRef>
          </c:xVal>
          <c:yVal>
            <c:numRef>
              <c:f>'Summary(3pcs)'!$P$35</c:f>
              <c:numCache>
                <c:formatCode>0.00</c:formatCode>
                <c:ptCount val="1"/>
                <c:pt idx="0">
                  <c:v>2.5912434897666663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5F-40A3-8DEF-99DAD1A0345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5F-40A3-8DEF-99DAD1A0345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5F-40A3-8DEF-99DAD1A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67872"/>
        <c:axId val="61202432"/>
      </c:scatterChart>
      <c:valAx>
        <c:axId val="6116787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1202432"/>
        <c:crosses val="autoZero"/>
        <c:crossBetween val="midCat"/>
        <c:majorUnit val="10"/>
      </c:valAx>
      <c:valAx>
        <c:axId val="6120243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1167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'Summary(3pcs)'!$M$39:$M$42</c:f>
              <c:numCache>
                <c:formatCode>0.000</c:formatCode>
                <c:ptCount val="4"/>
                <c:pt idx="0">
                  <c:v>0.30938684230000002</c:v>
                </c:pt>
                <c:pt idx="1">
                  <c:v>6.1964890191000004</c:v>
                </c:pt>
                <c:pt idx="2">
                  <c:v>-8.7494761065999995</c:v>
                </c:pt>
                <c:pt idx="3">
                  <c:v>-3.483799281</c:v>
                </c:pt>
              </c:numCache>
            </c:numRef>
          </c:xVal>
          <c:yVal>
            <c:numRef>
              <c:f>'Summary(3pcs)'!$N$39:$N$42</c:f>
              <c:numCache>
                <c:formatCode>0.000</c:formatCode>
                <c:ptCount val="4"/>
                <c:pt idx="0">
                  <c:v>4.8677615939000001</c:v>
                </c:pt>
                <c:pt idx="1">
                  <c:v>5.3326691092000003</c:v>
                </c:pt>
                <c:pt idx="2">
                  <c:v>1.0919897209</c:v>
                </c:pt>
                <c:pt idx="3">
                  <c:v>3.0487023216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08-468A-8545-8257C38E974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'Summary(3pcs)'!$O$38</c:f>
              <c:numCache>
                <c:formatCode>0.00</c:formatCode>
                <c:ptCount val="1"/>
                <c:pt idx="0">
                  <c:v>2.2440576499000002</c:v>
                </c:pt>
              </c:numCache>
            </c:numRef>
          </c:xVal>
          <c:yVal>
            <c:numRef>
              <c:f>'Summary(3pcs)'!$P$38</c:f>
              <c:numCache>
                <c:formatCode>0.00</c:formatCode>
                <c:ptCount val="1"/>
                <c:pt idx="0">
                  <c:v>6.0710619930666674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08-468A-8545-8257C38E974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08-468A-8545-8257C38E974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08-468A-8545-8257C38E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8032"/>
        <c:axId val="60589568"/>
      </c:scatterChart>
      <c:valAx>
        <c:axId val="6058803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589568"/>
        <c:crosses val="autoZero"/>
        <c:crossBetween val="midCat"/>
        <c:majorUnit val="10"/>
      </c:valAx>
      <c:valAx>
        <c:axId val="6058956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588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'Summary(3pcs)'!$M$43:$M$45</c:f>
              <c:numCache>
                <c:formatCode>0,000</c:formatCode>
                <c:ptCount val="3"/>
                <c:pt idx="0">
                  <c:v>-11.4258464965</c:v>
                </c:pt>
                <c:pt idx="1">
                  <c:v>0.93782885410000005</c:v>
                </c:pt>
                <c:pt idx="2">
                  <c:v>0.8223546826</c:v>
                </c:pt>
              </c:numCache>
            </c:numRef>
          </c:xVal>
          <c:yVal>
            <c:numRef>
              <c:f>'Summary(3pcs)'!$N$43:$N$45</c:f>
              <c:numCache>
                <c:formatCode>0,000</c:formatCode>
                <c:ptCount val="3"/>
                <c:pt idx="0">
                  <c:v>-1.3225292476000003</c:v>
                </c:pt>
                <c:pt idx="1">
                  <c:v>0.28111378939999998</c:v>
                </c:pt>
                <c:pt idx="2">
                  <c:v>-2.2542975977999999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2-47D9-A4E1-35AAC859806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'Summary(3pcs)'!$O$41</c:f>
              <c:numCache>
                <c:formatCode>0.00</c:formatCode>
                <c:ptCount val="1"/>
                <c:pt idx="0">
                  <c:v>-7.8863739613666661</c:v>
                </c:pt>
              </c:numCache>
            </c:numRef>
          </c:xVal>
          <c:yVal>
            <c:numRef>
              <c:f>'Summary(3pcs)'!$P$41</c:f>
              <c:numCache>
                <c:formatCode>0.00</c:formatCode>
                <c:ptCount val="1"/>
                <c:pt idx="0">
                  <c:v>0.93938759829999974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12-47D9-A4E1-35AAC859806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12-47D9-A4E1-35AAC859806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12-47D9-A4E1-35AAC85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18240"/>
        <c:axId val="60619776"/>
      </c:scatterChart>
      <c:valAx>
        <c:axId val="6061824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619776"/>
        <c:crosses val="autoZero"/>
        <c:crossBetween val="midCat"/>
        <c:majorUnit val="10"/>
      </c:valAx>
      <c:valAx>
        <c:axId val="6061977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618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'Summary(3pcs)'!$M$46:$M$46</c:f>
              <c:numCache>
                <c:formatCode>0,000</c:formatCode>
                <c:ptCount val="1"/>
                <c:pt idx="0">
                  <c:v>-6.2741505642000002</c:v>
                </c:pt>
              </c:numCache>
            </c:numRef>
          </c:xVal>
          <c:yVal>
            <c:numRef>
              <c:f>'Summary(3pcs)'!$N$46:$N$46</c:f>
              <c:numCache>
                <c:formatCode>0,000</c:formatCode>
                <c:ptCount val="1"/>
                <c:pt idx="0">
                  <c:v>0.36877146339999989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3-4504-BA82-7F81787443E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'Summary(3pcs)'!$O$44</c:f>
              <c:numCache>
                <c:formatCode>0.00</c:formatCode>
                <c:ptCount val="1"/>
                <c:pt idx="0">
                  <c:v>-1.5046556758333332</c:v>
                </c:pt>
              </c:numCache>
            </c:numRef>
          </c:xVal>
          <c:yVal>
            <c:numRef>
              <c:f>'Summary(3pcs)'!$P$44</c:f>
              <c:numCache>
                <c:formatCode>0.00</c:formatCode>
                <c:ptCount val="1"/>
                <c:pt idx="0">
                  <c:v>-0.53480411500000002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C3-4504-BA82-7F81787443E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C3-4504-BA82-7F81787443E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C3-4504-BA82-7F817874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641280"/>
        <c:axId val="104642816"/>
      </c:scatterChart>
      <c:valAx>
        <c:axId val="10464128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04642816"/>
        <c:crosses val="autoZero"/>
        <c:crossBetween val="midCat"/>
        <c:majorUnit val="10"/>
      </c:valAx>
      <c:valAx>
        <c:axId val="10464281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04641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'Summary(3pcs)'!$C$35:$C$36</c:f>
              <c:numCache>
                <c:formatCode>0.000</c:formatCode>
                <c:ptCount val="2"/>
                <c:pt idx="0">
                  <c:v>91.974027146300003</c:v>
                </c:pt>
                <c:pt idx="1">
                  <c:v>88.9838915797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F1-4DBA-9D77-A542D11EC841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'Summary(3pcs)'!$F$35:$F$37</c:f>
              <c:numCache>
                <c:formatCode>0.000</c:formatCode>
                <c:ptCount val="3"/>
                <c:pt idx="0">
                  <c:v>90.058016063133323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F1-4DBA-9D77-A542D11EC84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F1-4DBA-9D77-A542D11EC84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F1-4DBA-9D77-A542D11E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196224"/>
        <c:axId val="130197760"/>
      </c:scatterChart>
      <c:valAx>
        <c:axId val="130196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0197760"/>
        <c:crosses val="autoZero"/>
        <c:crossBetween val="midCat"/>
      </c:valAx>
      <c:valAx>
        <c:axId val="130197760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0196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'Summary(3pcs)'!$C$37:$C$39</c:f>
              <c:numCache>
                <c:formatCode>0.000</c:formatCode>
                <c:ptCount val="3"/>
                <c:pt idx="0">
                  <c:v>89.216129463399994</c:v>
                </c:pt>
                <c:pt idx="1">
                  <c:v>93.427046522300003</c:v>
                </c:pt>
                <c:pt idx="2">
                  <c:v>91.345914867900007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47-41F6-98CC-A5EFEFAC4EB1}"/>
            </c:ext>
          </c:extLst>
        </c:ser>
        <c:ser>
          <c:idx val="1"/>
          <c:order val="1"/>
          <c:tx>
            <c:v>Inf.Peak 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'Summary(3pcs)'!$F$38:$F$40</c:f>
              <c:numCache>
                <c:formatCode>0.000</c:formatCode>
                <c:ptCount val="3"/>
                <c:pt idx="0">
                  <c:v>93.578950846599994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47-41F6-98CC-A5EFEFAC4EB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947-41F6-98CC-A5EFEFAC4EB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947-41F6-98CC-A5EFEFAC4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619072"/>
        <c:axId val="131624960"/>
      </c:scatterChart>
      <c:valAx>
        <c:axId val="131619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624960"/>
        <c:crosses val="autoZero"/>
        <c:crossBetween val="midCat"/>
      </c:valAx>
      <c:valAx>
        <c:axId val="131624960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619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'Summary(3pcs)'!$C$40:$C$42</c:f>
              <c:numCache>
                <c:formatCode>0,000</c:formatCode>
                <c:ptCount val="3"/>
                <c:pt idx="0">
                  <c:v>95.963891149600002</c:v>
                </c:pt>
                <c:pt idx="1">
                  <c:v>94.883306157500002</c:v>
                </c:pt>
                <c:pt idx="2">
                  <c:v>88.179580902300003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AB-456C-9CB1-D2BB3D1D9B0D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'Summary(3pcs)'!$F$41:$F$43</c:f>
              <c:numCache>
                <c:formatCode>0,000</c:formatCode>
                <c:ptCount val="3"/>
                <c:pt idx="0">
                  <c:v>89.938136890600006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AB-456C-9CB1-D2BB3D1D9B0D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AB-456C-9CB1-D2BB3D1D9B0D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AB-456C-9CB1-D2BB3D1D9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334144"/>
        <c:axId val="131335680"/>
      </c:scatterChart>
      <c:valAx>
        <c:axId val="131334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335680"/>
        <c:crosses val="autoZero"/>
        <c:crossBetween val="midCat"/>
      </c:valAx>
      <c:valAx>
        <c:axId val="131335680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334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'Summary(3pcs)'!$C$43:$C$45</c:f>
              <c:numCache>
                <c:formatCode>0,000</c:formatCode>
                <c:ptCount val="3"/>
                <c:pt idx="0">
                  <c:v>86.751523612</c:v>
                </c:pt>
                <c:pt idx="1">
                  <c:v>87.746997578800006</c:v>
                </c:pt>
                <c:pt idx="2">
                  <c:v>86.832084905000002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E1-4B19-BB5B-A38606CCCDA4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'Summary(3pcs)'!$F$44:$F$46</c:f>
              <c:numCache>
                <c:formatCode>0,000</c:formatCode>
                <c:ptCount val="3"/>
                <c:pt idx="0">
                  <c:v>89.139605366033337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E1-4B19-BB5B-A38606CCCDA4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EE1-4B19-BB5B-A38606CCCDA4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EE1-4B19-BB5B-A38606CCC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372160"/>
        <c:axId val="131373696"/>
      </c:scatterChart>
      <c:valAx>
        <c:axId val="131372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373696"/>
        <c:crosses val="autoZero"/>
        <c:crossBetween val="midCat"/>
      </c:valAx>
      <c:valAx>
        <c:axId val="131373696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372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'Summary(3pcs)'!$V$38:$V$40</c:f>
              <c:numCache>
                <c:formatCode>General</c:formatCode>
                <c:ptCount val="3"/>
                <c:pt idx="0">
                  <c:v>4.5134162903000004</c:v>
                </c:pt>
                <c:pt idx="1">
                  <c:v>7.6856870650999998</c:v>
                </c:pt>
                <c:pt idx="2">
                  <c:v>3.262550354</c:v>
                </c:pt>
              </c:numCache>
            </c:numRef>
          </c:xVal>
          <c:yVal>
            <c:numRef>
              <c:f>'Summary(3pcs)'!$W$38:$W$40</c:f>
              <c:numCache>
                <c:formatCode>General</c:formatCode>
                <c:ptCount val="3"/>
                <c:pt idx="0">
                  <c:v>-2.0294386148000001</c:v>
                </c:pt>
                <c:pt idx="1">
                  <c:v>3.0424633025999999</c:v>
                </c:pt>
                <c:pt idx="2">
                  <c:v>-0.19938039780000016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01-46BC-AB16-8ECDB8AEDC70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'Summary(3pcs)'!$X$38</c:f>
              <c:numCache>
                <c:formatCode>0.00</c:formatCode>
                <c:ptCount val="1"/>
                <c:pt idx="0">
                  <c:v>5.1538845697999998</c:v>
                </c:pt>
              </c:numCache>
            </c:numRef>
          </c:xVal>
          <c:yVal>
            <c:numRef>
              <c:f>'Summary(3pcs)'!$Y$38</c:f>
              <c:numCache>
                <c:formatCode>0.00</c:formatCode>
                <c:ptCount val="1"/>
                <c:pt idx="0">
                  <c:v>0.27121476333333322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1-46BC-AB16-8ECDB8AEDC70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01-46BC-AB16-8ECDB8AEDC70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01-46BC-AB16-8ECDB8AE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484288"/>
        <c:axId val="131494272"/>
      </c:scatterChart>
      <c:valAx>
        <c:axId val="13148428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1494272"/>
        <c:crosses val="autoZero"/>
        <c:crossBetween val="midCat"/>
        <c:majorUnit val="10"/>
      </c:valAx>
      <c:valAx>
        <c:axId val="13149427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1484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'Summary(3pcs)'!$V$41:$V$43</c:f>
              <c:numCache>
                <c:formatCode>General</c:formatCode>
                <c:ptCount val="3"/>
                <c:pt idx="0">
                  <c:v>6.5676698684999995</c:v>
                </c:pt>
                <c:pt idx="1">
                  <c:v>7.5007467269999992</c:v>
                </c:pt>
                <c:pt idx="2">
                  <c:v>5.4871845244999999</c:v>
                </c:pt>
              </c:numCache>
            </c:numRef>
          </c:xVal>
          <c:yVal>
            <c:numRef>
              <c:f>'Summary(3pcs)'!$W$41:$W$43</c:f>
              <c:numCache>
                <c:formatCode>General</c:formatCode>
                <c:ptCount val="3"/>
                <c:pt idx="0">
                  <c:v>0.40958285329999988</c:v>
                </c:pt>
                <c:pt idx="1">
                  <c:v>-3.1332199574000001</c:v>
                </c:pt>
                <c:pt idx="2">
                  <c:v>-2.1467705965000001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63-491F-A4A8-2C27A69FED82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'Summary(3pcs)'!$X$41</c:f>
              <c:numCache>
                <c:formatCode>0.00</c:formatCode>
                <c:ptCount val="1"/>
                <c:pt idx="0">
                  <c:v>6.5185337066666662</c:v>
                </c:pt>
              </c:numCache>
            </c:numRef>
          </c:xVal>
          <c:yVal>
            <c:numRef>
              <c:f>'Summary(3pcs)'!$Y$41</c:f>
              <c:numCache>
                <c:formatCode>0.00</c:formatCode>
                <c:ptCount val="1"/>
                <c:pt idx="0">
                  <c:v>-1.6234692335333334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63-491F-A4A8-2C27A69FED82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963-491F-A4A8-2C27A69FED82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963-491F-A4A8-2C27A69FE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547520"/>
        <c:axId val="131549056"/>
      </c:scatterChart>
      <c:valAx>
        <c:axId val="13154752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1549056"/>
        <c:crosses val="autoZero"/>
        <c:crossBetween val="midCat"/>
        <c:majorUnit val="10"/>
      </c:valAx>
      <c:valAx>
        <c:axId val="13154905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1547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'Summary(3pcs)'!$V$44:$V$46</c:f>
              <c:numCache>
                <c:formatCode>General</c:formatCode>
                <c:ptCount val="3"/>
                <c:pt idx="0">
                  <c:v>0.52099466319999976</c:v>
                </c:pt>
                <c:pt idx="1">
                  <c:v>2.9166774750000002</c:v>
                </c:pt>
                <c:pt idx="2">
                  <c:v>2.9609885216</c:v>
                </c:pt>
              </c:numCache>
            </c:numRef>
          </c:xVal>
          <c:yVal>
            <c:numRef>
              <c:f>'Summary(3pcs)'!$W$44:$W$46</c:f>
              <c:numCache>
                <c:formatCode>General</c:formatCode>
                <c:ptCount val="3"/>
                <c:pt idx="0">
                  <c:v>0.82108259199999978</c:v>
                </c:pt>
                <c:pt idx="1">
                  <c:v>-4.6348382235000001</c:v>
                </c:pt>
                <c:pt idx="2">
                  <c:v>-3.2156670094000002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A10-A7F8-A43D263FA17E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'Summary(3pcs)'!$X$44</c:f>
              <c:numCache>
                <c:formatCode>0.00</c:formatCode>
                <c:ptCount val="1"/>
                <c:pt idx="0">
                  <c:v>2.1328868866000001</c:v>
                </c:pt>
              </c:numCache>
            </c:numRef>
          </c:xVal>
          <c:yVal>
            <c:numRef>
              <c:f>'Summary(3pcs)'!$Y$44</c:f>
              <c:numCache>
                <c:formatCode>0.00</c:formatCode>
                <c:ptCount val="1"/>
                <c:pt idx="0">
                  <c:v>-2.3431408803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A10-A7F8-A43D263FA17E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46-4A10-A7F8-A43D263FA17E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46-4A10-A7F8-A43D263F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401600"/>
        <c:axId val="131403136"/>
      </c:scatterChart>
      <c:valAx>
        <c:axId val="13140160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1403136"/>
        <c:crosses val="autoZero"/>
        <c:crossBetween val="midCat"/>
        <c:majorUnit val="10"/>
      </c:valAx>
      <c:valAx>
        <c:axId val="13140313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1401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'Summary(3pcs)'!$V$35:$V$37</c:f>
              <c:numCache>
                <c:formatCode>General</c:formatCode>
                <c:ptCount val="3"/>
                <c:pt idx="0">
                  <c:v>7.2190408707000007</c:v>
                </c:pt>
                <c:pt idx="1">
                  <c:v>5.1272792815999999</c:v>
                </c:pt>
                <c:pt idx="2">
                  <c:v>2.8634181022999998</c:v>
                </c:pt>
              </c:numCache>
            </c:numRef>
          </c:xVal>
          <c:yVal>
            <c:numRef>
              <c:f>'Summary(3pcs)'!$W$35:$W$37</c:f>
              <c:numCache>
                <c:formatCode>General</c:formatCode>
                <c:ptCount val="3"/>
                <c:pt idx="0">
                  <c:v>-0.72158694270000012</c:v>
                </c:pt>
                <c:pt idx="1">
                  <c:v>1.7600092888000001</c:v>
                </c:pt>
                <c:pt idx="2">
                  <c:v>1.684525013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56-4569-B03A-3A9648BD837A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'Summary(3pcs)'!$X$35</c:f>
              <c:numCache>
                <c:formatCode>0.00</c:formatCode>
                <c:ptCount val="1"/>
                <c:pt idx="0">
                  <c:v>5.0699127515333338</c:v>
                </c:pt>
              </c:numCache>
            </c:numRef>
          </c:xVal>
          <c:yVal>
            <c:numRef>
              <c:f>'Summary(3pcs)'!$Y$35</c:f>
              <c:numCache>
                <c:formatCode>0.00</c:formatCode>
                <c:ptCount val="1"/>
                <c:pt idx="0">
                  <c:v>0.90764911969999995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56-4569-B03A-3A9648BD837A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56-4569-B03A-3A9648BD837A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56-4569-B03A-3A9648BD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444096"/>
        <c:axId val="131458176"/>
      </c:scatterChart>
      <c:valAx>
        <c:axId val="13144409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1458176"/>
        <c:crosses val="autoZero"/>
        <c:crossBetween val="midCat"/>
        <c:majorUnit val="10"/>
      </c:valAx>
      <c:valAx>
        <c:axId val="13145817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1444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2</xdr:row>
      <xdr:rowOff>19050</xdr:rowOff>
    </xdr:from>
    <xdr:to>
      <xdr:col>1</xdr:col>
      <xdr:colOff>1323975</xdr:colOff>
      <xdr:row>2</xdr:row>
      <xdr:rowOff>180975</xdr:rowOff>
    </xdr:to>
    <xdr:sp macro="[1]!ON_OC_OC" textlink="">
      <xdr:nvSpPr>
        <xdr:cNvPr id="4" name="Oval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219325" y="866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3</xdr:row>
      <xdr:rowOff>19050</xdr:rowOff>
    </xdr:from>
    <xdr:to>
      <xdr:col>1</xdr:col>
      <xdr:colOff>1323975</xdr:colOff>
      <xdr:row>3</xdr:row>
      <xdr:rowOff>180975</xdr:rowOff>
    </xdr:to>
    <xdr:sp macro="[1]!INFD_Normal_FPDC" textlink="">
      <xdr:nvSpPr>
        <xdr:cNvPr id="5" name="Oval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2219325" y="1057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4</xdr:row>
      <xdr:rowOff>19050</xdr:rowOff>
    </xdr:from>
    <xdr:to>
      <xdr:col>1</xdr:col>
      <xdr:colOff>1323975</xdr:colOff>
      <xdr:row>4</xdr:row>
      <xdr:rowOff>180975</xdr:rowOff>
    </xdr:to>
    <xdr:sp macro="[1]!INFD_Margin_IPQC" textlink="">
      <xdr:nvSpPr>
        <xdr:cNvPr id="6" name="Oval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219325" y="1247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5</xdr:row>
      <xdr:rowOff>19050</xdr:rowOff>
    </xdr:from>
    <xdr:to>
      <xdr:col>1</xdr:col>
      <xdr:colOff>1323975</xdr:colOff>
      <xdr:row>5</xdr:row>
      <xdr:rowOff>180975</xdr:rowOff>
    </xdr:to>
    <xdr:sp macro="[1]!VCMMeasure_VCM" textlink="">
      <xdr:nvSpPr>
        <xdr:cNvPr id="7" name="Oval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2219325" y="1438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52</xdr:row>
      <xdr:rowOff>152400</xdr:rowOff>
    </xdr:from>
    <xdr:to>
      <xdr:col>2</xdr:col>
      <xdr:colOff>1629894</xdr:colOff>
      <xdr:row>54</xdr:row>
      <xdr:rowOff>194562</xdr:rowOff>
    </xdr:to>
    <xdr:sp macro="[1]!copy_file_data_2" textlink="">
      <xdr:nvSpPr>
        <xdr:cNvPr id="8" name="Rectangle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2581275" y="11306175"/>
          <a:ext cx="122031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13</xdr:row>
      <xdr:rowOff>171450</xdr:rowOff>
    </xdr:from>
    <xdr:to>
      <xdr:col>1</xdr:col>
      <xdr:colOff>1306044</xdr:colOff>
      <xdr:row>16</xdr:row>
      <xdr:rowOff>4062</xdr:rowOff>
    </xdr:to>
    <xdr:sp macro="[0]!copy_file_data_2" textlink="">
      <xdr:nvSpPr>
        <xdr:cNvPr id="9" name="Rectangle 1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971550" y="3152775"/>
          <a:ext cx="127746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IMPORT 2</a:t>
          </a:r>
        </a:p>
      </xdr:txBody>
    </xdr:sp>
    <xdr:clientData/>
  </xdr:twoCellAnchor>
  <xdr:twoCellAnchor>
    <xdr:from>
      <xdr:col>1</xdr:col>
      <xdr:colOff>0</xdr:colOff>
      <xdr:row>10</xdr:row>
      <xdr:rowOff>123825</xdr:rowOff>
    </xdr:from>
    <xdr:to>
      <xdr:col>1</xdr:col>
      <xdr:colOff>1285875</xdr:colOff>
      <xdr:row>13</xdr:row>
      <xdr:rowOff>28575</xdr:rowOff>
    </xdr:to>
    <xdr:sp macro="[0]!test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942975" y="2476500"/>
          <a:ext cx="128587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100" b="1" baseline="0">
              <a:latin typeface="Arial" panose="020B0604020202020204" pitchFamily="34" charset="0"/>
              <a:cs typeface="Arial" panose="020B0604020202020204" pitchFamily="34" charset="0"/>
            </a:rPr>
            <a:t> IMPORT</a:t>
          </a:r>
          <a:endParaRPr lang="ko-KR" alt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594000</xdr:colOff>
      <xdr:row>14</xdr:row>
      <xdr:rowOff>22500</xdr:rowOff>
    </xdr:to>
    <xdr:graphicFrame macro="">
      <xdr:nvGraphicFramePr>
        <xdr:cNvPr id="15" name="차트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594000</xdr:colOff>
      <xdr:row>14</xdr:row>
      <xdr:rowOff>22500</xdr:rowOff>
    </xdr:to>
    <xdr:graphicFrame macro="">
      <xdr:nvGraphicFramePr>
        <xdr:cNvPr id="16" name="차트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13</xdr:col>
      <xdr:colOff>594000</xdr:colOff>
      <xdr:row>30</xdr:row>
      <xdr:rowOff>22500</xdr:rowOff>
    </xdr:to>
    <xdr:graphicFrame macro="">
      <xdr:nvGraphicFramePr>
        <xdr:cNvPr id="17" name="차트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17</xdr:col>
      <xdr:colOff>594000</xdr:colOff>
      <xdr:row>30</xdr:row>
      <xdr:rowOff>22500</xdr:rowOff>
    </xdr:to>
    <xdr:graphicFrame macro="">
      <xdr:nvGraphicFramePr>
        <xdr:cNvPr id="18" name="차트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22500</xdr:colOff>
      <xdr:row>14</xdr:row>
      <xdr:rowOff>22500</xdr:rowOff>
    </xdr:to>
    <xdr:graphicFrame macro="">
      <xdr:nvGraphicFramePr>
        <xdr:cNvPr id="23" name="차트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149679</xdr:colOff>
      <xdr:row>0</xdr:row>
      <xdr:rowOff>0</xdr:rowOff>
    </xdr:from>
    <xdr:to>
      <xdr:col>8</xdr:col>
      <xdr:colOff>185785</xdr:colOff>
      <xdr:row>14</xdr:row>
      <xdr:rowOff>22500</xdr:rowOff>
    </xdr:to>
    <xdr:graphicFrame macro="">
      <xdr:nvGraphicFramePr>
        <xdr:cNvPr id="24" name="차트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4</xdr:col>
      <xdr:colOff>22500</xdr:colOff>
      <xdr:row>30</xdr:row>
      <xdr:rowOff>22500</xdr:rowOff>
    </xdr:to>
    <xdr:graphicFrame macro="">
      <xdr:nvGraphicFramePr>
        <xdr:cNvPr id="25" name="차트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149679</xdr:colOff>
      <xdr:row>15</xdr:row>
      <xdr:rowOff>0</xdr:rowOff>
    </xdr:from>
    <xdr:to>
      <xdr:col>8</xdr:col>
      <xdr:colOff>185785</xdr:colOff>
      <xdr:row>30</xdr:row>
      <xdr:rowOff>22500</xdr:rowOff>
    </xdr:to>
    <xdr:graphicFrame macro="">
      <xdr:nvGraphicFramePr>
        <xdr:cNvPr id="26" name="차트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571500</xdr:colOff>
      <xdr:row>0</xdr:row>
      <xdr:rowOff>0</xdr:rowOff>
    </xdr:from>
    <xdr:to>
      <xdr:col>26</xdr:col>
      <xdr:colOff>321858</xdr:colOff>
      <xdr:row>14</xdr:row>
      <xdr:rowOff>22500</xdr:rowOff>
    </xdr:to>
    <xdr:graphicFrame macro="">
      <xdr:nvGraphicFramePr>
        <xdr:cNvPr id="27" name="차트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22</xdr:col>
      <xdr:colOff>485143</xdr:colOff>
      <xdr:row>30</xdr:row>
      <xdr:rowOff>22500</xdr:rowOff>
    </xdr:to>
    <xdr:graphicFrame macro="">
      <xdr:nvGraphicFramePr>
        <xdr:cNvPr id="28" name="차트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571500</xdr:colOff>
      <xdr:row>15</xdr:row>
      <xdr:rowOff>0</xdr:rowOff>
    </xdr:from>
    <xdr:to>
      <xdr:col>26</xdr:col>
      <xdr:colOff>321858</xdr:colOff>
      <xdr:row>30</xdr:row>
      <xdr:rowOff>22500</xdr:rowOff>
    </xdr:to>
    <xdr:graphicFrame macro="">
      <xdr:nvGraphicFramePr>
        <xdr:cNvPr id="29" name="차트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22</xdr:col>
      <xdr:colOff>485143</xdr:colOff>
      <xdr:row>14</xdr:row>
      <xdr:rowOff>22500</xdr:rowOff>
    </xdr:to>
    <xdr:graphicFrame macro="">
      <xdr:nvGraphicFramePr>
        <xdr:cNvPr id="30" name="차트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721178</xdr:colOff>
      <xdr:row>31</xdr:row>
      <xdr:rowOff>163285</xdr:rowOff>
    </xdr:from>
    <xdr:to>
      <xdr:col>15</xdr:col>
      <xdr:colOff>762000</xdr:colOff>
      <xdr:row>31</xdr:row>
      <xdr:rowOff>748393</xdr:rowOff>
    </xdr:to>
    <xdr:sp macro="[0]!datainput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552464" y="367392"/>
          <a:ext cx="1619250" cy="585108"/>
        </a:xfrm>
        <a:prstGeom prst="rect">
          <a:avLst/>
        </a:prstGeom>
        <a:solidFill>
          <a:srgbClr val="FFFF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6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INPUT</a:t>
          </a:r>
          <a:endParaRPr lang="ko-KR" altLang="en-US" sz="16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C/FOL/5.%20Lens%20AA/M&#7850;U/SHEET%20G&#7888;C%20M&#7850;U%20CHU&#7848;N(%20KH&#212;NG%20PASTE%20D&#7918;%20LI&#7878;U%20TR&#7920;C%20TI&#7870;P%20V&#192;O%20&#272;&#194;Y)/DB_bench_test%2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ginnotek-my.sharepoint.com/personal/clockwork_lginnotek_com/Documents/&#48148;&#53461;%20&#54868;&#47732;/&#51064;&#49688;&#51064;&#44228;/&#48288;&#53944;&#45224;%20&#52636;&#51109;&#44148;/Bench%20Tester/7&#50900;/17&#51068;/&#51452;&#44036;/1/(1)GSY798CM7G11%20UV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"/>
      <sheetName val="File location"/>
      <sheetName val="Result"/>
      <sheetName val="raw_500cm"/>
      <sheetName val="VCM"/>
      <sheetName val="IPQC"/>
      <sheetName val="OC"/>
      <sheetName val="500cm sweep macro"/>
      <sheetName val="FPDC"/>
      <sheetName val="temp1"/>
      <sheetName val="전산등록"/>
      <sheetName val="Alignment"/>
      <sheetName val="INF position &amp; VCM measure"/>
      <sheetName val="SFR Test"/>
      <sheetName val="DB_bench_test#1"/>
    </sheetNames>
    <definedNames>
      <definedName name="copy_file_data_2"/>
      <definedName name="INFD_Margin_IPQC"/>
      <definedName name="INFD_Normal_FPDC"/>
      <definedName name="ON_OC_OC"/>
      <definedName name="VCMMeasure_VC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raw_500cm"/>
      <sheetName val="VCM"/>
      <sheetName val="IPQC"/>
      <sheetName val="OC"/>
      <sheetName val="FPDC"/>
      <sheetName val="500cm sweep macro"/>
      <sheetName val="temp1"/>
      <sheetName val="전산등록"/>
    </sheetNames>
    <sheetDataSet>
      <sheetData sheetId="0">
        <row r="15">
          <cell r="S15">
            <v>0</v>
          </cell>
          <cell r="Z15">
            <v>0</v>
          </cell>
          <cell r="AA15">
            <v>0</v>
          </cell>
          <cell r="AI15">
            <v>0</v>
          </cell>
          <cell r="AJ15">
            <v>0</v>
          </cell>
        </row>
        <row r="16">
          <cell r="S16">
            <v>0</v>
          </cell>
          <cell r="Z16">
            <v>0</v>
          </cell>
          <cell r="AA16">
            <v>0</v>
          </cell>
          <cell r="AI16">
            <v>0</v>
          </cell>
          <cell r="AJ16">
            <v>0</v>
          </cell>
        </row>
        <row r="17">
          <cell r="S17">
            <v>0</v>
          </cell>
          <cell r="Z17">
            <v>0</v>
          </cell>
          <cell r="AA17">
            <v>0</v>
          </cell>
          <cell r="AI17">
            <v>0</v>
          </cell>
          <cell r="AJ17">
            <v>0</v>
          </cell>
        </row>
        <row r="18">
          <cell r="S18">
            <v>0</v>
          </cell>
          <cell r="Z18">
            <v>0</v>
          </cell>
          <cell r="AA18">
            <v>0</v>
          </cell>
          <cell r="AI18">
            <v>0</v>
          </cell>
          <cell r="AJ1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/>
  </sheetViews>
  <sheetFormatPr defaultRowHeight="13.5"/>
  <cols>
    <col min="2" max="2" width="10.375" bestFit="1" customWidth="1"/>
    <col min="4" max="4" width="49.375" customWidth="1"/>
  </cols>
  <sheetData>
    <row r="1" spans="1:5">
      <c r="A1" s="40" t="s">
        <v>150</v>
      </c>
      <c r="B1" s="40" t="s">
        <v>151</v>
      </c>
      <c r="C1" s="40" t="s">
        <v>152</v>
      </c>
      <c r="D1" s="40" t="s">
        <v>153</v>
      </c>
      <c r="E1" s="40" t="s">
        <v>158</v>
      </c>
    </row>
    <row r="2" spans="1:5">
      <c r="A2" s="40">
        <v>1</v>
      </c>
      <c r="B2" s="40" t="s">
        <v>154</v>
      </c>
      <c r="C2" s="40">
        <v>0.2</v>
      </c>
      <c r="D2" s="40" t="s">
        <v>155</v>
      </c>
      <c r="E2" s="40"/>
    </row>
    <row r="3" spans="1:5">
      <c r="A3" s="40">
        <v>2</v>
      </c>
      <c r="B3" s="40" t="s">
        <v>160</v>
      </c>
      <c r="C3" s="40">
        <v>0.2</v>
      </c>
      <c r="D3" s="40" t="s">
        <v>161</v>
      </c>
      <c r="E3" s="40"/>
    </row>
    <row r="4" spans="1:5">
      <c r="A4" s="40"/>
      <c r="B4" s="40"/>
      <c r="C4" s="40"/>
      <c r="D4" s="40"/>
      <c r="E4" s="40"/>
    </row>
    <row r="5" spans="1:5">
      <c r="A5" s="40"/>
      <c r="B5" s="40"/>
      <c r="C5" s="40"/>
      <c r="D5" s="40"/>
      <c r="E5" s="40"/>
    </row>
    <row r="6" spans="1:5">
      <c r="A6" s="40"/>
      <c r="B6" s="40"/>
      <c r="C6" s="40"/>
      <c r="D6" s="40"/>
      <c r="E6" s="40"/>
    </row>
  </sheetData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"/>
  <sheetViews>
    <sheetView showGridLines="0" workbookViewId="0"/>
  </sheetViews>
  <sheetFormatPr defaultColWidth="8.875" defaultRowHeight="16.5"/>
  <cols>
    <col min="1" max="1" width="10.25" style="18" customWidth="1"/>
    <col min="2" max="2" width="15.625" style="18" customWidth="1"/>
    <col min="3" max="3" width="85.75" style="18" customWidth="1"/>
    <col min="4" max="4" width="27.875" style="18" customWidth="1"/>
    <col min="5" max="16384" width="8.875" style="18"/>
  </cols>
  <sheetData>
    <row r="1" spans="1:5" ht="67.5" customHeight="1">
      <c r="A1" s="39" t="s">
        <v>146</v>
      </c>
      <c r="B1" s="38">
        <v>4</v>
      </c>
    </row>
    <row r="2" spans="1:5" ht="36.75" customHeight="1">
      <c r="A2" s="19" t="s">
        <v>117</v>
      </c>
      <c r="B2" s="19" t="s">
        <v>118</v>
      </c>
      <c r="C2" s="19" t="s">
        <v>119</v>
      </c>
      <c r="D2" s="19" t="s">
        <v>120</v>
      </c>
      <c r="E2" s="19" t="s">
        <v>146</v>
      </c>
    </row>
    <row r="3" spans="1:5">
      <c r="A3" s="41"/>
      <c r="B3" s="20" t="s">
        <v>9</v>
      </c>
      <c r="C3" s="20" t="str">
        <f>$C$8&amp;"_"&amp;D3</f>
        <v>D:\EVMS\TP\ELOG\VSY841N9NBF_2022092321_D50_ON_OC.csv</v>
      </c>
      <c r="D3" s="20" t="s">
        <v>135</v>
      </c>
      <c r="E3" s="21">
        <v>1</v>
      </c>
    </row>
    <row r="4" spans="1:5">
      <c r="B4" s="20" t="s">
        <v>2</v>
      </c>
      <c r="C4" s="20" t="str">
        <f t="shared" ref="C4:C6" si="0">$C$8&amp;"_"&amp;D4</f>
        <v>D:\EVMS\TP\ELOG\VSY841N9NBF_2022092321_FPDC_INFD_normal.csv</v>
      </c>
      <c r="D4" s="20" t="s">
        <v>121</v>
      </c>
    </row>
    <row r="5" spans="1:5">
      <c r="B5" s="20" t="s">
        <v>122</v>
      </c>
      <c r="C5" s="20" t="str">
        <f t="shared" si="0"/>
        <v>D:\EVMS\TP\ELOG\VSY841N9NBF_2022092321_INFDMargin_IPQC.csv</v>
      </c>
      <c r="D5" s="20" t="s">
        <v>123</v>
      </c>
    </row>
    <row r="6" spans="1:5">
      <c r="B6" s="20" t="s">
        <v>124</v>
      </c>
      <c r="C6" s="20" t="str">
        <f t="shared" si="0"/>
        <v>D:\EVMS\TP\ELOG\VSY841N9NBF_2022092321_VCM_MEASURE.csv</v>
      </c>
      <c r="D6" s="20" t="s">
        <v>125</v>
      </c>
    </row>
    <row r="7" spans="1:5">
      <c r="B7" s="22" t="s">
        <v>126</v>
      </c>
      <c r="C7" s="22" t="s">
        <v>127</v>
      </c>
      <c r="D7" s="22"/>
    </row>
    <row r="8" spans="1:5">
      <c r="B8" s="23" t="s">
        <v>128</v>
      </c>
      <c r="C8" s="24" t="s">
        <v>172</v>
      </c>
      <c r="D8" s="20"/>
    </row>
  </sheetData>
  <phoneticPr fontId="6" type="noConversion"/>
  <conditionalFormatting sqref="E3">
    <cfRule type="iconSet" priority="1">
      <iconSet iconSet="3Symbols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K66"/>
  <sheetViews>
    <sheetView showGridLines="0" tabSelected="1" topLeftCell="A31" zoomScale="70" zoomScaleNormal="70" workbookViewId="0">
      <selection activeCell="X54" sqref="X54"/>
    </sheetView>
  </sheetViews>
  <sheetFormatPr defaultColWidth="8.875" defaultRowHeight="14.25"/>
  <cols>
    <col min="1" max="1" width="6.75" style="27" customWidth="1"/>
    <col min="2" max="2" width="17.25" style="27" customWidth="1"/>
    <col min="3" max="5" width="13" style="27" customWidth="1"/>
    <col min="6" max="8" width="12.125" style="27" customWidth="1"/>
    <col min="9" max="9" width="8.125" style="27" customWidth="1"/>
    <col min="10" max="10" width="7.5" customWidth="1"/>
    <col min="11" max="11" width="6.75" style="27" customWidth="1"/>
    <col min="12" max="12" width="17.25" style="27" customWidth="1"/>
    <col min="13" max="14" width="13" style="27" customWidth="1"/>
    <col min="15" max="16" width="12.125" style="27" customWidth="1"/>
    <col min="17" max="18" width="11.25" style="27" bestFit="1" customWidth="1"/>
    <col min="19" max="19" width="6.625" style="27" customWidth="1"/>
    <col min="20" max="20" width="6.75" style="27" customWidth="1"/>
    <col min="21" max="21" width="17.25" style="27" customWidth="1"/>
    <col min="22" max="23" width="13" style="27" customWidth="1"/>
    <col min="24" max="25" width="12.125" style="27" customWidth="1"/>
    <col min="26" max="26" width="13" style="27" bestFit="1" customWidth="1"/>
    <col min="27" max="27" width="12" style="27" bestFit="1" customWidth="1"/>
    <col min="28" max="28" width="9" style="27" bestFit="1" customWidth="1"/>
    <col min="29" max="29" width="8.875" style="27"/>
    <col min="30" max="30" width="14.25" style="27" bestFit="1" customWidth="1"/>
    <col min="31" max="32" width="8.875" style="27"/>
    <col min="33" max="34" width="8.875" style="34"/>
    <col min="35" max="16384" width="8.875" style="27"/>
  </cols>
  <sheetData>
    <row r="1" spans="1:23" s="25" customFormat="1" ht="16.5" hidden="1" customHeight="1">
      <c r="A1" s="25">
        <v>25</v>
      </c>
      <c r="B1" s="25">
        <v>25</v>
      </c>
      <c r="C1" s="25">
        <v>12</v>
      </c>
      <c r="D1" s="25">
        <v>12</v>
      </c>
      <c r="J1"/>
      <c r="K1" s="25">
        <v>32</v>
      </c>
      <c r="L1" s="25">
        <v>32</v>
      </c>
      <c r="M1" s="25">
        <v>10</v>
      </c>
      <c r="N1" s="25">
        <v>10</v>
      </c>
      <c r="V1" s="25">
        <v>70</v>
      </c>
      <c r="W1" s="25">
        <v>100</v>
      </c>
    </row>
    <row r="2" spans="1:23" s="25" customFormat="1" ht="16.5" hidden="1" customHeight="1">
      <c r="A2" s="25">
        <v>25</v>
      </c>
      <c r="B2" s="25">
        <v>-25</v>
      </c>
      <c r="C2" s="25">
        <v>12</v>
      </c>
      <c r="D2" s="25">
        <v>-12</v>
      </c>
      <c r="J2"/>
      <c r="K2" s="25">
        <v>32</v>
      </c>
      <c r="L2" s="25">
        <v>-32</v>
      </c>
      <c r="M2" s="25">
        <v>10</v>
      </c>
      <c r="N2" s="25">
        <v>-10</v>
      </c>
      <c r="V2" s="25">
        <v>70</v>
      </c>
      <c r="W2" s="25">
        <v>100</v>
      </c>
    </row>
    <row r="3" spans="1:23" s="25" customFormat="1" ht="16.5" hidden="1" customHeight="1">
      <c r="A3" s="25">
        <v>-25</v>
      </c>
      <c r="B3" s="25">
        <v>-25</v>
      </c>
      <c r="C3" s="25">
        <v>-12</v>
      </c>
      <c r="D3" s="25">
        <v>-12</v>
      </c>
      <c r="J3"/>
      <c r="K3" s="25">
        <v>-32</v>
      </c>
      <c r="L3" s="25">
        <v>-32</v>
      </c>
      <c r="M3" s="25">
        <v>-10</v>
      </c>
      <c r="N3" s="25">
        <v>-10</v>
      </c>
      <c r="V3" s="25">
        <v>70</v>
      </c>
      <c r="W3" s="25">
        <v>100</v>
      </c>
    </row>
    <row r="4" spans="1:23" s="25" customFormat="1" ht="16.5" hidden="1" customHeight="1">
      <c r="A4" s="25">
        <v>-25</v>
      </c>
      <c r="B4" s="25">
        <v>25</v>
      </c>
      <c r="C4" s="25">
        <v>-12</v>
      </c>
      <c r="D4" s="25">
        <v>12</v>
      </c>
      <c r="J4"/>
      <c r="K4" s="25">
        <v>-32</v>
      </c>
      <c r="L4" s="25">
        <v>32</v>
      </c>
      <c r="M4" s="25">
        <v>-10</v>
      </c>
      <c r="N4" s="25">
        <v>10</v>
      </c>
      <c r="V4" s="25">
        <v>70</v>
      </c>
      <c r="W4" s="25">
        <v>100</v>
      </c>
    </row>
    <row r="5" spans="1:23" s="25" customFormat="1" ht="16.5" hidden="1" customHeight="1">
      <c r="A5" s="25">
        <f>A1</f>
        <v>25</v>
      </c>
      <c r="B5" s="25">
        <f>B1</f>
        <v>25</v>
      </c>
      <c r="C5" s="25">
        <f>C1</f>
        <v>12</v>
      </c>
      <c r="D5" s="25">
        <f>D1</f>
        <v>12</v>
      </c>
      <c r="J5"/>
      <c r="K5" s="25">
        <f>K1</f>
        <v>32</v>
      </c>
      <c r="L5" s="25">
        <f>L1</f>
        <v>32</v>
      </c>
      <c r="M5" s="25">
        <f>M1</f>
        <v>10</v>
      </c>
      <c r="N5" s="25">
        <f>N1</f>
        <v>10</v>
      </c>
      <c r="V5" s="25">
        <v>70</v>
      </c>
      <c r="W5" s="25">
        <v>100</v>
      </c>
    </row>
    <row r="6" spans="1:23" s="26" customFormat="1" ht="16.5" hidden="1" customHeight="1">
      <c r="J6"/>
    </row>
    <row r="7" spans="1:23" s="26" customFormat="1" ht="16.5" hidden="1" customHeight="1">
      <c r="J7"/>
    </row>
    <row r="8" spans="1:23" ht="16.5" hidden="1" customHeight="1">
      <c r="A8" s="25"/>
      <c r="B8" s="25"/>
      <c r="C8" s="25"/>
      <c r="D8" s="25"/>
      <c r="E8" s="25"/>
      <c r="F8" s="25"/>
      <c r="G8" s="25"/>
      <c r="H8" s="25"/>
      <c r="I8" s="25"/>
      <c r="K8" s="25"/>
      <c r="L8" s="25"/>
      <c r="M8" s="25"/>
      <c r="N8" s="25"/>
      <c r="O8" s="25"/>
      <c r="P8" s="25"/>
      <c r="Q8" s="25"/>
      <c r="R8" s="25"/>
      <c r="S8" s="25"/>
    </row>
    <row r="9" spans="1:23" ht="16.5" hidden="1" customHeight="1">
      <c r="A9" s="25"/>
      <c r="B9" s="25"/>
      <c r="C9" s="25"/>
      <c r="D9" s="25"/>
      <c r="E9" s="25"/>
      <c r="F9" s="25"/>
      <c r="G9" s="25"/>
      <c r="H9" s="25"/>
      <c r="I9" s="25"/>
      <c r="K9" s="25"/>
      <c r="L9" s="25"/>
      <c r="M9" s="25"/>
      <c r="N9" s="25"/>
      <c r="O9" s="25"/>
      <c r="P9" s="25"/>
      <c r="Q9" s="25"/>
      <c r="R9" s="25"/>
      <c r="S9" s="25"/>
    </row>
    <row r="10" spans="1:23" ht="16.5" hidden="1" customHeight="1">
      <c r="A10" s="25"/>
      <c r="B10" s="25"/>
      <c r="C10" s="25"/>
      <c r="D10" s="25"/>
      <c r="E10" s="25"/>
      <c r="F10" s="25"/>
      <c r="G10" s="25"/>
      <c r="H10" s="25"/>
      <c r="I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3" ht="16.5" hidden="1" customHeight="1">
      <c r="A11" s="25"/>
      <c r="B11" s="25"/>
      <c r="C11" s="25"/>
      <c r="D11" s="25"/>
      <c r="E11" s="25"/>
      <c r="F11" s="25"/>
      <c r="G11" s="25"/>
      <c r="H11" s="25"/>
      <c r="I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3" ht="16.5" hidden="1" customHeight="1">
      <c r="A12" s="25"/>
      <c r="B12" s="25"/>
      <c r="C12" s="25"/>
      <c r="D12" s="25"/>
      <c r="E12" s="25"/>
      <c r="F12" s="25"/>
      <c r="G12" s="25"/>
      <c r="H12" s="25"/>
      <c r="I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3" ht="16.5" hidden="1" customHeight="1">
      <c r="A13" s="25"/>
      <c r="B13" s="25"/>
      <c r="C13" s="25"/>
      <c r="D13" s="25"/>
      <c r="E13" s="25"/>
      <c r="F13" s="25"/>
      <c r="G13" s="25"/>
      <c r="H13" s="25"/>
      <c r="I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23" ht="16.5" hidden="1" customHeight="1">
      <c r="A14" s="25"/>
      <c r="B14" s="25"/>
      <c r="C14" s="25"/>
      <c r="D14" s="25"/>
      <c r="E14" s="25"/>
      <c r="F14" s="25"/>
      <c r="G14" s="25"/>
      <c r="H14" s="25"/>
      <c r="I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23" ht="16.5" hidden="1" customHeight="1">
      <c r="A15" s="25"/>
      <c r="B15" s="25"/>
      <c r="C15" s="25"/>
      <c r="D15" s="25"/>
      <c r="E15" s="25"/>
      <c r="F15" s="25"/>
      <c r="G15" s="25"/>
      <c r="H15" s="25"/>
      <c r="I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23" ht="16.5" hidden="1" customHeight="1"/>
    <row r="17" spans="2:35" ht="16.5" hidden="1" customHeight="1"/>
    <row r="18" spans="2:35" ht="16.5" hidden="1" customHeight="1"/>
    <row r="19" spans="2:35" ht="16.5" hidden="1" customHeight="1"/>
    <row r="20" spans="2:35" ht="16.5" hidden="1" customHeight="1"/>
    <row r="21" spans="2:35" ht="16.5" hidden="1" customHeight="1"/>
    <row r="22" spans="2:35" ht="16.5" hidden="1" customHeight="1"/>
    <row r="23" spans="2:35" ht="16.5" hidden="1" customHeight="1"/>
    <row r="24" spans="2:35" ht="16.5" hidden="1" customHeight="1"/>
    <row r="25" spans="2:35" ht="16.5" hidden="1" customHeight="1"/>
    <row r="26" spans="2:35" ht="16.5" hidden="1" customHeight="1"/>
    <row r="27" spans="2:35" ht="16.5" hidden="1" customHeight="1"/>
    <row r="28" spans="2:35" ht="16.5" hidden="1" customHeight="1"/>
    <row r="29" spans="2:35" ht="16.5" hidden="1" customHeight="1"/>
    <row r="30" spans="2:35" s="34" customFormat="1" ht="16.5" hidden="1" customHeight="1">
      <c r="J30"/>
    </row>
    <row r="31" spans="2:35" ht="16.5" customHeight="1">
      <c r="R31" s="32" t="s">
        <v>133</v>
      </c>
      <c r="AA31" s="25" t="s">
        <v>129</v>
      </c>
    </row>
    <row r="32" spans="2:35" ht="60.75" customHeight="1">
      <c r="B32" s="87" t="s">
        <v>14</v>
      </c>
      <c r="M32" s="87" t="s">
        <v>9</v>
      </c>
      <c r="R32" s="75" t="s">
        <v>157</v>
      </c>
      <c r="S32" s="83" t="s">
        <v>159</v>
      </c>
      <c r="T32" s="84"/>
      <c r="U32" s="87" t="s">
        <v>2</v>
      </c>
      <c r="AA32" s="25" t="s">
        <v>130</v>
      </c>
      <c r="AE32" s="36"/>
      <c r="AF32" s="36"/>
      <c r="AG32" s="36"/>
      <c r="AH32" s="36"/>
      <c r="AI32" s="36"/>
    </row>
    <row r="33" spans="1:37" ht="17.100000000000001" customHeight="1">
      <c r="B33" s="88"/>
      <c r="C33" s="28" t="s">
        <v>17</v>
      </c>
      <c r="D33" s="28">
        <f>5.1^2/(150-5.1)*1000</f>
        <v>179.50310559006209</v>
      </c>
      <c r="M33" s="88"/>
      <c r="U33" s="88"/>
      <c r="AE33" s="37"/>
      <c r="AF33" s="37"/>
      <c r="AG33" s="37"/>
      <c r="AH33" s="37"/>
      <c r="AI33" s="37"/>
    </row>
    <row r="34" spans="1:37" s="30" customFormat="1" ht="30">
      <c r="A34" s="45" t="s">
        <v>1</v>
      </c>
      <c r="B34" s="45" t="s">
        <v>0</v>
      </c>
      <c r="C34" s="46" t="s">
        <v>15</v>
      </c>
      <c r="D34" s="46" t="s">
        <v>108</v>
      </c>
      <c r="E34" s="46" t="s">
        <v>16</v>
      </c>
      <c r="F34" s="47" t="s">
        <v>18</v>
      </c>
      <c r="G34" s="47" t="s">
        <v>20</v>
      </c>
      <c r="H34" s="47" t="s">
        <v>19</v>
      </c>
      <c r="I34" s="48" t="s">
        <v>21</v>
      </c>
      <c r="J34"/>
      <c r="K34" s="45" t="s">
        <v>1</v>
      </c>
      <c r="L34" s="45" t="s">
        <v>0</v>
      </c>
      <c r="M34" s="46" t="s">
        <v>115</v>
      </c>
      <c r="N34" s="46" t="s">
        <v>116</v>
      </c>
      <c r="O34" s="47" t="s">
        <v>10</v>
      </c>
      <c r="P34" s="47" t="s">
        <v>11</v>
      </c>
      <c r="Q34" s="48" t="s">
        <v>12</v>
      </c>
      <c r="R34" s="48" t="s">
        <v>13</v>
      </c>
      <c r="T34" s="45" t="s">
        <v>1</v>
      </c>
      <c r="U34" s="45" t="s">
        <v>0</v>
      </c>
      <c r="V34" s="46" t="s">
        <v>3</v>
      </c>
      <c r="W34" s="46" t="s">
        <v>4</v>
      </c>
      <c r="X34" s="47" t="s">
        <v>5</v>
      </c>
      <c r="Y34" s="47" t="s">
        <v>6</v>
      </c>
      <c r="Z34" s="48" t="s">
        <v>7</v>
      </c>
      <c r="AA34" s="48" t="s">
        <v>8</v>
      </c>
    </row>
    <row r="35" spans="1:37" ht="17.100000000000001" customHeight="1">
      <c r="A35" s="78">
        <f>T35</f>
        <v>1</v>
      </c>
      <c r="B35" s="79" t="str">
        <f>IPQC!K2</f>
        <v>22cb76190427</v>
      </c>
      <c r="C35" s="50">
        <f>IPQC!T2+VLOOKUP($R$32,$AD$39:$AK$43,6,FALSE)+VLOOKUP('File location'!$B$1,'Tester offset'!$A$2:$D$4,2,FALSE)</f>
        <v>91.974027146300003</v>
      </c>
      <c r="D35" s="50">
        <f>IPQC!AA2+VLOOKUP($R$32,$AD$39:$AK$43,6,FALSE)</f>
        <v>73.735004099700006</v>
      </c>
      <c r="E35" s="50">
        <f>VCM!HV2-'Summary(3pcs)'!C35-'Summary(3pcs)'!$D$33</f>
        <v>155.07688645083795</v>
      </c>
      <c r="F35" s="86">
        <f>AVERAGEIF($A$35:$A$46,1,$C$35:$C$46)</f>
        <v>90.058016063133323</v>
      </c>
      <c r="G35" s="90">
        <f>AVERAGEIF($A$35:$A$46,1,$D$35:$D$46)</f>
        <v>71.140506422433347</v>
      </c>
      <c r="H35" s="90">
        <f>AVERAGEIF($A$35:$A$46,1,$E$35:$E$46)</f>
        <v>148.33591037383789</v>
      </c>
      <c r="I35" s="90">
        <f>85-F35</f>
        <v>-5.0580160631333229</v>
      </c>
      <c r="K35" s="78">
        <f>T35</f>
        <v>1</v>
      </c>
      <c r="L35" s="79" t="str">
        <f>OC!K2</f>
        <v>22cb76190427</v>
      </c>
      <c r="M35" s="50">
        <f>OC!T2+VLOOKUP($R$32,$AD$39:$AK$43,4,FALSE)</f>
        <v>2.4869367390999999</v>
      </c>
      <c r="N35" s="50">
        <f>OC!U2+VLOOKUP($R$32,$AD$39:$AK$43,5,FALSE)</f>
        <v>3.5657654736</v>
      </c>
      <c r="O35" s="85">
        <f>AVERAGEIF($K$35:$K$46,1,$M$35:$M$46)</f>
        <v>0.9092328685333334</v>
      </c>
      <c r="P35" s="85">
        <f>AVERAGEIF($K$35:$K$46,1,$N$35:$N$46)</f>
        <v>2.5912434897666663</v>
      </c>
      <c r="Q35" s="86">
        <f>P35*0.001</f>
        <v>2.5912434897666665E-3</v>
      </c>
      <c r="R35" s="86">
        <f>O35*0.001</f>
        <v>9.0923286853333341E-4</v>
      </c>
      <c r="S35" s="34"/>
      <c r="T35" s="78">
        <v>1</v>
      </c>
      <c r="U35" s="79" t="str">
        <f>FPDC!K2</f>
        <v>22cb76190427</v>
      </c>
      <c r="V35" s="76">
        <f>FPDC!S2+VLOOKUP($R$32,$AD$39:$AK$43,2,FALSE)+VLOOKUP($R$32,$AD$39:$AK$43,7,FALSE)+VLOOKUP('File location'!$B$1,'Tester offset'!$A$2:$D$4,3,FALSE)</f>
        <v>7.2190408707000007</v>
      </c>
      <c r="W35" s="77">
        <f>FPDC!T2+VLOOKUP($R$32,$AD$39:$AK$43,3,FALSE)+VLOOKUP($R$32,$AD$39:$AK$43,8,FALSE)+VLOOKUP('File location'!$B$1,'Tester offset'!$A$2:$D$4,4,FALSE)</f>
        <v>-0.72158694270000012</v>
      </c>
      <c r="X35" s="85">
        <f>AVERAGEIF($T$35:$T$46,1,$V$35:$V$46)</f>
        <v>5.0699127515333338</v>
      </c>
      <c r="Y35" s="85">
        <f>AVERAGEIF($T$35:$T$46,1,$W$35:$W$46)</f>
        <v>0.90764911969999995</v>
      </c>
      <c r="Z35" s="86">
        <f>(X35*-0.01)/4</f>
        <v>-1.2674781878833336E-2</v>
      </c>
      <c r="AA35" s="86">
        <f>(Y35*-0.01)/4</f>
        <v>-2.2691227992500001E-3</v>
      </c>
    </row>
    <row r="36" spans="1:37" ht="17.100000000000001" customHeight="1">
      <c r="A36" s="78">
        <f t="shared" ref="A36:A46" si="0">T36</f>
        <v>1</v>
      </c>
      <c r="B36" s="79" t="str">
        <f>IPQC!K3</f>
        <v>22cb76190577</v>
      </c>
      <c r="C36" s="50">
        <f>IPQC!T3+VLOOKUP($R$32,$AD$39:$AK$43,6,FALSE)+VLOOKUP('File location'!$B$1,'Tester offset'!$A$2:$D$4,2,FALSE)</f>
        <v>88.9838915797</v>
      </c>
      <c r="D36" s="50">
        <f>IPQC!AA3+VLOOKUP($R$32,$AD$39:$AK$43,6,FALSE)</f>
        <v>68.536956435900009</v>
      </c>
      <c r="E36" s="50">
        <f>VCM!HV3-'Summary(3pcs)'!C36-'Summary(3pcs)'!$D$33</f>
        <v>146.24306179213789</v>
      </c>
      <c r="F36" s="86"/>
      <c r="G36" s="90"/>
      <c r="H36" s="90"/>
      <c r="I36" s="90"/>
      <c r="K36" s="78">
        <f t="shared" ref="K36:K46" si="1">T36</f>
        <v>1</v>
      </c>
      <c r="L36" s="79" t="str">
        <f>OC!K3</f>
        <v>22cb76190577</v>
      </c>
      <c r="M36" s="50">
        <f>OC!T3+VLOOKUP($R$32,$AD$39:$AK$43,4,FALSE)</f>
        <v>2.4413456107</v>
      </c>
      <c r="N36" s="50">
        <f>OC!U3+VLOOKUP($R$32,$AD$39:$AK$43,5,FALSE)</f>
        <v>1.5377007225999999</v>
      </c>
      <c r="O36" s="85"/>
      <c r="P36" s="85"/>
      <c r="Q36" s="86"/>
      <c r="R36" s="86"/>
      <c r="S36" s="34"/>
      <c r="T36" s="78">
        <v>1</v>
      </c>
      <c r="U36" s="79" t="str">
        <f>FPDC!K3</f>
        <v>22cb76190577</v>
      </c>
      <c r="V36" s="76">
        <f>FPDC!S3+VLOOKUP($R$32,$AD$39:$AK$43,2,FALSE)+VLOOKUP($R$32,$AD$39:$AK$43,7,FALSE)+VLOOKUP('File location'!$B$1,'Tester offset'!$A$2:$D$4,3,FALSE)</f>
        <v>5.1272792815999999</v>
      </c>
      <c r="W36" s="77">
        <f>FPDC!T3+VLOOKUP($R$32,$AD$39:$AK$43,3,FALSE)+VLOOKUP($R$32,$AD$39:$AK$43,8,FALSE)+VLOOKUP('File location'!$B$1,'Tester offset'!$A$2:$D$4,4,FALSE)</f>
        <v>1.7600092888000001</v>
      </c>
      <c r="X36" s="85"/>
      <c r="Y36" s="85"/>
      <c r="Z36" s="86"/>
      <c r="AA36" s="86"/>
    </row>
    <row r="37" spans="1:37" ht="17.100000000000001" customHeight="1">
      <c r="A37" s="78">
        <f t="shared" si="0"/>
        <v>1</v>
      </c>
      <c r="B37" s="79" t="str">
        <f>IPQC!K4</f>
        <v>22cb76190727</v>
      </c>
      <c r="C37" s="50">
        <f>IPQC!T4+VLOOKUP($R$32,$AD$39:$AK$43,6,FALSE)+VLOOKUP('File location'!$B$1,'Tester offset'!$A$2:$D$4,2,FALSE)</f>
        <v>89.216129463399994</v>
      </c>
      <c r="D37" s="50">
        <f>IPQC!AA4+VLOOKUP($R$32,$AD$39:$AK$43,6,FALSE)</f>
        <v>71.149558731699997</v>
      </c>
      <c r="E37" s="50">
        <f>VCM!HV4-'Summary(3pcs)'!C37-'Summary(3pcs)'!$D$33</f>
        <v>143.68778287853786</v>
      </c>
      <c r="F37" s="86"/>
      <c r="G37" s="90"/>
      <c r="H37" s="90"/>
      <c r="I37" s="90"/>
      <c r="K37" s="78">
        <f t="shared" si="1"/>
        <v>1</v>
      </c>
      <c r="L37" s="79" t="str">
        <f>OC!K4</f>
        <v>22cb76190727</v>
      </c>
      <c r="M37" s="50">
        <f>OC!T4+VLOOKUP($R$32,$AD$39:$AK$43,4,FALSE)</f>
        <v>-2.2005837441999998</v>
      </c>
      <c r="N37" s="50">
        <f>OC!U4+VLOOKUP($R$32,$AD$39:$AK$43,5,FALSE)</f>
        <v>2.6702642730999999</v>
      </c>
      <c r="O37" s="85"/>
      <c r="P37" s="85"/>
      <c r="Q37" s="86"/>
      <c r="R37" s="86"/>
      <c r="S37" s="34"/>
      <c r="T37" s="78">
        <v>1</v>
      </c>
      <c r="U37" s="79" t="str">
        <f>FPDC!K4</f>
        <v>22cb76190727</v>
      </c>
      <c r="V37" s="76">
        <f>FPDC!S4+VLOOKUP($R$32,$AD$39:$AK$43,2,FALSE)+VLOOKUP($R$32,$AD$39:$AK$43,7,FALSE)+VLOOKUP('File location'!$B$1,'Tester offset'!$A$2:$D$4,3,FALSE)</f>
        <v>2.8634181022999998</v>
      </c>
      <c r="W37" s="77">
        <f>FPDC!T4+VLOOKUP($R$32,$AD$39:$AK$43,3,FALSE)+VLOOKUP($R$32,$AD$39:$AK$43,8,FALSE)+VLOOKUP('File location'!$B$1,'Tester offset'!$A$2:$D$4,4,FALSE)</f>
        <v>1.684525013</v>
      </c>
      <c r="X37" s="85"/>
      <c r="Y37" s="85"/>
      <c r="Z37" s="86"/>
      <c r="AA37" s="86"/>
      <c r="AD37" s="89" t="s">
        <v>144</v>
      </c>
      <c r="AE37" s="89" t="s">
        <v>137</v>
      </c>
      <c r="AF37" s="89"/>
      <c r="AG37" s="89"/>
      <c r="AH37" s="89"/>
      <c r="AI37" s="89"/>
      <c r="AJ37" s="89" t="s">
        <v>143</v>
      </c>
      <c r="AK37" s="89"/>
    </row>
    <row r="38" spans="1:37" ht="17.100000000000001" customHeight="1">
      <c r="A38" s="78">
        <f t="shared" si="0"/>
        <v>2</v>
      </c>
      <c r="B38" s="79" t="str">
        <f>IPQC!K5</f>
        <v>22cb76190862</v>
      </c>
      <c r="C38" s="50">
        <f>IPQC!T5+VLOOKUP($R$32,$AD$39:$AK$43,6,FALSE)+VLOOKUP('File location'!$B$1,'Tester offset'!$A$2:$D$4,2,FALSE)</f>
        <v>93.427046522300003</v>
      </c>
      <c r="D38" s="50">
        <f>IPQC!AA5+VLOOKUP($R$32,$AD$39:$AK$43,6,FALSE)</f>
        <v>76.920677972999997</v>
      </c>
      <c r="E38" s="50">
        <f>VCM!HV5-'Summary(3pcs)'!C38-'Summary(3pcs)'!$D$33</f>
        <v>131.93794767053794</v>
      </c>
      <c r="F38" s="86">
        <f>AVERAGEIF($A$35:$A$46,2,$C$35:$C$46)</f>
        <v>93.578950846599994</v>
      </c>
      <c r="G38" s="90">
        <f>AVERAGEIF($A$35:$A$46,2,$D$35:$D$46)</f>
        <v>78.117635067533328</v>
      </c>
      <c r="H38" s="90">
        <f>AVERAGEIF($A$35:$A$46,2,$E$35:$E$46)</f>
        <v>141.04582199567128</v>
      </c>
      <c r="I38" s="90">
        <f>85-F38</f>
        <v>-8.5789508465999944</v>
      </c>
      <c r="K38" s="78">
        <f t="shared" si="1"/>
        <v>2</v>
      </c>
      <c r="L38" s="79" t="str">
        <f>OC!K5</f>
        <v>22cb76190862</v>
      </c>
      <c r="M38" s="50">
        <f>OC!T5+VLOOKUP($R$32,$AD$39:$AK$43,4,FALSE)</f>
        <v>0.2262970883</v>
      </c>
      <c r="N38" s="50">
        <f>OC!U5+VLOOKUP($R$32,$AD$39:$AK$43,5,FALSE)</f>
        <v>8.0127552761</v>
      </c>
      <c r="O38" s="85">
        <f>AVERAGEIF($K$35:$K$46,2,$M$35:$M$46)</f>
        <v>2.2440576499000002</v>
      </c>
      <c r="P38" s="85">
        <f>AVERAGEIF($K$35:$K$46,2,$N$35:$N$46)</f>
        <v>6.0710619930666674</v>
      </c>
      <c r="Q38" s="86">
        <f>P38*0.001</f>
        <v>6.0710619930666671E-3</v>
      </c>
      <c r="R38" s="86">
        <f>O38*0.001</f>
        <v>2.2440576499000004E-3</v>
      </c>
      <c r="S38" s="34"/>
      <c r="T38" s="78">
        <v>2</v>
      </c>
      <c r="U38" s="79" t="str">
        <f>FPDC!K5</f>
        <v>22cb76190862</v>
      </c>
      <c r="V38" s="76">
        <f>FPDC!S5+VLOOKUP($R$32,$AD$39:$AK$43,2,FALSE)+VLOOKUP($R$32,$AD$39:$AK$43,7,FALSE)+VLOOKUP('File location'!$B$1,'Tester offset'!$A$2:$D$4,3,FALSE)</f>
        <v>4.5134162903000004</v>
      </c>
      <c r="W38" s="77">
        <f>FPDC!T5+VLOOKUP($R$32,$AD$39:$AK$43,3,FALSE)+VLOOKUP($R$32,$AD$39:$AK$43,8,FALSE)+VLOOKUP('File location'!$B$1,'Tester offset'!$A$2:$D$4,4,FALSE)</f>
        <v>-2.0294386148000001</v>
      </c>
      <c r="X38" s="85">
        <f>AVERAGEIF($T$35:$T$46,2,$V$35:$V$46)</f>
        <v>5.1538845697999998</v>
      </c>
      <c r="Y38" s="85">
        <f>AVERAGEIF($T$35:$T$46,2,$W$35:$W$46)</f>
        <v>0.27121476333333322</v>
      </c>
      <c r="Z38" s="86">
        <f>(X38*-0.01)/4</f>
        <v>-1.2884711424499999E-2</v>
      </c>
      <c r="AA38" s="86">
        <f>(Y38*-0.01)/4</f>
        <v>-6.7803690833333305E-4</v>
      </c>
      <c r="AD38" s="89"/>
      <c r="AE38" s="33" t="s">
        <v>138</v>
      </c>
      <c r="AF38" s="33" t="s">
        <v>139</v>
      </c>
      <c r="AG38" s="33" t="s">
        <v>140</v>
      </c>
      <c r="AH38" s="33" t="s">
        <v>141</v>
      </c>
      <c r="AI38" s="33" t="s">
        <v>142</v>
      </c>
      <c r="AJ38" s="33" t="s">
        <v>138</v>
      </c>
      <c r="AK38" s="33" t="s">
        <v>139</v>
      </c>
    </row>
    <row r="39" spans="1:37" ht="17.100000000000001" customHeight="1">
      <c r="A39" s="78">
        <f t="shared" si="0"/>
        <v>2</v>
      </c>
      <c r="B39" s="79" t="str">
        <f>IPQC!K6</f>
        <v>22cb76170539</v>
      </c>
      <c r="C39" s="50">
        <f>IPQC!T6+VLOOKUP($R$32,$AD$39:$AK$43,6,FALSE)+VLOOKUP('File location'!$B$1,'Tester offset'!$A$2:$D$4,2,FALSE)</f>
        <v>91.345914867900007</v>
      </c>
      <c r="D39" s="50">
        <f>IPQC!AA6+VLOOKUP($R$32,$AD$39:$AK$43,6,FALSE)</f>
        <v>77.095116995300003</v>
      </c>
      <c r="E39" s="50">
        <f>VCM!HV6-'Summary(3pcs)'!C39-'Summary(3pcs)'!$D$33</f>
        <v>144.77076012793793</v>
      </c>
      <c r="F39" s="86"/>
      <c r="G39" s="90"/>
      <c r="H39" s="90"/>
      <c r="I39" s="90"/>
      <c r="K39" s="78">
        <f t="shared" si="1"/>
        <v>2</v>
      </c>
      <c r="L39" s="79" t="str">
        <f>OC!K6</f>
        <v>22cb76170539</v>
      </c>
      <c r="M39" s="50">
        <f>OC!T6+VLOOKUP($R$32,$AD$39:$AK$43,4,FALSE)</f>
        <v>0.30938684230000002</v>
      </c>
      <c r="N39" s="50">
        <f>OC!U6+VLOOKUP($R$32,$AD$39:$AK$43,5,FALSE)</f>
        <v>4.8677615939000001</v>
      </c>
      <c r="O39" s="85"/>
      <c r="P39" s="85"/>
      <c r="Q39" s="86"/>
      <c r="R39" s="86"/>
      <c r="S39" s="34"/>
      <c r="T39" s="78">
        <v>2</v>
      </c>
      <c r="U39" s="79" t="str">
        <f>FPDC!K6</f>
        <v>22cb76170539</v>
      </c>
      <c r="V39" s="76">
        <f>FPDC!S6+VLOOKUP($R$32,$AD$39:$AK$43,2,FALSE)+VLOOKUP($R$32,$AD$39:$AK$43,7,FALSE)+VLOOKUP('File location'!$B$1,'Tester offset'!$A$2:$D$4,3,FALSE)</f>
        <v>7.6856870650999998</v>
      </c>
      <c r="W39" s="77">
        <f>FPDC!T6+VLOOKUP($R$32,$AD$39:$AK$43,3,FALSE)+VLOOKUP($R$32,$AD$39:$AK$43,8,FALSE)+VLOOKUP('File location'!$B$1,'Tester offset'!$A$2:$D$4,4,FALSE)</f>
        <v>3.0424633025999999</v>
      </c>
      <c r="X39" s="85"/>
      <c r="Y39" s="85"/>
      <c r="Z39" s="86"/>
      <c r="AA39" s="86"/>
      <c r="AD39" s="33" t="s">
        <v>131</v>
      </c>
      <c r="AE39" s="33">
        <v>1</v>
      </c>
      <c r="AF39" s="33">
        <v>0</v>
      </c>
      <c r="AG39" s="33">
        <v>0</v>
      </c>
      <c r="AH39" s="33">
        <v>4</v>
      </c>
      <c r="AI39" s="33">
        <v>6</v>
      </c>
      <c r="AJ39" s="33">
        <v>-4</v>
      </c>
      <c r="AK39" s="33">
        <v>-3</v>
      </c>
    </row>
    <row r="40" spans="1:37" ht="17.100000000000001" customHeight="1">
      <c r="A40" s="78">
        <f t="shared" si="0"/>
        <v>2</v>
      </c>
      <c r="B40" s="79" t="str">
        <f>IPQC!K7</f>
        <v>22cb76170094</v>
      </c>
      <c r="C40" s="50">
        <f>IPQC!T7+VLOOKUP($R$32,$AD$39:$AK$43,6,FALSE)+VLOOKUP('File location'!$B$1,'Tester offset'!$A$2:$D$4,2,FALSE)</f>
        <v>95.963891149600002</v>
      </c>
      <c r="D40" s="50">
        <f>IPQC!AA7+VLOOKUP($R$32,$AD$39:$AK$43,6,FALSE)</f>
        <v>80.337110234299999</v>
      </c>
      <c r="E40" s="50">
        <f>VCM!HV7-'Summary(3pcs)'!C40-'Summary(3pcs)'!$D$33</f>
        <v>146.42875818853793</v>
      </c>
      <c r="F40" s="86"/>
      <c r="G40" s="90"/>
      <c r="H40" s="90"/>
      <c r="I40" s="90"/>
      <c r="K40" s="78">
        <f t="shared" si="1"/>
        <v>2</v>
      </c>
      <c r="L40" s="79" t="str">
        <f>OC!K7</f>
        <v>22cb76170094</v>
      </c>
      <c r="M40" s="50">
        <f>OC!T7+VLOOKUP($R$32,$AD$39:$AK$43,4,FALSE)</f>
        <v>6.1964890191000004</v>
      </c>
      <c r="N40" s="50">
        <f>OC!U7+VLOOKUP($R$32,$AD$39:$AK$43,5,FALSE)</f>
        <v>5.3326691092000003</v>
      </c>
      <c r="O40" s="85"/>
      <c r="P40" s="85"/>
      <c r="Q40" s="86"/>
      <c r="R40" s="86"/>
      <c r="S40" s="34"/>
      <c r="T40" s="78">
        <v>2</v>
      </c>
      <c r="U40" s="79" t="str">
        <f>FPDC!K7</f>
        <v>22cb76170094</v>
      </c>
      <c r="V40" s="76">
        <f>FPDC!S7+VLOOKUP($R$32,$AD$39:$AK$43,2,FALSE)+VLOOKUP($R$32,$AD$39:$AK$43,7,FALSE)+VLOOKUP('File location'!$B$1,'Tester offset'!$A$2:$D$4,3,FALSE)</f>
        <v>3.262550354</v>
      </c>
      <c r="W40" s="77">
        <f>FPDC!T7+VLOOKUP($R$32,$AD$39:$AK$43,3,FALSE)+VLOOKUP($R$32,$AD$39:$AK$43,8,FALSE)+VLOOKUP('File location'!$B$1,'Tester offset'!$A$2:$D$4,4,FALSE)</f>
        <v>-0.19938039780000016</v>
      </c>
      <c r="X40" s="85"/>
      <c r="Y40" s="85"/>
      <c r="Z40" s="86"/>
      <c r="AA40" s="86"/>
      <c r="AD40" s="31" t="s">
        <v>132</v>
      </c>
      <c r="AE40" s="31">
        <v>0</v>
      </c>
      <c r="AF40" s="31">
        <v>0</v>
      </c>
      <c r="AG40" s="31">
        <v>0</v>
      </c>
      <c r="AH40" s="31">
        <v>4</v>
      </c>
      <c r="AI40" s="31">
        <v>0</v>
      </c>
      <c r="AJ40" s="33">
        <v>-4</v>
      </c>
      <c r="AK40" s="33">
        <v>-3</v>
      </c>
    </row>
    <row r="41" spans="1:37" ht="17.100000000000001" customHeight="1">
      <c r="A41" s="78">
        <f t="shared" si="0"/>
        <v>3</v>
      </c>
      <c r="B41" s="79" t="str">
        <f>IPQC!K8</f>
        <v>22cb76190856</v>
      </c>
      <c r="C41" s="50">
        <f>IPQC!T8+VLOOKUP($R$32,$AD$39:$AK$43,6,FALSE)+VLOOKUP('File location'!$B$1,'Tester offset'!$A$2:$D$4,2,FALSE)</f>
        <v>94.883306157500002</v>
      </c>
      <c r="D41" s="50">
        <f>IPQC!AA8+VLOOKUP($R$32,$AD$39:$AK$43,6,FALSE)</f>
        <v>75.022599364900003</v>
      </c>
      <c r="E41" s="50">
        <f>VCM!HV8-'Summary(3pcs)'!C41-'Summary(3pcs)'!$D$33</f>
        <v>148.17167770713792</v>
      </c>
      <c r="F41" s="86">
        <f>AVERAGEIF($A$35:$A$46,3,$C$35:$C$46)</f>
        <v>89.938136890600006</v>
      </c>
      <c r="G41" s="90">
        <f>AVERAGEIF($A$35:$A$46,3,$D$35:$D$46)</f>
        <v>71.249143219400011</v>
      </c>
      <c r="H41" s="90">
        <f>AVERAGEIF($A$35:$A$46,3,$E$35:$E$46)</f>
        <v>152.97027402137124</v>
      </c>
      <c r="I41" s="90">
        <f>85-F41</f>
        <v>-4.9381368906000063</v>
      </c>
      <c r="K41" s="78">
        <f t="shared" si="1"/>
        <v>3</v>
      </c>
      <c r="L41" s="79" t="str">
        <f>OC!K8</f>
        <v>22cb76190856</v>
      </c>
      <c r="M41" s="50">
        <f>OC!T8+VLOOKUP($R$32,$AD$39:$AK$43,4,FALSE)</f>
        <v>-8.7494761065999995</v>
      </c>
      <c r="N41" s="50">
        <f>OC!U8+VLOOKUP($R$32,$AD$39:$AK$43,5,FALSE)</f>
        <v>1.0919897209</v>
      </c>
      <c r="O41" s="85">
        <f>AVERAGEIF($K$35:$K$46,3,$M$35:$M$46)</f>
        <v>-7.8863739613666661</v>
      </c>
      <c r="P41" s="85">
        <f>AVERAGEIF($K$35:$K$46,3,$N$35:$N$46)</f>
        <v>0.93938759829999974</v>
      </c>
      <c r="Q41" s="86">
        <f>P41*0.001</f>
        <v>9.3938759829999979E-4</v>
      </c>
      <c r="R41" s="86">
        <f>O41*0.001</f>
        <v>-7.8863739613666654E-3</v>
      </c>
      <c r="S41" s="34"/>
      <c r="T41" s="78">
        <v>3</v>
      </c>
      <c r="U41" s="79" t="str">
        <f>FPDC!K8</f>
        <v>22cb76190856</v>
      </c>
      <c r="V41" s="76">
        <f>FPDC!S8+VLOOKUP($R$32,$AD$39:$AK$43,2,FALSE)+VLOOKUP($R$32,$AD$39:$AK$43,7,FALSE)+VLOOKUP('File location'!$B$1,'Tester offset'!$A$2:$D$4,3,FALSE)</f>
        <v>6.5676698684999995</v>
      </c>
      <c r="W41" s="77">
        <f>FPDC!T8+VLOOKUP($R$32,$AD$39:$AK$43,3,FALSE)+VLOOKUP($R$32,$AD$39:$AK$43,8,FALSE)+VLOOKUP('File location'!$B$1,'Tester offset'!$A$2:$D$4,4,FALSE)</f>
        <v>0.40958285329999988</v>
      </c>
      <c r="X41" s="85">
        <f>AVERAGEIF($T$35:$T$46,3,$V$35:$V$46)</f>
        <v>6.5185337066666662</v>
      </c>
      <c r="Y41" s="85">
        <f>AVERAGEIF($T$35:$T$46,3,$W$35:$W$46)</f>
        <v>-1.6234692335333334</v>
      </c>
      <c r="Z41" s="86">
        <f>(X41*-0.01)/4</f>
        <v>-1.6296334266666667E-2</v>
      </c>
      <c r="AA41" s="86">
        <f>(Y41*-0.01)/4</f>
        <v>4.0586730838333331E-3</v>
      </c>
      <c r="AD41" s="31" t="s">
        <v>134</v>
      </c>
      <c r="AE41" s="33">
        <v>0</v>
      </c>
      <c r="AF41" s="33">
        <v>0</v>
      </c>
      <c r="AG41" s="33">
        <v>0</v>
      </c>
      <c r="AH41" s="33">
        <v>4</v>
      </c>
      <c r="AI41" s="33"/>
      <c r="AJ41" s="33">
        <v>-4</v>
      </c>
      <c r="AK41" s="33">
        <v>-3</v>
      </c>
    </row>
    <row r="42" spans="1:37" ht="17.100000000000001" customHeight="1">
      <c r="A42" s="78">
        <f t="shared" si="0"/>
        <v>3</v>
      </c>
      <c r="B42" s="79" t="str">
        <f>IPQC!K9</f>
        <v>22cb76190574</v>
      </c>
      <c r="C42" s="50">
        <f>IPQC!T9+VLOOKUP($R$32,$AD$39:$AK$43,6,FALSE)+VLOOKUP('File location'!$B$1,'Tester offset'!$A$2:$D$4,2,FALSE)</f>
        <v>88.179580902300003</v>
      </c>
      <c r="D42" s="50">
        <f>IPQC!AA9+VLOOKUP($R$32,$AD$39:$AK$43,6,FALSE)</f>
        <v>72.403255582400007</v>
      </c>
      <c r="E42" s="50">
        <f>VCM!HV9-'Summary(3pcs)'!C42-'Summary(3pcs)'!$D$33</f>
        <v>160.56966780423789</v>
      </c>
      <c r="F42" s="86"/>
      <c r="G42" s="90"/>
      <c r="H42" s="90"/>
      <c r="I42" s="90"/>
      <c r="K42" s="78">
        <f t="shared" si="1"/>
        <v>3</v>
      </c>
      <c r="L42" s="79" t="str">
        <f>OC!K9</f>
        <v>22cb76190574</v>
      </c>
      <c r="M42" s="50">
        <f>OC!T9+VLOOKUP($R$32,$AD$39:$AK$43,4,FALSE)</f>
        <v>-3.483799281</v>
      </c>
      <c r="N42" s="50">
        <f>OC!U9+VLOOKUP($R$32,$AD$39:$AK$43,5,FALSE)</f>
        <v>3.0487023216</v>
      </c>
      <c r="O42" s="85"/>
      <c r="P42" s="85"/>
      <c r="Q42" s="86"/>
      <c r="R42" s="86"/>
      <c r="S42" s="34"/>
      <c r="T42" s="78">
        <v>3</v>
      </c>
      <c r="U42" s="79" t="str">
        <f>FPDC!K9</f>
        <v>22cb76190574</v>
      </c>
      <c r="V42" s="76">
        <f>FPDC!S9+VLOOKUP($R$32,$AD$39:$AK$43,2,FALSE)+VLOOKUP($R$32,$AD$39:$AK$43,7,FALSE)+VLOOKUP('File location'!$B$1,'Tester offset'!$A$2:$D$4,3,FALSE)</f>
        <v>7.5007467269999992</v>
      </c>
      <c r="W42" s="77">
        <f>FPDC!T9+VLOOKUP($R$32,$AD$39:$AK$43,3,FALSE)+VLOOKUP($R$32,$AD$39:$AK$43,8,FALSE)+VLOOKUP('File location'!$B$1,'Tester offset'!$A$2:$D$4,4,FALSE)</f>
        <v>-3.1332199574000001</v>
      </c>
      <c r="X42" s="85"/>
      <c r="Y42" s="85"/>
      <c r="Z42" s="86"/>
      <c r="AA42" s="86"/>
      <c r="AD42" s="33" t="s">
        <v>136</v>
      </c>
      <c r="AE42" s="33">
        <v>0</v>
      </c>
      <c r="AF42" s="33">
        <v>0</v>
      </c>
      <c r="AG42" s="33">
        <v>0</v>
      </c>
      <c r="AH42" s="33">
        <v>4</v>
      </c>
      <c r="AI42" s="33">
        <v>6</v>
      </c>
      <c r="AJ42" s="33">
        <v>-4</v>
      </c>
      <c r="AK42" s="33">
        <v>-3</v>
      </c>
    </row>
    <row r="43" spans="1:37" ht="17.100000000000001" customHeight="1">
      <c r="A43" s="78">
        <f t="shared" si="0"/>
        <v>3</v>
      </c>
      <c r="B43" s="79" t="str">
        <f>IPQC!K10</f>
        <v>22cb76190721</v>
      </c>
      <c r="C43" s="50">
        <f>IPQC!T10+VLOOKUP($R$32,$AD$39:$AK$43,6,FALSE)+VLOOKUP('File location'!$B$1,'Tester offset'!$A$2:$D$4,2,FALSE)</f>
        <v>86.751523612</v>
      </c>
      <c r="D43" s="50">
        <f>IPQC!AA10+VLOOKUP($R$32,$AD$39:$AK$43,6,FALSE)</f>
        <v>66.321574710899995</v>
      </c>
      <c r="E43" s="50">
        <f>VCM!HV10-'Summary(3pcs)'!C43-'Summary(3pcs)'!$D$33</f>
        <v>150.16947655273793</v>
      </c>
      <c r="F43" s="86"/>
      <c r="G43" s="90"/>
      <c r="H43" s="90"/>
      <c r="I43" s="90"/>
      <c r="K43" s="78">
        <f t="shared" si="1"/>
        <v>3</v>
      </c>
      <c r="L43" s="79" t="str">
        <f>OC!K10</f>
        <v>22cb76190721</v>
      </c>
      <c r="M43" s="50">
        <f>OC!T10+VLOOKUP($R$32,$AD$39:$AK$43,4,FALSE)</f>
        <v>-11.4258464965</v>
      </c>
      <c r="N43" s="50">
        <f>OC!U10+VLOOKUP($R$32,$AD$39:$AK$43,5,FALSE)</f>
        <v>-1.3225292476000003</v>
      </c>
      <c r="O43" s="85"/>
      <c r="P43" s="85"/>
      <c r="Q43" s="86"/>
      <c r="R43" s="86"/>
      <c r="S43" s="34"/>
      <c r="T43" s="78">
        <v>3</v>
      </c>
      <c r="U43" s="79" t="str">
        <f>FPDC!K10</f>
        <v>22cb76190721</v>
      </c>
      <c r="V43" s="76">
        <f>FPDC!S10+VLOOKUP($R$32,$AD$39:$AK$43,2,FALSE)+VLOOKUP($R$32,$AD$39:$AK$43,7,FALSE)+VLOOKUP('File location'!$B$1,'Tester offset'!$A$2:$D$4,3,FALSE)</f>
        <v>5.4871845244999999</v>
      </c>
      <c r="W43" s="77">
        <f>FPDC!T10+VLOOKUP($R$32,$AD$39:$AK$43,3,FALSE)+VLOOKUP($R$32,$AD$39:$AK$43,8,FALSE)+VLOOKUP('File location'!$B$1,'Tester offset'!$A$2:$D$4,4,FALSE)</f>
        <v>-2.1467705965000001</v>
      </c>
      <c r="X43" s="85"/>
      <c r="Y43" s="85"/>
      <c r="Z43" s="86"/>
      <c r="AA43" s="86"/>
      <c r="AD43" s="35" t="s">
        <v>145</v>
      </c>
      <c r="AE43" s="33"/>
      <c r="AF43" s="33"/>
      <c r="AG43" s="33"/>
      <c r="AH43" s="33"/>
      <c r="AI43" s="33"/>
      <c r="AJ43" s="33"/>
      <c r="AK43" s="33"/>
    </row>
    <row r="44" spans="1:37" ht="17.100000000000001" customHeight="1">
      <c r="A44" s="78">
        <f t="shared" si="0"/>
        <v>4</v>
      </c>
      <c r="B44" s="79" t="str">
        <f>IPQC!K11</f>
        <v>22cb76190968</v>
      </c>
      <c r="C44" s="50">
        <f>IPQC!T11+VLOOKUP($R$32,$AD$39:$AK$43,6,FALSE)+VLOOKUP('File location'!$B$1,'Tester offset'!$A$2:$D$4,2,FALSE)</f>
        <v>87.746997578800006</v>
      </c>
      <c r="D44" s="50">
        <f>IPQC!AA11+VLOOKUP($R$32,$AD$39:$AK$43,6,FALSE)</f>
        <v>72.590288000499996</v>
      </c>
      <c r="E44" s="50">
        <f>VCM!HV11-'Summary(3pcs)'!C44-'Summary(3pcs)'!$D$33</f>
        <v>156.76811633723793</v>
      </c>
      <c r="F44" s="86">
        <f>AVERAGEIF($A$35:$A$46,4,$C$35:$C$46)</f>
        <v>89.139605366033337</v>
      </c>
      <c r="G44" s="90">
        <f>AVERAGEIF($A$35:$A$46,4,$D$35:$D$46)</f>
        <v>72.611145957899993</v>
      </c>
      <c r="H44" s="90">
        <f>AVERAGEIF($A$35:$A$46,4,$E$35:$E$46)</f>
        <v>159.75635636580461</v>
      </c>
      <c r="I44" s="90">
        <f>85-F44</f>
        <v>-4.1396053660333365</v>
      </c>
      <c r="K44" s="78">
        <f t="shared" si="1"/>
        <v>4</v>
      </c>
      <c r="L44" s="79" t="str">
        <f>OC!K11</f>
        <v>22cb76190968</v>
      </c>
      <c r="M44" s="50">
        <f>OC!T11+VLOOKUP($R$32,$AD$39:$AK$43,4,FALSE)</f>
        <v>0.93782885410000005</v>
      </c>
      <c r="N44" s="50">
        <f>OC!U11+VLOOKUP($R$32,$AD$39:$AK$43,5,FALSE)</f>
        <v>0.28111378939999998</v>
      </c>
      <c r="O44" s="85">
        <f>AVERAGEIF($K$35:$K$46,4,$M$35:$M$46)</f>
        <v>-1.5046556758333332</v>
      </c>
      <c r="P44" s="85">
        <f>AVERAGEIF($K$35:$K$46,4,$N$35:$N$46)</f>
        <v>-0.53480411500000002</v>
      </c>
      <c r="Q44" s="86">
        <f>P44*0.001</f>
        <v>-5.3480411500000003E-4</v>
      </c>
      <c r="R44" s="86">
        <f>O44*0.001</f>
        <v>-1.5046556758333332E-3</v>
      </c>
      <c r="S44" s="34"/>
      <c r="T44" s="78">
        <v>4</v>
      </c>
      <c r="U44" s="79" t="str">
        <f>FPDC!K11</f>
        <v>22cb76190968</v>
      </c>
      <c r="V44" s="76">
        <f>FPDC!S11+VLOOKUP($R$32,$AD$39:$AK$43,2,FALSE)+VLOOKUP($R$32,$AD$39:$AK$43,7,FALSE)+VLOOKUP('File location'!$B$1,'Tester offset'!$A$2:$D$4,3,FALSE)</f>
        <v>0.52099466319999976</v>
      </c>
      <c r="W44" s="77">
        <f>FPDC!T11+VLOOKUP($R$32,$AD$39:$AK$43,3,FALSE)+VLOOKUP($R$32,$AD$39:$AK$43,8,FALSE)+VLOOKUP('File location'!$B$1,'Tester offset'!$A$2:$D$4,4,FALSE)</f>
        <v>0.82108259199999978</v>
      </c>
      <c r="X44" s="85">
        <f>AVERAGEIF($T$35:$T$46,4,$V$35:$V$46)</f>
        <v>2.1328868866000001</v>
      </c>
      <c r="Y44" s="85">
        <f>AVERAGEIF($T$35:$T$46,4,$W$35:$W$46)</f>
        <v>-2.3431408803</v>
      </c>
      <c r="Z44" s="86">
        <f>(X44*-0.01)/4</f>
        <v>-5.3322172165000004E-3</v>
      </c>
      <c r="AA44" s="86">
        <f>(Y44*-0.01)/4</f>
        <v>5.8578522007500002E-3</v>
      </c>
    </row>
    <row r="45" spans="1:37" ht="17.100000000000001" customHeight="1">
      <c r="A45" s="78">
        <f t="shared" si="0"/>
        <v>4</v>
      </c>
      <c r="B45" s="79" t="str">
        <f>IPQC!K12</f>
        <v>22cb76190587</v>
      </c>
      <c r="C45" s="50">
        <f>IPQC!T12+VLOOKUP($R$32,$AD$39:$AK$43,6,FALSE)+VLOOKUP('File location'!$B$1,'Tester offset'!$A$2:$D$4,2,FALSE)</f>
        <v>86.832084905000002</v>
      </c>
      <c r="D45" s="50">
        <f>IPQC!AA12+VLOOKUP($R$32,$AD$39:$AK$43,6,FALSE)</f>
        <v>67.725250176299994</v>
      </c>
      <c r="E45" s="50">
        <f>VCM!HV12-'Summary(3pcs)'!C45-'Summary(3pcs)'!$D$33</f>
        <v>164.92011755663793</v>
      </c>
      <c r="F45" s="86"/>
      <c r="G45" s="90"/>
      <c r="H45" s="90"/>
      <c r="I45" s="90"/>
      <c r="K45" s="78">
        <f t="shared" si="1"/>
        <v>4</v>
      </c>
      <c r="L45" s="79" t="str">
        <f>OC!K12</f>
        <v>22cb76190587</v>
      </c>
      <c r="M45" s="50">
        <f>OC!T12+VLOOKUP($R$32,$AD$39:$AK$43,4,FALSE)</f>
        <v>0.8223546826</v>
      </c>
      <c r="N45" s="50">
        <f>OC!U12+VLOOKUP($R$32,$AD$39:$AK$43,5,FALSE)</f>
        <v>-2.2542975977999999</v>
      </c>
      <c r="O45" s="85"/>
      <c r="P45" s="85"/>
      <c r="Q45" s="86"/>
      <c r="R45" s="86"/>
      <c r="S45" s="34"/>
      <c r="T45" s="78">
        <v>4</v>
      </c>
      <c r="U45" s="79" t="str">
        <f>FPDC!K12</f>
        <v>22cb76190587</v>
      </c>
      <c r="V45" s="76">
        <f>FPDC!S12+VLOOKUP($R$32,$AD$39:$AK$43,2,FALSE)+VLOOKUP($R$32,$AD$39:$AK$43,7,FALSE)+VLOOKUP('File location'!$B$1,'Tester offset'!$A$2:$D$4,3,FALSE)</f>
        <v>2.9166774750000002</v>
      </c>
      <c r="W45" s="77">
        <f>FPDC!T12+VLOOKUP($R$32,$AD$39:$AK$43,3,FALSE)+VLOOKUP($R$32,$AD$39:$AK$43,8,FALSE)+VLOOKUP('File location'!$B$1,'Tester offset'!$A$2:$D$4,4,FALSE)</f>
        <v>-4.6348382235000001</v>
      </c>
      <c r="X45" s="85"/>
      <c r="Y45" s="85"/>
      <c r="Z45" s="86"/>
      <c r="AA45" s="86"/>
    </row>
    <row r="46" spans="1:37" ht="17.100000000000001" customHeight="1">
      <c r="A46" s="78">
        <f t="shared" si="0"/>
        <v>4</v>
      </c>
      <c r="B46" s="79" t="str">
        <f>IPQC!K13</f>
        <v>22cb76170295</v>
      </c>
      <c r="C46" s="50">
        <f>IPQC!T13+VLOOKUP($R$32,$AD$39:$AK$43,6,FALSE)+VLOOKUP('File location'!$B$1,'Tester offset'!$A$2:$D$4,2,FALSE)</f>
        <v>92.839733614300002</v>
      </c>
      <c r="D46" s="50">
        <f>IPQC!AA13+VLOOKUP($R$32,$AD$39:$AK$43,6,FALSE)</f>
        <v>77.517899696900002</v>
      </c>
      <c r="E46" s="50">
        <f>VCM!HV13-'Summary(3pcs)'!C46-'Summary(3pcs)'!$D$33</f>
        <v>157.58083520353796</v>
      </c>
      <c r="F46" s="86"/>
      <c r="G46" s="90"/>
      <c r="H46" s="90"/>
      <c r="I46" s="90"/>
      <c r="K46" s="78">
        <f t="shared" si="1"/>
        <v>4</v>
      </c>
      <c r="L46" s="79" t="str">
        <f>OC!K13</f>
        <v>22cb76170295</v>
      </c>
      <c r="M46" s="50">
        <f>OC!T13+VLOOKUP($R$32,$AD$39:$AK$43,4,FALSE)</f>
        <v>-6.2741505642000002</v>
      </c>
      <c r="N46" s="50">
        <f>OC!U13+VLOOKUP($R$32,$AD$39:$AK$43,5,FALSE)</f>
        <v>0.36877146339999989</v>
      </c>
      <c r="O46" s="85"/>
      <c r="P46" s="85"/>
      <c r="Q46" s="86"/>
      <c r="R46" s="86"/>
      <c r="S46" s="34"/>
      <c r="T46" s="78">
        <v>4</v>
      </c>
      <c r="U46" s="79" t="str">
        <f>FPDC!K13</f>
        <v>22cb76170295</v>
      </c>
      <c r="V46" s="76">
        <f>FPDC!S13+VLOOKUP($R$32,$AD$39:$AK$43,2,FALSE)+VLOOKUP($R$32,$AD$39:$AK$43,7,FALSE)+VLOOKUP('File location'!$B$1,'Tester offset'!$A$2:$D$4,3,FALSE)</f>
        <v>2.9609885216</v>
      </c>
      <c r="W46" s="77">
        <f>FPDC!T13+VLOOKUP($R$32,$AD$39:$AK$43,3,FALSE)+VLOOKUP($R$32,$AD$39:$AK$43,8,FALSE)+VLOOKUP('File location'!$B$1,'Tester offset'!$A$2:$D$4,4,FALSE)</f>
        <v>-3.2156670094000002</v>
      </c>
      <c r="X46" s="85"/>
      <c r="Y46" s="85"/>
      <c r="Z46" s="86"/>
      <c r="AA46" s="86"/>
    </row>
    <row r="48" spans="1:37" ht="15">
      <c r="F48" s="92" t="s">
        <v>14</v>
      </c>
      <c r="G48" s="92"/>
      <c r="H48" s="29" t="s">
        <v>105</v>
      </c>
      <c r="O48" s="92" t="s">
        <v>114</v>
      </c>
      <c r="P48" s="92"/>
      <c r="Q48" s="29" t="s">
        <v>105</v>
      </c>
      <c r="Y48" s="92" t="s">
        <v>2</v>
      </c>
      <c r="Z48" s="92"/>
      <c r="AA48" s="29" t="s">
        <v>105</v>
      </c>
    </row>
    <row r="49" spans="6:27" ht="17.25">
      <c r="F49" s="91" t="s">
        <v>163</v>
      </c>
      <c r="G49" s="91"/>
      <c r="H49" s="49" t="s">
        <v>148</v>
      </c>
      <c r="O49" s="93" t="s">
        <v>165</v>
      </c>
      <c r="P49" s="91"/>
      <c r="Q49" s="49" t="s">
        <v>162</v>
      </c>
      <c r="Y49" s="93" t="s">
        <v>165</v>
      </c>
      <c r="Z49" s="91"/>
      <c r="AA49" s="49" t="s">
        <v>104</v>
      </c>
    </row>
    <row r="50" spans="6:27" ht="17.25">
      <c r="F50" s="91" t="s">
        <v>164</v>
      </c>
      <c r="G50" s="91"/>
      <c r="H50" s="49" t="s">
        <v>107</v>
      </c>
      <c r="O50" s="93" t="s">
        <v>171</v>
      </c>
      <c r="P50" s="91"/>
      <c r="Q50" s="49" t="s">
        <v>169</v>
      </c>
      <c r="Y50" s="93" t="s">
        <v>167</v>
      </c>
      <c r="Z50" s="91"/>
      <c r="AA50" s="49" t="s">
        <v>168</v>
      </c>
    </row>
    <row r="51" spans="6:27" ht="17.25">
      <c r="F51" s="91" t="s">
        <v>16</v>
      </c>
      <c r="G51" s="91"/>
      <c r="H51" s="49" t="s">
        <v>106</v>
      </c>
      <c r="O51" s="93" t="s">
        <v>171</v>
      </c>
      <c r="P51" s="91"/>
      <c r="Q51" s="79" t="s">
        <v>170</v>
      </c>
      <c r="Y51" s="93" t="s">
        <v>166</v>
      </c>
      <c r="Z51" s="91"/>
      <c r="AA51" s="49" t="s">
        <v>149</v>
      </c>
    </row>
    <row r="53" spans="6:27" ht="19.5">
      <c r="I53" s="42"/>
      <c r="J53" s="42"/>
      <c r="K53" s="80" t="s">
        <v>156</v>
      </c>
      <c r="L53" s="81"/>
      <c r="M53" s="81"/>
      <c r="N53" s="81"/>
      <c r="O53" s="81"/>
      <c r="P53" s="81"/>
      <c r="Q53" s="82"/>
    </row>
    <row r="54" spans="6:27" ht="20.25" thickBot="1">
      <c r="I54" s="42"/>
      <c r="J54" s="42"/>
      <c r="K54" s="42"/>
      <c r="L54" s="42"/>
      <c r="M54" s="42"/>
      <c r="N54" s="42"/>
      <c r="O54" s="42"/>
      <c r="P54" s="42"/>
      <c r="Q54" s="42"/>
    </row>
    <row r="55" spans="6:27" ht="19.5">
      <c r="I55" s="43">
        <f t="shared" ref="I55:I66" si="2">T35</f>
        <v>1</v>
      </c>
      <c r="J55" s="42"/>
      <c r="K55" s="51">
        <f t="shared" ref="K55:K66" si="3">C35</f>
        <v>91.974027146300003</v>
      </c>
      <c r="L55" s="52">
        <f t="shared" ref="L55:L66" si="4">D35</f>
        <v>73.735004099700006</v>
      </c>
      <c r="M55" s="52">
        <f t="shared" ref="M55:M66" si="5">E35</f>
        <v>155.07688645083795</v>
      </c>
      <c r="N55" s="52">
        <f t="shared" ref="N55:O66" si="6">M35</f>
        <v>2.4869367390999999</v>
      </c>
      <c r="O55" s="52">
        <f t="shared" si="6"/>
        <v>3.5657654736</v>
      </c>
      <c r="P55" s="52">
        <f t="shared" ref="P55:P66" si="7">V35</f>
        <v>7.2190408707000007</v>
      </c>
      <c r="Q55" s="53">
        <f t="shared" ref="Q55:Q66" si="8">W35</f>
        <v>-0.72158694270000012</v>
      </c>
    </row>
    <row r="56" spans="6:27" ht="19.5">
      <c r="I56" s="43">
        <f t="shared" si="2"/>
        <v>1</v>
      </c>
      <c r="J56" s="44"/>
      <c r="K56" s="54">
        <f t="shared" si="3"/>
        <v>88.9838915797</v>
      </c>
      <c r="L56" s="55">
        <f t="shared" si="4"/>
        <v>68.536956435900009</v>
      </c>
      <c r="M56" s="55">
        <f t="shared" si="5"/>
        <v>146.24306179213789</v>
      </c>
      <c r="N56" s="55">
        <f t="shared" si="6"/>
        <v>2.4413456107</v>
      </c>
      <c r="O56" s="55">
        <f t="shared" si="6"/>
        <v>1.5377007225999999</v>
      </c>
      <c r="P56" s="55">
        <f t="shared" si="7"/>
        <v>5.1272792815999999</v>
      </c>
      <c r="Q56" s="56">
        <f t="shared" si="8"/>
        <v>1.7600092888000001</v>
      </c>
    </row>
    <row r="57" spans="6:27" ht="19.5">
      <c r="I57" s="43">
        <f t="shared" si="2"/>
        <v>1</v>
      </c>
      <c r="J57" s="44"/>
      <c r="K57" s="57">
        <f t="shared" si="3"/>
        <v>89.216129463399994</v>
      </c>
      <c r="L57" s="58">
        <f t="shared" si="4"/>
        <v>71.149558731699997</v>
      </c>
      <c r="M57" s="58">
        <f t="shared" si="5"/>
        <v>143.68778287853786</v>
      </c>
      <c r="N57" s="58">
        <f t="shared" si="6"/>
        <v>-2.2005837441999998</v>
      </c>
      <c r="O57" s="58">
        <f t="shared" si="6"/>
        <v>2.6702642730999999</v>
      </c>
      <c r="P57" s="58">
        <f t="shared" si="7"/>
        <v>2.8634181022999998</v>
      </c>
      <c r="Q57" s="59">
        <f t="shared" si="8"/>
        <v>1.684525013</v>
      </c>
    </row>
    <row r="58" spans="6:27" ht="19.5">
      <c r="I58" s="43">
        <f t="shared" si="2"/>
        <v>2</v>
      </c>
      <c r="J58" s="44"/>
      <c r="K58" s="60">
        <f t="shared" si="3"/>
        <v>93.427046522300003</v>
      </c>
      <c r="L58" s="61">
        <f t="shared" si="4"/>
        <v>76.920677972999997</v>
      </c>
      <c r="M58" s="61">
        <f t="shared" si="5"/>
        <v>131.93794767053794</v>
      </c>
      <c r="N58" s="61">
        <f t="shared" si="6"/>
        <v>0.2262970883</v>
      </c>
      <c r="O58" s="61">
        <f t="shared" si="6"/>
        <v>8.0127552761</v>
      </c>
      <c r="P58" s="61">
        <f t="shared" si="7"/>
        <v>4.5134162903000004</v>
      </c>
      <c r="Q58" s="62">
        <f t="shared" si="8"/>
        <v>-2.0294386148000001</v>
      </c>
    </row>
    <row r="59" spans="6:27" ht="19.5">
      <c r="I59" s="43">
        <f t="shared" si="2"/>
        <v>2</v>
      </c>
      <c r="J59" s="44"/>
      <c r="K59" s="60">
        <f t="shared" si="3"/>
        <v>91.345914867900007</v>
      </c>
      <c r="L59" s="61">
        <f t="shared" si="4"/>
        <v>77.095116995300003</v>
      </c>
      <c r="M59" s="61">
        <f t="shared" si="5"/>
        <v>144.77076012793793</v>
      </c>
      <c r="N59" s="61">
        <f t="shared" si="6"/>
        <v>0.30938684230000002</v>
      </c>
      <c r="O59" s="61">
        <f t="shared" si="6"/>
        <v>4.8677615939000001</v>
      </c>
      <c r="P59" s="61">
        <f t="shared" si="7"/>
        <v>7.6856870650999998</v>
      </c>
      <c r="Q59" s="62">
        <f t="shared" si="8"/>
        <v>3.0424633025999999</v>
      </c>
    </row>
    <row r="60" spans="6:27" ht="19.5">
      <c r="I60" s="43">
        <f t="shared" si="2"/>
        <v>2</v>
      </c>
      <c r="J60" s="44"/>
      <c r="K60" s="60">
        <f t="shared" si="3"/>
        <v>95.963891149600002</v>
      </c>
      <c r="L60" s="61">
        <f t="shared" si="4"/>
        <v>80.337110234299999</v>
      </c>
      <c r="M60" s="61">
        <f t="shared" si="5"/>
        <v>146.42875818853793</v>
      </c>
      <c r="N60" s="61">
        <f t="shared" si="6"/>
        <v>6.1964890191000004</v>
      </c>
      <c r="O60" s="61">
        <f t="shared" si="6"/>
        <v>5.3326691092000003</v>
      </c>
      <c r="P60" s="61">
        <f t="shared" si="7"/>
        <v>3.262550354</v>
      </c>
      <c r="Q60" s="62">
        <f t="shared" si="8"/>
        <v>-0.19938039780000016</v>
      </c>
    </row>
    <row r="61" spans="6:27" ht="19.5">
      <c r="I61" s="43">
        <f t="shared" si="2"/>
        <v>3</v>
      </c>
      <c r="J61" s="44"/>
      <c r="K61" s="66">
        <f t="shared" si="3"/>
        <v>94.883306157500002</v>
      </c>
      <c r="L61" s="67">
        <f t="shared" si="4"/>
        <v>75.022599364900003</v>
      </c>
      <c r="M61" s="67">
        <f t="shared" si="5"/>
        <v>148.17167770713792</v>
      </c>
      <c r="N61" s="67">
        <f t="shared" si="6"/>
        <v>-8.7494761065999995</v>
      </c>
      <c r="O61" s="67">
        <f t="shared" si="6"/>
        <v>1.0919897209</v>
      </c>
      <c r="P61" s="67">
        <f t="shared" si="7"/>
        <v>6.5676698684999995</v>
      </c>
      <c r="Q61" s="68">
        <f t="shared" si="8"/>
        <v>0.40958285329999988</v>
      </c>
    </row>
    <row r="62" spans="6:27" ht="19.5">
      <c r="I62" s="43">
        <f t="shared" si="2"/>
        <v>3</v>
      </c>
      <c r="J62" s="44"/>
      <c r="K62" s="69">
        <f t="shared" si="3"/>
        <v>88.179580902300003</v>
      </c>
      <c r="L62" s="70">
        <f t="shared" si="4"/>
        <v>72.403255582400007</v>
      </c>
      <c r="M62" s="70">
        <f t="shared" si="5"/>
        <v>160.56966780423789</v>
      </c>
      <c r="N62" s="70">
        <f t="shared" si="6"/>
        <v>-3.483799281</v>
      </c>
      <c r="O62" s="70">
        <f t="shared" si="6"/>
        <v>3.0487023216</v>
      </c>
      <c r="P62" s="70">
        <f t="shared" si="7"/>
        <v>7.5007467269999992</v>
      </c>
      <c r="Q62" s="71">
        <f t="shared" si="8"/>
        <v>-3.1332199574000001</v>
      </c>
    </row>
    <row r="63" spans="6:27" ht="19.5">
      <c r="I63" s="43">
        <f t="shared" si="2"/>
        <v>3</v>
      </c>
      <c r="J63" s="44"/>
      <c r="K63" s="72">
        <f t="shared" si="3"/>
        <v>86.751523612</v>
      </c>
      <c r="L63" s="73">
        <f t="shared" si="4"/>
        <v>66.321574710899995</v>
      </c>
      <c r="M63" s="73">
        <f t="shared" si="5"/>
        <v>150.16947655273793</v>
      </c>
      <c r="N63" s="73">
        <f t="shared" si="6"/>
        <v>-11.4258464965</v>
      </c>
      <c r="O63" s="73">
        <f t="shared" si="6"/>
        <v>-1.3225292476000003</v>
      </c>
      <c r="P63" s="73">
        <f t="shared" si="7"/>
        <v>5.4871845244999999</v>
      </c>
      <c r="Q63" s="74">
        <f t="shared" si="8"/>
        <v>-2.1467705965000001</v>
      </c>
    </row>
    <row r="64" spans="6:27" ht="19.5">
      <c r="I64" s="43">
        <f t="shared" si="2"/>
        <v>4</v>
      </c>
      <c r="J64" s="44"/>
      <c r="K64" s="60">
        <f t="shared" si="3"/>
        <v>87.746997578800006</v>
      </c>
      <c r="L64" s="61">
        <f t="shared" si="4"/>
        <v>72.590288000499996</v>
      </c>
      <c r="M64" s="61">
        <f t="shared" si="5"/>
        <v>156.76811633723793</v>
      </c>
      <c r="N64" s="61">
        <f t="shared" si="6"/>
        <v>0.93782885410000005</v>
      </c>
      <c r="O64" s="61">
        <f t="shared" si="6"/>
        <v>0.28111378939999998</v>
      </c>
      <c r="P64" s="61">
        <f t="shared" si="7"/>
        <v>0.52099466319999976</v>
      </c>
      <c r="Q64" s="62">
        <f t="shared" si="8"/>
        <v>0.82108259199999978</v>
      </c>
    </row>
    <row r="65" spans="9:17" ht="19.5">
      <c r="I65" s="43">
        <f t="shared" si="2"/>
        <v>4</v>
      </c>
      <c r="J65" s="44"/>
      <c r="K65" s="60">
        <f t="shared" si="3"/>
        <v>86.832084905000002</v>
      </c>
      <c r="L65" s="61">
        <f t="shared" si="4"/>
        <v>67.725250176299994</v>
      </c>
      <c r="M65" s="61">
        <f t="shared" si="5"/>
        <v>164.92011755663793</v>
      </c>
      <c r="N65" s="61">
        <f t="shared" si="6"/>
        <v>0.8223546826</v>
      </c>
      <c r="O65" s="61">
        <f t="shared" si="6"/>
        <v>-2.2542975977999999</v>
      </c>
      <c r="P65" s="61">
        <f t="shared" si="7"/>
        <v>2.9166774750000002</v>
      </c>
      <c r="Q65" s="62">
        <f t="shared" si="8"/>
        <v>-4.6348382235000001</v>
      </c>
    </row>
    <row r="66" spans="9:17" ht="20.25" thickBot="1">
      <c r="I66" s="43">
        <f t="shared" si="2"/>
        <v>4</v>
      </c>
      <c r="J66" s="44"/>
      <c r="K66" s="63">
        <f t="shared" si="3"/>
        <v>92.839733614300002</v>
      </c>
      <c r="L66" s="64">
        <f t="shared" si="4"/>
        <v>77.517899696900002</v>
      </c>
      <c r="M66" s="64">
        <f t="shared" si="5"/>
        <v>157.58083520353796</v>
      </c>
      <c r="N66" s="64">
        <f t="shared" si="6"/>
        <v>-6.2741505642000002</v>
      </c>
      <c r="O66" s="64">
        <f t="shared" si="6"/>
        <v>0.36877146339999989</v>
      </c>
      <c r="P66" s="64">
        <f t="shared" si="7"/>
        <v>2.9609885216</v>
      </c>
      <c r="Q66" s="65">
        <f t="shared" si="8"/>
        <v>-3.2156670094000002</v>
      </c>
    </row>
  </sheetData>
  <sheetProtection selectLockedCells="1"/>
  <mergeCells count="68">
    <mergeCell ref="B32:B33"/>
    <mergeCell ref="F48:G48"/>
    <mergeCell ref="F49:G49"/>
    <mergeCell ref="F44:F46"/>
    <mergeCell ref="H44:H46"/>
    <mergeCell ref="F35:F37"/>
    <mergeCell ref="H35:H37"/>
    <mergeCell ref="F38:F40"/>
    <mergeCell ref="H38:H40"/>
    <mergeCell ref="F41:F43"/>
    <mergeCell ref="H41:H43"/>
    <mergeCell ref="G35:G37"/>
    <mergeCell ref="G44:G46"/>
    <mergeCell ref="I41:I43"/>
    <mergeCell ref="I44:I46"/>
    <mergeCell ref="X44:X46"/>
    <mergeCell ref="O35:O37"/>
    <mergeCell ref="P35:P37"/>
    <mergeCell ref="Q38:Q40"/>
    <mergeCell ref="R38:R40"/>
    <mergeCell ref="I35:I37"/>
    <mergeCell ref="I38:I40"/>
    <mergeCell ref="F51:G51"/>
    <mergeCell ref="F50:G50"/>
    <mergeCell ref="Y48:Z48"/>
    <mergeCell ref="Y49:Z49"/>
    <mergeCell ref="Y51:Z51"/>
    <mergeCell ref="O48:P48"/>
    <mergeCell ref="O49:P49"/>
    <mergeCell ref="O50:P50"/>
    <mergeCell ref="Y50:Z50"/>
    <mergeCell ref="O51:P51"/>
    <mergeCell ref="AA41:AA43"/>
    <mergeCell ref="Z44:Z46"/>
    <mergeCell ref="AA44:AA46"/>
    <mergeCell ref="G38:G40"/>
    <mergeCell ref="G41:G43"/>
    <mergeCell ref="Z41:Z43"/>
    <mergeCell ref="O38:O40"/>
    <mergeCell ref="P38:P40"/>
    <mergeCell ref="O41:O43"/>
    <mergeCell ref="P41:P43"/>
    <mergeCell ref="X38:X40"/>
    <mergeCell ref="Y38:Y40"/>
    <mergeCell ref="X41:X43"/>
    <mergeCell ref="Y41:Y43"/>
    <mergeCell ref="Q41:Q43"/>
    <mergeCell ref="R41:R43"/>
    <mergeCell ref="AE37:AI37"/>
    <mergeCell ref="AJ37:AK37"/>
    <mergeCell ref="AD37:AD38"/>
    <mergeCell ref="AA35:AA37"/>
    <mergeCell ref="Z38:Z40"/>
    <mergeCell ref="AA38:AA40"/>
    <mergeCell ref="Z35:Z37"/>
    <mergeCell ref="K53:Q53"/>
    <mergeCell ref="S32:T32"/>
    <mergeCell ref="Y35:Y37"/>
    <mergeCell ref="X35:X37"/>
    <mergeCell ref="Q35:Q37"/>
    <mergeCell ref="R35:R37"/>
    <mergeCell ref="Y44:Y46"/>
    <mergeCell ref="O44:O46"/>
    <mergeCell ref="P44:P46"/>
    <mergeCell ref="Q44:Q46"/>
    <mergeCell ref="R44:R46"/>
    <mergeCell ref="U32:U33"/>
    <mergeCell ref="M32:M33"/>
  </mergeCells>
  <phoneticPr fontId="6" type="noConversion"/>
  <conditionalFormatting sqref="I55:I6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5:Q66">
    <cfRule type="duplicateValues" dxfId="26" priority="49"/>
  </conditionalFormatting>
  <conditionalFormatting sqref="X35:Y35 X38:Y38 X41:Y41 X44:Y44">
    <cfRule type="cellIs" dxfId="25" priority="25" operator="lessThan">
      <formula>-7</formula>
    </cfRule>
    <cfRule type="cellIs" dxfId="24" priority="26" operator="greaterThan">
      <formula>7</formula>
    </cfRule>
  </conditionalFormatting>
  <conditionalFormatting sqref="M35:N46">
    <cfRule type="cellIs" dxfId="23" priority="4" operator="lessThan">
      <formula>-28</formula>
    </cfRule>
    <cfRule type="cellIs" dxfId="22" priority="5" operator="greaterThan">
      <formula>28</formula>
    </cfRule>
    <cfRule type="cellIs" dxfId="21" priority="10" operator="lessThan">
      <formula>-26.6</formula>
    </cfRule>
    <cfRule type="cellIs" dxfId="20" priority="11" operator="greaterThan">
      <formula>26.6</formula>
    </cfRule>
    <cfRule type="duplicateValues" dxfId="19" priority="13"/>
  </conditionalFormatting>
  <conditionalFormatting sqref="E35:E46">
    <cfRule type="cellIs" dxfId="18" priority="24" operator="lessThan">
      <formula>35</formula>
    </cfRule>
  </conditionalFormatting>
  <conditionalFormatting sqref="D35:D46">
    <cfRule type="cellIs" dxfId="17" priority="23" operator="lessThan">
      <formula>45</formula>
    </cfRule>
  </conditionalFormatting>
  <conditionalFormatting sqref="F35:F46">
    <cfRule type="cellIs" dxfId="16" priority="21" operator="lessThan">
      <formula>83</formula>
    </cfRule>
    <cfRule type="cellIs" dxfId="15" priority="22" operator="greaterThan">
      <formula>97</formula>
    </cfRule>
  </conditionalFormatting>
  <conditionalFormatting sqref="L35:L46 B35:B46">
    <cfRule type="uniqueValues" dxfId="14" priority="20"/>
  </conditionalFormatting>
  <conditionalFormatting sqref="L35:L46 U35:U46">
    <cfRule type="uniqueValues" dxfId="13" priority="19"/>
  </conditionalFormatting>
  <conditionalFormatting sqref="V35:W46">
    <cfRule type="cellIs" dxfId="12" priority="15" operator="lessThan">
      <formula>-25</formula>
    </cfRule>
    <cfRule type="cellIs" dxfId="11" priority="16" operator="greaterThan">
      <formula>25</formula>
    </cfRule>
    <cfRule type="cellIs" dxfId="10" priority="17" operator="lessThan">
      <formula>-22.5</formula>
    </cfRule>
    <cfRule type="cellIs" dxfId="9" priority="18" operator="greaterThan">
      <formula>22.5</formula>
    </cfRule>
  </conditionalFormatting>
  <conditionalFormatting sqref="V35:W46">
    <cfRule type="duplicateValues" dxfId="8" priority="14"/>
  </conditionalFormatting>
  <conditionalFormatting sqref="C35:E46">
    <cfRule type="duplicateValues" dxfId="7" priority="12"/>
  </conditionalFormatting>
  <conditionalFormatting sqref="O35:P46">
    <cfRule type="duplicateValues" dxfId="6" priority="2"/>
    <cfRule type="cellIs" dxfId="5" priority="6" operator="lessThan">
      <formula>-12</formula>
    </cfRule>
    <cfRule type="cellIs" dxfId="4" priority="7" operator="greaterThan">
      <formula>12</formula>
    </cfRule>
    <cfRule type="cellIs" dxfId="3" priority="8" operator="lessThan">
      <formula>-10.8</formula>
    </cfRule>
    <cfRule type="cellIs" dxfId="2" priority="9" operator="greaterThan">
      <formula>10.8</formula>
    </cfRule>
  </conditionalFormatting>
  <conditionalFormatting sqref="X35:Y46">
    <cfRule type="duplicateValues" dxfId="1" priority="3"/>
  </conditionalFormatting>
  <conditionalFormatting sqref="F35:H46">
    <cfRule type="duplicateValues" dxfId="0" priority="1"/>
  </conditionalFormatting>
  <dataValidations count="1">
    <dataValidation type="list" allowBlank="1" showInputMessage="1" showErrorMessage="1" sqref="R32">
      <formula1>$AD$39:$AD$43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K13"/>
  <sheetViews>
    <sheetView zoomScale="85" zoomScaleNormal="85" workbookViewId="0">
      <selection sqref="A1:XX1048576"/>
    </sheetView>
  </sheetViews>
  <sheetFormatPr defaultColWidth="8.875" defaultRowHeight="13.5"/>
  <cols>
    <col min="10" max="10" width="13.875" bestFit="1" customWidth="1"/>
    <col min="37" max="16384" width="8.875" style="17"/>
  </cols>
  <sheetData>
    <row r="1" spans="1:37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190</v>
      </c>
      <c r="S1" t="s">
        <v>191</v>
      </c>
      <c r="T1" t="s">
        <v>192</v>
      </c>
      <c r="U1" t="s">
        <v>193</v>
      </c>
      <c r="V1" t="s">
        <v>194</v>
      </c>
      <c r="W1" t="s">
        <v>195</v>
      </c>
      <c r="X1" t="s">
        <v>196</v>
      </c>
      <c r="Y1" t="s">
        <v>197</v>
      </c>
      <c r="Z1" t="s">
        <v>198</v>
      </c>
      <c r="AA1" t="s">
        <v>199</v>
      </c>
      <c r="AB1" t="s">
        <v>200</v>
      </c>
      <c r="AC1" t="s">
        <v>201</v>
      </c>
      <c r="AD1" t="s">
        <v>202</v>
      </c>
      <c r="AE1" t="s">
        <v>203</v>
      </c>
      <c r="AF1" t="s">
        <v>204</v>
      </c>
      <c r="AG1" t="s">
        <v>205</v>
      </c>
      <c r="AH1" t="s">
        <v>206</v>
      </c>
      <c r="AI1" t="s">
        <v>207</v>
      </c>
      <c r="AJ1" t="s">
        <v>208</v>
      </c>
      <c r="AK1" s="17" t="s">
        <v>209</v>
      </c>
    </row>
    <row r="2" spans="1:37">
      <c r="A2" t="s">
        <v>210</v>
      </c>
      <c r="B2" t="s">
        <v>211</v>
      </c>
      <c r="C2" t="s">
        <v>212</v>
      </c>
      <c r="D2" t="s">
        <v>213</v>
      </c>
      <c r="E2">
        <v>3</v>
      </c>
      <c r="F2" t="s">
        <v>214</v>
      </c>
      <c r="G2" t="s">
        <v>215</v>
      </c>
      <c r="H2" t="s">
        <v>216</v>
      </c>
      <c r="I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>
        <v>0</v>
      </c>
      <c r="Q2">
        <v>0</v>
      </c>
      <c r="R2">
        <v>2114.9869367391002</v>
      </c>
      <c r="S2">
        <v>1512.9342345263999</v>
      </c>
      <c r="T2">
        <v>2.4869367390999999</v>
      </c>
      <c r="U2">
        <v>-0.43423452639999999</v>
      </c>
      <c r="V2">
        <v>2.524562134</v>
      </c>
      <c r="W2">
        <v>750.26070000000004</v>
      </c>
      <c r="X2">
        <v>405.767</v>
      </c>
      <c r="Y2">
        <v>404.15140000000002</v>
      </c>
      <c r="Z2">
        <v>402.91719999999998</v>
      </c>
      <c r="AA2">
        <v>401.22340000000003</v>
      </c>
      <c r="AB2">
        <v>576.88772500000005</v>
      </c>
      <c r="AC2" t="s">
        <v>223</v>
      </c>
      <c r="AD2" t="s">
        <v>224</v>
      </c>
      <c r="AE2" t="s">
        <v>225</v>
      </c>
      <c r="AF2" t="s">
        <v>226</v>
      </c>
      <c r="AG2" t="s">
        <v>227</v>
      </c>
      <c r="AH2">
        <v>8</v>
      </c>
      <c r="AI2" t="s">
        <v>228</v>
      </c>
      <c r="AK2" s="17">
        <v>1</v>
      </c>
    </row>
    <row r="3" spans="1:37">
      <c r="A3" t="s">
        <v>229</v>
      </c>
      <c r="B3" t="s">
        <v>230</v>
      </c>
      <c r="C3" t="s">
        <v>231</v>
      </c>
      <c r="D3" t="s">
        <v>213</v>
      </c>
      <c r="E3">
        <v>3</v>
      </c>
      <c r="F3" t="s">
        <v>214</v>
      </c>
      <c r="G3" t="s">
        <v>215</v>
      </c>
      <c r="H3" t="s">
        <v>216</v>
      </c>
      <c r="I3" t="s">
        <v>217</v>
      </c>
      <c r="K3" t="s">
        <v>232</v>
      </c>
      <c r="L3" t="s">
        <v>233</v>
      </c>
      <c r="M3" t="s">
        <v>234</v>
      </c>
      <c r="N3" t="s">
        <v>235</v>
      </c>
      <c r="O3" t="s">
        <v>236</v>
      </c>
      <c r="P3">
        <v>0</v>
      </c>
      <c r="Q3">
        <v>0</v>
      </c>
      <c r="R3">
        <v>2114.9413456107</v>
      </c>
      <c r="S3">
        <v>1514.9622992774</v>
      </c>
      <c r="T3">
        <v>2.4413456107</v>
      </c>
      <c r="U3">
        <v>-2.4622992774000001</v>
      </c>
      <c r="V3">
        <v>3.4674322087</v>
      </c>
      <c r="W3">
        <v>747.98789999999997</v>
      </c>
      <c r="X3">
        <v>401.71370000000002</v>
      </c>
      <c r="Y3">
        <v>405.63</v>
      </c>
      <c r="Z3">
        <v>399.74549999999999</v>
      </c>
      <c r="AA3">
        <v>402.22129999999999</v>
      </c>
      <c r="AB3">
        <v>575.15776249999999</v>
      </c>
      <c r="AC3" t="s">
        <v>223</v>
      </c>
      <c r="AD3" t="s">
        <v>224</v>
      </c>
      <c r="AE3" t="s">
        <v>225</v>
      </c>
      <c r="AF3" t="s">
        <v>226</v>
      </c>
      <c r="AG3" t="s">
        <v>227</v>
      </c>
      <c r="AH3">
        <v>8</v>
      </c>
      <c r="AI3" t="s">
        <v>228</v>
      </c>
      <c r="AK3" s="17">
        <v>1</v>
      </c>
    </row>
    <row r="4" spans="1:37">
      <c r="A4" t="s">
        <v>237</v>
      </c>
      <c r="B4" t="s">
        <v>238</v>
      </c>
      <c r="C4" t="s">
        <v>239</v>
      </c>
      <c r="D4" t="s">
        <v>213</v>
      </c>
      <c r="E4">
        <v>3</v>
      </c>
      <c r="F4" t="s">
        <v>214</v>
      </c>
      <c r="G4" t="s">
        <v>215</v>
      </c>
      <c r="H4" t="s">
        <v>216</v>
      </c>
      <c r="I4" t="s">
        <v>217</v>
      </c>
      <c r="K4" t="s">
        <v>240</v>
      </c>
      <c r="L4" t="s">
        <v>241</v>
      </c>
      <c r="M4" t="s">
        <v>242</v>
      </c>
      <c r="N4" t="s">
        <v>243</v>
      </c>
      <c r="O4" t="s">
        <v>244</v>
      </c>
      <c r="P4">
        <v>0</v>
      </c>
      <c r="Q4">
        <v>0</v>
      </c>
      <c r="R4">
        <v>2110.2994162558002</v>
      </c>
      <c r="S4">
        <v>1513.8297357269</v>
      </c>
      <c r="T4">
        <v>-2.2005837441999998</v>
      </c>
      <c r="U4">
        <v>-1.3297357269000001</v>
      </c>
      <c r="V4">
        <v>2.5711409760000001</v>
      </c>
      <c r="W4">
        <v>750.19190000000003</v>
      </c>
      <c r="X4">
        <v>402.03809999999999</v>
      </c>
      <c r="Y4">
        <v>406.89249999999998</v>
      </c>
      <c r="Z4">
        <v>402.024</v>
      </c>
      <c r="AA4">
        <v>402.3288</v>
      </c>
      <c r="AB4">
        <v>576.75637500000005</v>
      </c>
      <c r="AC4" t="s">
        <v>223</v>
      </c>
      <c r="AD4" t="s">
        <v>224</v>
      </c>
      <c r="AE4" t="s">
        <v>225</v>
      </c>
      <c r="AF4" t="s">
        <v>226</v>
      </c>
      <c r="AG4" t="s">
        <v>227</v>
      </c>
      <c r="AH4">
        <v>8</v>
      </c>
      <c r="AI4" t="s">
        <v>228</v>
      </c>
      <c r="AK4" s="17">
        <v>1</v>
      </c>
    </row>
    <row r="5" spans="1:37">
      <c r="A5" t="s">
        <v>245</v>
      </c>
      <c r="B5" t="s">
        <v>246</v>
      </c>
      <c r="C5" t="s">
        <v>247</v>
      </c>
      <c r="D5" t="s">
        <v>213</v>
      </c>
      <c r="E5">
        <v>3</v>
      </c>
      <c r="F5" t="s">
        <v>214</v>
      </c>
      <c r="G5" t="s">
        <v>215</v>
      </c>
      <c r="H5" t="s">
        <v>216</v>
      </c>
      <c r="I5" t="s">
        <v>217</v>
      </c>
      <c r="K5" t="s">
        <v>248</v>
      </c>
      <c r="L5" t="s">
        <v>249</v>
      </c>
      <c r="M5" t="s">
        <v>250</v>
      </c>
      <c r="N5" t="s">
        <v>251</v>
      </c>
      <c r="O5" t="s">
        <v>252</v>
      </c>
      <c r="P5">
        <v>0</v>
      </c>
      <c r="Q5">
        <v>0</v>
      </c>
      <c r="R5">
        <v>2112.7262970882998</v>
      </c>
      <c r="S5">
        <v>1508.4872447238999</v>
      </c>
      <c r="T5">
        <v>0.2262970883</v>
      </c>
      <c r="U5">
        <v>4.0127552761</v>
      </c>
      <c r="V5">
        <v>4.0191311595999997</v>
      </c>
      <c r="W5">
        <v>735.71630000000005</v>
      </c>
      <c r="X5">
        <v>393.94630000000001</v>
      </c>
      <c r="Y5">
        <v>395.30279999999999</v>
      </c>
      <c r="Z5">
        <v>393.20479999999998</v>
      </c>
      <c r="AA5">
        <v>393.9932</v>
      </c>
      <c r="AB5">
        <v>564.91403749999995</v>
      </c>
      <c r="AC5" t="s">
        <v>223</v>
      </c>
      <c r="AD5" t="s">
        <v>224</v>
      </c>
      <c r="AE5" t="s">
        <v>225</v>
      </c>
      <c r="AF5" t="s">
        <v>226</v>
      </c>
      <c r="AG5" t="s">
        <v>227</v>
      </c>
      <c r="AH5">
        <v>8</v>
      </c>
      <c r="AI5" t="s">
        <v>228</v>
      </c>
      <c r="AK5" s="17">
        <v>1</v>
      </c>
    </row>
    <row r="6" spans="1:37">
      <c r="A6" t="s">
        <v>583</v>
      </c>
      <c r="B6" t="s">
        <v>584</v>
      </c>
      <c r="C6" t="s">
        <v>585</v>
      </c>
      <c r="D6" t="s">
        <v>213</v>
      </c>
      <c r="E6">
        <v>3</v>
      </c>
      <c r="F6" t="s">
        <v>214</v>
      </c>
      <c r="G6" t="s">
        <v>215</v>
      </c>
      <c r="H6" t="s">
        <v>216</v>
      </c>
      <c r="I6" t="s">
        <v>217</v>
      </c>
      <c r="K6" t="s">
        <v>586</v>
      </c>
      <c r="L6" t="s">
        <v>587</v>
      </c>
      <c r="M6" t="s">
        <v>588</v>
      </c>
      <c r="N6" t="s">
        <v>589</v>
      </c>
      <c r="O6" t="s">
        <v>590</v>
      </c>
      <c r="P6">
        <v>0</v>
      </c>
      <c r="Q6">
        <v>0</v>
      </c>
      <c r="R6">
        <v>2112.8093868422998</v>
      </c>
      <c r="S6">
        <v>1511.6322384061</v>
      </c>
      <c r="T6">
        <v>0.30938684230000002</v>
      </c>
      <c r="U6">
        <v>0.86776159389999996</v>
      </c>
      <c r="V6">
        <v>0.92126565230000002</v>
      </c>
      <c r="W6">
        <v>733.48900000000003</v>
      </c>
      <c r="X6">
        <v>394.33210000000003</v>
      </c>
      <c r="Y6">
        <v>396.87169999999998</v>
      </c>
      <c r="Z6">
        <v>395.3673</v>
      </c>
      <c r="AA6">
        <v>393.22710000000001</v>
      </c>
      <c r="AB6">
        <v>564.21927500000004</v>
      </c>
      <c r="AC6" t="s">
        <v>223</v>
      </c>
      <c r="AD6" t="s">
        <v>224</v>
      </c>
      <c r="AE6" t="s">
        <v>225</v>
      </c>
      <c r="AF6" t="s">
        <v>226</v>
      </c>
      <c r="AG6" t="s">
        <v>227</v>
      </c>
      <c r="AH6">
        <v>8</v>
      </c>
      <c r="AI6" t="s">
        <v>228</v>
      </c>
      <c r="AK6" s="17">
        <v>1</v>
      </c>
    </row>
    <row r="7" spans="1:37">
      <c r="A7" t="s">
        <v>605</v>
      </c>
      <c r="B7" t="s">
        <v>606</v>
      </c>
      <c r="C7" t="s">
        <v>607</v>
      </c>
      <c r="D7" t="s">
        <v>213</v>
      </c>
      <c r="E7">
        <v>3</v>
      </c>
      <c r="F7" t="s">
        <v>214</v>
      </c>
      <c r="G7" t="s">
        <v>215</v>
      </c>
      <c r="H7" t="s">
        <v>216</v>
      </c>
      <c r="I7" t="s">
        <v>217</v>
      </c>
      <c r="K7" t="s">
        <v>608</v>
      </c>
      <c r="L7" t="s">
        <v>609</v>
      </c>
      <c r="M7" t="s">
        <v>610</v>
      </c>
      <c r="N7" t="s">
        <v>611</v>
      </c>
      <c r="O7" t="s">
        <v>612</v>
      </c>
      <c r="P7">
        <v>0</v>
      </c>
      <c r="Q7">
        <v>0</v>
      </c>
      <c r="R7">
        <v>2118.6964890191002</v>
      </c>
      <c r="S7">
        <v>1511.1673308908</v>
      </c>
      <c r="T7">
        <v>6.1964890191000004</v>
      </c>
      <c r="U7">
        <v>1.3326691092</v>
      </c>
      <c r="V7">
        <v>6.3381766399000004</v>
      </c>
      <c r="W7">
        <v>734.8329</v>
      </c>
      <c r="X7">
        <v>393.21120000000002</v>
      </c>
      <c r="Y7">
        <v>393.51179999999999</v>
      </c>
      <c r="Z7">
        <v>390.39330000000001</v>
      </c>
      <c r="AA7">
        <v>392.65190000000001</v>
      </c>
      <c r="AB7">
        <v>563.63747499999999</v>
      </c>
      <c r="AC7" t="s">
        <v>223</v>
      </c>
      <c r="AD7" t="s">
        <v>224</v>
      </c>
      <c r="AE7" t="s">
        <v>225</v>
      </c>
      <c r="AF7" t="s">
        <v>226</v>
      </c>
      <c r="AG7" t="s">
        <v>227</v>
      </c>
      <c r="AH7">
        <v>8</v>
      </c>
      <c r="AI7" t="s">
        <v>228</v>
      </c>
      <c r="AK7" s="17">
        <v>1</v>
      </c>
    </row>
    <row r="8" spans="1:37">
      <c r="A8" t="s">
        <v>620</v>
      </c>
      <c r="B8" t="s">
        <v>621</v>
      </c>
      <c r="C8" t="s">
        <v>622</v>
      </c>
      <c r="D8" t="s">
        <v>213</v>
      </c>
      <c r="E8">
        <v>3</v>
      </c>
      <c r="F8" t="s">
        <v>214</v>
      </c>
      <c r="G8" t="s">
        <v>215</v>
      </c>
      <c r="H8" t="s">
        <v>216</v>
      </c>
      <c r="I8" t="s">
        <v>217</v>
      </c>
      <c r="K8" t="s">
        <v>623</v>
      </c>
      <c r="L8" t="s">
        <v>624</v>
      </c>
      <c r="M8" t="s">
        <v>625</v>
      </c>
      <c r="N8" t="s">
        <v>626</v>
      </c>
      <c r="O8" t="s">
        <v>627</v>
      </c>
      <c r="P8">
        <v>0</v>
      </c>
      <c r="Q8">
        <v>0</v>
      </c>
      <c r="R8">
        <v>2103.7505238934</v>
      </c>
      <c r="S8">
        <v>1515.4080102790999</v>
      </c>
      <c r="T8">
        <v>-8.7494761065999995</v>
      </c>
      <c r="U8">
        <v>-2.9080102791</v>
      </c>
      <c r="V8">
        <v>9.2200789541999999</v>
      </c>
      <c r="W8">
        <v>737.99189999999999</v>
      </c>
      <c r="X8">
        <v>392.7253</v>
      </c>
      <c r="Y8">
        <v>398.3</v>
      </c>
      <c r="Z8">
        <v>397.76440000000002</v>
      </c>
      <c r="AA8">
        <v>391.71179999999998</v>
      </c>
      <c r="AB8">
        <v>566.55863750000003</v>
      </c>
      <c r="AC8" t="s">
        <v>223</v>
      </c>
      <c r="AD8" t="s">
        <v>224</v>
      </c>
      <c r="AE8" t="s">
        <v>225</v>
      </c>
      <c r="AF8" t="s">
        <v>226</v>
      </c>
      <c r="AG8" t="s">
        <v>227</v>
      </c>
      <c r="AH8">
        <v>8</v>
      </c>
      <c r="AI8" t="s">
        <v>228</v>
      </c>
      <c r="AK8" s="17">
        <v>1</v>
      </c>
    </row>
    <row r="9" spans="1:37">
      <c r="A9" t="s">
        <v>628</v>
      </c>
      <c r="B9" t="s">
        <v>629</v>
      </c>
      <c r="C9" t="s">
        <v>630</v>
      </c>
      <c r="D9" t="s">
        <v>213</v>
      </c>
      <c r="E9">
        <v>3</v>
      </c>
      <c r="F9" t="s">
        <v>214</v>
      </c>
      <c r="G9" t="s">
        <v>215</v>
      </c>
      <c r="H9" t="s">
        <v>216</v>
      </c>
      <c r="I9" t="s">
        <v>217</v>
      </c>
      <c r="K9" t="s">
        <v>631</v>
      </c>
      <c r="L9" t="s">
        <v>632</v>
      </c>
      <c r="M9" t="s">
        <v>633</v>
      </c>
      <c r="N9" t="s">
        <v>634</v>
      </c>
      <c r="O9" t="s">
        <v>635</v>
      </c>
      <c r="P9">
        <v>0</v>
      </c>
      <c r="Q9">
        <v>0</v>
      </c>
      <c r="R9">
        <v>2109.0162007190002</v>
      </c>
      <c r="S9">
        <v>1513.4512976783999</v>
      </c>
      <c r="T9">
        <v>-3.483799281</v>
      </c>
      <c r="U9">
        <v>-0.95129767840000001</v>
      </c>
      <c r="V9">
        <v>3.6113466606000002</v>
      </c>
      <c r="W9">
        <v>730.25829999999996</v>
      </c>
      <c r="X9">
        <v>391.82100000000003</v>
      </c>
      <c r="Y9">
        <v>395.37569999999999</v>
      </c>
      <c r="Z9">
        <v>391.86270000000002</v>
      </c>
      <c r="AA9">
        <v>388.33300000000003</v>
      </c>
      <c r="AB9">
        <v>561.05319999999995</v>
      </c>
      <c r="AC9" t="s">
        <v>223</v>
      </c>
      <c r="AD9" t="s">
        <v>224</v>
      </c>
      <c r="AE9" t="s">
        <v>225</v>
      </c>
      <c r="AF9" t="s">
        <v>226</v>
      </c>
      <c r="AG9" t="s">
        <v>227</v>
      </c>
      <c r="AH9">
        <v>8</v>
      </c>
      <c r="AI9" t="s">
        <v>228</v>
      </c>
      <c r="AK9" s="17">
        <v>1</v>
      </c>
    </row>
    <row r="10" spans="1:37">
      <c r="A10" t="s">
        <v>636</v>
      </c>
      <c r="B10" t="s">
        <v>637</v>
      </c>
      <c r="C10" t="s">
        <v>638</v>
      </c>
      <c r="D10" t="s">
        <v>213</v>
      </c>
      <c r="E10">
        <v>3</v>
      </c>
      <c r="F10" t="s">
        <v>214</v>
      </c>
      <c r="G10" t="s">
        <v>215</v>
      </c>
      <c r="H10" t="s">
        <v>216</v>
      </c>
      <c r="I10" t="s">
        <v>217</v>
      </c>
      <c r="K10" t="s">
        <v>639</v>
      </c>
      <c r="L10" t="s">
        <v>640</v>
      </c>
      <c r="M10" t="s">
        <v>641</v>
      </c>
      <c r="N10" t="s">
        <v>642</v>
      </c>
      <c r="O10" t="s">
        <v>643</v>
      </c>
      <c r="P10">
        <v>0</v>
      </c>
      <c r="Q10">
        <v>0</v>
      </c>
      <c r="R10">
        <v>2101.0741535034999</v>
      </c>
      <c r="S10">
        <v>1517.8225292476</v>
      </c>
      <c r="T10">
        <v>-11.4258464965</v>
      </c>
      <c r="U10">
        <v>-5.3225292476000003</v>
      </c>
      <c r="V10">
        <v>12.604732672800001</v>
      </c>
      <c r="W10">
        <v>733.24159999999995</v>
      </c>
      <c r="X10">
        <v>394.69319999999999</v>
      </c>
      <c r="Y10">
        <v>398.28489999999999</v>
      </c>
      <c r="Z10">
        <v>397.18009999999998</v>
      </c>
      <c r="AA10">
        <v>390.50900000000001</v>
      </c>
      <c r="AB10">
        <v>564.20420000000001</v>
      </c>
      <c r="AC10" t="s">
        <v>223</v>
      </c>
      <c r="AD10" t="s">
        <v>224</v>
      </c>
      <c r="AE10" t="s">
        <v>225</v>
      </c>
      <c r="AF10" t="s">
        <v>226</v>
      </c>
      <c r="AG10" t="s">
        <v>227</v>
      </c>
      <c r="AH10">
        <v>8</v>
      </c>
      <c r="AI10" t="s">
        <v>228</v>
      </c>
      <c r="AK10" s="17">
        <v>1</v>
      </c>
    </row>
    <row r="11" spans="1:37">
      <c r="A11" t="s">
        <v>665</v>
      </c>
      <c r="B11" t="s">
        <v>666</v>
      </c>
      <c r="C11" t="s">
        <v>667</v>
      </c>
      <c r="D11" t="s">
        <v>213</v>
      </c>
      <c r="E11">
        <v>3</v>
      </c>
      <c r="F11" t="s">
        <v>214</v>
      </c>
      <c r="G11" t="s">
        <v>215</v>
      </c>
      <c r="H11" t="s">
        <v>216</v>
      </c>
      <c r="I11" t="s">
        <v>217</v>
      </c>
      <c r="K11" t="s">
        <v>668</v>
      </c>
      <c r="L11" t="s">
        <v>669</v>
      </c>
      <c r="M11" t="s">
        <v>670</v>
      </c>
      <c r="N11" t="s">
        <v>671</v>
      </c>
      <c r="O11" t="s">
        <v>672</v>
      </c>
      <c r="P11">
        <v>0</v>
      </c>
      <c r="Q11">
        <v>0</v>
      </c>
      <c r="R11">
        <v>2113.4378288541002</v>
      </c>
      <c r="S11">
        <v>1516.2188862106</v>
      </c>
      <c r="T11">
        <v>0.93782885410000005</v>
      </c>
      <c r="U11">
        <v>-3.7188862106</v>
      </c>
      <c r="V11">
        <v>3.8353145382</v>
      </c>
      <c r="W11">
        <v>738.11720000000003</v>
      </c>
      <c r="X11">
        <v>397.13490000000002</v>
      </c>
      <c r="Y11">
        <v>402.26139999999998</v>
      </c>
      <c r="Z11">
        <v>397.7602</v>
      </c>
      <c r="AA11">
        <v>395.92169999999999</v>
      </c>
      <c r="AB11">
        <v>568.19337499999995</v>
      </c>
      <c r="AC11" t="s">
        <v>223</v>
      </c>
      <c r="AD11" t="s">
        <v>224</v>
      </c>
      <c r="AE11" t="s">
        <v>225</v>
      </c>
      <c r="AF11" t="s">
        <v>226</v>
      </c>
      <c r="AG11" t="s">
        <v>227</v>
      </c>
      <c r="AH11">
        <v>8</v>
      </c>
      <c r="AI11" t="s">
        <v>228</v>
      </c>
      <c r="AK11" s="17">
        <v>1</v>
      </c>
    </row>
    <row r="12" spans="1:37">
      <c r="A12" t="s">
        <v>673</v>
      </c>
      <c r="B12" t="s">
        <v>674</v>
      </c>
      <c r="C12" t="s">
        <v>675</v>
      </c>
      <c r="D12" t="s">
        <v>213</v>
      </c>
      <c r="E12">
        <v>3</v>
      </c>
      <c r="F12" t="s">
        <v>214</v>
      </c>
      <c r="G12" t="s">
        <v>215</v>
      </c>
      <c r="H12" t="s">
        <v>216</v>
      </c>
      <c r="I12" t="s">
        <v>217</v>
      </c>
      <c r="K12" t="s">
        <v>676</v>
      </c>
      <c r="L12" t="s">
        <v>677</v>
      </c>
      <c r="M12" t="s">
        <v>678</v>
      </c>
      <c r="N12" t="s">
        <v>679</v>
      </c>
      <c r="O12" t="s">
        <v>680</v>
      </c>
      <c r="P12">
        <v>0</v>
      </c>
      <c r="Q12">
        <v>0</v>
      </c>
      <c r="R12">
        <v>2113.3223546825998</v>
      </c>
      <c r="S12">
        <v>1518.7542975977999</v>
      </c>
      <c r="T12">
        <v>0.8223546826</v>
      </c>
      <c r="U12">
        <v>-6.2542975977999999</v>
      </c>
      <c r="V12">
        <v>6.3081301242999999</v>
      </c>
      <c r="W12">
        <v>745.59770000000003</v>
      </c>
      <c r="X12">
        <v>399.59870000000001</v>
      </c>
      <c r="Y12">
        <v>402.16649999999998</v>
      </c>
      <c r="Z12">
        <v>400.50099999999998</v>
      </c>
      <c r="AA12">
        <v>399.61200000000002</v>
      </c>
      <c r="AB12">
        <v>573.03362500000003</v>
      </c>
      <c r="AC12" t="s">
        <v>223</v>
      </c>
      <c r="AD12" t="s">
        <v>224</v>
      </c>
      <c r="AE12" t="s">
        <v>225</v>
      </c>
      <c r="AF12" t="s">
        <v>226</v>
      </c>
      <c r="AG12" t="s">
        <v>227</v>
      </c>
      <c r="AH12">
        <v>8</v>
      </c>
      <c r="AI12" t="s">
        <v>228</v>
      </c>
      <c r="AK12" s="17">
        <v>1</v>
      </c>
    </row>
    <row r="13" spans="1:37">
      <c r="A13" t="s">
        <v>695</v>
      </c>
      <c r="B13" t="s">
        <v>696</v>
      </c>
      <c r="C13" t="s">
        <v>697</v>
      </c>
      <c r="D13" t="s">
        <v>213</v>
      </c>
      <c r="E13">
        <v>3</v>
      </c>
      <c r="F13" t="s">
        <v>214</v>
      </c>
      <c r="G13" t="s">
        <v>215</v>
      </c>
      <c r="H13" t="s">
        <v>216</v>
      </c>
      <c r="I13" t="s">
        <v>217</v>
      </c>
      <c r="K13" t="s">
        <v>698</v>
      </c>
      <c r="L13" t="s">
        <v>699</v>
      </c>
      <c r="M13" t="s">
        <v>700</v>
      </c>
      <c r="N13" t="s">
        <v>701</v>
      </c>
      <c r="O13" t="s">
        <v>702</v>
      </c>
      <c r="P13">
        <v>0</v>
      </c>
      <c r="Q13">
        <v>0</v>
      </c>
      <c r="R13">
        <v>2106.2258494357998</v>
      </c>
      <c r="S13">
        <v>1516.1312285366</v>
      </c>
      <c r="T13">
        <v>-6.2741505642000002</v>
      </c>
      <c r="U13">
        <v>-3.6312285366000001</v>
      </c>
      <c r="V13">
        <v>7.2491920920000004</v>
      </c>
      <c r="W13">
        <v>734.73389999999995</v>
      </c>
      <c r="X13">
        <v>394.96339999999998</v>
      </c>
      <c r="Y13">
        <v>396.19569999999999</v>
      </c>
      <c r="Z13">
        <v>395.46789999999999</v>
      </c>
      <c r="AA13">
        <v>391.47089999999997</v>
      </c>
      <c r="AB13">
        <v>564.62918749999994</v>
      </c>
      <c r="AC13" t="s">
        <v>223</v>
      </c>
      <c r="AD13" t="s">
        <v>224</v>
      </c>
      <c r="AE13" t="s">
        <v>225</v>
      </c>
      <c r="AF13" t="s">
        <v>226</v>
      </c>
      <c r="AG13" t="s">
        <v>227</v>
      </c>
      <c r="AH13">
        <v>8</v>
      </c>
      <c r="AI13" t="s">
        <v>228</v>
      </c>
      <c r="AK13" s="17">
        <v>1</v>
      </c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Y13"/>
  <sheetViews>
    <sheetView zoomScale="85" zoomScaleNormal="85" workbookViewId="0">
      <selection sqref="A1:XX1048576"/>
    </sheetView>
  </sheetViews>
  <sheetFormatPr defaultColWidth="8.875" defaultRowHeight="13.5"/>
  <cols>
    <col min="2" max="2" width="24.625" customWidth="1"/>
    <col min="10" max="10" width="16.25" customWidth="1"/>
    <col min="51" max="16384" width="8.875" style="17"/>
  </cols>
  <sheetData>
    <row r="1" spans="1:51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253</v>
      </c>
      <c r="S1" t="s">
        <v>254</v>
      </c>
      <c r="T1" t="s">
        <v>255</v>
      </c>
      <c r="U1" t="s">
        <v>256</v>
      </c>
      <c r="V1" t="s">
        <v>257</v>
      </c>
      <c r="W1" t="s">
        <v>258</v>
      </c>
      <c r="X1" t="s">
        <v>259</v>
      </c>
      <c r="Y1" t="s">
        <v>260</v>
      </c>
      <c r="Z1" t="s">
        <v>261</v>
      </c>
      <c r="AA1" t="s">
        <v>262</v>
      </c>
      <c r="AB1" t="s">
        <v>263</v>
      </c>
      <c r="AC1" t="s">
        <v>264</v>
      </c>
      <c r="AD1" t="s">
        <v>265</v>
      </c>
      <c r="AE1" t="s">
        <v>266</v>
      </c>
      <c r="AF1" t="s">
        <v>267</v>
      </c>
      <c r="AG1" t="s">
        <v>268</v>
      </c>
      <c r="AH1" t="s">
        <v>269</v>
      </c>
      <c r="AI1" t="s">
        <v>270</v>
      </c>
      <c r="AJ1" t="s">
        <v>271</v>
      </c>
      <c r="AK1" t="s">
        <v>272</v>
      </c>
      <c r="AL1" t="s">
        <v>273</v>
      </c>
      <c r="AM1" t="s">
        <v>274</v>
      </c>
      <c r="AN1" t="s">
        <v>275</v>
      </c>
      <c r="AO1" t="s">
        <v>276</v>
      </c>
      <c r="AP1" t="s">
        <v>277</v>
      </c>
      <c r="AQ1" t="s">
        <v>278</v>
      </c>
      <c r="AR1" t="s">
        <v>279</v>
      </c>
      <c r="AS1" t="s">
        <v>280</v>
      </c>
      <c r="AT1" t="s">
        <v>281</v>
      </c>
      <c r="AU1" t="s">
        <v>282</v>
      </c>
      <c r="AV1" t="s">
        <v>283</v>
      </c>
      <c r="AW1" t="s">
        <v>207</v>
      </c>
      <c r="AX1" t="s">
        <v>208</v>
      </c>
      <c r="AY1" s="17" t="s">
        <v>209</v>
      </c>
    </row>
    <row r="2" spans="1:51">
      <c r="A2" t="s">
        <v>284</v>
      </c>
      <c r="B2" t="s">
        <v>285</v>
      </c>
      <c r="C2" t="s">
        <v>286</v>
      </c>
      <c r="D2" t="s">
        <v>213</v>
      </c>
      <c r="E2">
        <v>3</v>
      </c>
      <c r="F2" t="s">
        <v>214</v>
      </c>
      <c r="G2" t="s">
        <v>215</v>
      </c>
      <c r="H2" t="s">
        <v>287</v>
      </c>
      <c r="I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>
        <v>0</v>
      </c>
      <c r="Q2">
        <v>0</v>
      </c>
      <c r="R2">
        <v>-4.7679999999999998E-7</v>
      </c>
      <c r="S2">
        <v>10.219040870700001</v>
      </c>
      <c r="T2">
        <v>2.2784130572999999</v>
      </c>
      <c r="U2">
        <v>5.0226359367000004</v>
      </c>
      <c r="V2">
        <v>7.4192252159000001</v>
      </c>
      <c r="W2">
        <v>-8.3713893890000008</v>
      </c>
      <c r="X2">
        <v>-4.1088380814000001</v>
      </c>
      <c r="Y2">
        <v>-2.6987433433999999</v>
      </c>
      <c r="Z2">
        <v>-0.65830981730000004</v>
      </c>
      <c r="AA2">
        <v>-0.77060055729999999</v>
      </c>
      <c r="AB2">
        <v>-0.1937118769</v>
      </c>
      <c r="AC2">
        <v>-2.5089762211000002</v>
      </c>
      <c r="AD2">
        <v>2.5153903960999999</v>
      </c>
      <c r="AE2">
        <v>0.65047001839999996</v>
      </c>
      <c r="AF2">
        <v>1.5210959910999999</v>
      </c>
      <c r="AG2">
        <v>-0.17521318790000001</v>
      </c>
      <c r="AH2">
        <v>0.2251157761</v>
      </c>
      <c r="AI2">
        <v>-0.31105104090000002</v>
      </c>
      <c r="AJ2">
        <v>1.8250822999999999E-2</v>
      </c>
      <c r="AK2">
        <v>0.5773726106</v>
      </c>
      <c r="AL2">
        <v>2.114559E-4</v>
      </c>
      <c r="AM2">
        <v>4.7863841099999999E-2</v>
      </c>
      <c r="AN2">
        <v>0.29894703630000002</v>
      </c>
      <c r="AO2">
        <v>0.13673016430000001</v>
      </c>
      <c r="AP2">
        <v>0.30719119309999998</v>
      </c>
      <c r="AQ2">
        <v>0.30719119309999998</v>
      </c>
      <c r="AR2">
        <v>14.400426706899999</v>
      </c>
      <c r="AS2" t="s">
        <v>288</v>
      </c>
      <c r="AT2" t="s">
        <v>289</v>
      </c>
      <c r="AU2">
        <v>4</v>
      </c>
      <c r="AV2">
        <v>2.9</v>
      </c>
      <c r="AY2" s="17">
        <v>1</v>
      </c>
    </row>
    <row r="3" spans="1:51">
      <c r="A3" t="s">
        <v>290</v>
      </c>
      <c r="B3" t="s">
        <v>291</v>
      </c>
      <c r="C3" t="s">
        <v>292</v>
      </c>
      <c r="D3" t="s">
        <v>213</v>
      </c>
      <c r="E3">
        <v>3</v>
      </c>
      <c r="F3" t="s">
        <v>214</v>
      </c>
      <c r="G3" t="s">
        <v>215</v>
      </c>
      <c r="H3" t="s">
        <v>287</v>
      </c>
      <c r="I3" t="s">
        <v>217</v>
      </c>
      <c r="K3" t="s">
        <v>232</v>
      </c>
      <c r="L3" t="s">
        <v>233</v>
      </c>
      <c r="M3" t="s">
        <v>234</v>
      </c>
      <c r="N3" t="s">
        <v>235</v>
      </c>
      <c r="O3" t="s">
        <v>236</v>
      </c>
      <c r="P3">
        <v>0</v>
      </c>
      <c r="Q3">
        <v>0</v>
      </c>
      <c r="R3">
        <v>5.0068000000000001E-6</v>
      </c>
      <c r="S3">
        <v>8.1272792815999999</v>
      </c>
      <c r="T3">
        <v>4.7600092888000001</v>
      </c>
      <c r="U3">
        <v>1.7260432242999999</v>
      </c>
      <c r="V3">
        <v>6.6882786751000003</v>
      </c>
      <c r="W3">
        <v>-8.3666553497000002</v>
      </c>
      <c r="X3">
        <v>-2.4930682181999999</v>
      </c>
      <c r="Y3">
        <v>-4.4327373505000001</v>
      </c>
      <c r="Z3">
        <v>0.40068089959999997</v>
      </c>
      <c r="AA3">
        <v>0.14230263230000001</v>
      </c>
      <c r="AB3">
        <v>1.0089461802999999</v>
      </c>
      <c r="AC3">
        <v>-2.5478312969000001</v>
      </c>
      <c r="AD3">
        <v>2.6732213496999999</v>
      </c>
      <c r="AE3">
        <v>0.86628180740000005</v>
      </c>
      <c r="AF3">
        <v>2.1560573578</v>
      </c>
      <c r="AG3">
        <v>-0.2155309916</v>
      </c>
      <c r="AH3">
        <v>-0.1170289516</v>
      </c>
      <c r="AI3">
        <v>-0.1270625889</v>
      </c>
      <c r="AJ3">
        <v>6.0354470999999998E-3</v>
      </c>
      <c r="AK3">
        <v>-0.24148648980000001</v>
      </c>
      <c r="AL3">
        <v>1.6655500000000001E-4</v>
      </c>
      <c r="AM3">
        <v>4.1970848999999998E-2</v>
      </c>
      <c r="AN3">
        <v>0.2215453684</v>
      </c>
      <c r="AO3">
        <v>0.19010452929999999</v>
      </c>
      <c r="AP3">
        <v>0.25587204099999999</v>
      </c>
      <c r="AQ3">
        <v>0.25587204099999999</v>
      </c>
      <c r="AR3">
        <v>9.4186175711000004</v>
      </c>
      <c r="AS3" t="s">
        <v>288</v>
      </c>
      <c r="AT3" t="s">
        <v>289</v>
      </c>
      <c r="AU3">
        <v>3</v>
      </c>
      <c r="AV3">
        <v>2.9</v>
      </c>
      <c r="AY3" s="17">
        <v>1</v>
      </c>
    </row>
    <row r="4" spans="1:51">
      <c r="A4" t="s">
        <v>293</v>
      </c>
      <c r="B4" t="s">
        <v>294</v>
      </c>
      <c r="C4" t="s">
        <v>295</v>
      </c>
      <c r="D4" t="s">
        <v>213</v>
      </c>
      <c r="E4">
        <v>3</v>
      </c>
      <c r="F4" t="s">
        <v>214</v>
      </c>
      <c r="G4" t="s">
        <v>215</v>
      </c>
      <c r="H4" t="s">
        <v>287</v>
      </c>
      <c r="I4" t="s">
        <v>217</v>
      </c>
      <c r="K4" t="s">
        <v>240</v>
      </c>
      <c r="L4" t="s">
        <v>241</v>
      </c>
      <c r="M4" t="s">
        <v>242</v>
      </c>
      <c r="N4" t="s">
        <v>243</v>
      </c>
      <c r="O4" t="s">
        <v>244</v>
      </c>
      <c r="P4">
        <v>0</v>
      </c>
      <c r="Q4">
        <v>0</v>
      </c>
      <c r="R4">
        <v>-6.9140999999999996E-6</v>
      </c>
      <c r="S4">
        <v>5.8634181022999998</v>
      </c>
      <c r="T4">
        <v>4.684525013</v>
      </c>
      <c r="U4">
        <v>8.3785228728999996</v>
      </c>
      <c r="V4">
        <v>9.5907573700000004</v>
      </c>
      <c r="W4">
        <v>-2.7091426849000002</v>
      </c>
      <c r="X4">
        <v>-0.24391698840000001</v>
      </c>
      <c r="Y4">
        <v>-3.7708916663999998</v>
      </c>
      <c r="Z4">
        <v>-1.1054627895</v>
      </c>
      <c r="AA4">
        <v>0.108959794</v>
      </c>
      <c r="AB4">
        <v>-0.13574486969999999</v>
      </c>
      <c r="AC4">
        <v>-3.0300638676</v>
      </c>
      <c r="AD4">
        <v>0.77471429110000001</v>
      </c>
      <c r="AE4">
        <v>-2.6870072E-3</v>
      </c>
      <c r="AF4">
        <v>2.1518430710000001</v>
      </c>
      <c r="AG4">
        <v>-2.59878188E-2</v>
      </c>
      <c r="AH4">
        <v>-0.67505949740000004</v>
      </c>
      <c r="AI4">
        <v>-0.87887847419999998</v>
      </c>
      <c r="AJ4">
        <v>-0.63086092469999999</v>
      </c>
      <c r="AK4">
        <v>0.1107166111</v>
      </c>
      <c r="AL4">
        <v>2.5710750000000002E-4</v>
      </c>
      <c r="AM4">
        <v>5.3432129299999999E-2</v>
      </c>
      <c r="AN4">
        <v>9.2841438900000003E-2</v>
      </c>
      <c r="AO4">
        <v>0.13080972430000001</v>
      </c>
      <c r="AP4">
        <v>0.30656179789999999</v>
      </c>
      <c r="AQ4">
        <v>0.30656179789999999</v>
      </c>
      <c r="AR4">
        <v>7.5049614549000001</v>
      </c>
      <c r="AS4" t="s">
        <v>288</v>
      </c>
      <c r="AT4" t="s">
        <v>289</v>
      </c>
      <c r="AU4">
        <v>3</v>
      </c>
      <c r="AV4">
        <v>2.9</v>
      </c>
      <c r="AY4" s="17">
        <v>1</v>
      </c>
    </row>
    <row r="5" spans="1:51">
      <c r="A5" t="s">
        <v>591</v>
      </c>
      <c r="B5" t="s">
        <v>592</v>
      </c>
      <c r="C5" t="s">
        <v>593</v>
      </c>
      <c r="D5" t="s">
        <v>213</v>
      </c>
      <c r="E5">
        <v>3</v>
      </c>
      <c r="F5" t="s">
        <v>214</v>
      </c>
      <c r="G5" t="s">
        <v>215</v>
      </c>
      <c r="H5" t="s">
        <v>287</v>
      </c>
      <c r="I5" t="s">
        <v>217</v>
      </c>
      <c r="K5" t="s">
        <v>248</v>
      </c>
      <c r="L5" t="s">
        <v>249</v>
      </c>
      <c r="M5" t="s">
        <v>250</v>
      </c>
      <c r="N5" t="s">
        <v>251</v>
      </c>
      <c r="O5" t="s">
        <v>252</v>
      </c>
      <c r="P5">
        <v>0</v>
      </c>
      <c r="Q5">
        <v>0</v>
      </c>
      <c r="R5">
        <v>7.1525999999999999E-6</v>
      </c>
      <c r="S5">
        <v>7.5134162903000004</v>
      </c>
      <c r="T5">
        <v>0.97056138520000002</v>
      </c>
      <c r="U5">
        <v>7.0585250854000003</v>
      </c>
      <c r="V5">
        <v>4.9069342613</v>
      </c>
      <c r="W5">
        <v>-8.3678092957000008</v>
      </c>
      <c r="X5">
        <v>-1.9179029464999999</v>
      </c>
      <c r="Y5">
        <v>-1.8060071468000001</v>
      </c>
      <c r="Z5">
        <v>-1.7139859200000001</v>
      </c>
      <c r="AA5">
        <v>-0.3278900683</v>
      </c>
      <c r="AB5">
        <v>0.1436715126</v>
      </c>
      <c r="AC5">
        <v>-1.7609164715000001</v>
      </c>
      <c r="AD5">
        <v>2.5024681091000001</v>
      </c>
      <c r="AE5">
        <v>0.47687962649999999</v>
      </c>
      <c r="AF5">
        <v>0.5992726088</v>
      </c>
      <c r="AG5">
        <v>6.7919269199999993E-2</v>
      </c>
      <c r="AH5">
        <v>-0.98319506649999999</v>
      </c>
      <c r="AI5">
        <v>-0.67110925909999997</v>
      </c>
      <c r="AJ5">
        <v>0.358607173</v>
      </c>
      <c r="AK5">
        <v>0.25655367969999998</v>
      </c>
      <c r="AL5">
        <v>1.5398279999999999E-4</v>
      </c>
      <c r="AM5">
        <v>4.1295267599999998E-2</v>
      </c>
      <c r="AN5">
        <v>0.2131999135</v>
      </c>
      <c r="AO5">
        <v>0.13660207390000001</v>
      </c>
      <c r="AP5">
        <v>0.2131999135</v>
      </c>
      <c r="AQ5">
        <v>0.2131999135</v>
      </c>
      <c r="AR5">
        <v>7.5758440950999999</v>
      </c>
      <c r="AS5" t="s">
        <v>288</v>
      </c>
      <c r="AT5" t="s">
        <v>289</v>
      </c>
      <c r="AU5">
        <v>4</v>
      </c>
      <c r="AV5">
        <v>2.9</v>
      </c>
      <c r="AY5" s="17">
        <v>1</v>
      </c>
    </row>
    <row r="6" spans="1:51">
      <c r="A6" t="s">
        <v>594</v>
      </c>
      <c r="B6" t="s">
        <v>595</v>
      </c>
      <c r="C6" t="s">
        <v>596</v>
      </c>
      <c r="D6" t="s">
        <v>213</v>
      </c>
      <c r="E6">
        <v>3</v>
      </c>
      <c r="F6" t="s">
        <v>214</v>
      </c>
      <c r="G6" t="s">
        <v>215</v>
      </c>
      <c r="H6" t="s">
        <v>287</v>
      </c>
      <c r="I6" t="s">
        <v>217</v>
      </c>
      <c r="K6" t="s">
        <v>586</v>
      </c>
      <c r="L6" t="s">
        <v>587</v>
      </c>
      <c r="M6" t="s">
        <v>588</v>
      </c>
      <c r="N6" t="s">
        <v>589</v>
      </c>
      <c r="O6" t="s">
        <v>590</v>
      </c>
      <c r="P6">
        <v>0</v>
      </c>
      <c r="Q6">
        <v>0</v>
      </c>
      <c r="R6">
        <v>4.7445299999999998E-5</v>
      </c>
      <c r="S6">
        <v>10.6856870651</v>
      </c>
      <c r="T6">
        <v>6.0424633025999999</v>
      </c>
      <c r="U6">
        <v>0.85829710960000005</v>
      </c>
      <c r="V6">
        <v>3.9047408103999999</v>
      </c>
      <c r="W6">
        <v>-3.1518020629999999</v>
      </c>
      <c r="X6">
        <v>-3.5769877434000001</v>
      </c>
      <c r="Y6">
        <v>-3.9764385223000001</v>
      </c>
      <c r="Z6">
        <v>0.62677943709999995</v>
      </c>
      <c r="AA6">
        <v>-0.81805217269999997</v>
      </c>
      <c r="AB6">
        <v>-0.1023805141</v>
      </c>
      <c r="AC6">
        <v>-0.71076965329999997</v>
      </c>
      <c r="AD6">
        <v>0.86618661880000003</v>
      </c>
      <c r="AE6">
        <v>1.5972473621000001</v>
      </c>
      <c r="AF6">
        <v>1.7355842589999999</v>
      </c>
      <c r="AG6">
        <v>-0.22221252320000001</v>
      </c>
      <c r="AH6">
        <v>0.53021562099999997</v>
      </c>
      <c r="AI6">
        <v>-0.84246760610000004</v>
      </c>
      <c r="AJ6">
        <v>0.46301352979999999</v>
      </c>
      <c r="AK6">
        <v>0.1027933955</v>
      </c>
      <c r="AL6">
        <v>2.2584109999999999E-4</v>
      </c>
      <c r="AM6">
        <v>4.8871167E-2</v>
      </c>
      <c r="AN6">
        <v>0.17524965109999999</v>
      </c>
      <c r="AO6">
        <v>0.14857020970000001</v>
      </c>
      <c r="AP6">
        <v>0.22002470490000001</v>
      </c>
      <c r="AQ6">
        <v>0.22002470490000001</v>
      </c>
      <c r="AR6">
        <v>12.2758002109</v>
      </c>
      <c r="AS6" t="s">
        <v>288</v>
      </c>
      <c r="AT6" t="s">
        <v>289</v>
      </c>
      <c r="AU6">
        <v>4</v>
      </c>
      <c r="AV6">
        <v>2.9</v>
      </c>
      <c r="AY6" s="17">
        <v>1</v>
      </c>
    </row>
    <row r="7" spans="1:51">
      <c r="A7" t="s">
        <v>613</v>
      </c>
      <c r="B7" t="s">
        <v>614</v>
      </c>
      <c r="C7" t="s">
        <v>615</v>
      </c>
      <c r="D7" t="s">
        <v>213</v>
      </c>
      <c r="E7">
        <v>3</v>
      </c>
      <c r="F7" t="s">
        <v>214</v>
      </c>
      <c r="G7" t="s">
        <v>215</v>
      </c>
      <c r="H7" t="s">
        <v>287</v>
      </c>
      <c r="I7" t="s">
        <v>217</v>
      </c>
      <c r="K7" t="s">
        <v>608</v>
      </c>
      <c r="L7" t="s">
        <v>609</v>
      </c>
      <c r="M7" t="s">
        <v>610</v>
      </c>
      <c r="N7" t="s">
        <v>611</v>
      </c>
      <c r="O7" t="s">
        <v>612</v>
      </c>
      <c r="P7">
        <v>0</v>
      </c>
      <c r="Q7">
        <v>0</v>
      </c>
      <c r="R7">
        <v>-4.3451800000000003E-5</v>
      </c>
      <c r="S7">
        <v>6.262550354</v>
      </c>
      <c r="T7">
        <v>2.8006196021999998</v>
      </c>
      <c r="U7">
        <v>2.9626736641</v>
      </c>
      <c r="V7">
        <v>7.3905811310000002</v>
      </c>
      <c r="W7">
        <v>-1.4074391127000001</v>
      </c>
      <c r="X7">
        <v>-2.7051739693000001</v>
      </c>
      <c r="Y7">
        <v>-2.4278161526000002</v>
      </c>
      <c r="Z7">
        <v>-0.36290693280000003</v>
      </c>
      <c r="AA7">
        <v>-0.38008904459999998</v>
      </c>
      <c r="AB7">
        <v>-0.76439034939999995</v>
      </c>
      <c r="AC7">
        <v>-1.6786165236999999</v>
      </c>
      <c r="AD7">
        <v>0.56336158510000001</v>
      </c>
      <c r="AE7">
        <v>1.3727942705</v>
      </c>
      <c r="AF7">
        <v>0.95648503299999998</v>
      </c>
      <c r="AG7">
        <v>-0.1983855665</v>
      </c>
      <c r="AH7">
        <v>1.0511826277</v>
      </c>
      <c r="AI7">
        <v>-8.1632405500000005E-2</v>
      </c>
      <c r="AJ7">
        <v>-7.69560933E-2</v>
      </c>
      <c r="AK7">
        <v>0.42453783750000001</v>
      </c>
      <c r="AL7">
        <v>1.4653339999999999E-4</v>
      </c>
      <c r="AM7">
        <v>3.9156846699999998E-2</v>
      </c>
      <c r="AN7">
        <v>0.1102908254</v>
      </c>
      <c r="AO7">
        <v>8.9143395400000006E-2</v>
      </c>
      <c r="AP7">
        <v>0.23643609879999999</v>
      </c>
      <c r="AQ7">
        <v>0.23643609879999999</v>
      </c>
      <c r="AR7">
        <v>6.8602483258999998</v>
      </c>
      <c r="AS7" t="s">
        <v>288</v>
      </c>
      <c r="AT7" t="s">
        <v>289</v>
      </c>
      <c r="AU7">
        <v>3</v>
      </c>
      <c r="AV7">
        <v>2.9</v>
      </c>
      <c r="AY7" s="17">
        <v>1</v>
      </c>
    </row>
    <row r="8" spans="1:51">
      <c r="A8" t="s">
        <v>644</v>
      </c>
      <c r="B8" t="s">
        <v>645</v>
      </c>
      <c r="C8" t="s">
        <v>646</v>
      </c>
      <c r="D8" t="s">
        <v>213</v>
      </c>
      <c r="E8">
        <v>3</v>
      </c>
      <c r="F8" t="s">
        <v>214</v>
      </c>
      <c r="G8" t="s">
        <v>215</v>
      </c>
      <c r="H8" t="s">
        <v>287</v>
      </c>
      <c r="I8" t="s">
        <v>217</v>
      </c>
      <c r="K8" t="s">
        <v>623</v>
      </c>
      <c r="L8" t="s">
        <v>624</v>
      </c>
      <c r="M8" t="s">
        <v>625</v>
      </c>
      <c r="N8" t="s">
        <v>626</v>
      </c>
      <c r="O8" t="s">
        <v>627</v>
      </c>
      <c r="P8">
        <v>0</v>
      </c>
      <c r="Q8">
        <v>0</v>
      </c>
      <c r="R8">
        <v>2.40803E-5</v>
      </c>
      <c r="S8">
        <v>9.5676698684999995</v>
      </c>
      <c r="T8">
        <v>3.4095828532999999</v>
      </c>
      <c r="U8">
        <v>1.8026742935</v>
      </c>
      <c r="V8">
        <v>4.5514712334</v>
      </c>
      <c r="W8">
        <v>-10.8990020752</v>
      </c>
      <c r="X8">
        <v>-4.2859683036999998</v>
      </c>
      <c r="Y8">
        <v>-3.1764211654999999</v>
      </c>
      <c r="Z8">
        <v>1.0104733706</v>
      </c>
      <c r="AA8">
        <v>0.68026316170000001</v>
      </c>
      <c r="AB8">
        <v>1.4761813879000001</v>
      </c>
      <c r="AC8">
        <v>-1.5182418822999999</v>
      </c>
      <c r="AD8">
        <v>3.3687710761999998</v>
      </c>
      <c r="AE8">
        <v>0.98161453009999999</v>
      </c>
      <c r="AF8">
        <v>2.5447134972000001</v>
      </c>
      <c r="AG8">
        <v>-0.52013468740000002</v>
      </c>
      <c r="AH8">
        <v>-6.3618332099999994E-2</v>
      </c>
      <c r="AI8">
        <v>2.7133047600000001E-2</v>
      </c>
      <c r="AJ8">
        <v>8.8733673099999993E-2</v>
      </c>
      <c r="AK8">
        <v>-0.34226477150000001</v>
      </c>
      <c r="AL8">
        <v>3.1231290000000001E-4</v>
      </c>
      <c r="AM8">
        <v>5.7428248199999997E-2</v>
      </c>
      <c r="AN8">
        <v>0.27872219679999999</v>
      </c>
      <c r="AO8">
        <v>0.1937248409</v>
      </c>
      <c r="AP8">
        <v>0.27872219679999999</v>
      </c>
      <c r="AQ8">
        <v>0.27872219679999999</v>
      </c>
      <c r="AR8">
        <v>10.157044941600001</v>
      </c>
      <c r="AS8" t="s">
        <v>288</v>
      </c>
      <c r="AT8" t="s">
        <v>289</v>
      </c>
      <c r="AU8">
        <v>4</v>
      </c>
      <c r="AV8">
        <v>2.9</v>
      </c>
      <c r="AY8" s="17">
        <v>1</v>
      </c>
    </row>
    <row r="9" spans="1:51">
      <c r="A9" t="s">
        <v>647</v>
      </c>
      <c r="B9" t="s">
        <v>648</v>
      </c>
      <c r="C9" t="s">
        <v>649</v>
      </c>
      <c r="D9" t="s">
        <v>213</v>
      </c>
      <c r="E9">
        <v>3</v>
      </c>
      <c r="F9" t="s">
        <v>214</v>
      </c>
      <c r="G9" t="s">
        <v>215</v>
      </c>
      <c r="H9" t="s">
        <v>287</v>
      </c>
      <c r="I9" t="s">
        <v>217</v>
      </c>
      <c r="K9" t="s">
        <v>631</v>
      </c>
      <c r="L9" t="s">
        <v>632</v>
      </c>
      <c r="M9" t="s">
        <v>633</v>
      </c>
      <c r="N9" t="s">
        <v>634</v>
      </c>
      <c r="O9" t="s">
        <v>635</v>
      </c>
      <c r="P9">
        <v>0</v>
      </c>
      <c r="Q9">
        <v>0</v>
      </c>
      <c r="R9">
        <v>-9.1790999999999999E-6</v>
      </c>
      <c r="S9">
        <v>10.500746726999999</v>
      </c>
      <c r="T9">
        <v>-0.13321995740000001</v>
      </c>
      <c r="U9">
        <v>4.0725975037</v>
      </c>
      <c r="V9">
        <v>3.9859008788999999</v>
      </c>
      <c r="W9">
        <v>-7.057466507</v>
      </c>
      <c r="X9">
        <v>-3.0605885982999999</v>
      </c>
      <c r="Y9">
        <v>-1.4284235239</v>
      </c>
      <c r="Z9">
        <v>-0.38859748840000002</v>
      </c>
      <c r="AA9">
        <v>-0.1003447026</v>
      </c>
      <c r="AB9">
        <v>0.40031838419999999</v>
      </c>
      <c r="AC9">
        <v>-1.9989056587</v>
      </c>
      <c r="AD9">
        <v>2.2256023884</v>
      </c>
      <c r="AE9">
        <v>1.2361928225000001</v>
      </c>
      <c r="AF9">
        <v>1.1985967158999999</v>
      </c>
      <c r="AG9">
        <v>-0.1165521145</v>
      </c>
      <c r="AH9">
        <v>-0.77885282040000003</v>
      </c>
      <c r="AI9">
        <v>0.57974475619999999</v>
      </c>
      <c r="AJ9">
        <v>-0.89024245739999996</v>
      </c>
      <c r="AK9">
        <v>-0.42630738019999997</v>
      </c>
      <c r="AL9">
        <v>1.9429739999999999E-4</v>
      </c>
      <c r="AM9">
        <v>4.6604737600000001E-2</v>
      </c>
      <c r="AN9">
        <v>0.2241519243</v>
      </c>
      <c r="AO9">
        <v>0.1151869744</v>
      </c>
      <c r="AP9">
        <v>0.2241519243</v>
      </c>
      <c r="AQ9">
        <v>0.2241519243</v>
      </c>
      <c r="AR9">
        <v>10.5015917547</v>
      </c>
      <c r="AS9" t="s">
        <v>288</v>
      </c>
      <c r="AT9" t="s">
        <v>289</v>
      </c>
      <c r="AU9">
        <v>4</v>
      </c>
      <c r="AV9">
        <v>2.9</v>
      </c>
      <c r="AY9" s="17">
        <v>1</v>
      </c>
    </row>
    <row r="10" spans="1:51">
      <c r="A10" t="s">
        <v>661</v>
      </c>
      <c r="B10" t="s">
        <v>662</v>
      </c>
      <c r="C10" t="s">
        <v>664</v>
      </c>
      <c r="D10" t="s">
        <v>213</v>
      </c>
      <c r="E10">
        <v>3</v>
      </c>
      <c r="F10" t="s">
        <v>214</v>
      </c>
      <c r="G10" t="s">
        <v>215</v>
      </c>
      <c r="H10" t="s">
        <v>287</v>
      </c>
      <c r="I10" t="s">
        <v>217</v>
      </c>
      <c r="K10" t="s">
        <v>639</v>
      </c>
      <c r="L10" t="s">
        <v>640</v>
      </c>
      <c r="M10" t="s">
        <v>641</v>
      </c>
      <c r="N10" t="s">
        <v>642</v>
      </c>
      <c r="O10" t="s">
        <v>643</v>
      </c>
      <c r="P10">
        <v>0</v>
      </c>
      <c r="Q10">
        <v>0</v>
      </c>
      <c r="R10">
        <v>-4.8875799999999997E-5</v>
      </c>
      <c r="S10">
        <v>8.4871845244999999</v>
      </c>
      <c r="T10">
        <v>0.85322940349999998</v>
      </c>
      <c r="U10">
        <v>2.8587641715999998</v>
      </c>
      <c r="V10">
        <v>4.5684099196999997</v>
      </c>
      <c r="W10">
        <v>-7.7390875815999998</v>
      </c>
      <c r="X10">
        <v>-3.9737632275000001</v>
      </c>
      <c r="Y10">
        <v>-3.7554111480999999</v>
      </c>
      <c r="Z10">
        <v>5.6595802299999998E-2</v>
      </c>
      <c r="AA10">
        <v>0.1861918122</v>
      </c>
      <c r="AB10">
        <v>0.15142941469999999</v>
      </c>
      <c r="AC10">
        <v>-1.7705683708</v>
      </c>
      <c r="AD10">
        <v>2.4364535808999999</v>
      </c>
      <c r="AE10">
        <v>1.0112934113000001</v>
      </c>
      <c r="AF10">
        <v>2.1029074192000001</v>
      </c>
      <c r="AG10">
        <v>-0.3596048355</v>
      </c>
      <c r="AH10">
        <v>7.7538698899999994E-2</v>
      </c>
      <c r="AI10">
        <v>-0.19185715910000001</v>
      </c>
      <c r="AJ10">
        <v>0.17169272899999999</v>
      </c>
      <c r="AK10">
        <v>-0.1740057468</v>
      </c>
      <c r="AL10">
        <v>2.5409050000000001E-4</v>
      </c>
      <c r="AM10">
        <v>5.4369300600000003E-2</v>
      </c>
      <c r="AN10">
        <v>0.2462176979</v>
      </c>
      <c r="AO10">
        <v>0.1220756546</v>
      </c>
      <c r="AP10">
        <v>0.2462176979</v>
      </c>
      <c r="AQ10">
        <v>0.2462176979</v>
      </c>
      <c r="AR10">
        <v>10.521836325800001</v>
      </c>
      <c r="AS10" t="s">
        <v>288</v>
      </c>
      <c r="AT10" t="s">
        <v>289</v>
      </c>
      <c r="AU10">
        <v>4</v>
      </c>
      <c r="AV10">
        <v>2.9</v>
      </c>
      <c r="AY10" s="17">
        <v>1</v>
      </c>
    </row>
    <row r="11" spans="1:51">
      <c r="A11" t="s">
        <v>681</v>
      </c>
      <c r="B11" t="s">
        <v>682</v>
      </c>
      <c r="C11" t="s">
        <v>683</v>
      </c>
      <c r="D11" t="s">
        <v>213</v>
      </c>
      <c r="E11">
        <v>3</v>
      </c>
      <c r="F11" t="s">
        <v>214</v>
      </c>
      <c r="G11" t="s">
        <v>215</v>
      </c>
      <c r="H11" t="s">
        <v>287</v>
      </c>
      <c r="I11" t="s">
        <v>217</v>
      </c>
      <c r="K11" t="s">
        <v>668</v>
      </c>
      <c r="L11" t="s">
        <v>669</v>
      </c>
      <c r="M11" t="s">
        <v>670</v>
      </c>
      <c r="N11" t="s">
        <v>671</v>
      </c>
      <c r="O11" t="s">
        <v>672</v>
      </c>
      <c r="P11">
        <v>0</v>
      </c>
      <c r="Q11">
        <v>0</v>
      </c>
      <c r="R11">
        <v>2.7418000000000002E-6</v>
      </c>
      <c r="S11">
        <v>3.5209946632000002</v>
      </c>
      <c r="T11">
        <v>3.8210825919999998</v>
      </c>
      <c r="U11">
        <v>2.0871083736</v>
      </c>
      <c r="V11">
        <v>6.4563980103</v>
      </c>
      <c r="W11">
        <v>-7.9399805068999996</v>
      </c>
      <c r="X11">
        <v>-2.4828267096999999</v>
      </c>
      <c r="Y11">
        <v>-3.0681862831000002</v>
      </c>
      <c r="Z11">
        <v>0.36660850049999999</v>
      </c>
      <c r="AA11">
        <v>5.1827430700000003E-2</v>
      </c>
      <c r="AB11">
        <v>0.85888874530000003</v>
      </c>
      <c r="AC11">
        <v>-1.6981215477</v>
      </c>
      <c r="AD11">
        <v>2.2605962753000002</v>
      </c>
      <c r="AE11">
        <v>1.5510141850000001</v>
      </c>
      <c r="AF11">
        <v>1.6313775777999999</v>
      </c>
      <c r="AG11">
        <v>0.13510797920000001</v>
      </c>
      <c r="AH11">
        <v>-0.49288418890000002</v>
      </c>
      <c r="AI11">
        <v>-0.50529664750000003</v>
      </c>
      <c r="AJ11">
        <v>2.9221534699999999E-2</v>
      </c>
      <c r="AK11">
        <v>-0.2764613628</v>
      </c>
      <c r="AL11">
        <v>1.9438990000000001E-4</v>
      </c>
      <c r="AM11">
        <v>4.6633318100000001E-2</v>
      </c>
      <c r="AN11">
        <v>0.15656454859999999</v>
      </c>
      <c r="AO11">
        <v>0.1591825634</v>
      </c>
      <c r="AP11">
        <v>0.1904619783</v>
      </c>
      <c r="AQ11">
        <v>0.1904619783</v>
      </c>
      <c r="AR11">
        <v>5.1959672433000001</v>
      </c>
      <c r="AS11" t="s">
        <v>288</v>
      </c>
      <c r="AT11" t="s">
        <v>289</v>
      </c>
      <c r="AU11">
        <v>4</v>
      </c>
      <c r="AV11">
        <v>2.9</v>
      </c>
      <c r="AY11" s="17">
        <v>1</v>
      </c>
    </row>
    <row r="12" spans="1:51">
      <c r="A12" t="s">
        <v>685</v>
      </c>
      <c r="B12" t="s">
        <v>686</v>
      </c>
      <c r="C12" t="s">
        <v>694</v>
      </c>
      <c r="D12" t="s">
        <v>213</v>
      </c>
      <c r="E12">
        <v>3</v>
      </c>
      <c r="F12" t="s">
        <v>214</v>
      </c>
      <c r="G12" t="s">
        <v>215</v>
      </c>
      <c r="H12" t="s">
        <v>287</v>
      </c>
      <c r="I12" t="s">
        <v>217</v>
      </c>
      <c r="K12" t="s">
        <v>676</v>
      </c>
      <c r="L12" t="s">
        <v>677</v>
      </c>
      <c r="M12" t="s">
        <v>678</v>
      </c>
      <c r="N12" t="s">
        <v>679</v>
      </c>
      <c r="O12" t="s">
        <v>680</v>
      </c>
      <c r="P12">
        <v>0</v>
      </c>
      <c r="Q12">
        <v>0</v>
      </c>
      <c r="R12">
        <v>1.0848E-5</v>
      </c>
      <c r="S12">
        <v>5.9166774750000002</v>
      </c>
      <c r="T12">
        <v>-1.6348382235000001</v>
      </c>
      <c r="U12">
        <v>4.9050259589999996</v>
      </c>
      <c r="V12">
        <v>5.1672430038000003</v>
      </c>
      <c r="W12">
        <v>-5.0176649093999997</v>
      </c>
      <c r="X12">
        <v>-1.4759312868000001</v>
      </c>
      <c r="Y12">
        <v>6.0540080099999997E-2</v>
      </c>
      <c r="Z12">
        <v>-0.71940505499999996</v>
      </c>
      <c r="AA12">
        <v>-1.0606234074000001</v>
      </c>
      <c r="AB12">
        <v>-4.5951724100000001E-2</v>
      </c>
      <c r="AC12">
        <v>-1.3494253159</v>
      </c>
      <c r="AD12">
        <v>1.6566563845</v>
      </c>
      <c r="AE12">
        <v>0.1482201219</v>
      </c>
      <c r="AF12">
        <v>0.36842274670000003</v>
      </c>
      <c r="AG12">
        <v>0.28473407029999998</v>
      </c>
      <c r="AH12">
        <v>-0.81029951570000003</v>
      </c>
      <c r="AI12">
        <v>-0.99873334170000005</v>
      </c>
      <c r="AJ12">
        <v>0.3106082678</v>
      </c>
      <c r="AK12">
        <v>0.3205487132</v>
      </c>
      <c r="AL12">
        <v>1.9781329999999999E-4</v>
      </c>
      <c r="AM12">
        <v>4.6321950899999999E-2</v>
      </c>
      <c r="AN12">
        <v>0.150270611</v>
      </c>
      <c r="AO12">
        <v>9.8565630599999995E-2</v>
      </c>
      <c r="AP12">
        <v>0.1596698463</v>
      </c>
      <c r="AQ12">
        <v>0.1596698463</v>
      </c>
      <c r="AR12">
        <v>6.1383848330999999</v>
      </c>
      <c r="AS12" t="s">
        <v>288</v>
      </c>
      <c r="AT12" t="s">
        <v>289</v>
      </c>
      <c r="AU12">
        <v>3</v>
      </c>
      <c r="AV12">
        <v>2.9</v>
      </c>
      <c r="AY12" s="17">
        <v>1</v>
      </c>
    </row>
    <row r="13" spans="1:51">
      <c r="A13" t="s">
        <v>706</v>
      </c>
      <c r="B13" t="s">
        <v>707</v>
      </c>
      <c r="C13" t="s">
        <v>708</v>
      </c>
      <c r="D13" t="s">
        <v>213</v>
      </c>
      <c r="E13">
        <v>3</v>
      </c>
      <c r="F13" t="s">
        <v>214</v>
      </c>
      <c r="G13" t="s">
        <v>215</v>
      </c>
      <c r="H13" t="s">
        <v>287</v>
      </c>
      <c r="I13" t="s">
        <v>217</v>
      </c>
      <c r="K13" t="s">
        <v>698</v>
      </c>
      <c r="L13" t="s">
        <v>699</v>
      </c>
      <c r="M13" t="s">
        <v>700</v>
      </c>
      <c r="N13" t="s">
        <v>701</v>
      </c>
      <c r="O13" t="s">
        <v>702</v>
      </c>
      <c r="P13">
        <v>0</v>
      </c>
      <c r="Q13">
        <v>0</v>
      </c>
      <c r="R13">
        <v>-1.3470599999999999E-5</v>
      </c>
      <c r="S13">
        <v>5.9609885216</v>
      </c>
      <c r="T13">
        <v>-0.2156670094</v>
      </c>
      <c r="U13">
        <v>0.90189003940000001</v>
      </c>
      <c r="V13">
        <v>3.8263907433000002</v>
      </c>
      <c r="W13">
        <v>-6.6837768554999997</v>
      </c>
      <c r="X13">
        <v>-1.2453145981</v>
      </c>
      <c r="Y13">
        <v>-1.1380175351999999</v>
      </c>
      <c r="Z13">
        <v>0.19869971280000001</v>
      </c>
      <c r="AA13">
        <v>-0.82508069279999996</v>
      </c>
      <c r="AB13">
        <v>0.4233492613</v>
      </c>
      <c r="AC13">
        <v>-1.4870144129</v>
      </c>
      <c r="AD13">
        <v>2.4612598419</v>
      </c>
      <c r="AE13">
        <v>0.4468429089</v>
      </c>
      <c r="AF13">
        <v>0.304430902</v>
      </c>
      <c r="AG13">
        <v>-0.17176158729999999</v>
      </c>
      <c r="AH13">
        <v>-0.3636696935</v>
      </c>
      <c r="AI13">
        <v>3.6565095200000002E-2</v>
      </c>
      <c r="AJ13">
        <v>0.30458125470000003</v>
      </c>
      <c r="AK13">
        <v>-0.2201649547</v>
      </c>
      <c r="AL13">
        <v>1.7199340000000001E-4</v>
      </c>
      <c r="AM13">
        <v>4.4072940900000003E-2</v>
      </c>
      <c r="AN13">
        <v>0.17964620889999999</v>
      </c>
      <c r="AO13">
        <v>0.1070647314</v>
      </c>
      <c r="AP13">
        <v>0.17964620889999999</v>
      </c>
      <c r="AQ13">
        <v>0.17964620889999999</v>
      </c>
      <c r="AR13">
        <v>5.9648886338000002</v>
      </c>
      <c r="AS13" t="s">
        <v>288</v>
      </c>
      <c r="AT13" t="s">
        <v>289</v>
      </c>
      <c r="AU13">
        <v>3</v>
      </c>
      <c r="AV13">
        <v>2.9</v>
      </c>
      <c r="AY13" s="17">
        <v>1</v>
      </c>
    </row>
  </sheetData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13"/>
  <sheetViews>
    <sheetView zoomScale="85" zoomScaleNormal="85" workbookViewId="0">
      <selection sqref="A1:XX1048576"/>
    </sheetView>
  </sheetViews>
  <sheetFormatPr defaultColWidth="8.875" defaultRowHeight="13.5"/>
  <cols>
    <col min="2" max="2" width="27.375" customWidth="1"/>
    <col min="33" max="16384" width="8.875" style="17"/>
  </cols>
  <sheetData>
    <row r="1" spans="1:33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296</v>
      </c>
      <c r="S1" t="s">
        <v>297</v>
      </c>
      <c r="T1" t="s">
        <v>298</v>
      </c>
      <c r="U1" t="s">
        <v>299</v>
      </c>
      <c r="V1" t="s">
        <v>300</v>
      </c>
      <c r="W1" t="s">
        <v>301</v>
      </c>
      <c r="X1" t="s">
        <v>302</v>
      </c>
      <c r="Y1" t="s">
        <v>303</v>
      </c>
      <c r="Z1" t="s">
        <v>304</v>
      </c>
      <c r="AA1" t="s">
        <v>305</v>
      </c>
      <c r="AB1" t="s">
        <v>306</v>
      </c>
      <c r="AC1" t="s">
        <v>307</v>
      </c>
      <c r="AD1" t="s">
        <v>308</v>
      </c>
      <c r="AE1" t="s">
        <v>207</v>
      </c>
      <c r="AF1" t="s">
        <v>208</v>
      </c>
      <c r="AG1" s="17" t="s">
        <v>209</v>
      </c>
    </row>
    <row r="2" spans="1:33">
      <c r="A2" t="s">
        <v>284</v>
      </c>
      <c r="B2" t="s">
        <v>285</v>
      </c>
      <c r="C2" t="s">
        <v>309</v>
      </c>
      <c r="D2" t="s">
        <v>213</v>
      </c>
      <c r="E2">
        <v>3</v>
      </c>
      <c r="F2" t="s">
        <v>214</v>
      </c>
      <c r="G2" t="s">
        <v>215</v>
      </c>
      <c r="H2" t="s">
        <v>287</v>
      </c>
      <c r="I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>
        <v>0</v>
      </c>
      <c r="Q2">
        <v>0</v>
      </c>
      <c r="R2">
        <v>-7.0381231672000002</v>
      </c>
      <c r="S2">
        <v>-48</v>
      </c>
      <c r="T2">
        <v>85.974027146300003</v>
      </c>
      <c r="U2">
        <v>112.5630112555</v>
      </c>
      <c r="V2">
        <v>3.7949490232</v>
      </c>
      <c r="W2">
        <v>1.9601711000000002E-3</v>
      </c>
      <c r="X2">
        <v>-6.6651700000000004E-5</v>
      </c>
      <c r="Y2">
        <v>3.5650098978</v>
      </c>
      <c r="Z2">
        <v>85.472439319599999</v>
      </c>
      <c r="AA2">
        <v>67.735004099700006</v>
      </c>
      <c r="AB2">
        <v>340.57999204089998</v>
      </c>
      <c r="AC2">
        <v>364.0051326295</v>
      </c>
      <c r="AD2">
        <v>1</v>
      </c>
      <c r="AG2" s="17">
        <v>1</v>
      </c>
    </row>
    <row r="3" spans="1:33">
      <c r="A3" t="s">
        <v>290</v>
      </c>
      <c r="B3" t="s">
        <v>291</v>
      </c>
      <c r="C3" t="s">
        <v>310</v>
      </c>
      <c r="D3" t="s">
        <v>213</v>
      </c>
      <c r="E3">
        <v>3</v>
      </c>
      <c r="F3" t="s">
        <v>214</v>
      </c>
      <c r="G3" t="s">
        <v>215</v>
      </c>
      <c r="H3" t="s">
        <v>287</v>
      </c>
      <c r="I3" t="s">
        <v>217</v>
      </c>
      <c r="K3" t="s">
        <v>232</v>
      </c>
      <c r="L3" t="s">
        <v>233</v>
      </c>
      <c r="M3" t="s">
        <v>234</v>
      </c>
      <c r="N3" t="s">
        <v>235</v>
      </c>
      <c r="O3" t="s">
        <v>236</v>
      </c>
      <c r="P3">
        <v>0</v>
      </c>
      <c r="Q3">
        <v>0</v>
      </c>
      <c r="R3">
        <v>-5.8651026392999999</v>
      </c>
      <c r="S3">
        <v>-40</v>
      </c>
      <c r="T3">
        <v>82.9838915797</v>
      </c>
      <c r="U3">
        <v>104.97156501880001</v>
      </c>
      <c r="V3">
        <v>3.7648093994999998</v>
      </c>
      <c r="W3">
        <v>2.2929602999999998E-3</v>
      </c>
      <c r="X3">
        <v>-7.1589300000000003E-5</v>
      </c>
      <c r="Y3">
        <v>3.5246628136</v>
      </c>
      <c r="Z3">
        <v>80.978329225300001</v>
      </c>
      <c r="AA3">
        <v>62.536956435900002</v>
      </c>
      <c r="AB3">
        <v>331.74616738229997</v>
      </c>
      <c r="AC3">
        <v>354.11694277409998</v>
      </c>
      <c r="AD3">
        <v>1</v>
      </c>
      <c r="AG3" s="17">
        <v>1</v>
      </c>
    </row>
    <row r="4" spans="1:33">
      <c r="A4" t="s">
        <v>293</v>
      </c>
      <c r="B4" t="s">
        <v>294</v>
      </c>
      <c r="C4" t="s">
        <v>311</v>
      </c>
      <c r="D4" t="s">
        <v>213</v>
      </c>
      <c r="E4">
        <v>3</v>
      </c>
      <c r="F4" t="s">
        <v>214</v>
      </c>
      <c r="G4" t="s">
        <v>215</v>
      </c>
      <c r="H4" t="s">
        <v>287</v>
      </c>
      <c r="I4" t="s">
        <v>217</v>
      </c>
      <c r="K4" t="s">
        <v>240</v>
      </c>
      <c r="L4" t="s">
        <v>241</v>
      </c>
      <c r="M4" t="s">
        <v>242</v>
      </c>
      <c r="N4" t="s">
        <v>243</v>
      </c>
      <c r="O4" t="s">
        <v>244</v>
      </c>
      <c r="P4">
        <v>0</v>
      </c>
      <c r="Q4">
        <v>0</v>
      </c>
      <c r="R4">
        <v>-8.2111436950000005</v>
      </c>
      <c r="S4">
        <v>-56</v>
      </c>
      <c r="T4">
        <v>83.216129463399994</v>
      </c>
      <c r="U4">
        <v>111.83032286620001</v>
      </c>
      <c r="V4">
        <v>3.5146913692999999</v>
      </c>
      <c r="W4">
        <v>3.0736098E-3</v>
      </c>
      <c r="X4">
        <v>-6.9020099999999993E-5</v>
      </c>
      <c r="Y4">
        <v>3.3332948240000002</v>
      </c>
      <c r="Z4">
        <v>82.915332474600007</v>
      </c>
      <c r="AA4">
        <v>65.149558731699997</v>
      </c>
      <c r="AB4">
        <v>329.19088846850002</v>
      </c>
      <c r="AC4">
        <v>351.3901800342</v>
      </c>
      <c r="AD4">
        <v>1</v>
      </c>
      <c r="AG4" s="17">
        <v>1</v>
      </c>
    </row>
    <row r="5" spans="1:33">
      <c r="A5" t="s">
        <v>591</v>
      </c>
      <c r="B5" t="s">
        <v>592</v>
      </c>
      <c r="C5" t="s">
        <v>597</v>
      </c>
      <c r="D5" t="s">
        <v>213</v>
      </c>
      <c r="E5">
        <v>3</v>
      </c>
      <c r="F5" t="s">
        <v>214</v>
      </c>
      <c r="G5" t="s">
        <v>215</v>
      </c>
      <c r="H5" t="s">
        <v>287</v>
      </c>
      <c r="I5" t="s">
        <v>217</v>
      </c>
      <c r="K5" t="s">
        <v>248</v>
      </c>
      <c r="L5" t="s">
        <v>249</v>
      </c>
      <c r="M5" t="s">
        <v>250</v>
      </c>
      <c r="N5" t="s">
        <v>251</v>
      </c>
      <c r="O5" t="s">
        <v>252</v>
      </c>
      <c r="P5">
        <v>0</v>
      </c>
      <c r="Q5">
        <v>0</v>
      </c>
      <c r="R5">
        <v>-5.8651026392999999</v>
      </c>
      <c r="S5">
        <v>-40</v>
      </c>
      <c r="T5">
        <v>87.427046522300003</v>
      </c>
      <c r="U5">
        <v>109.36597594360001</v>
      </c>
      <c r="V5">
        <v>3.7548106346000001</v>
      </c>
      <c r="W5">
        <v>2.0088702999999999E-3</v>
      </c>
      <c r="X5">
        <v>-7.0958700000000002E-5</v>
      </c>
      <c r="Y5">
        <v>3.5388170768</v>
      </c>
      <c r="Z5">
        <v>86.526828105500002</v>
      </c>
      <c r="AA5">
        <v>70.920677972999997</v>
      </c>
      <c r="AB5">
        <v>317.44105326070002</v>
      </c>
      <c r="AC5">
        <v>341.11907372180002</v>
      </c>
      <c r="AD5">
        <v>1</v>
      </c>
      <c r="AG5" s="17">
        <v>1</v>
      </c>
    </row>
    <row r="6" spans="1:33">
      <c r="A6" t="s">
        <v>594</v>
      </c>
      <c r="B6" t="s">
        <v>595</v>
      </c>
      <c r="C6" t="s">
        <v>598</v>
      </c>
      <c r="D6" t="s">
        <v>213</v>
      </c>
      <c r="E6">
        <v>3</v>
      </c>
      <c r="F6" t="s">
        <v>214</v>
      </c>
      <c r="G6" t="s">
        <v>215</v>
      </c>
      <c r="H6" t="s">
        <v>287</v>
      </c>
      <c r="I6" t="s">
        <v>217</v>
      </c>
      <c r="K6" t="s">
        <v>586</v>
      </c>
      <c r="L6" t="s">
        <v>587</v>
      </c>
      <c r="M6" t="s">
        <v>588</v>
      </c>
      <c r="N6" t="s">
        <v>589</v>
      </c>
      <c r="O6" t="s">
        <v>590</v>
      </c>
      <c r="P6">
        <v>0</v>
      </c>
      <c r="Q6">
        <v>0</v>
      </c>
      <c r="R6">
        <v>-7.0381231672000002</v>
      </c>
      <c r="S6">
        <v>-48</v>
      </c>
      <c r="T6">
        <v>85.345914867900007</v>
      </c>
      <c r="U6">
        <v>110.6028105888</v>
      </c>
      <c r="V6">
        <v>3.6103492383</v>
      </c>
      <c r="W6">
        <v>2.6008069000000001E-3</v>
      </c>
      <c r="X6">
        <v>-6.9859500000000004E-5</v>
      </c>
      <c r="Y6">
        <v>3.3932329561999999</v>
      </c>
      <c r="Z6">
        <v>83.741825772599995</v>
      </c>
      <c r="AA6">
        <v>71.095116995300003</v>
      </c>
      <c r="AB6">
        <v>330.27386571789998</v>
      </c>
      <c r="AC6">
        <v>352.49654967229998</v>
      </c>
      <c r="AD6">
        <v>1</v>
      </c>
      <c r="AG6" s="17">
        <v>1</v>
      </c>
    </row>
    <row r="7" spans="1:33">
      <c r="A7" t="s">
        <v>613</v>
      </c>
      <c r="B7" t="s">
        <v>614</v>
      </c>
      <c r="C7" t="s">
        <v>616</v>
      </c>
      <c r="D7" t="s">
        <v>213</v>
      </c>
      <c r="E7">
        <v>3</v>
      </c>
      <c r="F7" t="s">
        <v>214</v>
      </c>
      <c r="G7" t="s">
        <v>215</v>
      </c>
      <c r="H7" t="s">
        <v>287</v>
      </c>
      <c r="I7" t="s">
        <v>217</v>
      </c>
      <c r="K7" t="s">
        <v>608</v>
      </c>
      <c r="L7" t="s">
        <v>609</v>
      </c>
      <c r="M7" t="s">
        <v>610</v>
      </c>
      <c r="N7" t="s">
        <v>611</v>
      </c>
      <c r="O7" t="s">
        <v>612</v>
      </c>
      <c r="P7">
        <v>0</v>
      </c>
      <c r="Q7">
        <v>0</v>
      </c>
      <c r="R7">
        <v>-4.6920821114000004</v>
      </c>
      <c r="S7">
        <v>-32</v>
      </c>
      <c r="T7">
        <v>89.963891149600002</v>
      </c>
      <c r="U7">
        <v>107.2724456553</v>
      </c>
      <c r="V7">
        <v>3.7014432049999999</v>
      </c>
      <c r="W7">
        <v>2.3646767999999999E-3</v>
      </c>
      <c r="X7">
        <v>-6.6419499999999997E-5</v>
      </c>
      <c r="Y7">
        <v>3.4835969373000002</v>
      </c>
      <c r="Z7">
        <v>89.360250915400002</v>
      </c>
      <c r="AA7">
        <v>74.337110234299999</v>
      </c>
      <c r="AB7">
        <v>331.93186377860002</v>
      </c>
      <c r="AC7">
        <v>354.72317202250002</v>
      </c>
      <c r="AD7">
        <v>1</v>
      </c>
      <c r="AG7" s="17">
        <v>1</v>
      </c>
    </row>
    <row r="8" spans="1:33">
      <c r="A8" t="s">
        <v>644</v>
      </c>
      <c r="B8" t="s">
        <v>645</v>
      </c>
      <c r="C8" t="s">
        <v>650</v>
      </c>
      <c r="D8" t="s">
        <v>213</v>
      </c>
      <c r="E8">
        <v>3</v>
      </c>
      <c r="F8" t="s">
        <v>214</v>
      </c>
      <c r="G8" t="s">
        <v>215</v>
      </c>
      <c r="H8" t="s">
        <v>287</v>
      </c>
      <c r="I8" t="s">
        <v>217</v>
      </c>
      <c r="K8" t="s">
        <v>623</v>
      </c>
      <c r="L8" t="s">
        <v>624</v>
      </c>
      <c r="M8" t="s">
        <v>625</v>
      </c>
      <c r="N8" t="s">
        <v>626</v>
      </c>
      <c r="O8" t="s">
        <v>627</v>
      </c>
      <c r="P8">
        <v>0</v>
      </c>
      <c r="Q8">
        <v>0</v>
      </c>
      <c r="R8">
        <v>-5.8651026392999999</v>
      </c>
      <c r="S8">
        <v>-40</v>
      </c>
      <c r="T8">
        <v>88.883306157500002</v>
      </c>
      <c r="U8">
        <v>110.2015601961</v>
      </c>
      <c r="V8">
        <v>3.6536915209999998</v>
      </c>
      <c r="W8">
        <v>2.8239989000000002E-3</v>
      </c>
      <c r="X8">
        <v>-6.8785E-5</v>
      </c>
      <c r="Y8">
        <v>3.453607495</v>
      </c>
      <c r="Z8">
        <v>87.079418802399999</v>
      </c>
      <c r="AA8">
        <v>69.022599364900003</v>
      </c>
      <c r="AB8">
        <v>333.67478329720001</v>
      </c>
      <c r="AC8">
        <v>356.1464784927</v>
      </c>
      <c r="AD8">
        <v>1</v>
      </c>
      <c r="AG8" s="17">
        <v>1</v>
      </c>
    </row>
    <row r="9" spans="1:33">
      <c r="A9" t="s">
        <v>647</v>
      </c>
      <c r="B9" t="s">
        <v>648</v>
      </c>
      <c r="C9" t="s">
        <v>651</v>
      </c>
      <c r="D9" t="s">
        <v>213</v>
      </c>
      <c r="E9">
        <v>3</v>
      </c>
      <c r="F9" t="s">
        <v>214</v>
      </c>
      <c r="G9" t="s">
        <v>215</v>
      </c>
      <c r="H9" t="s">
        <v>287</v>
      </c>
      <c r="I9" t="s">
        <v>217</v>
      </c>
      <c r="K9" t="s">
        <v>631</v>
      </c>
      <c r="L9" t="s">
        <v>632</v>
      </c>
      <c r="M9" t="s">
        <v>633</v>
      </c>
      <c r="N9" t="s">
        <v>634</v>
      </c>
      <c r="O9" t="s">
        <v>635</v>
      </c>
      <c r="P9">
        <v>0</v>
      </c>
      <c r="Q9">
        <v>0</v>
      </c>
      <c r="R9">
        <v>-7.0381231672000002</v>
      </c>
      <c r="S9">
        <v>-48</v>
      </c>
      <c r="T9">
        <v>82.179580902300003</v>
      </c>
      <c r="U9">
        <v>108.4760593733</v>
      </c>
      <c r="V9">
        <v>3.7535929076999999</v>
      </c>
      <c r="W9">
        <v>1.9791167999999998E-3</v>
      </c>
      <c r="X9">
        <v>-6.8079399999999997E-5</v>
      </c>
      <c r="Y9">
        <v>3.4822115201999999</v>
      </c>
      <c r="Z9">
        <v>81.6780003951</v>
      </c>
      <c r="AA9">
        <v>66.403255582400007</v>
      </c>
      <c r="AB9">
        <v>346.07277339429999</v>
      </c>
      <c r="AC9">
        <v>367.81656661170001</v>
      </c>
      <c r="AD9">
        <v>1</v>
      </c>
      <c r="AG9" s="17">
        <v>1</v>
      </c>
    </row>
    <row r="10" spans="1:33">
      <c r="A10" t="s">
        <v>661</v>
      </c>
      <c r="B10" t="s">
        <v>662</v>
      </c>
      <c r="C10" t="s">
        <v>663</v>
      </c>
      <c r="D10" t="s">
        <v>213</v>
      </c>
      <c r="E10">
        <v>3</v>
      </c>
      <c r="F10" t="s">
        <v>214</v>
      </c>
      <c r="G10" t="s">
        <v>215</v>
      </c>
      <c r="H10" t="s">
        <v>287</v>
      </c>
      <c r="I10" t="s">
        <v>217</v>
      </c>
      <c r="K10" t="s">
        <v>639</v>
      </c>
      <c r="L10" t="s">
        <v>640</v>
      </c>
      <c r="M10" t="s">
        <v>641</v>
      </c>
      <c r="N10" t="s">
        <v>642</v>
      </c>
      <c r="O10" t="s">
        <v>643</v>
      </c>
      <c r="P10">
        <v>0</v>
      </c>
      <c r="Q10">
        <v>0</v>
      </c>
      <c r="R10">
        <v>-8.2111436950000005</v>
      </c>
      <c r="S10">
        <v>-56</v>
      </c>
      <c r="T10">
        <v>80.751523612</v>
      </c>
      <c r="U10">
        <v>110.3239774212</v>
      </c>
      <c r="V10">
        <v>3.6218426292000001</v>
      </c>
      <c r="W10">
        <v>1.9592609999999999E-3</v>
      </c>
      <c r="X10">
        <v>-6.30713E-5</v>
      </c>
      <c r="Y10">
        <v>3.3955059258000002</v>
      </c>
      <c r="Z10">
        <v>80.046691351999996</v>
      </c>
      <c r="AA10">
        <v>60.321574710900002</v>
      </c>
      <c r="AB10">
        <v>335.67258214290001</v>
      </c>
      <c r="AC10">
        <v>357.31052926669997</v>
      </c>
      <c r="AD10">
        <v>1</v>
      </c>
      <c r="AG10" s="17">
        <v>1</v>
      </c>
    </row>
    <row r="11" spans="1:33">
      <c r="A11" t="s">
        <v>681</v>
      </c>
      <c r="B11" t="s">
        <v>682</v>
      </c>
      <c r="C11" t="s">
        <v>684</v>
      </c>
      <c r="D11" t="s">
        <v>213</v>
      </c>
      <c r="E11">
        <v>3</v>
      </c>
      <c r="F11" t="s">
        <v>214</v>
      </c>
      <c r="G11" t="s">
        <v>215</v>
      </c>
      <c r="H11" t="s">
        <v>287</v>
      </c>
      <c r="I11" t="s">
        <v>217</v>
      </c>
      <c r="K11" t="s">
        <v>668</v>
      </c>
      <c r="L11" t="s">
        <v>669</v>
      </c>
      <c r="M11" t="s">
        <v>670</v>
      </c>
      <c r="N11" t="s">
        <v>671</v>
      </c>
      <c r="O11" t="s">
        <v>672</v>
      </c>
      <c r="P11">
        <v>0</v>
      </c>
      <c r="Q11">
        <v>0</v>
      </c>
      <c r="R11">
        <v>-10.557184750699999</v>
      </c>
      <c r="S11">
        <v>-72</v>
      </c>
      <c r="T11">
        <v>81.746997578800006</v>
      </c>
      <c r="U11">
        <v>119.48677919470001</v>
      </c>
      <c r="V11">
        <v>3.6098192407999998</v>
      </c>
      <c r="W11">
        <v>2.5748430999999999E-3</v>
      </c>
      <c r="X11">
        <v>-7.0344299999999997E-5</v>
      </c>
      <c r="Y11">
        <v>3.3920212611</v>
      </c>
      <c r="Z11">
        <v>81.244815601799999</v>
      </c>
      <c r="AA11">
        <v>66.590288000499996</v>
      </c>
      <c r="AB11">
        <v>342.27122192730002</v>
      </c>
      <c r="AC11">
        <v>364.2824263796</v>
      </c>
      <c r="AD11">
        <v>1</v>
      </c>
      <c r="AG11" s="17">
        <v>1</v>
      </c>
    </row>
    <row r="12" spans="1:33">
      <c r="A12" t="s">
        <v>685</v>
      </c>
      <c r="B12" t="s">
        <v>686</v>
      </c>
      <c r="C12" t="s">
        <v>687</v>
      </c>
      <c r="D12" t="s">
        <v>213</v>
      </c>
      <c r="E12">
        <v>3</v>
      </c>
      <c r="F12" t="s">
        <v>214</v>
      </c>
      <c r="G12" t="s">
        <v>215</v>
      </c>
      <c r="H12" t="s">
        <v>287</v>
      </c>
      <c r="I12" t="s">
        <v>217</v>
      </c>
      <c r="K12" t="s">
        <v>676</v>
      </c>
      <c r="L12" t="s">
        <v>677</v>
      </c>
      <c r="M12" t="s">
        <v>678</v>
      </c>
      <c r="N12" t="s">
        <v>679</v>
      </c>
      <c r="O12" t="s">
        <v>680</v>
      </c>
      <c r="P12">
        <v>0</v>
      </c>
      <c r="Q12">
        <v>0</v>
      </c>
      <c r="R12">
        <v>-8.2111436950000005</v>
      </c>
      <c r="S12">
        <v>-56</v>
      </c>
      <c r="T12">
        <v>80.832084905000002</v>
      </c>
      <c r="U12">
        <v>111.20772864040001</v>
      </c>
      <c r="V12">
        <v>3.7197038185000002</v>
      </c>
      <c r="W12">
        <v>1.9576843E-3</v>
      </c>
      <c r="X12">
        <v>-6.3917800000000007E-5</v>
      </c>
      <c r="Y12">
        <v>3.4719177228000002</v>
      </c>
      <c r="Z12">
        <v>80.829955164699996</v>
      </c>
      <c r="AA12">
        <v>61.725250176300001</v>
      </c>
      <c r="AB12">
        <v>350.42322314670002</v>
      </c>
      <c r="AC12">
        <v>372.08348610579998</v>
      </c>
      <c r="AD12">
        <v>1</v>
      </c>
      <c r="AG12" s="17">
        <v>1</v>
      </c>
    </row>
    <row r="13" spans="1:33">
      <c r="A13" t="s">
        <v>706</v>
      </c>
      <c r="B13" t="s">
        <v>707</v>
      </c>
      <c r="C13" t="s">
        <v>709</v>
      </c>
      <c r="D13" t="s">
        <v>213</v>
      </c>
      <c r="E13">
        <v>3</v>
      </c>
      <c r="F13" t="s">
        <v>214</v>
      </c>
      <c r="G13" t="s">
        <v>215</v>
      </c>
      <c r="H13" t="s">
        <v>287</v>
      </c>
      <c r="I13" t="s">
        <v>217</v>
      </c>
      <c r="K13" t="s">
        <v>698</v>
      </c>
      <c r="L13" t="s">
        <v>699</v>
      </c>
      <c r="M13" t="s">
        <v>700</v>
      </c>
      <c r="N13" t="s">
        <v>701</v>
      </c>
      <c r="O13" t="s">
        <v>702</v>
      </c>
      <c r="P13">
        <v>0</v>
      </c>
      <c r="Q13">
        <v>0</v>
      </c>
      <c r="R13">
        <v>-5.8651026392999999</v>
      </c>
      <c r="S13">
        <v>-40</v>
      </c>
      <c r="T13">
        <v>86.839733614300002</v>
      </c>
      <c r="U13">
        <v>108.97442439770001</v>
      </c>
      <c r="V13">
        <v>3.7904002708000002</v>
      </c>
      <c r="W13">
        <v>2.3971063000000001E-3</v>
      </c>
      <c r="X13">
        <v>-6.9077200000000003E-5</v>
      </c>
      <c r="Y13">
        <v>3.5596060410999999</v>
      </c>
      <c r="Z13">
        <v>85.334212143399995</v>
      </c>
      <c r="AA13">
        <v>71.517899696900002</v>
      </c>
      <c r="AB13">
        <v>343.08394079359999</v>
      </c>
      <c r="AC13">
        <v>366.94449074959999</v>
      </c>
      <c r="AD13">
        <v>1</v>
      </c>
      <c r="AG13" s="17">
        <v>1</v>
      </c>
    </row>
  </sheetData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U13"/>
  <sheetViews>
    <sheetView zoomScale="85" zoomScaleNormal="85" workbookViewId="0">
      <selection sqref="A1:XX1048576"/>
    </sheetView>
  </sheetViews>
  <sheetFormatPr defaultColWidth="8.875" defaultRowHeight="13.5"/>
  <cols>
    <col min="278" max="16384" width="8.875" style="17"/>
  </cols>
  <sheetData>
    <row r="1" spans="1:281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312</v>
      </c>
      <c r="S1" t="s">
        <v>313</v>
      </c>
      <c r="T1" t="s">
        <v>314</v>
      </c>
      <c r="U1" t="s">
        <v>315</v>
      </c>
      <c r="V1" t="s">
        <v>316</v>
      </c>
      <c r="W1" t="s">
        <v>317</v>
      </c>
      <c r="X1" t="s">
        <v>318</v>
      </c>
      <c r="Y1" t="s">
        <v>319</v>
      </c>
      <c r="Z1" t="s">
        <v>320</v>
      </c>
      <c r="AA1" t="s">
        <v>321</v>
      </c>
      <c r="AB1" t="s">
        <v>322</v>
      </c>
      <c r="AC1" t="s">
        <v>323</v>
      </c>
      <c r="AD1" t="s">
        <v>324</v>
      </c>
      <c r="AE1" t="s">
        <v>325</v>
      </c>
      <c r="AF1" t="s">
        <v>326</v>
      </c>
      <c r="AG1" t="s">
        <v>327</v>
      </c>
      <c r="AH1" t="s">
        <v>328</v>
      </c>
      <c r="AI1" t="s">
        <v>329</v>
      </c>
      <c r="AJ1" t="s">
        <v>330</v>
      </c>
      <c r="AK1" t="s">
        <v>331</v>
      </c>
      <c r="AL1" t="s">
        <v>332</v>
      </c>
      <c r="AM1" t="s">
        <v>333</v>
      </c>
      <c r="AN1" t="s">
        <v>334</v>
      </c>
      <c r="AO1" t="s">
        <v>335</v>
      </c>
      <c r="AP1" t="s">
        <v>336</v>
      </c>
      <c r="AQ1" t="s">
        <v>337</v>
      </c>
      <c r="AR1" t="s">
        <v>338</v>
      </c>
      <c r="AS1" t="s">
        <v>339</v>
      </c>
      <c r="AT1" t="s">
        <v>340</v>
      </c>
      <c r="AU1" t="s">
        <v>341</v>
      </c>
      <c r="AV1" t="s">
        <v>342</v>
      </c>
      <c r="AW1" t="s">
        <v>343</v>
      </c>
      <c r="AX1" t="s">
        <v>344</v>
      </c>
      <c r="AY1" t="s">
        <v>345</v>
      </c>
      <c r="AZ1" t="s">
        <v>346</v>
      </c>
      <c r="BA1" t="s">
        <v>347</v>
      </c>
      <c r="BB1" t="s">
        <v>348</v>
      </c>
      <c r="BC1" t="s">
        <v>349</v>
      </c>
      <c r="BD1" t="s">
        <v>350</v>
      </c>
      <c r="BE1" t="s">
        <v>351</v>
      </c>
      <c r="BF1" t="s">
        <v>352</v>
      </c>
      <c r="BG1" t="s">
        <v>353</v>
      </c>
      <c r="BH1" t="s">
        <v>354</v>
      </c>
      <c r="BI1" t="s">
        <v>355</v>
      </c>
      <c r="BJ1" t="s">
        <v>356</v>
      </c>
      <c r="BK1" t="s">
        <v>357</v>
      </c>
      <c r="BL1" t="s">
        <v>358</v>
      </c>
      <c r="BM1" t="s">
        <v>359</v>
      </c>
      <c r="BN1" t="s">
        <v>360</v>
      </c>
      <c r="BO1" t="s">
        <v>361</v>
      </c>
      <c r="BP1" t="s">
        <v>362</v>
      </c>
      <c r="BQ1" t="s">
        <v>363</v>
      </c>
      <c r="BR1" t="s">
        <v>364</v>
      </c>
      <c r="BS1" t="s">
        <v>365</v>
      </c>
      <c r="BT1" t="s">
        <v>366</v>
      </c>
      <c r="BU1" t="s">
        <v>367</v>
      </c>
      <c r="BV1" t="s">
        <v>368</v>
      </c>
      <c r="BW1" t="s">
        <v>369</v>
      </c>
      <c r="BX1" t="s">
        <v>370</v>
      </c>
      <c r="BY1" t="s">
        <v>371</v>
      </c>
      <c r="BZ1" t="s">
        <v>372</v>
      </c>
      <c r="CA1" t="s">
        <v>373</v>
      </c>
      <c r="CB1" t="s">
        <v>374</v>
      </c>
      <c r="CC1" t="s">
        <v>375</v>
      </c>
      <c r="CD1" t="s">
        <v>376</v>
      </c>
      <c r="CE1" t="s">
        <v>377</v>
      </c>
      <c r="CF1" t="s">
        <v>378</v>
      </c>
      <c r="CG1" t="s">
        <v>379</v>
      </c>
      <c r="CH1" t="s">
        <v>380</v>
      </c>
      <c r="CI1" t="s">
        <v>381</v>
      </c>
      <c r="CJ1" t="s">
        <v>382</v>
      </c>
      <c r="CK1" t="s">
        <v>383</v>
      </c>
      <c r="CL1" t="s">
        <v>384</v>
      </c>
      <c r="CM1" t="s">
        <v>385</v>
      </c>
      <c r="CN1" t="s">
        <v>386</v>
      </c>
      <c r="CO1" t="s">
        <v>387</v>
      </c>
      <c r="CP1" t="s">
        <v>388</v>
      </c>
      <c r="CQ1" t="s">
        <v>389</v>
      </c>
      <c r="CR1" t="s">
        <v>390</v>
      </c>
      <c r="CS1" t="s">
        <v>391</v>
      </c>
      <c r="CT1" t="s">
        <v>392</v>
      </c>
      <c r="CU1" t="s">
        <v>393</v>
      </c>
      <c r="CV1" t="s">
        <v>394</v>
      </c>
      <c r="CW1" t="s">
        <v>395</v>
      </c>
      <c r="CX1" t="s">
        <v>396</v>
      </c>
      <c r="CY1" t="s">
        <v>397</v>
      </c>
      <c r="CZ1" t="s">
        <v>398</v>
      </c>
      <c r="DA1" t="s">
        <v>399</v>
      </c>
      <c r="DB1" t="s">
        <v>400</v>
      </c>
      <c r="DC1" t="s">
        <v>401</v>
      </c>
      <c r="DD1" t="s">
        <v>402</v>
      </c>
      <c r="DE1" t="s">
        <v>403</v>
      </c>
      <c r="DF1" t="s">
        <v>404</v>
      </c>
      <c r="DG1" t="s">
        <v>405</v>
      </c>
      <c r="DH1" t="s">
        <v>406</v>
      </c>
      <c r="DI1" t="s">
        <v>407</v>
      </c>
      <c r="DJ1" t="s">
        <v>408</v>
      </c>
      <c r="DK1" t="s">
        <v>409</v>
      </c>
      <c r="DL1" t="s">
        <v>410</v>
      </c>
      <c r="DM1" t="s">
        <v>411</v>
      </c>
      <c r="DN1" t="s">
        <v>412</v>
      </c>
      <c r="DO1" t="s">
        <v>413</v>
      </c>
      <c r="DP1" t="s">
        <v>414</v>
      </c>
      <c r="DQ1" t="s">
        <v>415</v>
      </c>
      <c r="DR1" t="s">
        <v>416</v>
      </c>
      <c r="DS1" t="s">
        <v>417</v>
      </c>
      <c r="DT1" t="s">
        <v>418</v>
      </c>
      <c r="DU1" t="s">
        <v>419</v>
      </c>
      <c r="DV1" t="s">
        <v>420</v>
      </c>
      <c r="DW1" t="s">
        <v>421</v>
      </c>
      <c r="DX1" t="s">
        <v>422</v>
      </c>
      <c r="DY1" t="s">
        <v>423</v>
      </c>
      <c r="DZ1" t="s">
        <v>424</v>
      </c>
      <c r="EA1" t="s">
        <v>425</v>
      </c>
      <c r="EB1" t="s">
        <v>426</v>
      </c>
      <c r="EC1" t="s">
        <v>427</v>
      </c>
      <c r="ED1" t="s">
        <v>428</v>
      </c>
      <c r="EE1" t="s">
        <v>429</v>
      </c>
      <c r="EF1" t="s">
        <v>430</v>
      </c>
      <c r="EG1" t="s">
        <v>431</v>
      </c>
      <c r="EH1" t="s">
        <v>432</v>
      </c>
      <c r="EI1" t="s">
        <v>433</v>
      </c>
      <c r="EJ1" t="s">
        <v>434</v>
      </c>
      <c r="EK1" t="s">
        <v>435</v>
      </c>
      <c r="EL1" t="s">
        <v>436</v>
      </c>
      <c r="EM1" t="s">
        <v>437</v>
      </c>
      <c r="EN1" t="s">
        <v>438</v>
      </c>
      <c r="EO1" t="s">
        <v>439</v>
      </c>
      <c r="EP1" t="s">
        <v>440</v>
      </c>
      <c r="EQ1" t="s">
        <v>441</v>
      </c>
      <c r="ER1" t="s">
        <v>442</v>
      </c>
      <c r="ES1" t="s">
        <v>443</v>
      </c>
      <c r="ET1" t="s">
        <v>444</v>
      </c>
      <c r="EU1" t="s">
        <v>445</v>
      </c>
      <c r="EV1" t="s">
        <v>446</v>
      </c>
      <c r="EW1" t="s">
        <v>447</v>
      </c>
      <c r="EX1" t="s">
        <v>448</v>
      </c>
      <c r="EY1" t="s">
        <v>449</v>
      </c>
      <c r="EZ1" t="s">
        <v>450</v>
      </c>
      <c r="FA1" t="s">
        <v>451</v>
      </c>
      <c r="FB1" t="s">
        <v>452</v>
      </c>
      <c r="FC1" t="s">
        <v>453</v>
      </c>
      <c r="FD1" t="s">
        <v>454</v>
      </c>
      <c r="FE1" t="s">
        <v>455</v>
      </c>
      <c r="FF1" t="s">
        <v>456</v>
      </c>
      <c r="FG1" t="s">
        <v>457</v>
      </c>
      <c r="FH1" t="s">
        <v>458</v>
      </c>
      <c r="FI1" t="s">
        <v>459</v>
      </c>
      <c r="FJ1" t="s">
        <v>460</v>
      </c>
      <c r="FK1" t="s">
        <v>461</v>
      </c>
      <c r="FL1" t="s">
        <v>462</v>
      </c>
      <c r="FM1" t="s">
        <v>463</v>
      </c>
      <c r="FN1" t="s">
        <v>464</v>
      </c>
      <c r="FO1" t="s">
        <v>465</v>
      </c>
      <c r="FP1" t="s">
        <v>466</v>
      </c>
      <c r="FQ1" t="s">
        <v>467</v>
      </c>
      <c r="FR1" t="s">
        <v>468</v>
      </c>
      <c r="FS1" t="s">
        <v>469</v>
      </c>
      <c r="FT1" t="s">
        <v>470</v>
      </c>
      <c r="FU1" t="s">
        <v>471</v>
      </c>
      <c r="FV1" t="s">
        <v>472</v>
      </c>
      <c r="FW1" t="s">
        <v>473</v>
      </c>
      <c r="FX1" t="s">
        <v>474</v>
      </c>
      <c r="FY1" t="s">
        <v>475</v>
      </c>
      <c r="FZ1" t="s">
        <v>476</v>
      </c>
      <c r="GA1" t="s">
        <v>477</v>
      </c>
      <c r="GB1" t="s">
        <v>478</v>
      </c>
      <c r="GC1" t="s">
        <v>479</v>
      </c>
      <c r="GD1" t="s">
        <v>480</v>
      </c>
      <c r="GE1" t="s">
        <v>481</v>
      </c>
      <c r="GF1" t="s">
        <v>482</v>
      </c>
      <c r="GG1" t="s">
        <v>483</v>
      </c>
      <c r="GH1" t="s">
        <v>484</v>
      </c>
      <c r="GI1" t="s">
        <v>485</v>
      </c>
      <c r="GJ1" t="s">
        <v>486</v>
      </c>
      <c r="GK1" t="s">
        <v>487</v>
      </c>
      <c r="GL1" t="s">
        <v>488</v>
      </c>
      <c r="GM1" t="s">
        <v>489</v>
      </c>
      <c r="GN1" t="s">
        <v>490</v>
      </c>
      <c r="GO1" t="s">
        <v>491</v>
      </c>
      <c r="GP1" t="s">
        <v>492</v>
      </c>
      <c r="GQ1" t="s">
        <v>493</v>
      </c>
      <c r="GR1" t="s">
        <v>494</v>
      </c>
      <c r="GS1" t="s">
        <v>495</v>
      </c>
      <c r="GT1" t="s">
        <v>496</v>
      </c>
      <c r="GU1" t="s">
        <v>497</v>
      </c>
      <c r="GV1" t="s">
        <v>498</v>
      </c>
      <c r="GW1" t="s">
        <v>499</v>
      </c>
      <c r="GX1" t="s">
        <v>500</v>
      </c>
      <c r="GY1" t="s">
        <v>501</v>
      </c>
      <c r="GZ1" t="s">
        <v>502</v>
      </c>
      <c r="HA1" t="s">
        <v>503</v>
      </c>
      <c r="HB1" t="s">
        <v>504</v>
      </c>
      <c r="HC1" t="s">
        <v>505</v>
      </c>
      <c r="HD1" t="s">
        <v>506</v>
      </c>
      <c r="HE1" t="s">
        <v>507</v>
      </c>
      <c r="HF1" t="s">
        <v>508</v>
      </c>
      <c r="HG1" t="s">
        <v>509</v>
      </c>
      <c r="HH1" t="s">
        <v>510</v>
      </c>
      <c r="HI1" t="s">
        <v>511</v>
      </c>
      <c r="HJ1" t="s">
        <v>512</v>
      </c>
      <c r="HK1" t="s">
        <v>513</v>
      </c>
      <c r="HL1" t="s">
        <v>514</v>
      </c>
      <c r="HM1" t="s">
        <v>515</v>
      </c>
      <c r="HN1" t="s">
        <v>516</v>
      </c>
      <c r="HO1" t="s">
        <v>517</v>
      </c>
      <c r="HP1" t="s">
        <v>518</v>
      </c>
      <c r="HQ1" t="s">
        <v>519</v>
      </c>
      <c r="HR1" t="s">
        <v>520</v>
      </c>
      <c r="HS1" t="s">
        <v>521</v>
      </c>
      <c r="HT1" t="s">
        <v>522</v>
      </c>
      <c r="HU1" t="s">
        <v>523</v>
      </c>
      <c r="HV1" t="s">
        <v>524</v>
      </c>
      <c r="HW1" t="s">
        <v>525</v>
      </c>
      <c r="HX1" t="s">
        <v>526</v>
      </c>
      <c r="HY1" t="s">
        <v>527</v>
      </c>
      <c r="HZ1" t="s">
        <v>528</v>
      </c>
      <c r="IA1" t="s">
        <v>529</v>
      </c>
      <c r="IB1" t="s">
        <v>530</v>
      </c>
      <c r="IC1" t="s">
        <v>531</v>
      </c>
      <c r="ID1" t="s">
        <v>532</v>
      </c>
      <c r="IE1" t="s">
        <v>533</v>
      </c>
      <c r="IF1" t="s">
        <v>534</v>
      </c>
      <c r="IG1" t="s">
        <v>535</v>
      </c>
      <c r="IH1" t="s">
        <v>536</v>
      </c>
      <c r="II1" t="s">
        <v>537</v>
      </c>
      <c r="IJ1" t="s">
        <v>538</v>
      </c>
      <c r="IK1" t="s">
        <v>539</v>
      </c>
      <c r="IL1" t="s">
        <v>540</v>
      </c>
      <c r="IM1" t="s">
        <v>541</v>
      </c>
      <c r="IN1" t="s">
        <v>542</v>
      </c>
      <c r="IO1" t="s">
        <v>543</v>
      </c>
      <c r="IP1" t="s">
        <v>544</v>
      </c>
      <c r="IQ1" t="s">
        <v>545</v>
      </c>
      <c r="IR1" t="s">
        <v>546</v>
      </c>
      <c r="IS1" t="s">
        <v>547</v>
      </c>
      <c r="IT1" t="s">
        <v>548</v>
      </c>
      <c r="IU1" t="s">
        <v>549</v>
      </c>
      <c r="IV1" t="s">
        <v>550</v>
      </c>
      <c r="IW1" t="s">
        <v>551</v>
      </c>
      <c r="IX1" t="s">
        <v>552</v>
      </c>
      <c r="IY1" t="s">
        <v>553</v>
      </c>
      <c r="IZ1" t="s">
        <v>554</v>
      </c>
      <c r="JA1" t="s">
        <v>555</v>
      </c>
      <c r="JB1" t="s">
        <v>556</v>
      </c>
      <c r="JC1" t="s">
        <v>557</v>
      </c>
      <c r="JD1" t="s">
        <v>558</v>
      </c>
      <c r="JE1" t="s">
        <v>559</v>
      </c>
      <c r="JF1" t="s">
        <v>560</v>
      </c>
      <c r="JG1" t="s">
        <v>561</v>
      </c>
      <c r="JH1" t="s">
        <v>562</v>
      </c>
      <c r="JI1" t="s">
        <v>563</v>
      </c>
      <c r="JJ1" t="s">
        <v>564</v>
      </c>
      <c r="JK1" t="s">
        <v>565</v>
      </c>
      <c r="JL1" t="s">
        <v>303</v>
      </c>
      <c r="JM1" t="s">
        <v>566</v>
      </c>
      <c r="JN1" t="s">
        <v>567</v>
      </c>
      <c r="JO1" t="s">
        <v>568</v>
      </c>
      <c r="JP1" t="s">
        <v>569</v>
      </c>
      <c r="JQ1" t="s">
        <v>570</v>
      </c>
      <c r="JR1" s="17" t="s">
        <v>571</v>
      </c>
      <c r="JS1" s="17" t="s">
        <v>207</v>
      </c>
      <c r="JT1" s="17" t="s">
        <v>208</v>
      </c>
      <c r="JU1" s="17" t="s">
        <v>209</v>
      </c>
    </row>
    <row r="2" spans="1:281">
      <c r="A2" t="s">
        <v>572</v>
      </c>
      <c r="B2" t="s">
        <v>573</v>
      </c>
      <c r="C2" t="s">
        <v>574</v>
      </c>
      <c r="D2" t="s">
        <v>213</v>
      </c>
      <c r="E2">
        <v>3</v>
      </c>
      <c r="F2" t="s">
        <v>214</v>
      </c>
      <c r="G2" t="s">
        <v>215</v>
      </c>
      <c r="H2" t="s">
        <v>575</v>
      </c>
      <c r="I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>
        <v>0</v>
      </c>
      <c r="Q2">
        <v>0</v>
      </c>
      <c r="R2">
        <v>1.0000000002</v>
      </c>
      <c r="S2">
        <v>0.40000000079999998</v>
      </c>
      <c r="T2">
        <v>0.29999999970000002</v>
      </c>
      <c r="U2">
        <v>0.50000000010000001</v>
      </c>
      <c r="V2">
        <v>0.50000000010000001</v>
      </c>
      <c r="W2">
        <v>0.40000000079999998</v>
      </c>
      <c r="X2">
        <v>0.40000000079999998</v>
      </c>
      <c r="Y2">
        <v>0.29999999970000002</v>
      </c>
      <c r="Z2">
        <v>0.20000000039999999</v>
      </c>
      <c r="AA2">
        <v>0.20000000039999999</v>
      </c>
      <c r="AB2">
        <v>0.20000000039999999</v>
      </c>
      <c r="AC2">
        <v>0.20000000039999999</v>
      </c>
      <c r="AD2">
        <v>0.1000000011</v>
      </c>
      <c r="AE2">
        <v>0</v>
      </c>
      <c r="AF2">
        <v>0.20000000039999999</v>
      </c>
      <c r="AG2">
        <v>0.29999999970000002</v>
      </c>
      <c r="AH2">
        <v>0.40000000079999998</v>
      </c>
      <c r="AI2">
        <v>0.50000000010000001</v>
      </c>
      <c r="AJ2">
        <v>0.50000000010000001</v>
      </c>
      <c r="AK2">
        <v>3.0999999999000001</v>
      </c>
      <c r="AL2">
        <v>10.8</v>
      </c>
      <c r="AM2">
        <v>18.1000000011</v>
      </c>
      <c r="AN2">
        <v>26.200000000199999</v>
      </c>
      <c r="AO2">
        <v>34.4000000005</v>
      </c>
      <c r="AP2">
        <v>42.199999999900001</v>
      </c>
      <c r="AQ2">
        <v>50.300000000799997</v>
      </c>
      <c r="AR2">
        <v>58.800000000700003</v>
      </c>
      <c r="AS2">
        <v>67.500000001000004</v>
      </c>
      <c r="AT2">
        <v>75.899999999800002</v>
      </c>
      <c r="AU2">
        <v>84.300000000400004</v>
      </c>
      <c r="AV2">
        <v>92.899999999599999</v>
      </c>
      <c r="AW2">
        <v>101.5000000007</v>
      </c>
      <c r="AX2">
        <v>110.70000000109999</v>
      </c>
      <c r="AY2">
        <v>120.80000000059999</v>
      </c>
      <c r="AZ2">
        <v>129.30000000050001</v>
      </c>
      <c r="BA2">
        <v>138.30000000050001</v>
      </c>
      <c r="BB2">
        <v>147.10000000010001</v>
      </c>
      <c r="BC2">
        <v>155.80000000050001</v>
      </c>
      <c r="BD2">
        <v>164.60000000010001</v>
      </c>
      <c r="BE2">
        <v>174.1000000002</v>
      </c>
      <c r="BF2">
        <v>182.50000000079999</v>
      </c>
      <c r="BG2">
        <v>191.50000000079999</v>
      </c>
      <c r="BH2">
        <v>200.30000000039999</v>
      </c>
      <c r="BI2">
        <v>209.0000000007</v>
      </c>
      <c r="BJ2">
        <v>217.80000000039999</v>
      </c>
      <c r="BK2">
        <v>227.00000000079999</v>
      </c>
      <c r="BL2">
        <v>235.5000000007</v>
      </c>
      <c r="BM2">
        <v>244.00000000060001</v>
      </c>
      <c r="BN2">
        <v>252.3000000001</v>
      </c>
      <c r="BO2">
        <v>260.59999999960002</v>
      </c>
      <c r="BP2">
        <v>268.90000000089998</v>
      </c>
      <c r="BQ2">
        <v>277.79999999979998</v>
      </c>
      <c r="BR2">
        <v>286.00000000009999</v>
      </c>
      <c r="BS2">
        <v>293.90000000060002</v>
      </c>
      <c r="BT2">
        <v>301.7</v>
      </c>
      <c r="BU2">
        <v>309.60000000050002</v>
      </c>
      <c r="BV2">
        <v>317.1000000002</v>
      </c>
      <c r="BW2">
        <v>325.10000000000002</v>
      </c>
      <c r="BX2">
        <v>333.30000000019999</v>
      </c>
      <c r="BY2">
        <v>340.50000000019998</v>
      </c>
      <c r="BZ2">
        <v>347.7999999996</v>
      </c>
      <c r="CA2">
        <v>354.800000001</v>
      </c>
      <c r="CB2">
        <v>361.80000000059999</v>
      </c>
      <c r="CC2">
        <v>368.89999999949998</v>
      </c>
      <c r="CD2">
        <v>376.00000000019998</v>
      </c>
      <c r="CE2">
        <v>383.49999999990001</v>
      </c>
      <c r="CF2">
        <v>390.40000000020001</v>
      </c>
      <c r="CG2">
        <v>397.00000000080001</v>
      </c>
      <c r="CH2">
        <v>403.20000000070002</v>
      </c>
      <c r="CI2">
        <v>409.79999999939997</v>
      </c>
      <c r="CJ2">
        <v>416.30000000080003</v>
      </c>
      <c r="CK2">
        <v>422.89999999960003</v>
      </c>
      <c r="CL2">
        <v>429.70000000060003</v>
      </c>
      <c r="CM2">
        <v>436.90000000060002</v>
      </c>
      <c r="CN2">
        <v>442.80000000069998</v>
      </c>
      <c r="CO2">
        <v>447.90000000100002</v>
      </c>
      <c r="CP2">
        <v>452.49999999940002</v>
      </c>
      <c r="CQ2">
        <v>453.49999999959999</v>
      </c>
      <c r="CR2">
        <v>453.4000000003</v>
      </c>
      <c r="CS2">
        <v>453.300000001</v>
      </c>
      <c r="CT2">
        <v>453.300000001</v>
      </c>
      <c r="CU2">
        <v>453.300000001</v>
      </c>
      <c r="CV2">
        <v>453.300000001</v>
      </c>
      <c r="CW2">
        <v>453.4000000003</v>
      </c>
      <c r="CX2">
        <v>453.300000001</v>
      </c>
      <c r="CY2">
        <v>453.300000001</v>
      </c>
      <c r="CZ2">
        <v>453.1999999999</v>
      </c>
      <c r="DA2">
        <v>453.300000001</v>
      </c>
      <c r="DB2">
        <v>453.49999999959999</v>
      </c>
      <c r="DC2">
        <v>453.49999999959999</v>
      </c>
      <c r="DD2">
        <v>453.4000000003</v>
      </c>
      <c r="DE2">
        <v>453.49999999959999</v>
      </c>
      <c r="DF2">
        <v>453.300000001</v>
      </c>
      <c r="DG2">
        <v>453.4000000003</v>
      </c>
      <c r="DH2">
        <v>1.8</v>
      </c>
      <c r="DI2">
        <v>0.90000000089999999</v>
      </c>
      <c r="DJ2">
        <v>0.90000000089999999</v>
      </c>
      <c r="DK2">
        <v>0.90000000089999999</v>
      </c>
      <c r="DL2">
        <v>1.0000000002</v>
      </c>
      <c r="DM2">
        <v>1.0000000002</v>
      </c>
      <c r="DN2">
        <v>1.0000000002</v>
      </c>
      <c r="DO2">
        <v>1.0999999995</v>
      </c>
      <c r="DP2">
        <v>0.90000000089999999</v>
      </c>
      <c r="DQ2">
        <v>1.0000000002</v>
      </c>
      <c r="DR2">
        <v>1.0000000002</v>
      </c>
      <c r="DS2">
        <v>1.0999999995</v>
      </c>
      <c r="DT2">
        <v>1.0000000002</v>
      </c>
      <c r="DU2">
        <v>1.2000000006</v>
      </c>
      <c r="DV2">
        <v>1.2000000006</v>
      </c>
      <c r="DW2">
        <v>1.2000000006</v>
      </c>
      <c r="DX2">
        <v>1.2000000006</v>
      </c>
      <c r="DY2">
        <v>1.2999999999</v>
      </c>
      <c r="DZ2">
        <v>1.400000001</v>
      </c>
      <c r="EA2">
        <v>5.1999999996000001</v>
      </c>
      <c r="EB2">
        <v>13.3999999998</v>
      </c>
      <c r="EC2">
        <v>21.300000000299999</v>
      </c>
      <c r="ED2">
        <v>29.399999999399999</v>
      </c>
      <c r="EE2">
        <v>37.400000001099997</v>
      </c>
      <c r="EF2">
        <v>45.4000000009</v>
      </c>
      <c r="EG2">
        <v>53.6000000011</v>
      </c>
      <c r="EH2">
        <v>62.5</v>
      </c>
      <c r="EI2">
        <v>70.700000000200006</v>
      </c>
      <c r="EJ2">
        <v>79.299999999400001</v>
      </c>
      <c r="EK2">
        <v>87.800000001200004</v>
      </c>
      <c r="EL2">
        <v>96.2</v>
      </c>
      <c r="EM2">
        <v>104.99999999960001</v>
      </c>
      <c r="EN2">
        <v>114.9000000005</v>
      </c>
      <c r="EO2">
        <v>124.4000000006</v>
      </c>
      <c r="EP2">
        <v>133.40000000059999</v>
      </c>
      <c r="EQ2">
        <v>142.29999999949999</v>
      </c>
      <c r="ER2">
        <v>150.7000000001</v>
      </c>
      <c r="ES2">
        <v>159.6000000009</v>
      </c>
      <c r="ET2">
        <v>169.2999999996</v>
      </c>
      <c r="EU2">
        <v>178.10000000100001</v>
      </c>
      <c r="EV2">
        <v>186.90000000059999</v>
      </c>
      <c r="EW2">
        <v>195.6000000009</v>
      </c>
      <c r="EX2">
        <v>204.2999999994</v>
      </c>
      <c r="EY2">
        <v>213.10000000080001</v>
      </c>
      <c r="EZ2">
        <v>222.20000000019999</v>
      </c>
      <c r="FA2">
        <v>231.1000000009</v>
      </c>
      <c r="FB2">
        <v>239.60000000080001</v>
      </c>
      <c r="FC2">
        <v>248.10000000069999</v>
      </c>
      <c r="FD2">
        <v>256.30000000090001</v>
      </c>
      <c r="FE2">
        <v>264.60000000039997</v>
      </c>
      <c r="FF2">
        <v>273.39999999999998</v>
      </c>
      <c r="FG2">
        <v>282.00000000109998</v>
      </c>
      <c r="FH2">
        <v>290.0000000009</v>
      </c>
      <c r="FI2">
        <v>297.80000000029997</v>
      </c>
      <c r="FJ2">
        <v>305.7000000008</v>
      </c>
      <c r="FK2">
        <v>313.59999999950003</v>
      </c>
      <c r="FL2">
        <v>321.2999999996</v>
      </c>
      <c r="FM2">
        <v>329.70000000020002</v>
      </c>
      <c r="FN2">
        <v>337.4000000003</v>
      </c>
      <c r="FO2">
        <v>344.69999999959998</v>
      </c>
      <c r="FP2">
        <v>351.80000000040002</v>
      </c>
      <c r="FQ2">
        <v>358.90000000110001</v>
      </c>
      <c r="FR2">
        <v>366</v>
      </c>
      <c r="FS2">
        <v>373.30000000109999</v>
      </c>
      <c r="FT2">
        <v>380.19999999959998</v>
      </c>
      <c r="FU2">
        <v>387.50000000070003</v>
      </c>
      <c r="FV2">
        <v>394.29999999990002</v>
      </c>
      <c r="FW2">
        <v>400.70000000009998</v>
      </c>
      <c r="FX2">
        <v>407.40000000010002</v>
      </c>
      <c r="FY2">
        <v>413.59999999989998</v>
      </c>
      <c r="FZ2">
        <v>420.20000000049998</v>
      </c>
      <c r="GA2">
        <v>426.80000000109999</v>
      </c>
      <c r="GB2">
        <v>433.39999999989999</v>
      </c>
      <c r="GC2">
        <v>439.7000000008</v>
      </c>
      <c r="GD2">
        <v>445.20000000009998</v>
      </c>
      <c r="GE2">
        <v>450.00000000070003</v>
      </c>
      <c r="GF2">
        <v>452.99999999950001</v>
      </c>
      <c r="GG2">
        <v>452.90000000020001</v>
      </c>
      <c r="GH2">
        <v>453.10000000060001</v>
      </c>
      <c r="GI2">
        <v>453.1999999999</v>
      </c>
      <c r="GJ2">
        <v>453.1999999999</v>
      </c>
      <c r="GK2">
        <v>453.1999999999</v>
      </c>
      <c r="GL2">
        <v>453.1999999999</v>
      </c>
      <c r="GM2">
        <v>453.300000001</v>
      </c>
      <c r="GN2">
        <v>453.1999999999</v>
      </c>
      <c r="GO2">
        <v>453.300000001</v>
      </c>
      <c r="GP2">
        <v>453.300000001</v>
      </c>
      <c r="GQ2">
        <v>453.300000001</v>
      </c>
      <c r="GR2">
        <v>453.4000000003</v>
      </c>
      <c r="GS2">
        <v>453.4000000003</v>
      </c>
      <c r="GT2">
        <v>453.4000000003</v>
      </c>
      <c r="GU2">
        <v>453.300000001</v>
      </c>
      <c r="GV2">
        <v>453.1999999999</v>
      </c>
      <c r="GW2">
        <v>453.300000001</v>
      </c>
      <c r="GX2">
        <v>1</v>
      </c>
      <c r="GY2">
        <v>111.5000000009</v>
      </c>
      <c r="GZ2">
        <v>110.70000000109999</v>
      </c>
      <c r="HA2">
        <v>110.70000000109999</v>
      </c>
      <c r="HB2">
        <v>114.9000000005</v>
      </c>
      <c r="HC2">
        <v>111.7447899447</v>
      </c>
      <c r="HD2">
        <v>-4.1999999994000001</v>
      </c>
      <c r="HE2">
        <v>453.30002205419999</v>
      </c>
      <c r="HF2">
        <v>314.80922924250001</v>
      </c>
      <c r="HG2">
        <v>93.505766898100006</v>
      </c>
      <c r="HH2">
        <v>453.49999999959999</v>
      </c>
      <c r="HI2">
        <v>453.4000000003</v>
      </c>
      <c r="HJ2">
        <v>453.49999999959999</v>
      </c>
      <c r="HK2">
        <v>453.4000000003</v>
      </c>
      <c r="HL2">
        <v>103.22580645159999</v>
      </c>
      <c r="HM2">
        <v>3.5650098978</v>
      </c>
      <c r="HN2">
        <v>3.5327754299</v>
      </c>
      <c r="HO2">
        <v>3.5429843230000002</v>
      </c>
      <c r="HP2">
        <v>3.5606141470999999</v>
      </c>
      <c r="HQ2">
        <v>3.7949490232</v>
      </c>
      <c r="HR2">
        <v>2.4797290907999998</v>
      </c>
      <c r="HS2">
        <v>18.239023046700002</v>
      </c>
      <c r="HT2">
        <v>-25.806451612899998</v>
      </c>
      <c r="HU2">
        <v>-176</v>
      </c>
      <c r="HV2">
        <v>426.55401918720003</v>
      </c>
      <c r="HW2">
        <v>91.495601172999997</v>
      </c>
      <c r="HX2">
        <v>624</v>
      </c>
      <c r="HY2">
        <v>18.239023046700002</v>
      </c>
      <c r="HZ2">
        <v>-25.806451612899998</v>
      </c>
      <c r="IA2">
        <v>-176</v>
      </c>
      <c r="IB2">
        <v>426.55401918720003</v>
      </c>
      <c r="IC2">
        <v>91.495601172999997</v>
      </c>
      <c r="ID2">
        <v>624</v>
      </c>
      <c r="IE2">
        <v>26.845980813099999</v>
      </c>
      <c r="IF2">
        <v>0.50158782680000003</v>
      </c>
      <c r="IG2">
        <v>-35.190615835800003</v>
      </c>
      <c r="IH2">
        <v>-240</v>
      </c>
      <c r="II2">
        <v>449.97915977579999</v>
      </c>
      <c r="IJ2">
        <v>100.87976539589999</v>
      </c>
      <c r="IK2">
        <v>688</v>
      </c>
      <c r="IL2">
        <v>408.31499614059999</v>
      </c>
      <c r="IM2">
        <v>117.3020527859</v>
      </c>
      <c r="IN2">
        <v>436.48723122820002</v>
      </c>
      <c r="IO2">
        <v>126.6862170088</v>
      </c>
      <c r="IP2">
        <v>8.2000000001999993</v>
      </c>
      <c r="IQ2">
        <v>7.2</v>
      </c>
      <c r="IR2">
        <v>10.0999999995</v>
      </c>
      <c r="IS2">
        <v>6.3958220806000003</v>
      </c>
      <c r="IT2">
        <v>6.3958220806000003</v>
      </c>
      <c r="IU2">
        <v>2.5999999998000001</v>
      </c>
      <c r="IV2">
        <v>-28.152492668600001</v>
      </c>
      <c r="IW2">
        <v>4.6999999995000001</v>
      </c>
      <c r="IX2">
        <v>14.0762463343</v>
      </c>
      <c r="IY2">
        <v>3.6999999993000001</v>
      </c>
      <c r="IZ2">
        <v>93.841642228699996</v>
      </c>
      <c r="JA2">
        <v>-31.065378149000001</v>
      </c>
      <c r="JB2">
        <v>0.29821779819999999</v>
      </c>
      <c r="JC2">
        <v>-2.4519800000000002E-4</v>
      </c>
      <c r="JD2">
        <v>5.1610000000000002E-7</v>
      </c>
      <c r="JE2">
        <v>0.28050413010000003</v>
      </c>
      <c r="JF2">
        <v>0.22595924449999999</v>
      </c>
      <c r="JG2">
        <v>8.9835403800000005E-2</v>
      </c>
      <c r="JH2">
        <v>112.5630112555</v>
      </c>
      <c r="JI2">
        <v>3.7949490232</v>
      </c>
      <c r="JJ2">
        <v>1.9601711000000002E-3</v>
      </c>
      <c r="JK2">
        <v>-6.6651700000000004E-5</v>
      </c>
      <c r="JL2">
        <v>3.5650098978</v>
      </c>
      <c r="JM2">
        <v>1.4123236041</v>
      </c>
      <c r="JN2">
        <v>0.59811005930000005</v>
      </c>
      <c r="JO2">
        <v>3.4952500001</v>
      </c>
      <c r="JP2">
        <v>3.069</v>
      </c>
      <c r="JQ2">
        <v>4.3051249998000003</v>
      </c>
      <c r="JR2" s="17" t="s">
        <v>576</v>
      </c>
      <c r="JU2" s="17">
        <v>1</v>
      </c>
    </row>
    <row r="3" spans="1:281">
      <c r="A3" t="s">
        <v>577</v>
      </c>
      <c r="B3" t="s">
        <v>578</v>
      </c>
      <c r="C3" t="s">
        <v>579</v>
      </c>
      <c r="D3" t="s">
        <v>213</v>
      </c>
      <c r="E3">
        <v>3</v>
      </c>
      <c r="F3" t="s">
        <v>214</v>
      </c>
      <c r="G3" t="s">
        <v>215</v>
      </c>
      <c r="H3" t="s">
        <v>575</v>
      </c>
      <c r="I3" t="s">
        <v>217</v>
      </c>
      <c r="K3" t="s">
        <v>232</v>
      </c>
      <c r="L3" t="s">
        <v>233</v>
      </c>
      <c r="M3" t="s">
        <v>234</v>
      </c>
      <c r="N3" t="s">
        <v>235</v>
      </c>
      <c r="O3" t="s">
        <v>236</v>
      </c>
      <c r="P3">
        <v>0</v>
      </c>
      <c r="Q3">
        <v>0</v>
      </c>
      <c r="R3">
        <v>0</v>
      </c>
      <c r="S3">
        <v>1.0000000002</v>
      </c>
      <c r="T3">
        <v>1.0000000002</v>
      </c>
      <c r="U3">
        <v>1.2000000006</v>
      </c>
      <c r="V3">
        <v>1.2999999999</v>
      </c>
      <c r="W3">
        <v>1.2000000006</v>
      </c>
      <c r="X3">
        <v>1.2999999999</v>
      </c>
      <c r="Y3">
        <v>1.2999999999</v>
      </c>
      <c r="Z3">
        <v>1.400000001</v>
      </c>
      <c r="AA3">
        <v>1.5000000003</v>
      </c>
      <c r="AB3">
        <v>1.5999999996000001</v>
      </c>
      <c r="AC3">
        <v>1.5999999996000001</v>
      </c>
      <c r="AD3">
        <v>1.5000000003</v>
      </c>
      <c r="AE3">
        <v>1.5999999996000001</v>
      </c>
      <c r="AF3">
        <v>1.8</v>
      </c>
      <c r="AG3">
        <v>1.8999999993000001</v>
      </c>
      <c r="AH3">
        <v>2.0000000004</v>
      </c>
      <c r="AI3">
        <v>2.0999999997000001</v>
      </c>
      <c r="AJ3">
        <v>2.0000000004</v>
      </c>
      <c r="AK3">
        <v>2.3000000000999998</v>
      </c>
      <c r="AL3">
        <v>6.4000000002000004</v>
      </c>
      <c r="AM3">
        <v>12.5000000007</v>
      </c>
      <c r="AN3">
        <v>20.200000000799999</v>
      </c>
      <c r="AO3">
        <v>27.799999999800001</v>
      </c>
      <c r="AP3">
        <v>35.799999999699999</v>
      </c>
      <c r="AQ3">
        <v>43.600000000900003</v>
      </c>
      <c r="AR3">
        <v>51.6000000007</v>
      </c>
      <c r="AS3">
        <v>59.999999999499998</v>
      </c>
      <c r="AT3">
        <v>67.900000000000006</v>
      </c>
      <c r="AU3">
        <v>76.199999999499994</v>
      </c>
      <c r="AV3">
        <v>84.899999999800002</v>
      </c>
      <c r="AW3">
        <v>93.600000000199998</v>
      </c>
      <c r="AX3">
        <v>103.1999999996</v>
      </c>
      <c r="AY3">
        <v>112.9999999994</v>
      </c>
      <c r="AZ3">
        <v>121.3000000007</v>
      </c>
      <c r="BA3">
        <v>130.4</v>
      </c>
      <c r="BB3">
        <v>139.19999999960001</v>
      </c>
      <c r="BC3">
        <v>147.80000000059999</v>
      </c>
      <c r="BD3">
        <v>156.60000000030001</v>
      </c>
      <c r="BE3">
        <v>165.30000000059999</v>
      </c>
      <c r="BF3">
        <v>173.8999999998</v>
      </c>
      <c r="BG3">
        <v>182.80000000050001</v>
      </c>
      <c r="BH3">
        <v>191.69999999940001</v>
      </c>
      <c r="BI3">
        <v>200.39999999969999</v>
      </c>
      <c r="BJ3">
        <v>208.59999999990001</v>
      </c>
      <c r="BK3">
        <v>217.3000000003</v>
      </c>
      <c r="BL3">
        <v>225.59999999979999</v>
      </c>
      <c r="BM3">
        <v>234.00000000040001</v>
      </c>
      <c r="BN3">
        <v>242.70000000069999</v>
      </c>
      <c r="BO3">
        <v>251.0000000002</v>
      </c>
      <c r="BP3">
        <v>258.7999999996</v>
      </c>
      <c r="BQ3">
        <v>267.29999999950002</v>
      </c>
      <c r="BR3">
        <v>274.99999999959999</v>
      </c>
      <c r="BS3">
        <v>282.80000000090001</v>
      </c>
      <c r="BT3">
        <v>290.69999999959998</v>
      </c>
      <c r="BU3">
        <v>298.60000000010001</v>
      </c>
      <c r="BV3">
        <v>306.00000000049999</v>
      </c>
      <c r="BW3">
        <v>313.20000000049998</v>
      </c>
      <c r="BX3">
        <v>320.79999999950002</v>
      </c>
      <c r="BY3">
        <v>327.80000000090001</v>
      </c>
      <c r="BZ3">
        <v>334.80000000050001</v>
      </c>
      <c r="CA3">
        <v>342.00000000059998</v>
      </c>
      <c r="CB3">
        <v>349.00000000019998</v>
      </c>
      <c r="CC3">
        <v>355.99999999980002</v>
      </c>
      <c r="CD3">
        <v>362.19999999959998</v>
      </c>
      <c r="CE3">
        <v>368.80000000019999</v>
      </c>
      <c r="CF3">
        <v>375.0999999993</v>
      </c>
      <c r="CG3">
        <v>381.49999999950001</v>
      </c>
      <c r="CH3">
        <v>387.69999999930002</v>
      </c>
      <c r="CI3">
        <v>394.20000000060003</v>
      </c>
      <c r="CJ3">
        <v>400.40000000039998</v>
      </c>
      <c r="CK3">
        <v>406.50000000099999</v>
      </c>
      <c r="CL3">
        <v>412.09999999960002</v>
      </c>
      <c r="CM3">
        <v>417.7</v>
      </c>
      <c r="CN3">
        <v>423.39999999970001</v>
      </c>
      <c r="CO3">
        <v>429.09999999939998</v>
      </c>
      <c r="CP3">
        <v>434.90000000020001</v>
      </c>
      <c r="CQ3">
        <v>440.50000000059998</v>
      </c>
      <c r="CR3">
        <v>445.90000000060002</v>
      </c>
      <c r="CS3">
        <v>449.30000000019999</v>
      </c>
      <c r="CT3">
        <v>449.09999999979999</v>
      </c>
      <c r="CU3">
        <v>449.20000000089999</v>
      </c>
      <c r="CV3">
        <v>449.20000000089999</v>
      </c>
      <c r="CW3">
        <v>449.30000000019999</v>
      </c>
      <c r="CX3">
        <v>449.20000000089999</v>
      </c>
      <c r="CY3">
        <v>449.39999999949998</v>
      </c>
      <c r="CZ3">
        <v>449.39999999949998</v>
      </c>
      <c r="DA3">
        <v>449.30000000019999</v>
      </c>
      <c r="DB3">
        <v>449.39999999949998</v>
      </c>
      <c r="DC3">
        <v>449.30000000019999</v>
      </c>
      <c r="DD3">
        <v>449.30000000019999</v>
      </c>
      <c r="DE3">
        <v>449.50000000059998</v>
      </c>
      <c r="DF3">
        <v>449.30000000019999</v>
      </c>
      <c r="DG3">
        <v>449.39999999949998</v>
      </c>
      <c r="DH3">
        <v>0.7000000005</v>
      </c>
      <c r="DI3">
        <v>2.0999999997000001</v>
      </c>
      <c r="DJ3">
        <v>2.0999999997000001</v>
      </c>
      <c r="DK3">
        <v>2.3000000000999998</v>
      </c>
      <c r="DL3">
        <v>2.2000000007999998</v>
      </c>
      <c r="DM3">
        <v>2.3000000000999998</v>
      </c>
      <c r="DN3">
        <v>2.3999999993999999</v>
      </c>
      <c r="DO3">
        <v>2.3000000000999998</v>
      </c>
      <c r="DP3">
        <v>2.5000000005</v>
      </c>
      <c r="DQ3">
        <v>2.5000000005</v>
      </c>
      <c r="DR3">
        <v>2.5000000005</v>
      </c>
      <c r="DS3">
        <v>2.5999999998000001</v>
      </c>
      <c r="DT3">
        <v>2.5999999998000001</v>
      </c>
      <c r="DU3">
        <v>2.7000000008999998</v>
      </c>
      <c r="DV3">
        <v>2.8999999994999999</v>
      </c>
      <c r="DW3">
        <v>2.7000000008999998</v>
      </c>
      <c r="DX3">
        <v>2.8000000001999998</v>
      </c>
      <c r="DY3">
        <v>3.0999999999000001</v>
      </c>
      <c r="DZ3">
        <v>3.0000000006</v>
      </c>
      <c r="EA3">
        <v>4.8000000005999999</v>
      </c>
      <c r="EB3">
        <v>9.7999999998000007</v>
      </c>
      <c r="EC3">
        <v>17.1000000009</v>
      </c>
      <c r="ED3">
        <v>25.1000000007</v>
      </c>
      <c r="EE3">
        <v>32.900000000200002</v>
      </c>
      <c r="EF3">
        <v>40.699999999600003</v>
      </c>
      <c r="EG3">
        <v>48.699999999399999</v>
      </c>
      <c r="EH3">
        <v>57.000000000699998</v>
      </c>
      <c r="EI3">
        <v>64.700000000800003</v>
      </c>
      <c r="EJ3">
        <v>73.200000000700001</v>
      </c>
      <c r="EK3">
        <v>81.400000000899993</v>
      </c>
      <c r="EL3">
        <v>90.200000000599999</v>
      </c>
      <c r="EM3">
        <v>98.599999999399998</v>
      </c>
      <c r="EN3">
        <v>108.0000000002</v>
      </c>
      <c r="EO3">
        <v>117.5999999996</v>
      </c>
      <c r="EP3">
        <v>126.5999999996</v>
      </c>
      <c r="EQ3">
        <v>135.400000001</v>
      </c>
      <c r="ER3">
        <v>144.2000000006</v>
      </c>
      <c r="ES3">
        <v>152.79999999980001</v>
      </c>
      <c r="ET3">
        <v>162.09999999959999</v>
      </c>
      <c r="EU3">
        <v>170.5000000002</v>
      </c>
      <c r="EV3">
        <v>179.5000000002</v>
      </c>
      <c r="EW3">
        <v>188.5999999995</v>
      </c>
      <c r="EX3">
        <v>197.7000000006</v>
      </c>
      <c r="EY3">
        <v>206.20000000050001</v>
      </c>
      <c r="EZ3">
        <v>214.79999999969999</v>
      </c>
      <c r="FA3">
        <v>223.29999999969999</v>
      </c>
      <c r="FB3">
        <v>232</v>
      </c>
      <c r="FC3">
        <v>240.7999999996</v>
      </c>
      <c r="FD3">
        <v>249.20000000019999</v>
      </c>
      <c r="FE3">
        <v>257.49999999969998</v>
      </c>
      <c r="FF3">
        <v>265.9000000003</v>
      </c>
      <c r="FG3">
        <v>273.90000000010002</v>
      </c>
      <c r="FH3">
        <v>282.00000000109998</v>
      </c>
      <c r="FI3">
        <v>290.39999999989999</v>
      </c>
      <c r="FJ3">
        <v>298.10000000000002</v>
      </c>
      <c r="FK3">
        <v>306.09999999979999</v>
      </c>
      <c r="FL3">
        <v>313.59999999950003</v>
      </c>
      <c r="FM3">
        <v>321.2999999996</v>
      </c>
      <c r="FN3">
        <v>328.79999999929998</v>
      </c>
      <c r="FO3">
        <v>336.10000000039997</v>
      </c>
      <c r="FP3">
        <v>343.5000000009</v>
      </c>
      <c r="FQ3">
        <v>350.70000000089999</v>
      </c>
      <c r="FR3">
        <v>357.70000000049998</v>
      </c>
      <c r="FS3">
        <v>364.49999999969998</v>
      </c>
      <c r="FT3">
        <v>371.49999999929997</v>
      </c>
      <c r="FU3">
        <v>378.00000000059998</v>
      </c>
      <c r="FV3">
        <v>384.40000000079999</v>
      </c>
      <c r="FW3">
        <v>391.29999999929998</v>
      </c>
      <c r="FX3">
        <v>397.3999999998</v>
      </c>
      <c r="FY3">
        <v>403.8</v>
      </c>
      <c r="FZ3">
        <v>409.70000000020002</v>
      </c>
      <c r="GA3">
        <v>415.50000000099999</v>
      </c>
      <c r="GB3">
        <v>421.40000000110001</v>
      </c>
      <c r="GC3">
        <v>426.90000000039998</v>
      </c>
      <c r="GD3">
        <v>432.39999999970001</v>
      </c>
      <c r="GE3">
        <v>437.4000000007</v>
      </c>
      <c r="GF3">
        <v>442.39999999989999</v>
      </c>
      <c r="GG3">
        <v>447.09999999939998</v>
      </c>
      <c r="GH3">
        <v>449.09999999979999</v>
      </c>
      <c r="GI3">
        <v>449.20000000089999</v>
      </c>
      <c r="GJ3">
        <v>449.09999999979999</v>
      </c>
      <c r="GK3">
        <v>449.00000000049999</v>
      </c>
      <c r="GL3">
        <v>449.09999999979999</v>
      </c>
      <c r="GM3">
        <v>449.20000000089999</v>
      </c>
      <c r="GN3">
        <v>449.00000000049999</v>
      </c>
      <c r="GO3">
        <v>449.20000000089999</v>
      </c>
      <c r="GP3">
        <v>449.20000000089999</v>
      </c>
      <c r="GQ3">
        <v>449.20000000089999</v>
      </c>
      <c r="GR3">
        <v>449.20000000089999</v>
      </c>
      <c r="GS3">
        <v>449.09999999979999</v>
      </c>
      <c r="GT3">
        <v>449.30000000019999</v>
      </c>
      <c r="GU3">
        <v>449.39999999949998</v>
      </c>
      <c r="GV3">
        <v>449.09999999979999</v>
      </c>
      <c r="GW3">
        <v>449.39999999949998</v>
      </c>
      <c r="GX3">
        <v>1</v>
      </c>
      <c r="GY3">
        <v>104.800000001</v>
      </c>
      <c r="GZ3">
        <v>103.1999999996</v>
      </c>
      <c r="HA3">
        <v>103.1999999996</v>
      </c>
      <c r="HB3">
        <v>108.0000000002</v>
      </c>
      <c r="HC3">
        <v>104.3277783955</v>
      </c>
      <c r="HD3">
        <v>-4.8000000005999999</v>
      </c>
      <c r="HE3">
        <v>449.39999999949998</v>
      </c>
      <c r="HF3">
        <v>310.40228056640001</v>
      </c>
      <c r="HG3">
        <v>83.8808432517</v>
      </c>
      <c r="HH3">
        <v>449.50000000059998</v>
      </c>
      <c r="HI3">
        <v>449.39999999949998</v>
      </c>
      <c r="HJ3">
        <v>449.50000000059998</v>
      </c>
      <c r="HK3">
        <v>449.39999999949998</v>
      </c>
      <c r="HL3">
        <v>107.91788856300001</v>
      </c>
      <c r="HM3">
        <v>3.5246628136</v>
      </c>
      <c r="HN3">
        <v>3.3956816844</v>
      </c>
      <c r="HO3">
        <v>3.4976300565999998</v>
      </c>
      <c r="HP3">
        <v>3.5390155577</v>
      </c>
      <c r="HQ3">
        <v>3.7648093994999998</v>
      </c>
      <c r="HR3">
        <v>2.3864837531999998</v>
      </c>
      <c r="HS3">
        <v>20.446935143800001</v>
      </c>
      <c r="HT3">
        <v>-23.460410557199999</v>
      </c>
      <c r="HU3">
        <v>-160</v>
      </c>
      <c r="HV3">
        <v>414.7300589619</v>
      </c>
      <c r="HW3">
        <v>91.495601172999997</v>
      </c>
      <c r="HX3">
        <v>624</v>
      </c>
      <c r="HY3">
        <v>20.446935143800001</v>
      </c>
      <c r="HZ3">
        <v>-23.460410557199999</v>
      </c>
      <c r="IA3">
        <v>-160</v>
      </c>
      <c r="IB3">
        <v>414.7300589619</v>
      </c>
      <c r="IC3">
        <v>91.495601172999997</v>
      </c>
      <c r="ID3">
        <v>624</v>
      </c>
      <c r="IE3">
        <v>34.669941037599997</v>
      </c>
      <c r="IF3">
        <v>2.0055623543999999</v>
      </c>
      <c r="IG3">
        <v>-32.844574780099997</v>
      </c>
      <c r="IH3">
        <v>-224</v>
      </c>
      <c r="II3">
        <v>437.1008343538</v>
      </c>
      <c r="IJ3">
        <v>100.87976539589999</v>
      </c>
      <c r="IK3">
        <v>688</v>
      </c>
      <c r="IL3">
        <v>394.28312381810002</v>
      </c>
      <c r="IM3">
        <v>114.9560117302</v>
      </c>
      <c r="IN3">
        <v>419.882979197</v>
      </c>
      <c r="IO3">
        <v>124.3401759531</v>
      </c>
      <c r="IP3">
        <v>7.7000000001000002</v>
      </c>
      <c r="IQ3">
        <v>5.8000000007999999</v>
      </c>
      <c r="IR3">
        <v>9.7999999998000007</v>
      </c>
      <c r="IS3">
        <v>6.7225946203999998</v>
      </c>
      <c r="IT3">
        <v>6.7225946203999998</v>
      </c>
      <c r="IU3">
        <v>4.6000000001999997</v>
      </c>
      <c r="IV3">
        <v>-25.806451612899998</v>
      </c>
      <c r="IW3">
        <v>9.7999999998000007</v>
      </c>
      <c r="IX3">
        <v>82.1114369501</v>
      </c>
      <c r="IY3">
        <v>8.3000000013000008</v>
      </c>
      <c r="IZ3">
        <v>100.87976539589999</v>
      </c>
      <c r="JA3">
        <v>-29.336886441800001</v>
      </c>
      <c r="JB3">
        <v>0.30320704879999999</v>
      </c>
      <c r="JC3">
        <v>-2.7436780000000003E-4</v>
      </c>
      <c r="JD3">
        <v>5.9090000000000003E-7</v>
      </c>
      <c r="JE3">
        <v>0.28371508220000002</v>
      </c>
      <c r="JF3">
        <v>0.2784841958</v>
      </c>
      <c r="JG3">
        <v>0.1086380173</v>
      </c>
      <c r="JH3">
        <v>104.97156501880001</v>
      </c>
      <c r="JI3">
        <v>3.7648093994999998</v>
      </c>
      <c r="JJ3">
        <v>2.2929602999999998E-3</v>
      </c>
      <c r="JK3">
        <v>-7.1589300000000003E-5</v>
      </c>
      <c r="JL3">
        <v>3.5246628136</v>
      </c>
      <c r="JM3">
        <v>1.6129307574</v>
      </c>
      <c r="JN3">
        <v>0.62128382810000005</v>
      </c>
      <c r="JO3">
        <v>3.2821250000000002</v>
      </c>
      <c r="JP3">
        <v>2.4722500002999999</v>
      </c>
      <c r="JQ3">
        <v>4.1772499998999999</v>
      </c>
      <c r="JR3" s="17" t="s">
        <v>576</v>
      </c>
      <c r="JU3" s="17">
        <v>1</v>
      </c>
    </row>
    <row r="4" spans="1:281">
      <c r="A4" t="s">
        <v>580</v>
      </c>
      <c r="B4" t="s">
        <v>581</v>
      </c>
      <c r="C4" t="s">
        <v>582</v>
      </c>
      <c r="D4" t="s">
        <v>213</v>
      </c>
      <c r="E4">
        <v>3</v>
      </c>
      <c r="F4" t="s">
        <v>214</v>
      </c>
      <c r="G4" t="s">
        <v>215</v>
      </c>
      <c r="H4" t="s">
        <v>575</v>
      </c>
      <c r="I4" t="s">
        <v>217</v>
      </c>
      <c r="K4" t="s">
        <v>240</v>
      </c>
      <c r="L4" t="s">
        <v>241</v>
      </c>
      <c r="M4" t="s">
        <v>242</v>
      </c>
      <c r="N4" t="s">
        <v>243</v>
      </c>
      <c r="O4" t="s">
        <v>244</v>
      </c>
      <c r="P4">
        <v>0</v>
      </c>
      <c r="Q4">
        <v>0</v>
      </c>
      <c r="R4">
        <v>9.9999999300000003E-2</v>
      </c>
      <c r="S4">
        <v>0.20000000039999999</v>
      </c>
      <c r="T4">
        <v>0.20000000039999999</v>
      </c>
      <c r="U4">
        <v>0.20000000039999999</v>
      </c>
      <c r="V4">
        <v>0.20000000039999999</v>
      </c>
      <c r="W4">
        <v>0.20000000039999999</v>
      </c>
      <c r="X4">
        <v>0</v>
      </c>
      <c r="Y4">
        <v>0.29999999970000002</v>
      </c>
      <c r="Z4">
        <v>0.39999999899999999</v>
      </c>
      <c r="AA4">
        <v>0.29999999970000002</v>
      </c>
      <c r="AB4">
        <v>0.20000000039999999</v>
      </c>
      <c r="AC4">
        <v>0.20000000039999999</v>
      </c>
      <c r="AD4">
        <v>0.20000000039999999</v>
      </c>
      <c r="AE4">
        <v>0.39999999899999999</v>
      </c>
      <c r="AF4">
        <v>0.39999999899999999</v>
      </c>
      <c r="AG4">
        <v>0.29999999970000002</v>
      </c>
      <c r="AH4">
        <v>0.29999999970000002</v>
      </c>
      <c r="AI4">
        <v>0.20000000039999999</v>
      </c>
      <c r="AJ4">
        <v>3.4999999988999999</v>
      </c>
      <c r="AK4">
        <v>10.5000000003</v>
      </c>
      <c r="AL4">
        <v>17.8999999989</v>
      </c>
      <c r="AM4">
        <v>24.600000000600001</v>
      </c>
      <c r="AN4">
        <v>32.100000000400001</v>
      </c>
      <c r="AO4">
        <v>39.199999999299997</v>
      </c>
      <c r="AP4">
        <v>46.3</v>
      </c>
      <c r="AQ4">
        <v>54.399999999099997</v>
      </c>
      <c r="AR4">
        <v>62.299999999599997</v>
      </c>
      <c r="AS4">
        <v>70.499999999799996</v>
      </c>
      <c r="AT4">
        <v>77.799999999099995</v>
      </c>
      <c r="AU4">
        <v>85.999999999300002</v>
      </c>
      <c r="AV4">
        <v>93.699999999400006</v>
      </c>
      <c r="AW4">
        <v>101.6999999993</v>
      </c>
      <c r="AX4">
        <v>110.1999999992</v>
      </c>
      <c r="AY4">
        <v>119.09999999990001</v>
      </c>
      <c r="AZ4">
        <v>127.3000000001</v>
      </c>
      <c r="BA4">
        <v>135.2999999999</v>
      </c>
      <c r="BB4">
        <v>143.29999999969999</v>
      </c>
      <c r="BC4">
        <v>151.49999999990001</v>
      </c>
      <c r="BD4">
        <v>159.90000000059999</v>
      </c>
      <c r="BE4">
        <v>168.70000000019999</v>
      </c>
      <c r="BF4">
        <v>177.2000000001</v>
      </c>
      <c r="BG4">
        <v>184.90000000020001</v>
      </c>
      <c r="BH4">
        <v>193.1999999997</v>
      </c>
      <c r="BI4">
        <v>201.19999999949999</v>
      </c>
      <c r="BJ4">
        <v>209.19999999929999</v>
      </c>
      <c r="BK4">
        <v>217.6999999992</v>
      </c>
      <c r="BL4">
        <v>226.3999999996</v>
      </c>
      <c r="BM4">
        <v>234.00000000040001</v>
      </c>
      <c r="BN4">
        <v>241.50000000009999</v>
      </c>
      <c r="BO4">
        <v>249.20000000019999</v>
      </c>
      <c r="BP4">
        <v>256.9000000003</v>
      </c>
      <c r="BQ4">
        <v>264.99999999940002</v>
      </c>
      <c r="BR4">
        <v>272.99999999919999</v>
      </c>
      <c r="BS4">
        <v>280.80000000050001</v>
      </c>
      <c r="BT4">
        <v>287.89999999939999</v>
      </c>
      <c r="BU4">
        <v>295.29999999979998</v>
      </c>
      <c r="BV4">
        <v>302.29999999939997</v>
      </c>
      <c r="BW4">
        <v>309.10000000039997</v>
      </c>
      <c r="BX4">
        <v>316.69999999940001</v>
      </c>
      <c r="BY4">
        <v>324.00000000049999</v>
      </c>
      <c r="BZ4">
        <v>331.09999999939998</v>
      </c>
      <c r="CA4">
        <v>337.79999999929998</v>
      </c>
      <c r="CB4">
        <v>344.10000000029999</v>
      </c>
      <c r="CC4">
        <v>350.89999999949998</v>
      </c>
      <c r="CD4">
        <v>356.9000000007</v>
      </c>
      <c r="CE4">
        <v>363.29999999910001</v>
      </c>
      <c r="CF4">
        <v>369.99999999900001</v>
      </c>
      <c r="CG4">
        <v>376.39999999920002</v>
      </c>
      <c r="CH4">
        <v>382.49999999969998</v>
      </c>
      <c r="CI4">
        <v>388.6000000002</v>
      </c>
      <c r="CJ4">
        <v>394.39999999920002</v>
      </c>
      <c r="CK4">
        <v>400.2</v>
      </c>
      <c r="CL4">
        <v>405.69999999930002</v>
      </c>
      <c r="CM4">
        <v>411.00000000009999</v>
      </c>
      <c r="CN4">
        <v>416.79999999910001</v>
      </c>
      <c r="CO4">
        <v>422.50000000059998</v>
      </c>
      <c r="CP4">
        <v>428.2999999996</v>
      </c>
      <c r="CQ4">
        <v>433.69999999959998</v>
      </c>
      <c r="CR4">
        <v>438.50000000019998</v>
      </c>
      <c r="CS4">
        <v>443.49999999940002</v>
      </c>
      <c r="CT4">
        <v>449.00000000049999</v>
      </c>
      <c r="CU4">
        <v>451.69999999959998</v>
      </c>
      <c r="CV4">
        <v>451.49999999919999</v>
      </c>
      <c r="CW4">
        <v>451.60000000029999</v>
      </c>
      <c r="CX4">
        <v>451.79999999889998</v>
      </c>
      <c r="CY4">
        <v>451.60000000029999</v>
      </c>
      <c r="CZ4">
        <v>451.60000000029999</v>
      </c>
      <c r="DA4">
        <v>451.69999999959998</v>
      </c>
      <c r="DB4">
        <v>451.69999999959998</v>
      </c>
      <c r="DC4">
        <v>451.60000000029999</v>
      </c>
      <c r="DD4">
        <v>451.79999999889998</v>
      </c>
      <c r="DE4">
        <v>451.69999999959998</v>
      </c>
      <c r="DF4">
        <v>451.69999999959998</v>
      </c>
      <c r="DG4">
        <v>451.60000000029999</v>
      </c>
      <c r="DH4">
        <v>0.7000000005</v>
      </c>
      <c r="DI4">
        <v>1.0000000002</v>
      </c>
      <c r="DJ4">
        <v>1.0999999995</v>
      </c>
      <c r="DK4">
        <v>1.0999999995</v>
      </c>
      <c r="DL4">
        <v>0.89999999909999995</v>
      </c>
      <c r="DM4">
        <v>0.89999999909999995</v>
      </c>
      <c r="DN4">
        <v>1.0000000002</v>
      </c>
      <c r="DO4">
        <v>0.89999999909999995</v>
      </c>
      <c r="DP4">
        <v>0.89999999909999995</v>
      </c>
      <c r="DQ4">
        <v>0.79999999980000003</v>
      </c>
      <c r="DR4">
        <v>1.0000000002</v>
      </c>
      <c r="DS4">
        <v>1.0999999995</v>
      </c>
      <c r="DT4">
        <v>0.89999999909999995</v>
      </c>
      <c r="DU4">
        <v>1.0999999995</v>
      </c>
      <c r="DV4">
        <v>1.0000000002</v>
      </c>
      <c r="DW4">
        <v>1.0000000002</v>
      </c>
      <c r="DX4">
        <v>0.89999999909999995</v>
      </c>
      <c r="DY4">
        <v>1.0999999995</v>
      </c>
      <c r="DZ4">
        <v>7.2</v>
      </c>
      <c r="EA4">
        <v>14.699999999699999</v>
      </c>
      <c r="EB4">
        <v>21.699999999300001</v>
      </c>
      <c r="EC4">
        <v>28.699999998900001</v>
      </c>
      <c r="ED4">
        <v>36.099999999399998</v>
      </c>
      <c r="EE4">
        <v>43.099999998999998</v>
      </c>
      <c r="EF4">
        <v>50.799999999100002</v>
      </c>
      <c r="EG4">
        <v>58.6000000003</v>
      </c>
      <c r="EH4">
        <v>67.100000000199998</v>
      </c>
      <c r="EI4">
        <v>74.500000000599996</v>
      </c>
      <c r="EJ4">
        <v>82.099999999600001</v>
      </c>
      <c r="EK4">
        <v>89.899999999000002</v>
      </c>
      <c r="EL4">
        <v>97.400000000600002</v>
      </c>
      <c r="EM4">
        <v>105.9000000005</v>
      </c>
      <c r="EN4">
        <v>114.599999999</v>
      </c>
      <c r="EO4">
        <v>123.7000000001</v>
      </c>
      <c r="EP4">
        <v>131.49999999950001</v>
      </c>
      <c r="EQ4">
        <v>139.99999999939999</v>
      </c>
      <c r="ER4">
        <v>147.6000000002</v>
      </c>
      <c r="ES4">
        <v>156.19999999940001</v>
      </c>
      <c r="ET4">
        <v>164.80000000050001</v>
      </c>
      <c r="EU4">
        <v>173.80000000050001</v>
      </c>
      <c r="EV4">
        <v>181.8000000003</v>
      </c>
      <c r="EW4">
        <v>190.19999999909999</v>
      </c>
      <c r="EX4">
        <v>198.09999999959999</v>
      </c>
      <c r="EY4">
        <v>206.3999999991</v>
      </c>
      <c r="EZ4">
        <v>214.7000000004</v>
      </c>
      <c r="FA4">
        <v>223.3999999989</v>
      </c>
      <c r="FB4">
        <v>231.59999999920001</v>
      </c>
      <c r="FC4">
        <v>239.7000000001</v>
      </c>
      <c r="FD4">
        <v>247.40000000020001</v>
      </c>
      <c r="FE4">
        <v>254.99999999920001</v>
      </c>
      <c r="FF4">
        <v>263.30000000050001</v>
      </c>
      <c r="FG4">
        <v>271.19999999919997</v>
      </c>
      <c r="FH4">
        <v>279.59999999979999</v>
      </c>
      <c r="FI4">
        <v>287.00000000030002</v>
      </c>
      <c r="FJ4">
        <v>294.4000000007</v>
      </c>
      <c r="FK4">
        <v>301.59999999889999</v>
      </c>
      <c r="FL4">
        <v>308.39999999989999</v>
      </c>
      <c r="FM4">
        <v>316.49999999900001</v>
      </c>
      <c r="FN4">
        <v>323.8000000001</v>
      </c>
      <c r="FO4">
        <v>331.29999999979998</v>
      </c>
      <c r="FP4">
        <v>338.09999999899998</v>
      </c>
      <c r="FQ4">
        <v>344.79999999889998</v>
      </c>
      <c r="FR4">
        <v>351.69999999930002</v>
      </c>
      <c r="FS4">
        <v>357.89999999909998</v>
      </c>
      <c r="FT4">
        <v>364.49999999969998</v>
      </c>
      <c r="FU4">
        <v>371.10000000029999</v>
      </c>
      <c r="FV4">
        <v>377.69999999909999</v>
      </c>
      <c r="FW4">
        <v>384.0999999993</v>
      </c>
      <c r="FX4">
        <v>390.29999999910001</v>
      </c>
      <c r="FY4">
        <v>396.30000000029997</v>
      </c>
      <c r="FZ4">
        <v>402</v>
      </c>
      <c r="GA4">
        <v>407.40000000010002</v>
      </c>
      <c r="GB4">
        <v>413.09999999979999</v>
      </c>
      <c r="GC4">
        <v>418.90000000060002</v>
      </c>
      <c r="GD4">
        <v>424.49999999919999</v>
      </c>
      <c r="GE4">
        <v>429.89999999920002</v>
      </c>
      <c r="GF4">
        <v>434.90000000020001</v>
      </c>
      <c r="GG4">
        <v>439.19999999890001</v>
      </c>
      <c r="GH4">
        <v>443.90000000020001</v>
      </c>
      <c r="GI4">
        <v>449.00000000049999</v>
      </c>
      <c r="GJ4">
        <v>451.30000000059999</v>
      </c>
      <c r="GK4">
        <v>451.30000000059999</v>
      </c>
      <c r="GL4">
        <v>451.49999999919999</v>
      </c>
      <c r="GM4">
        <v>451.39999999989999</v>
      </c>
      <c r="GN4">
        <v>451.49999999919999</v>
      </c>
      <c r="GO4">
        <v>451.49999999919999</v>
      </c>
      <c r="GP4">
        <v>451.49999999919999</v>
      </c>
      <c r="GQ4">
        <v>451.60000000029999</v>
      </c>
      <c r="GR4">
        <v>451.60000000029999</v>
      </c>
      <c r="GS4">
        <v>451.69999999959998</v>
      </c>
      <c r="GT4">
        <v>451.60000000029999</v>
      </c>
      <c r="GU4">
        <v>451.69999999959998</v>
      </c>
      <c r="GV4">
        <v>451.39999999989999</v>
      </c>
      <c r="GW4">
        <v>451.49999999919999</v>
      </c>
      <c r="GX4">
        <v>1</v>
      </c>
      <c r="GY4">
        <v>111.69999999949999</v>
      </c>
      <c r="GZ4">
        <v>110.1999999992</v>
      </c>
      <c r="HA4">
        <v>110.1999999992</v>
      </c>
      <c r="HB4">
        <v>114.599999999</v>
      </c>
      <c r="HC4">
        <v>111.2948859854</v>
      </c>
      <c r="HD4">
        <v>-4.3999999998000003</v>
      </c>
      <c r="HE4">
        <v>451.50003320709999</v>
      </c>
      <c r="HF4">
        <v>301.11213194660002</v>
      </c>
      <c r="HG4">
        <v>93.228315253700003</v>
      </c>
      <c r="HH4">
        <v>451.79999999889998</v>
      </c>
      <c r="HI4">
        <v>451.69999999959998</v>
      </c>
      <c r="HJ4">
        <v>451.79999999889998</v>
      </c>
      <c r="HK4">
        <v>451.69999999959998</v>
      </c>
      <c r="HL4">
        <v>112.6099706745</v>
      </c>
      <c r="HM4">
        <v>3.3332948240000002</v>
      </c>
      <c r="HN4">
        <v>3.2449742063000002</v>
      </c>
      <c r="HO4">
        <v>3.3109559748000001</v>
      </c>
      <c r="HP4">
        <v>3.1775234666999999</v>
      </c>
      <c r="HQ4">
        <v>3.5146913692999999</v>
      </c>
      <c r="HR4">
        <v>2.2681304627999999</v>
      </c>
      <c r="HS4">
        <v>18.066570731700001</v>
      </c>
      <c r="HT4">
        <v>-28.152492668600001</v>
      </c>
      <c r="HU4">
        <v>-192</v>
      </c>
      <c r="HV4">
        <v>412.40701793199997</v>
      </c>
      <c r="HW4">
        <v>93.841642228699996</v>
      </c>
      <c r="HX4">
        <v>640</v>
      </c>
      <c r="HY4">
        <v>18.066570731700001</v>
      </c>
      <c r="HZ4">
        <v>-28.152492668600001</v>
      </c>
      <c r="IA4">
        <v>-192</v>
      </c>
      <c r="IB4">
        <v>412.40701793199997</v>
      </c>
      <c r="IC4">
        <v>93.841642228699996</v>
      </c>
      <c r="ID4">
        <v>640</v>
      </c>
      <c r="IE4">
        <v>39.292982067600001</v>
      </c>
      <c r="IF4">
        <v>0.3007969888</v>
      </c>
      <c r="IG4">
        <v>-37.536656891500002</v>
      </c>
      <c r="IH4">
        <v>-256</v>
      </c>
      <c r="II4">
        <v>434.60630949760002</v>
      </c>
      <c r="IJ4">
        <v>103.22580645159999</v>
      </c>
      <c r="IK4">
        <v>704</v>
      </c>
      <c r="IL4">
        <v>394.34044720029999</v>
      </c>
      <c r="IM4">
        <v>121.9941348974</v>
      </c>
      <c r="IN4">
        <v>420.42687624550001</v>
      </c>
      <c r="IO4">
        <v>131.37829912020001</v>
      </c>
      <c r="IP4">
        <v>7.4999999997</v>
      </c>
      <c r="IQ4">
        <v>5.7999999989999997</v>
      </c>
      <c r="IR4">
        <v>9.1000000010999997</v>
      </c>
      <c r="IS4">
        <v>5.8299992316999996</v>
      </c>
      <c r="IT4">
        <v>5.8299992316999996</v>
      </c>
      <c r="IU4">
        <v>4.1999999994000001</v>
      </c>
      <c r="IV4">
        <v>-30.4985337243</v>
      </c>
      <c r="IW4">
        <v>7.9000000005000004</v>
      </c>
      <c r="IX4">
        <v>96.187683284499997</v>
      </c>
      <c r="IY4">
        <v>7.3999999986000002</v>
      </c>
      <c r="IZ4">
        <v>100.87976539589999</v>
      </c>
      <c r="JA4">
        <v>-33.907125541500001</v>
      </c>
      <c r="JB4">
        <v>0.33364251290000002</v>
      </c>
      <c r="JC4">
        <v>-3.3620269999999999E-4</v>
      </c>
      <c r="JD4">
        <v>6.7159999999999995E-7</v>
      </c>
      <c r="JE4">
        <v>0.30000346589999999</v>
      </c>
      <c r="JF4">
        <v>0.2259783121</v>
      </c>
      <c r="JG4">
        <v>0.106111776</v>
      </c>
      <c r="JH4">
        <v>111.83032286620001</v>
      </c>
      <c r="JI4">
        <v>3.5146913692999999</v>
      </c>
      <c r="JJ4">
        <v>3.0736098E-3</v>
      </c>
      <c r="JK4">
        <v>-6.9020099999999993E-5</v>
      </c>
      <c r="JL4">
        <v>3.3332948240000002</v>
      </c>
      <c r="JM4">
        <v>1.2075222628</v>
      </c>
      <c r="JN4">
        <v>0.48655246340000002</v>
      </c>
      <c r="JO4">
        <v>3.1968749998999999</v>
      </c>
      <c r="JP4">
        <v>2.4722499995999998</v>
      </c>
      <c r="JQ4">
        <v>3.8788750004999999</v>
      </c>
      <c r="JR4" s="17" t="s">
        <v>576</v>
      </c>
      <c r="JU4" s="17">
        <v>1</v>
      </c>
    </row>
    <row r="5" spans="1:281">
      <c r="A5" t="s">
        <v>599</v>
      </c>
      <c r="B5" t="s">
        <v>600</v>
      </c>
      <c r="C5" t="s">
        <v>601</v>
      </c>
      <c r="D5" t="s">
        <v>213</v>
      </c>
      <c r="E5">
        <v>3</v>
      </c>
      <c r="F5" t="s">
        <v>214</v>
      </c>
      <c r="G5" t="s">
        <v>215</v>
      </c>
      <c r="H5" t="s">
        <v>575</v>
      </c>
      <c r="I5" t="s">
        <v>217</v>
      </c>
      <c r="K5" t="s">
        <v>248</v>
      </c>
      <c r="L5" t="s">
        <v>249</v>
      </c>
      <c r="M5" t="s">
        <v>250</v>
      </c>
      <c r="N5" t="s">
        <v>251</v>
      </c>
      <c r="O5" t="s">
        <v>252</v>
      </c>
      <c r="P5">
        <v>0</v>
      </c>
      <c r="Q5">
        <v>0</v>
      </c>
      <c r="R5">
        <v>6.9000000003000004</v>
      </c>
      <c r="S5">
        <v>7.0000000014000001</v>
      </c>
      <c r="T5">
        <v>7.0000000014000001</v>
      </c>
      <c r="U5">
        <v>7.0000000014000001</v>
      </c>
      <c r="V5">
        <v>7.0000000014000001</v>
      </c>
      <c r="W5">
        <v>7.0000000014000001</v>
      </c>
      <c r="X5">
        <v>7.0000000014000001</v>
      </c>
      <c r="Y5">
        <v>6.9000000003000004</v>
      </c>
      <c r="Z5">
        <v>6.7000000017000003</v>
      </c>
      <c r="AA5">
        <v>6.8000000009999999</v>
      </c>
      <c r="AB5">
        <v>6.6000000005999997</v>
      </c>
      <c r="AC5">
        <v>6.2000000016000003</v>
      </c>
      <c r="AD5">
        <v>5.4</v>
      </c>
      <c r="AE5">
        <v>5.0000000010000001</v>
      </c>
      <c r="AF5">
        <v>3.8000000003999999</v>
      </c>
      <c r="AG5">
        <v>3.0000000006</v>
      </c>
      <c r="AH5">
        <v>2.1000000015000002</v>
      </c>
      <c r="AI5">
        <v>0.90000000089999999</v>
      </c>
      <c r="AJ5">
        <v>0</v>
      </c>
      <c r="AK5">
        <v>1.9000000011</v>
      </c>
      <c r="AL5">
        <v>8.6000000009999997</v>
      </c>
      <c r="AM5">
        <v>16.300000001099999</v>
      </c>
      <c r="AN5">
        <v>24.000000001299998</v>
      </c>
      <c r="AO5">
        <v>31.700000001399999</v>
      </c>
      <c r="AP5">
        <v>39.600000000100003</v>
      </c>
      <c r="AQ5">
        <v>47.500000000599996</v>
      </c>
      <c r="AR5">
        <v>56.000000000500002</v>
      </c>
      <c r="AS5">
        <v>63.800000001699999</v>
      </c>
      <c r="AT5">
        <v>72.100000001200002</v>
      </c>
      <c r="AU5">
        <v>81.200000000499998</v>
      </c>
      <c r="AV5">
        <v>89.5</v>
      </c>
      <c r="AW5">
        <v>98</v>
      </c>
      <c r="AX5">
        <v>107.7000000005</v>
      </c>
      <c r="AY5">
        <v>117.1000000013</v>
      </c>
      <c r="AZ5">
        <v>125.8000000016</v>
      </c>
      <c r="BA5">
        <v>135.0000000002</v>
      </c>
      <c r="BB5">
        <v>143.70000000050001</v>
      </c>
      <c r="BC5">
        <v>151.49999999990001</v>
      </c>
      <c r="BD5">
        <v>161.00000000009999</v>
      </c>
      <c r="BE5">
        <v>169.8000000015</v>
      </c>
      <c r="BF5">
        <v>178.10000000100001</v>
      </c>
      <c r="BG5">
        <v>187.30000000140001</v>
      </c>
      <c r="BH5">
        <v>195.70000000019999</v>
      </c>
      <c r="BI5">
        <v>203.90000000040001</v>
      </c>
      <c r="BJ5">
        <v>212.30000000109999</v>
      </c>
      <c r="BK5">
        <v>221.50000000150001</v>
      </c>
      <c r="BL5">
        <v>229.50000000130001</v>
      </c>
      <c r="BM5">
        <v>238.10000000049999</v>
      </c>
      <c r="BN5">
        <v>246.00000000099999</v>
      </c>
      <c r="BO5">
        <v>254.00000000079999</v>
      </c>
      <c r="BP5">
        <v>262.20000000099998</v>
      </c>
      <c r="BQ5">
        <v>270.4000000012</v>
      </c>
      <c r="BR5">
        <v>278.60000000150001</v>
      </c>
      <c r="BS5">
        <v>286.20000000049998</v>
      </c>
      <c r="BT5">
        <v>294.6000000011</v>
      </c>
      <c r="BU5">
        <v>302.00000000149998</v>
      </c>
      <c r="BV5">
        <v>309.00000000109998</v>
      </c>
      <c r="BW5">
        <v>316.50000000080001</v>
      </c>
      <c r="BX5">
        <v>324.40000000129999</v>
      </c>
      <c r="BY5">
        <v>331.40000000089998</v>
      </c>
      <c r="BZ5">
        <v>338.80000000140001</v>
      </c>
      <c r="CA5">
        <v>345.9000000003</v>
      </c>
      <c r="CB5">
        <v>352.6000000002</v>
      </c>
      <c r="CC5">
        <v>359.50000000049999</v>
      </c>
      <c r="CD5">
        <v>365.70000000030001</v>
      </c>
      <c r="CE5">
        <v>372.20000000160002</v>
      </c>
      <c r="CF5">
        <v>379.30000000050001</v>
      </c>
      <c r="CG5">
        <v>385.70000000070002</v>
      </c>
      <c r="CH5">
        <v>392.00000000159997</v>
      </c>
      <c r="CI5">
        <v>398.4</v>
      </c>
      <c r="CJ5">
        <v>404.50000000059998</v>
      </c>
      <c r="CK5">
        <v>410.4000000007</v>
      </c>
      <c r="CL5">
        <v>416.30000000080003</v>
      </c>
      <c r="CM5">
        <v>421.8000000001</v>
      </c>
      <c r="CN5">
        <v>427.60000000090002</v>
      </c>
      <c r="CO5">
        <v>432.40000000150002</v>
      </c>
      <c r="CP5">
        <v>433.50000000099999</v>
      </c>
      <c r="CQ5">
        <v>434.30000000080003</v>
      </c>
      <c r="CR5">
        <v>434.80000000090001</v>
      </c>
      <c r="CS5">
        <v>434.80000000090001</v>
      </c>
      <c r="CT5">
        <v>434.70000000160002</v>
      </c>
      <c r="CU5">
        <v>434.80000000090001</v>
      </c>
      <c r="CV5">
        <v>434.90000000020001</v>
      </c>
      <c r="CW5">
        <v>434.80000000090001</v>
      </c>
      <c r="CX5">
        <v>434.90000000020001</v>
      </c>
      <c r="CY5">
        <v>434.90000000020001</v>
      </c>
      <c r="CZ5">
        <v>434.90000000020001</v>
      </c>
      <c r="DA5">
        <v>435.00000000130001</v>
      </c>
      <c r="DB5">
        <v>434.80000000090001</v>
      </c>
      <c r="DC5">
        <v>434.80000000090001</v>
      </c>
      <c r="DD5">
        <v>434.80000000090001</v>
      </c>
      <c r="DE5">
        <v>434.80000000090001</v>
      </c>
      <c r="DF5">
        <v>435.00000000130001</v>
      </c>
      <c r="DG5">
        <v>434.90000000020001</v>
      </c>
      <c r="DH5">
        <v>7.7000000001000002</v>
      </c>
      <c r="DI5">
        <v>7.8000000011999999</v>
      </c>
      <c r="DJ5">
        <v>7.7000000001000002</v>
      </c>
      <c r="DK5">
        <v>7.7000000001000002</v>
      </c>
      <c r="DL5">
        <v>7.7000000001000002</v>
      </c>
      <c r="DM5">
        <v>7.7000000001000002</v>
      </c>
      <c r="DN5">
        <v>7.7000000001000002</v>
      </c>
      <c r="DO5">
        <v>7.5000000015000001</v>
      </c>
      <c r="DP5">
        <v>7.6000000007999997</v>
      </c>
      <c r="DQ5">
        <v>7.6000000007999997</v>
      </c>
      <c r="DR5">
        <v>7.3000000010999999</v>
      </c>
      <c r="DS5">
        <v>6.8000000009999999</v>
      </c>
      <c r="DT5">
        <v>5.9000000001000004</v>
      </c>
      <c r="DU5">
        <v>5.2000000014000003</v>
      </c>
      <c r="DV5">
        <v>4.3000000004999999</v>
      </c>
      <c r="DW5">
        <v>3.1000000016999998</v>
      </c>
      <c r="DX5">
        <v>2.1000000015000002</v>
      </c>
      <c r="DY5">
        <v>1.0000000002</v>
      </c>
      <c r="DZ5">
        <v>0</v>
      </c>
      <c r="EA5">
        <v>6.0000000012000001</v>
      </c>
      <c r="EB5">
        <v>13.4000000016</v>
      </c>
      <c r="EC5">
        <v>21.100000001800002</v>
      </c>
      <c r="ED5">
        <v>28.8</v>
      </c>
      <c r="EE5">
        <v>36.600000001300003</v>
      </c>
      <c r="EF5">
        <v>44.6000000011</v>
      </c>
      <c r="EG5">
        <v>53.000000001700002</v>
      </c>
      <c r="EH5">
        <v>61.000000001499998</v>
      </c>
      <c r="EI5">
        <v>68.900000000199995</v>
      </c>
      <c r="EJ5">
        <v>77.600000000500003</v>
      </c>
      <c r="EK5">
        <v>86.100000000400001</v>
      </c>
      <c r="EL5">
        <v>94.200000001399999</v>
      </c>
      <c r="EM5">
        <v>103.4</v>
      </c>
      <c r="EN5">
        <v>112.8000000008</v>
      </c>
      <c r="EO5">
        <v>122.00000000119999</v>
      </c>
      <c r="EP5">
        <v>131.00000000119999</v>
      </c>
      <c r="EQ5">
        <v>139.90000000009999</v>
      </c>
      <c r="ER5">
        <v>148.6000000004</v>
      </c>
      <c r="ES5">
        <v>157.40000000009999</v>
      </c>
      <c r="ET5">
        <v>166.40000000009999</v>
      </c>
      <c r="EU5">
        <v>174.60000000030001</v>
      </c>
      <c r="EV5">
        <v>183.80000000070001</v>
      </c>
      <c r="EW5">
        <v>193.00000000110001</v>
      </c>
      <c r="EX5">
        <v>200.90000000160001</v>
      </c>
      <c r="EY5">
        <v>209.60000000010001</v>
      </c>
      <c r="EZ5">
        <v>218.7000000013</v>
      </c>
      <c r="FA5">
        <v>226.70000000109999</v>
      </c>
      <c r="FB5">
        <v>235.3000000003</v>
      </c>
      <c r="FC5">
        <v>244.4000000014</v>
      </c>
      <c r="FD5">
        <v>251.60000000139999</v>
      </c>
      <c r="FE5">
        <v>260.00000000019998</v>
      </c>
      <c r="FF5">
        <v>268.3000000015</v>
      </c>
      <c r="FG5">
        <v>277</v>
      </c>
      <c r="FH5">
        <v>284.70000000020002</v>
      </c>
      <c r="FI5">
        <v>293.30000000119998</v>
      </c>
      <c r="FJ5">
        <v>300.70000000160002</v>
      </c>
      <c r="FK5">
        <v>308.30000000059999</v>
      </c>
      <c r="FL5">
        <v>315.80000000029997</v>
      </c>
      <c r="FM5">
        <v>324.10000000159999</v>
      </c>
      <c r="FN5">
        <v>331.30000000159998</v>
      </c>
      <c r="FO5">
        <v>338.60000000100001</v>
      </c>
      <c r="FP5">
        <v>345.9000000003</v>
      </c>
      <c r="FQ5">
        <v>352.90000000169999</v>
      </c>
      <c r="FR5">
        <v>359.60000000159999</v>
      </c>
      <c r="FS5">
        <v>366.2000000004</v>
      </c>
      <c r="FT5">
        <v>373.0000000014</v>
      </c>
      <c r="FU5">
        <v>380.20000000139999</v>
      </c>
      <c r="FV5">
        <v>386.50000000049999</v>
      </c>
      <c r="FW5">
        <v>392.9000000007</v>
      </c>
      <c r="FX5">
        <v>399.5000000014</v>
      </c>
      <c r="FY5">
        <v>405.40000000150002</v>
      </c>
      <c r="FZ5">
        <v>411.30000000159998</v>
      </c>
      <c r="GA5">
        <v>417.00000000130001</v>
      </c>
      <c r="GB5">
        <v>422.60000000169998</v>
      </c>
      <c r="GC5">
        <v>428.7000000004</v>
      </c>
      <c r="GD5">
        <v>432.70000000120001</v>
      </c>
      <c r="GE5">
        <v>433.70000000139999</v>
      </c>
      <c r="GF5">
        <v>434.30000000080003</v>
      </c>
      <c r="GG5">
        <v>434.70000000160002</v>
      </c>
      <c r="GH5">
        <v>434.70000000160002</v>
      </c>
      <c r="GI5">
        <v>434.90000000020001</v>
      </c>
      <c r="GJ5">
        <v>434.80000000090001</v>
      </c>
      <c r="GK5">
        <v>434.80000000090001</v>
      </c>
      <c r="GL5">
        <v>434.90000000020001</v>
      </c>
      <c r="GM5">
        <v>434.70000000160002</v>
      </c>
      <c r="GN5">
        <v>435.00000000130001</v>
      </c>
      <c r="GO5">
        <v>434.70000000160002</v>
      </c>
      <c r="GP5">
        <v>434.90000000020001</v>
      </c>
      <c r="GQ5">
        <v>434.90000000020001</v>
      </c>
      <c r="GR5">
        <v>434.80000000090001</v>
      </c>
      <c r="GS5">
        <v>434.90000000020001</v>
      </c>
      <c r="GT5">
        <v>435.00000000130001</v>
      </c>
      <c r="GU5">
        <v>434.90000000020001</v>
      </c>
      <c r="GV5">
        <v>434.90000000020001</v>
      </c>
      <c r="GW5">
        <v>435.00000000130001</v>
      </c>
      <c r="GX5">
        <v>1</v>
      </c>
      <c r="GY5">
        <v>102.6000000002</v>
      </c>
      <c r="GZ5">
        <v>107.7000000005</v>
      </c>
      <c r="HA5">
        <v>107.7000000005</v>
      </c>
      <c r="HB5">
        <v>112.8000000008</v>
      </c>
      <c r="HC5">
        <v>108.9927347977</v>
      </c>
      <c r="HD5">
        <v>-5.1000000002999997</v>
      </c>
      <c r="HE5">
        <v>435.00000000130001</v>
      </c>
      <c r="HF5">
        <v>295.8753649853</v>
      </c>
      <c r="HG5">
        <v>92.486366248400003</v>
      </c>
      <c r="HH5">
        <v>435.00000000130001</v>
      </c>
      <c r="HI5">
        <v>435.00000000130001</v>
      </c>
      <c r="HJ5">
        <v>435.00000000130001</v>
      </c>
      <c r="HK5">
        <v>435.00000000130001</v>
      </c>
      <c r="HL5">
        <v>103.22580645159999</v>
      </c>
      <c r="HM5">
        <v>3.5388170768</v>
      </c>
      <c r="HN5">
        <v>3.462312593</v>
      </c>
      <c r="HO5">
        <v>3.5054636255</v>
      </c>
      <c r="HP5">
        <v>3.5093573482</v>
      </c>
      <c r="HQ5">
        <v>3.7548106346000001</v>
      </c>
      <c r="HR5">
        <v>2.4995757338</v>
      </c>
      <c r="HS5">
        <v>16.506368549299999</v>
      </c>
      <c r="HT5">
        <v>-25.806451612899998</v>
      </c>
      <c r="HU5">
        <v>-176</v>
      </c>
      <c r="HV5">
        <v>404.8680997829</v>
      </c>
      <c r="HW5">
        <v>86.803519061599999</v>
      </c>
      <c r="HX5">
        <v>592</v>
      </c>
      <c r="HY5">
        <v>16.506368549299999</v>
      </c>
      <c r="HZ5">
        <v>-25.806451612899998</v>
      </c>
      <c r="IA5">
        <v>-176</v>
      </c>
      <c r="IB5">
        <v>404.8680997829</v>
      </c>
      <c r="IC5">
        <v>86.803519061599999</v>
      </c>
      <c r="ID5">
        <v>592</v>
      </c>
      <c r="IE5">
        <v>30.131900218399998</v>
      </c>
      <c r="IF5">
        <v>0.90021841680000003</v>
      </c>
      <c r="IG5">
        <v>-35.190615835800003</v>
      </c>
      <c r="IH5">
        <v>-240</v>
      </c>
      <c r="II5">
        <v>428.5461202441</v>
      </c>
      <c r="IJ5">
        <v>96.187683284499997</v>
      </c>
      <c r="IK5">
        <v>656</v>
      </c>
      <c r="IL5">
        <v>388.36173123370003</v>
      </c>
      <c r="IM5">
        <v>112.6099706745</v>
      </c>
      <c r="IN5">
        <v>414.74031497890002</v>
      </c>
      <c r="IO5">
        <v>121.9941348974</v>
      </c>
      <c r="IP5">
        <v>7.7000000001000002</v>
      </c>
      <c r="IQ5">
        <v>6.0999999987000004</v>
      </c>
      <c r="IR5">
        <v>9.7000000004999993</v>
      </c>
      <c r="IS5">
        <v>6.1875675177999998</v>
      </c>
      <c r="IT5">
        <v>6.1875675177999998</v>
      </c>
      <c r="IU5">
        <v>4.8000000005999999</v>
      </c>
      <c r="IV5">
        <v>-28.152492668600001</v>
      </c>
      <c r="IW5">
        <v>7.9999999998</v>
      </c>
      <c r="IX5">
        <v>77.419354838700002</v>
      </c>
      <c r="IY5">
        <v>6.9000000003000004</v>
      </c>
      <c r="IZ5">
        <v>96.187683284499997</v>
      </c>
      <c r="JA5">
        <v>-30.469779341100001</v>
      </c>
      <c r="JB5">
        <v>0.30065085060000002</v>
      </c>
      <c r="JC5">
        <v>-2.5291730000000001E-4</v>
      </c>
      <c r="JD5">
        <v>5.5649999999999999E-7</v>
      </c>
      <c r="JE5">
        <v>0.28258030249999999</v>
      </c>
      <c r="JF5">
        <v>0.25672994799999999</v>
      </c>
      <c r="JG5">
        <v>0.12477112780000001</v>
      </c>
      <c r="JH5">
        <v>109.36597594360001</v>
      </c>
      <c r="JI5">
        <v>3.7548106346000001</v>
      </c>
      <c r="JJ5">
        <v>2.0088702999999999E-3</v>
      </c>
      <c r="JK5">
        <v>-7.0958700000000002E-5</v>
      </c>
      <c r="JL5">
        <v>3.5388170768</v>
      </c>
      <c r="JM5">
        <v>1.4813543486</v>
      </c>
      <c r="JN5">
        <v>0.61071876869999997</v>
      </c>
      <c r="JO5">
        <v>3.2821250000000002</v>
      </c>
      <c r="JP5">
        <v>2.6001249994000002</v>
      </c>
      <c r="JQ5">
        <v>4.1346250001999998</v>
      </c>
      <c r="JR5" s="17" t="s">
        <v>576</v>
      </c>
      <c r="JU5" s="17">
        <v>1</v>
      </c>
    </row>
    <row r="6" spans="1:281">
      <c r="A6" t="s">
        <v>602</v>
      </c>
      <c r="B6" t="s">
        <v>603</v>
      </c>
      <c r="C6" t="s">
        <v>604</v>
      </c>
      <c r="D6" t="s">
        <v>213</v>
      </c>
      <c r="E6">
        <v>3</v>
      </c>
      <c r="F6" t="s">
        <v>214</v>
      </c>
      <c r="G6" t="s">
        <v>215</v>
      </c>
      <c r="H6" t="s">
        <v>575</v>
      </c>
      <c r="I6" t="s">
        <v>217</v>
      </c>
      <c r="K6" t="s">
        <v>586</v>
      </c>
      <c r="L6" t="s">
        <v>587</v>
      </c>
      <c r="M6" t="s">
        <v>588</v>
      </c>
      <c r="N6" t="s">
        <v>589</v>
      </c>
      <c r="O6" t="s">
        <v>590</v>
      </c>
      <c r="P6">
        <v>0</v>
      </c>
      <c r="Q6">
        <v>0</v>
      </c>
      <c r="R6">
        <v>0</v>
      </c>
      <c r="S6">
        <v>0.60000000119999997</v>
      </c>
      <c r="T6">
        <v>0.50000000010000001</v>
      </c>
      <c r="U6">
        <v>0.90000000089999999</v>
      </c>
      <c r="V6">
        <v>0.79999999980000003</v>
      </c>
      <c r="W6">
        <v>0.79999999980000003</v>
      </c>
      <c r="X6">
        <v>1.0000000002</v>
      </c>
      <c r="Y6">
        <v>1.0999999995</v>
      </c>
      <c r="Z6">
        <v>1.0999999995</v>
      </c>
      <c r="AA6">
        <v>1.0999999995</v>
      </c>
      <c r="AB6">
        <v>1.0999999995</v>
      </c>
      <c r="AC6">
        <v>1.0999999995</v>
      </c>
      <c r="AD6">
        <v>1.2000000006</v>
      </c>
      <c r="AE6">
        <v>1.2000000006</v>
      </c>
      <c r="AF6">
        <v>1.400000001</v>
      </c>
      <c r="AG6">
        <v>1.400000001</v>
      </c>
      <c r="AH6">
        <v>1.5999999996000001</v>
      </c>
      <c r="AI6">
        <v>1.7000000007</v>
      </c>
      <c r="AJ6">
        <v>3.5000000007000001</v>
      </c>
      <c r="AK6">
        <v>6.1000000004999997</v>
      </c>
      <c r="AL6">
        <v>14.1000000003</v>
      </c>
      <c r="AM6">
        <v>21.300000000299999</v>
      </c>
      <c r="AN6">
        <v>28.0999999995</v>
      </c>
      <c r="AO6">
        <v>35.700000000400003</v>
      </c>
      <c r="AP6">
        <v>43.499999999800004</v>
      </c>
      <c r="AQ6">
        <v>51.199999999900001</v>
      </c>
      <c r="AR6">
        <v>59.100000000400001</v>
      </c>
      <c r="AS6">
        <v>67.900000000000006</v>
      </c>
      <c r="AT6">
        <v>75.800000000500006</v>
      </c>
      <c r="AU6">
        <v>83.099999999800005</v>
      </c>
      <c r="AV6">
        <v>91.599999999700003</v>
      </c>
      <c r="AW6">
        <v>99.8</v>
      </c>
      <c r="AX6">
        <v>108.5999999996</v>
      </c>
      <c r="AY6">
        <v>118.0999999997</v>
      </c>
      <c r="AZ6">
        <v>126.8</v>
      </c>
      <c r="BA6">
        <v>134.79999999980001</v>
      </c>
      <c r="BB6">
        <v>143.29999999969999</v>
      </c>
      <c r="BC6">
        <v>151.6000000011</v>
      </c>
      <c r="BD6">
        <v>160.20000000030001</v>
      </c>
      <c r="BE6">
        <v>168.99999999990001</v>
      </c>
      <c r="BF6">
        <v>177.70000000019999</v>
      </c>
      <c r="BG6">
        <v>185.7</v>
      </c>
      <c r="BH6">
        <v>193.99999999950001</v>
      </c>
      <c r="BI6">
        <v>202.3000000008</v>
      </c>
      <c r="BJ6">
        <v>210.50000000099999</v>
      </c>
      <c r="BK6">
        <v>218.8999999998</v>
      </c>
      <c r="BL6">
        <v>227.6000000002</v>
      </c>
      <c r="BM6">
        <v>235.3999999996</v>
      </c>
      <c r="BN6">
        <v>243.00000000040001</v>
      </c>
      <c r="BO6">
        <v>251.2999999999</v>
      </c>
      <c r="BP6">
        <v>259</v>
      </c>
      <c r="BQ6">
        <v>267.10000000090002</v>
      </c>
      <c r="BR6">
        <v>275.2</v>
      </c>
      <c r="BS6">
        <v>282.99999999940002</v>
      </c>
      <c r="BT6">
        <v>290.0000000009</v>
      </c>
      <c r="BU6">
        <v>297.59999999989998</v>
      </c>
      <c r="BV6">
        <v>304.70000000060003</v>
      </c>
      <c r="BW6">
        <v>311.99999999990001</v>
      </c>
      <c r="BX6">
        <v>319.4000000003</v>
      </c>
      <c r="BY6">
        <v>326.60000000029999</v>
      </c>
      <c r="BZ6">
        <v>333.59999999989998</v>
      </c>
      <c r="CA6">
        <v>340.00000000009999</v>
      </c>
      <c r="CB6">
        <v>346.70000000009998</v>
      </c>
      <c r="CC6">
        <v>353.4</v>
      </c>
      <c r="CD6">
        <v>359.50000000049999</v>
      </c>
      <c r="CE6">
        <v>366.1000000011</v>
      </c>
      <c r="CF6">
        <v>372.49999999950001</v>
      </c>
      <c r="CG6">
        <v>379.20000000120001</v>
      </c>
      <c r="CH6">
        <v>385.20000000060003</v>
      </c>
      <c r="CI6">
        <v>390.99999999959999</v>
      </c>
      <c r="CJ6">
        <v>396.80000000040002</v>
      </c>
      <c r="CK6">
        <v>402.79999999979998</v>
      </c>
      <c r="CL6">
        <v>408.4000000003</v>
      </c>
      <c r="CM6">
        <v>414.1</v>
      </c>
      <c r="CN6">
        <v>419.6000000011</v>
      </c>
      <c r="CO6">
        <v>425.60000000050002</v>
      </c>
      <c r="CP6">
        <v>431.09999999979999</v>
      </c>
      <c r="CQ6">
        <v>436.60000000090002</v>
      </c>
      <c r="CR6">
        <v>441.1</v>
      </c>
      <c r="CS6">
        <v>443.99999999950001</v>
      </c>
      <c r="CT6">
        <v>448.00000000030002</v>
      </c>
      <c r="CU6">
        <v>450.70000000120001</v>
      </c>
      <c r="CV6">
        <v>450.70000000120001</v>
      </c>
      <c r="CW6">
        <v>450.8999999998</v>
      </c>
      <c r="CX6">
        <v>451.1000000002</v>
      </c>
      <c r="CY6">
        <v>451.1000000002</v>
      </c>
      <c r="CZ6">
        <v>451.1000000002</v>
      </c>
      <c r="DA6">
        <v>451.0000000009</v>
      </c>
      <c r="DB6">
        <v>451.1000000002</v>
      </c>
      <c r="DC6">
        <v>450.8999999998</v>
      </c>
      <c r="DD6">
        <v>451.19999999949999</v>
      </c>
      <c r="DE6">
        <v>451.1000000002</v>
      </c>
      <c r="DF6">
        <v>451.19999999949999</v>
      </c>
      <c r="DG6">
        <v>451.1000000002</v>
      </c>
      <c r="DH6">
        <v>1.0000000002</v>
      </c>
      <c r="DI6">
        <v>1.8</v>
      </c>
      <c r="DJ6">
        <v>1.7000000007</v>
      </c>
      <c r="DK6">
        <v>1.7000000007</v>
      </c>
      <c r="DL6">
        <v>1.7000000007</v>
      </c>
      <c r="DM6">
        <v>1.8</v>
      </c>
      <c r="DN6">
        <v>1.9000000011</v>
      </c>
      <c r="DO6">
        <v>1.8</v>
      </c>
      <c r="DP6">
        <v>2.0000000004</v>
      </c>
      <c r="DQ6">
        <v>2.0999999997000001</v>
      </c>
      <c r="DR6">
        <v>2.0999999997000001</v>
      </c>
      <c r="DS6">
        <v>2.0999999997000001</v>
      </c>
      <c r="DT6">
        <v>2.2000000007999998</v>
      </c>
      <c r="DU6">
        <v>2.0999999997000001</v>
      </c>
      <c r="DV6">
        <v>2.5000000005</v>
      </c>
      <c r="DW6">
        <v>2.5000000005</v>
      </c>
      <c r="DX6">
        <v>2.5000000005</v>
      </c>
      <c r="DY6">
        <v>2.7000000008999998</v>
      </c>
      <c r="DZ6">
        <v>5.1999999996000001</v>
      </c>
      <c r="EA6">
        <v>10.700000000699999</v>
      </c>
      <c r="EB6">
        <v>18.299999999699999</v>
      </c>
      <c r="EC6">
        <v>24.9999999996</v>
      </c>
      <c r="ED6">
        <v>32.4000000001</v>
      </c>
      <c r="EE6">
        <v>39.899999999800002</v>
      </c>
      <c r="EF6">
        <v>47.700000000999999</v>
      </c>
      <c r="EG6">
        <v>55.5000000004</v>
      </c>
      <c r="EH6">
        <v>63.799999999900002</v>
      </c>
      <c r="EI6">
        <v>72.200000000499998</v>
      </c>
      <c r="EJ6">
        <v>79.799999999500002</v>
      </c>
      <c r="EK6">
        <v>87.600000000700007</v>
      </c>
      <c r="EL6">
        <v>95.999999999500005</v>
      </c>
      <c r="EM6">
        <v>104.3000000009</v>
      </c>
      <c r="EN6">
        <v>113.49999999950001</v>
      </c>
      <c r="EO6">
        <v>123.10000000070001</v>
      </c>
      <c r="EP6">
        <v>131.00000000119999</v>
      </c>
      <c r="EQ6">
        <v>139.4</v>
      </c>
      <c r="ER6">
        <v>147.69999999949999</v>
      </c>
      <c r="ES6">
        <v>156.3999999998</v>
      </c>
      <c r="ET6">
        <v>164.80000000050001</v>
      </c>
      <c r="EU6">
        <v>174.1000000002</v>
      </c>
      <c r="EV6">
        <v>182.30000000039999</v>
      </c>
      <c r="EW6">
        <v>190.70000000100001</v>
      </c>
      <c r="EX6">
        <v>199.09999999979999</v>
      </c>
      <c r="EY6">
        <v>207.40000000110001</v>
      </c>
      <c r="EZ6">
        <v>215.90000000110001</v>
      </c>
      <c r="FA6">
        <v>224.8</v>
      </c>
      <c r="FB6">
        <v>233.0000000002</v>
      </c>
      <c r="FC6">
        <v>240.9000000007</v>
      </c>
      <c r="FD6">
        <v>248.9999999998</v>
      </c>
      <c r="FE6">
        <v>256.9000000003</v>
      </c>
      <c r="FF6">
        <v>265.19999999980001</v>
      </c>
      <c r="FG6">
        <v>273.50000000109998</v>
      </c>
      <c r="FH6">
        <v>281.60000000029999</v>
      </c>
      <c r="FI6">
        <v>288.80000000029997</v>
      </c>
      <c r="FJ6">
        <v>296.5999999997</v>
      </c>
      <c r="FK6">
        <v>303.90000000079999</v>
      </c>
      <c r="FL6">
        <v>311.30000000119998</v>
      </c>
      <c r="FM6">
        <v>318.80000000090001</v>
      </c>
      <c r="FN6">
        <v>326.30000000059999</v>
      </c>
      <c r="FO6">
        <v>334.00000000070003</v>
      </c>
      <c r="FP6">
        <v>340.59999999950003</v>
      </c>
      <c r="FQ6">
        <v>347.70000000030001</v>
      </c>
      <c r="FR6">
        <v>354.30000000090001</v>
      </c>
      <c r="FS6">
        <v>360.80000000040002</v>
      </c>
      <c r="FT6">
        <v>367.29999999990002</v>
      </c>
      <c r="FU6">
        <v>373.99999999980002</v>
      </c>
      <c r="FV6">
        <v>380.80000000080003</v>
      </c>
      <c r="FW6">
        <v>387.00000000059998</v>
      </c>
      <c r="FX6">
        <v>392.7999999996</v>
      </c>
      <c r="FY6">
        <v>399.10000000050002</v>
      </c>
      <c r="FZ6">
        <v>405.09999999989998</v>
      </c>
      <c r="GA6">
        <v>410.6000000011</v>
      </c>
      <c r="GB6">
        <v>416.30000000080003</v>
      </c>
      <c r="GC6">
        <v>422.00000000049999</v>
      </c>
      <c r="GD6">
        <v>427.60000000090002</v>
      </c>
      <c r="GE6">
        <v>433.0000000009</v>
      </c>
      <c r="GF6">
        <v>438.10000000119999</v>
      </c>
      <c r="GG6">
        <v>441.60000000010001</v>
      </c>
      <c r="GH6">
        <v>444.49999999959999</v>
      </c>
      <c r="GI6">
        <v>448.3</v>
      </c>
      <c r="GJ6">
        <v>450.70000000120001</v>
      </c>
      <c r="GK6">
        <v>450.8999999998</v>
      </c>
      <c r="GL6">
        <v>450.80000000050001</v>
      </c>
      <c r="GM6">
        <v>450.8999999998</v>
      </c>
      <c r="GN6">
        <v>451.1000000002</v>
      </c>
      <c r="GO6">
        <v>451.19999999949999</v>
      </c>
      <c r="GP6">
        <v>451.1000000002</v>
      </c>
      <c r="GQ6">
        <v>451.30000000059999</v>
      </c>
      <c r="GR6">
        <v>451.19999999949999</v>
      </c>
      <c r="GS6">
        <v>451.19999999949999</v>
      </c>
      <c r="GT6">
        <v>451.0000000009</v>
      </c>
      <c r="GU6">
        <v>451.19999999949999</v>
      </c>
      <c r="GV6">
        <v>451.19999999949999</v>
      </c>
      <c r="GW6">
        <v>451.1000000002</v>
      </c>
      <c r="GX6">
        <v>1</v>
      </c>
      <c r="GY6">
        <v>110.5000000007</v>
      </c>
      <c r="GZ6">
        <v>108.5999999996</v>
      </c>
      <c r="HA6">
        <v>108.5999999996</v>
      </c>
      <c r="HB6">
        <v>113.49999999950001</v>
      </c>
      <c r="HC6">
        <v>109.8059951237</v>
      </c>
      <c r="HD6">
        <v>-4.8999999999000003</v>
      </c>
      <c r="HE6">
        <v>451.1000000002</v>
      </c>
      <c r="HF6">
        <v>305.81378546219997</v>
      </c>
      <c r="HG6">
        <v>95.555197250999996</v>
      </c>
      <c r="HH6">
        <v>451.30000000059999</v>
      </c>
      <c r="HI6">
        <v>451.29996675590002</v>
      </c>
      <c r="HJ6">
        <v>451.19999999949999</v>
      </c>
      <c r="HK6">
        <v>451.30000000059999</v>
      </c>
      <c r="HL6">
        <v>112.6099706745</v>
      </c>
      <c r="HM6">
        <v>3.3932329561999999</v>
      </c>
      <c r="HN6">
        <v>3.3114558941999999</v>
      </c>
      <c r="HO6">
        <v>3.3829940984000002</v>
      </c>
      <c r="HP6">
        <v>3.2978065951</v>
      </c>
      <c r="HQ6">
        <v>3.6103492383</v>
      </c>
      <c r="HR6">
        <v>2.2528744778999998</v>
      </c>
      <c r="HS6">
        <v>14.2507978726</v>
      </c>
      <c r="HT6">
        <v>-28.152492668600001</v>
      </c>
      <c r="HU6">
        <v>-192</v>
      </c>
      <c r="HV6">
        <v>415.6197805859</v>
      </c>
      <c r="HW6">
        <v>93.841642228699996</v>
      </c>
      <c r="HX6">
        <v>640</v>
      </c>
      <c r="HY6">
        <v>14.2507978726</v>
      </c>
      <c r="HZ6">
        <v>-28.152492668600001</v>
      </c>
      <c r="IA6">
        <v>-192</v>
      </c>
      <c r="IB6">
        <v>415.6197805859</v>
      </c>
      <c r="IC6">
        <v>93.841642228699996</v>
      </c>
      <c r="ID6">
        <v>640</v>
      </c>
      <c r="IE6">
        <v>35.680186170100001</v>
      </c>
      <c r="IF6">
        <v>1.6040890953</v>
      </c>
      <c r="IG6">
        <v>-37.536656891500002</v>
      </c>
      <c r="IH6">
        <v>-256</v>
      </c>
      <c r="II6">
        <v>437.84246454020001</v>
      </c>
      <c r="IJ6">
        <v>103.22580645159999</v>
      </c>
      <c r="IK6">
        <v>704</v>
      </c>
      <c r="IL6">
        <v>401.36898271320001</v>
      </c>
      <c r="IM6">
        <v>121.9941348974</v>
      </c>
      <c r="IN6">
        <v>423.59424867040002</v>
      </c>
      <c r="IO6">
        <v>131.37829912020001</v>
      </c>
      <c r="IP6">
        <v>7.9999999998</v>
      </c>
      <c r="IQ6">
        <v>5.9999999994</v>
      </c>
      <c r="IR6">
        <v>9.6000000011999997</v>
      </c>
      <c r="IS6">
        <v>6.3583987771999997</v>
      </c>
      <c r="IT6">
        <v>6.3583987771999997</v>
      </c>
      <c r="IU6">
        <v>4.6000000001999997</v>
      </c>
      <c r="IV6">
        <v>-30.4985337243</v>
      </c>
      <c r="IW6">
        <v>8.3000000013000008</v>
      </c>
      <c r="IX6">
        <v>79.765395894400001</v>
      </c>
      <c r="IY6">
        <v>7.9999999998</v>
      </c>
      <c r="IZ6">
        <v>98.533724340199996</v>
      </c>
      <c r="JA6">
        <v>-32.4182481968</v>
      </c>
      <c r="JB6">
        <v>0.32129073920000001</v>
      </c>
      <c r="JC6">
        <v>-3.1404600000000001E-4</v>
      </c>
      <c r="JD6">
        <v>6.5209999999999997E-7</v>
      </c>
      <c r="JE6">
        <v>0.29470419889999999</v>
      </c>
      <c r="JF6">
        <v>0.25100313639999999</v>
      </c>
      <c r="JG6">
        <v>0.1147620929</v>
      </c>
      <c r="JH6">
        <v>110.6028105888</v>
      </c>
      <c r="JI6">
        <v>3.6103492383</v>
      </c>
      <c r="JJ6">
        <v>2.6008069000000001E-3</v>
      </c>
      <c r="JK6">
        <v>-6.9859500000000004E-5</v>
      </c>
      <c r="JL6">
        <v>3.3932329561999999</v>
      </c>
      <c r="JM6">
        <v>1.6682652775</v>
      </c>
      <c r="JN6">
        <v>0.61979341190000004</v>
      </c>
      <c r="JO6">
        <v>3.4099999999000001</v>
      </c>
      <c r="JP6">
        <v>2.5574999997000001</v>
      </c>
      <c r="JQ6">
        <v>4.0920000004999997</v>
      </c>
      <c r="JR6" s="17" t="s">
        <v>576</v>
      </c>
      <c r="JU6" s="17">
        <v>1</v>
      </c>
    </row>
    <row r="7" spans="1:281">
      <c r="A7" t="s">
        <v>617</v>
      </c>
      <c r="B7" t="s">
        <v>618</v>
      </c>
      <c r="C7" t="s">
        <v>619</v>
      </c>
      <c r="D7" t="s">
        <v>213</v>
      </c>
      <c r="E7">
        <v>3</v>
      </c>
      <c r="F7" t="s">
        <v>214</v>
      </c>
      <c r="G7" t="s">
        <v>215</v>
      </c>
      <c r="H7" t="s">
        <v>575</v>
      </c>
      <c r="I7" t="s">
        <v>217</v>
      </c>
      <c r="K7" t="s">
        <v>608</v>
      </c>
      <c r="L7" t="s">
        <v>609</v>
      </c>
      <c r="M7" t="s">
        <v>610</v>
      </c>
      <c r="N7" t="s">
        <v>611</v>
      </c>
      <c r="O7" t="s">
        <v>612</v>
      </c>
      <c r="P7">
        <v>0</v>
      </c>
      <c r="Q7">
        <v>0</v>
      </c>
      <c r="R7">
        <v>0</v>
      </c>
      <c r="S7">
        <v>0.29999999970000002</v>
      </c>
      <c r="T7">
        <v>0.29999999970000002</v>
      </c>
      <c r="U7">
        <v>0.29999999970000002</v>
      </c>
      <c r="V7">
        <v>0.50000000010000001</v>
      </c>
      <c r="W7">
        <v>0.40000000079999998</v>
      </c>
      <c r="X7">
        <v>0.40000000079999998</v>
      </c>
      <c r="Y7">
        <v>0.29999999970000002</v>
      </c>
      <c r="Z7">
        <v>0.40000000079999998</v>
      </c>
      <c r="AA7">
        <v>0.40000000079999998</v>
      </c>
      <c r="AB7">
        <v>0.60000000119999997</v>
      </c>
      <c r="AC7">
        <v>0.50000000010000001</v>
      </c>
      <c r="AD7">
        <v>0.50000000010000001</v>
      </c>
      <c r="AE7">
        <v>0.60000000119999997</v>
      </c>
      <c r="AF7">
        <v>0.60000000119999997</v>
      </c>
      <c r="AG7">
        <v>0.7000000005</v>
      </c>
      <c r="AH7">
        <v>0.60000000119999997</v>
      </c>
      <c r="AI7">
        <v>0.60000000119999997</v>
      </c>
      <c r="AJ7">
        <v>0.7000000005</v>
      </c>
      <c r="AK7">
        <v>1.8</v>
      </c>
      <c r="AL7">
        <v>5.0000000010000001</v>
      </c>
      <c r="AM7">
        <v>15.5000000013</v>
      </c>
      <c r="AN7">
        <v>23.4</v>
      </c>
      <c r="AO7">
        <v>31.300000000600001</v>
      </c>
      <c r="AP7">
        <v>39.1</v>
      </c>
      <c r="AQ7">
        <v>46.800000000099999</v>
      </c>
      <c r="AR7">
        <v>55.000000000299998</v>
      </c>
      <c r="AS7">
        <v>62.799999999699999</v>
      </c>
      <c r="AT7">
        <v>71.300000001399994</v>
      </c>
      <c r="AU7">
        <v>79.600000000899996</v>
      </c>
      <c r="AV7">
        <v>88.300000001300006</v>
      </c>
      <c r="AW7">
        <v>96.600000000799994</v>
      </c>
      <c r="AX7">
        <v>105.49999999969999</v>
      </c>
      <c r="AY7">
        <v>114.8000000012</v>
      </c>
      <c r="AZ7">
        <v>123.7000000001</v>
      </c>
      <c r="BA7">
        <v>132.40000000040001</v>
      </c>
      <c r="BB7">
        <v>141.19999999999999</v>
      </c>
      <c r="BC7">
        <v>149.6999999999</v>
      </c>
      <c r="BD7">
        <v>158.300000001</v>
      </c>
      <c r="BE7">
        <v>166.90000000020001</v>
      </c>
      <c r="BF7">
        <v>175.60000000049999</v>
      </c>
      <c r="BG7">
        <v>184.50000000119999</v>
      </c>
      <c r="BH7">
        <v>193.50000000119999</v>
      </c>
      <c r="BI7">
        <v>202.00000000110001</v>
      </c>
      <c r="BJ7">
        <v>210.30000000059999</v>
      </c>
      <c r="BK7">
        <v>218.7000000013</v>
      </c>
      <c r="BL7">
        <v>227.20000000120001</v>
      </c>
      <c r="BM7">
        <v>235.89999999969999</v>
      </c>
      <c r="BN7">
        <v>244.09999999990001</v>
      </c>
      <c r="BO7">
        <v>252.59999999979999</v>
      </c>
      <c r="BP7">
        <v>260.70000000070002</v>
      </c>
      <c r="BQ7">
        <v>268.70000000049998</v>
      </c>
      <c r="BR7">
        <v>276.70000000030001</v>
      </c>
      <c r="BS7">
        <v>284.99999999990001</v>
      </c>
      <c r="BT7">
        <v>292.90000000039998</v>
      </c>
      <c r="BU7">
        <v>301.00000000130001</v>
      </c>
      <c r="BV7">
        <v>308.39999999989999</v>
      </c>
      <c r="BW7">
        <v>316.00000000070003</v>
      </c>
      <c r="BX7">
        <v>323.3</v>
      </c>
      <c r="BY7">
        <v>330.6000000011</v>
      </c>
      <c r="BZ7">
        <v>338.20000000009998</v>
      </c>
      <c r="CA7">
        <v>345.40000000020001</v>
      </c>
      <c r="CB7">
        <v>353.00000000099999</v>
      </c>
      <c r="CC7">
        <v>359.70000000089999</v>
      </c>
      <c r="CD7">
        <v>366.29999999969999</v>
      </c>
      <c r="CE7">
        <v>373.10000000069999</v>
      </c>
      <c r="CF7">
        <v>379.5000000009</v>
      </c>
      <c r="CG7">
        <v>386.3000000001</v>
      </c>
      <c r="CH7">
        <v>393</v>
      </c>
      <c r="CI7">
        <v>399.5000000014</v>
      </c>
      <c r="CJ7">
        <v>406.1000000002</v>
      </c>
      <c r="CK7">
        <v>412.50000000040001</v>
      </c>
      <c r="CL7">
        <v>418.60000000090002</v>
      </c>
      <c r="CM7">
        <v>424.70000000139999</v>
      </c>
      <c r="CN7">
        <v>430.5999999997</v>
      </c>
      <c r="CO7">
        <v>437.4000000007</v>
      </c>
      <c r="CP7">
        <v>442.60000000029999</v>
      </c>
      <c r="CQ7">
        <v>446.20000000030001</v>
      </c>
      <c r="CR7">
        <v>446.4000000007</v>
      </c>
      <c r="CS7">
        <v>446.30000000140001</v>
      </c>
      <c r="CT7">
        <v>446.30000000140001</v>
      </c>
      <c r="CU7">
        <v>446.30000000140001</v>
      </c>
      <c r="CV7">
        <v>446.4000000007</v>
      </c>
      <c r="CW7">
        <v>446.4000000007</v>
      </c>
      <c r="CX7">
        <v>446.4000000007</v>
      </c>
      <c r="CY7">
        <v>446.5</v>
      </c>
      <c r="CZ7">
        <v>446.4000000007</v>
      </c>
      <c r="DA7">
        <v>446.30000000140001</v>
      </c>
      <c r="DB7">
        <v>446.30000000140001</v>
      </c>
      <c r="DC7">
        <v>446.4000000007</v>
      </c>
      <c r="DD7">
        <v>446.30000000140001</v>
      </c>
      <c r="DE7">
        <v>446.30000000140001</v>
      </c>
      <c r="DF7">
        <v>446.4000000007</v>
      </c>
      <c r="DG7">
        <v>446.30000000140001</v>
      </c>
      <c r="DH7">
        <v>0.90000000089999999</v>
      </c>
      <c r="DI7">
        <v>1.7000000007</v>
      </c>
      <c r="DJ7">
        <v>1.6000000014</v>
      </c>
      <c r="DK7">
        <v>1.5000000003</v>
      </c>
      <c r="DL7">
        <v>1.6000000014</v>
      </c>
      <c r="DM7">
        <v>1.7000000007</v>
      </c>
      <c r="DN7">
        <v>1.6000000014</v>
      </c>
      <c r="DO7">
        <v>1.8</v>
      </c>
      <c r="DP7">
        <v>1.7000000007</v>
      </c>
      <c r="DQ7">
        <v>1.5000000003</v>
      </c>
      <c r="DR7">
        <v>1.7000000007</v>
      </c>
      <c r="DS7">
        <v>1.8</v>
      </c>
      <c r="DT7">
        <v>1.7000000007</v>
      </c>
      <c r="DU7">
        <v>1.8</v>
      </c>
      <c r="DV7">
        <v>1.8</v>
      </c>
      <c r="DW7">
        <v>1.7000000007</v>
      </c>
      <c r="DX7">
        <v>1.9000000011</v>
      </c>
      <c r="DY7">
        <v>1.9000000011</v>
      </c>
      <c r="DZ7">
        <v>2.0999999997000001</v>
      </c>
      <c r="EA7">
        <v>3.6</v>
      </c>
      <c r="EB7">
        <v>11.0000000004</v>
      </c>
      <c r="EC7">
        <v>18.799999999800001</v>
      </c>
      <c r="ED7">
        <v>26.700000000300001</v>
      </c>
      <c r="EE7">
        <v>34.700000000199999</v>
      </c>
      <c r="EF7">
        <v>42.7</v>
      </c>
      <c r="EG7">
        <v>50.100000000400001</v>
      </c>
      <c r="EH7">
        <v>58.399999999899997</v>
      </c>
      <c r="EI7">
        <v>66.3999999997</v>
      </c>
      <c r="EJ7">
        <v>74.900000001400002</v>
      </c>
      <c r="EK7">
        <v>83.200000000900005</v>
      </c>
      <c r="EL7">
        <v>92.000000000599996</v>
      </c>
      <c r="EM7">
        <v>100.0999999997</v>
      </c>
      <c r="EN7">
        <v>109.50000000049999</v>
      </c>
      <c r="EO7">
        <v>118.50000000049999</v>
      </c>
      <c r="EP7">
        <v>127.4000000012</v>
      </c>
      <c r="EQ7">
        <v>136.4000000012</v>
      </c>
      <c r="ER7">
        <v>144.80000000000001</v>
      </c>
      <c r="ES7">
        <v>153.50000000029999</v>
      </c>
      <c r="ET7">
        <v>162.20000000069999</v>
      </c>
      <c r="EU7">
        <v>170.7999999999</v>
      </c>
      <c r="EV7">
        <v>179.7000000006</v>
      </c>
      <c r="EW7">
        <v>188.6000000013</v>
      </c>
      <c r="EX7">
        <v>197.7000000006</v>
      </c>
      <c r="EY7">
        <v>206.20000000050001</v>
      </c>
      <c r="EZ7">
        <v>214.40000000079999</v>
      </c>
      <c r="FA7">
        <v>222.70000000030001</v>
      </c>
      <c r="FB7">
        <v>231.40000000059999</v>
      </c>
      <c r="FC7">
        <v>240.1000000009</v>
      </c>
      <c r="FD7">
        <v>248.8000000012</v>
      </c>
      <c r="FE7">
        <v>257.0000000014</v>
      </c>
      <c r="FF7">
        <v>264.90000000010002</v>
      </c>
      <c r="FG7">
        <v>273.10000000029999</v>
      </c>
      <c r="FH7">
        <v>281.0000000009</v>
      </c>
      <c r="FI7">
        <v>289.39999999970001</v>
      </c>
      <c r="FJ7">
        <v>297.30000000019999</v>
      </c>
      <c r="FK7">
        <v>305.10000000140002</v>
      </c>
      <c r="FL7">
        <v>312.6000000011</v>
      </c>
      <c r="FM7">
        <v>320.30000000119998</v>
      </c>
      <c r="FN7">
        <v>327.30000000080003</v>
      </c>
      <c r="FO7">
        <v>334.80000000050001</v>
      </c>
      <c r="FP7">
        <v>342.50000000070003</v>
      </c>
      <c r="FQ7">
        <v>349.60000000140002</v>
      </c>
      <c r="FR7">
        <v>356.80000000140001</v>
      </c>
      <c r="FS7">
        <v>363.6999999999</v>
      </c>
      <c r="FT7">
        <v>370.10000000010001</v>
      </c>
      <c r="FU7">
        <v>376.90000000110001</v>
      </c>
      <c r="FV7">
        <v>383.20000000020002</v>
      </c>
      <c r="FW7">
        <v>390.50000000130001</v>
      </c>
      <c r="FX7">
        <v>396.80000000040002</v>
      </c>
      <c r="FY7">
        <v>403.50000000030002</v>
      </c>
      <c r="FZ7">
        <v>409.80000000130002</v>
      </c>
      <c r="GA7">
        <v>416.19999999970003</v>
      </c>
      <c r="GB7">
        <v>422.09999999979999</v>
      </c>
      <c r="GC7">
        <v>428.20000000030001</v>
      </c>
      <c r="GD7">
        <v>434.00000000109998</v>
      </c>
      <c r="GE7">
        <v>440.30000000019999</v>
      </c>
      <c r="GF7">
        <v>444.7</v>
      </c>
      <c r="GG7">
        <v>446.10000000100001</v>
      </c>
      <c r="GH7">
        <v>446.10000000100001</v>
      </c>
      <c r="GI7">
        <v>446.20000000030001</v>
      </c>
      <c r="GJ7">
        <v>446.20000000030001</v>
      </c>
      <c r="GK7">
        <v>446.30000000140001</v>
      </c>
      <c r="GL7">
        <v>446.4000000007</v>
      </c>
      <c r="GM7">
        <v>446.4000000007</v>
      </c>
      <c r="GN7">
        <v>446.20000000030001</v>
      </c>
      <c r="GO7">
        <v>446.20000000030001</v>
      </c>
      <c r="GP7">
        <v>446.10000000100001</v>
      </c>
      <c r="GQ7">
        <v>446.10000000100001</v>
      </c>
      <c r="GR7">
        <v>445.99999999990001</v>
      </c>
      <c r="GS7">
        <v>446.30000000140001</v>
      </c>
      <c r="GT7">
        <v>446.10000000100001</v>
      </c>
      <c r="GU7">
        <v>446.20000000030001</v>
      </c>
      <c r="GV7">
        <v>446.30000000140001</v>
      </c>
      <c r="GW7">
        <v>446.30000000140001</v>
      </c>
      <c r="GX7">
        <v>1</v>
      </c>
      <c r="GY7">
        <v>107.40000000080001</v>
      </c>
      <c r="GZ7">
        <v>105.49999999969999</v>
      </c>
      <c r="HA7">
        <v>105.49999999969999</v>
      </c>
      <c r="HB7">
        <v>109.50000000049999</v>
      </c>
      <c r="HC7">
        <v>106.4632616486</v>
      </c>
      <c r="HD7">
        <v>-4.0000000008000001</v>
      </c>
      <c r="HE7">
        <v>446.30000000140001</v>
      </c>
      <c r="HF7">
        <v>315.43249327950002</v>
      </c>
      <c r="HG7">
        <v>90.836480733299993</v>
      </c>
      <c r="HH7">
        <v>446.5</v>
      </c>
      <c r="HI7">
        <v>446.4000000007</v>
      </c>
      <c r="HJ7">
        <v>446.5</v>
      </c>
      <c r="HK7">
        <v>446.4000000007</v>
      </c>
      <c r="HL7">
        <v>105.57184750730001</v>
      </c>
      <c r="HM7">
        <v>3.4835969373000002</v>
      </c>
      <c r="HN7">
        <v>3.4527796625999998</v>
      </c>
      <c r="HO7">
        <v>3.4570174164999998</v>
      </c>
      <c r="HP7">
        <v>3.4466945188999998</v>
      </c>
      <c r="HQ7">
        <v>3.7014432049999999</v>
      </c>
      <c r="HR7">
        <v>2.3905314887000002</v>
      </c>
      <c r="HS7">
        <v>15.626780915299999</v>
      </c>
      <c r="HT7">
        <v>-25.806451612899998</v>
      </c>
      <c r="HU7">
        <v>-176</v>
      </c>
      <c r="HV7">
        <v>421.89575492820001</v>
      </c>
      <c r="HW7">
        <v>93.841642228699996</v>
      </c>
      <c r="HX7">
        <v>640</v>
      </c>
      <c r="HY7">
        <v>15.626780915299999</v>
      </c>
      <c r="HZ7">
        <v>-25.806451612899998</v>
      </c>
      <c r="IA7">
        <v>-176</v>
      </c>
      <c r="IB7">
        <v>421.89575492820001</v>
      </c>
      <c r="IC7">
        <v>93.841642228699996</v>
      </c>
      <c r="ID7">
        <v>640</v>
      </c>
      <c r="IE7">
        <v>24.5042450726</v>
      </c>
      <c r="IF7">
        <v>0.60364023420000001</v>
      </c>
      <c r="IG7">
        <v>-35.190615835800003</v>
      </c>
      <c r="IH7">
        <v>-240</v>
      </c>
      <c r="II7">
        <v>444.68706317210001</v>
      </c>
      <c r="IJ7">
        <v>103.22580645159999</v>
      </c>
      <c r="IK7">
        <v>704</v>
      </c>
      <c r="IL7">
        <v>406.2689740129</v>
      </c>
      <c r="IM7">
        <v>119.6480938416</v>
      </c>
      <c r="IN7">
        <v>432.08172043119998</v>
      </c>
      <c r="IO7">
        <v>129.03225806450001</v>
      </c>
      <c r="IP7">
        <v>10.5000000003</v>
      </c>
      <c r="IQ7">
        <v>6.8000000009999999</v>
      </c>
      <c r="IR7">
        <v>9.4000000008000004</v>
      </c>
      <c r="IS7">
        <v>6.5991815683999997</v>
      </c>
      <c r="IT7">
        <v>6.5991815683999997</v>
      </c>
      <c r="IU7">
        <v>5.9999999994</v>
      </c>
      <c r="IV7">
        <v>-28.152492668600001</v>
      </c>
      <c r="IW7">
        <v>4.7000000013000003</v>
      </c>
      <c r="IX7">
        <v>37.536656891500002</v>
      </c>
      <c r="IY7">
        <v>3.4999999988999999</v>
      </c>
      <c r="IZ7">
        <v>96.187683284499997</v>
      </c>
      <c r="JA7">
        <v>-30.447405103400001</v>
      </c>
      <c r="JB7">
        <v>0.30733976870000002</v>
      </c>
      <c r="JC7">
        <v>-2.668425E-4</v>
      </c>
      <c r="JD7">
        <v>5.6140000000000004E-7</v>
      </c>
      <c r="JE7">
        <v>0.28705961629999999</v>
      </c>
      <c r="JF7">
        <v>0.2247677646</v>
      </c>
      <c r="JG7">
        <v>9.1814976000000006E-2</v>
      </c>
      <c r="JH7">
        <v>107.2724456553</v>
      </c>
      <c r="JI7">
        <v>3.7014432049999999</v>
      </c>
      <c r="JJ7">
        <v>2.3646767999999999E-3</v>
      </c>
      <c r="JK7">
        <v>-6.6419499999999997E-5</v>
      </c>
      <c r="JL7">
        <v>3.4835969373000002</v>
      </c>
      <c r="JM7">
        <v>1.3385217798</v>
      </c>
      <c r="JN7">
        <v>0.63103010039999996</v>
      </c>
      <c r="JO7">
        <v>4.4756250001</v>
      </c>
      <c r="JP7">
        <v>2.8985000003999999</v>
      </c>
      <c r="JQ7">
        <v>4.0067500004000003</v>
      </c>
      <c r="JR7" s="17" t="s">
        <v>576</v>
      </c>
      <c r="JU7" s="17">
        <v>1</v>
      </c>
    </row>
    <row r="8" spans="1:281">
      <c r="A8" t="s">
        <v>652</v>
      </c>
      <c r="B8" t="s">
        <v>653</v>
      </c>
      <c r="C8" t="s">
        <v>654</v>
      </c>
      <c r="D8" t="s">
        <v>213</v>
      </c>
      <c r="E8">
        <v>3</v>
      </c>
      <c r="F8" t="s">
        <v>214</v>
      </c>
      <c r="G8" t="s">
        <v>215</v>
      </c>
      <c r="H8" t="s">
        <v>575</v>
      </c>
      <c r="I8" t="s">
        <v>217</v>
      </c>
      <c r="K8" t="s">
        <v>623</v>
      </c>
      <c r="L8" t="s">
        <v>624</v>
      </c>
      <c r="M8" t="s">
        <v>625</v>
      </c>
      <c r="N8" t="s">
        <v>626</v>
      </c>
      <c r="O8" t="s">
        <v>627</v>
      </c>
      <c r="P8">
        <v>0</v>
      </c>
      <c r="Q8">
        <v>0</v>
      </c>
      <c r="R8">
        <v>0</v>
      </c>
      <c r="S8">
        <v>0.90000000089999999</v>
      </c>
      <c r="T8">
        <v>0.90000000089999999</v>
      </c>
      <c r="U8">
        <v>1.0000000002</v>
      </c>
      <c r="V8">
        <v>1.0000000002</v>
      </c>
      <c r="W8">
        <v>1.1000000013</v>
      </c>
      <c r="X8">
        <v>1.0000000002</v>
      </c>
      <c r="Y8">
        <v>1.2000000006</v>
      </c>
      <c r="Z8">
        <v>1.2000000006</v>
      </c>
      <c r="AA8">
        <v>1.1000000013</v>
      </c>
      <c r="AB8">
        <v>1.2999999999</v>
      </c>
      <c r="AC8">
        <v>1.2999999999</v>
      </c>
      <c r="AD8">
        <v>1.2999999999</v>
      </c>
      <c r="AE8">
        <v>1.5000000003</v>
      </c>
      <c r="AF8">
        <v>1.5999999996000001</v>
      </c>
      <c r="AG8">
        <v>1.5000000003</v>
      </c>
      <c r="AH8">
        <v>1.7000000007</v>
      </c>
      <c r="AI8">
        <v>1.8</v>
      </c>
      <c r="AJ8">
        <v>2.0999999997000001</v>
      </c>
      <c r="AK8">
        <v>6.3000000008999999</v>
      </c>
      <c r="AL8">
        <v>12.8999999997</v>
      </c>
      <c r="AM8">
        <v>19.700000000700001</v>
      </c>
      <c r="AN8">
        <v>27.299999999699999</v>
      </c>
      <c r="AO8">
        <v>34.999999999899998</v>
      </c>
      <c r="AP8">
        <v>43.200000000099998</v>
      </c>
      <c r="AQ8">
        <v>50.300000000799997</v>
      </c>
      <c r="AR8">
        <v>58.9</v>
      </c>
      <c r="AS8">
        <v>67.000000000900002</v>
      </c>
      <c r="AT8">
        <v>75.000000000699998</v>
      </c>
      <c r="AU8">
        <v>82.900000001199999</v>
      </c>
      <c r="AV8">
        <v>91.500000000499995</v>
      </c>
      <c r="AW8">
        <v>100.2000000008</v>
      </c>
      <c r="AX8">
        <v>109.00000000039999</v>
      </c>
      <c r="AY8">
        <v>117.50000000030001</v>
      </c>
      <c r="AZ8">
        <v>125.79999999979999</v>
      </c>
      <c r="BA8">
        <v>134.29999999969999</v>
      </c>
      <c r="BB8">
        <v>143.1000000011</v>
      </c>
      <c r="BC8">
        <v>151.6000000011</v>
      </c>
      <c r="BD8">
        <v>160.5</v>
      </c>
      <c r="BE8">
        <v>169.30000000140001</v>
      </c>
      <c r="BF8">
        <v>177.4000000005</v>
      </c>
      <c r="BG8">
        <v>185.99999999970001</v>
      </c>
      <c r="BH8">
        <v>194.80000000109999</v>
      </c>
      <c r="BI8">
        <v>203.60000000069999</v>
      </c>
      <c r="BJ8">
        <v>212.49999999959999</v>
      </c>
      <c r="BK8">
        <v>220.60000000060001</v>
      </c>
      <c r="BL8">
        <v>228.90000000009999</v>
      </c>
      <c r="BM8">
        <v>237.00000000099999</v>
      </c>
      <c r="BN8">
        <v>245.3999999998</v>
      </c>
      <c r="BO8">
        <v>253.70000000109999</v>
      </c>
      <c r="BP8">
        <v>262.20000000099998</v>
      </c>
      <c r="BQ8">
        <v>270.4000000012</v>
      </c>
      <c r="BR8">
        <v>278.10000000140002</v>
      </c>
      <c r="BS8">
        <v>285.6000000011</v>
      </c>
      <c r="BT8">
        <v>293.60000000090002</v>
      </c>
      <c r="BU8">
        <v>301.1999999999</v>
      </c>
      <c r="BV8">
        <v>309.00000000109998</v>
      </c>
      <c r="BW8">
        <v>316.8999999998</v>
      </c>
      <c r="BX8">
        <v>324.40000000129999</v>
      </c>
      <c r="BY8">
        <v>331.79999999990002</v>
      </c>
      <c r="BZ8">
        <v>338.30000000130002</v>
      </c>
      <c r="CA8">
        <v>345.60000000060001</v>
      </c>
      <c r="CB8">
        <v>352.6000000002</v>
      </c>
      <c r="CC8">
        <v>359.70000000089999</v>
      </c>
      <c r="CD8">
        <v>366.2000000004</v>
      </c>
      <c r="CE8">
        <v>373.49999999969998</v>
      </c>
      <c r="CF8">
        <v>380.30000000069998</v>
      </c>
      <c r="CG8">
        <v>386.59999999979999</v>
      </c>
      <c r="CH8">
        <v>392.7999999996</v>
      </c>
      <c r="CI8">
        <v>399.10000000050002</v>
      </c>
      <c r="CJ8">
        <v>405.30000000040002</v>
      </c>
      <c r="CK8">
        <v>411.79999999990002</v>
      </c>
      <c r="CL8">
        <v>418.10000000079998</v>
      </c>
      <c r="CM8">
        <v>424.1000000002</v>
      </c>
      <c r="CN8">
        <v>430.09999999960002</v>
      </c>
      <c r="CO8">
        <v>436.10000000079998</v>
      </c>
      <c r="CP8">
        <v>441.70000000120001</v>
      </c>
      <c r="CQ8">
        <v>446.2999999996</v>
      </c>
      <c r="CR8">
        <v>450.70000000120001</v>
      </c>
      <c r="CS8">
        <v>452.60000000050002</v>
      </c>
      <c r="CT8">
        <v>452.60000000050002</v>
      </c>
      <c r="CU8">
        <v>452.60000000050002</v>
      </c>
      <c r="CV8">
        <v>452.69999999980001</v>
      </c>
      <c r="CW8">
        <v>452.69999999980001</v>
      </c>
      <c r="CX8">
        <v>452.80000000090001</v>
      </c>
      <c r="CY8">
        <v>452.60000000050002</v>
      </c>
      <c r="CZ8">
        <v>452.50000000120002</v>
      </c>
      <c r="DA8">
        <v>452.69999999980001</v>
      </c>
      <c r="DB8">
        <v>452.50000000120002</v>
      </c>
      <c r="DC8">
        <v>452.69999999980001</v>
      </c>
      <c r="DD8">
        <v>452.80000000090001</v>
      </c>
      <c r="DE8">
        <v>452.69999999980001</v>
      </c>
      <c r="DF8">
        <v>452.80000000090001</v>
      </c>
      <c r="DG8">
        <v>452.80000000090001</v>
      </c>
      <c r="DH8">
        <v>0.7000000005</v>
      </c>
      <c r="DI8">
        <v>1.8</v>
      </c>
      <c r="DJ8">
        <v>1.8</v>
      </c>
      <c r="DK8">
        <v>2.0000000004</v>
      </c>
      <c r="DL8">
        <v>2.0999999997000001</v>
      </c>
      <c r="DM8">
        <v>2.2000000007999998</v>
      </c>
      <c r="DN8">
        <v>2.2000000007999998</v>
      </c>
      <c r="DO8">
        <v>2.3000000000999998</v>
      </c>
      <c r="DP8">
        <v>2.3000000000999998</v>
      </c>
      <c r="DQ8">
        <v>2.3000000000999998</v>
      </c>
      <c r="DR8">
        <v>2.4000000012</v>
      </c>
      <c r="DS8">
        <v>2.3000000000999998</v>
      </c>
      <c r="DT8">
        <v>2.3000000000999998</v>
      </c>
      <c r="DU8">
        <v>2.4000000012</v>
      </c>
      <c r="DV8">
        <v>2.5000000005</v>
      </c>
      <c r="DW8">
        <v>2.5000000005</v>
      </c>
      <c r="DX8">
        <v>2.5999999998000001</v>
      </c>
      <c r="DY8">
        <v>2.5999999998000001</v>
      </c>
      <c r="DZ8">
        <v>3.8999999996999999</v>
      </c>
      <c r="EA8">
        <v>8.3000000013000008</v>
      </c>
      <c r="EB8">
        <v>15.699999999899999</v>
      </c>
      <c r="EC8">
        <v>23.1000000003</v>
      </c>
      <c r="ED8">
        <v>31.000000000899998</v>
      </c>
      <c r="EE8">
        <v>38.900000001400002</v>
      </c>
      <c r="EF8">
        <v>47.000000000500002</v>
      </c>
      <c r="EG8">
        <v>55.000000000299998</v>
      </c>
      <c r="EH8">
        <v>62.700000000400003</v>
      </c>
      <c r="EI8">
        <v>70.700000000200006</v>
      </c>
      <c r="EJ8">
        <v>78.999999999699995</v>
      </c>
      <c r="EK8">
        <v>86.900000000199995</v>
      </c>
      <c r="EL8">
        <v>95.900000000299997</v>
      </c>
      <c r="EM8">
        <v>104.50000000129999</v>
      </c>
      <c r="EN8">
        <v>112.90000000009999</v>
      </c>
      <c r="EO8">
        <v>121.1000000003</v>
      </c>
      <c r="EP8">
        <v>129.89999999989999</v>
      </c>
      <c r="EQ8">
        <v>138.3999999998</v>
      </c>
      <c r="ER8">
        <v>147.20000000120001</v>
      </c>
      <c r="ES8">
        <v>156.3999999998</v>
      </c>
      <c r="ET8">
        <v>165.2000000013</v>
      </c>
      <c r="EU8">
        <v>173.70000000120001</v>
      </c>
      <c r="EV8">
        <v>182.0000000007</v>
      </c>
      <c r="EW8">
        <v>190.70000000100001</v>
      </c>
      <c r="EX8">
        <v>199.70000000100001</v>
      </c>
      <c r="EY8">
        <v>208.50000000060001</v>
      </c>
      <c r="EZ8">
        <v>216.90000000129999</v>
      </c>
      <c r="FA8">
        <v>225.4000000012</v>
      </c>
      <c r="FB8">
        <v>233.400000001</v>
      </c>
      <c r="FC8">
        <v>241.79999999980001</v>
      </c>
      <c r="FD8">
        <v>250.1000000011</v>
      </c>
      <c r="FE8">
        <v>258.60000000100001</v>
      </c>
      <c r="FF8">
        <v>267.10000000090002</v>
      </c>
      <c r="FG8">
        <v>275.10000000069999</v>
      </c>
      <c r="FH8">
        <v>282.90000000020001</v>
      </c>
      <c r="FI8">
        <v>290.60000000029999</v>
      </c>
      <c r="FJ8">
        <v>298.50000000080001</v>
      </c>
      <c r="FK8">
        <v>306.30000000019999</v>
      </c>
      <c r="FL8">
        <v>314.09999999960002</v>
      </c>
      <c r="FM8">
        <v>322.00000000009999</v>
      </c>
      <c r="FN8">
        <v>329.40000000049997</v>
      </c>
      <c r="FO8">
        <v>336.40000000010002</v>
      </c>
      <c r="FP8">
        <v>343.7000000013</v>
      </c>
      <c r="FQ8">
        <v>350.70000000089999</v>
      </c>
      <c r="FR8">
        <v>357.70000000049998</v>
      </c>
      <c r="FS8">
        <v>364.90000000049997</v>
      </c>
      <c r="FT8">
        <v>371.80000000080003</v>
      </c>
      <c r="FU8">
        <v>378.70000000110002</v>
      </c>
      <c r="FV8">
        <v>385.00000000019998</v>
      </c>
      <c r="FW8">
        <v>391.49999999969998</v>
      </c>
      <c r="FX8">
        <v>397.80000000059999</v>
      </c>
      <c r="FY8">
        <v>403.9000000012</v>
      </c>
      <c r="FZ8">
        <v>410.30000000140001</v>
      </c>
      <c r="GA8">
        <v>416.50000000120002</v>
      </c>
      <c r="GB8">
        <v>422.90000000139997</v>
      </c>
      <c r="GC8">
        <v>428.6000000011</v>
      </c>
      <c r="GD8">
        <v>434.50000000120002</v>
      </c>
      <c r="GE8">
        <v>440.00000000049999</v>
      </c>
      <c r="GF8">
        <v>445.10000000079998</v>
      </c>
      <c r="GG8">
        <v>448.9000000012</v>
      </c>
      <c r="GH8">
        <v>452.40000000010002</v>
      </c>
      <c r="GI8">
        <v>452.50000000120002</v>
      </c>
      <c r="GJ8">
        <v>452.50000000120002</v>
      </c>
      <c r="GK8">
        <v>452.50000000120002</v>
      </c>
      <c r="GL8">
        <v>452.50000000120002</v>
      </c>
      <c r="GM8">
        <v>452.60000000050002</v>
      </c>
      <c r="GN8">
        <v>452.69999999980001</v>
      </c>
      <c r="GO8">
        <v>452.60000000050002</v>
      </c>
      <c r="GP8">
        <v>452.69999999980001</v>
      </c>
      <c r="GQ8">
        <v>452.69999999980001</v>
      </c>
      <c r="GR8">
        <v>452.50000000120002</v>
      </c>
      <c r="GS8">
        <v>452.80000000090001</v>
      </c>
      <c r="GT8">
        <v>452.69999999980001</v>
      </c>
      <c r="GU8">
        <v>452.60000000050002</v>
      </c>
      <c r="GV8">
        <v>452.69999999980001</v>
      </c>
      <c r="GW8">
        <v>452.69999999980001</v>
      </c>
      <c r="GX8">
        <v>1</v>
      </c>
      <c r="GY8">
        <v>110.8999999997</v>
      </c>
      <c r="GZ8">
        <v>109.00000000039999</v>
      </c>
      <c r="HA8">
        <v>109.00000000039999</v>
      </c>
      <c r="HB8">
        <v>112.90000000009999</v>
      </c>
      <c r="HC8">
        <v>109.9557261185</v>
      </c>
      <c r="HD8">
        <v>-3.8999999996999999</v>
      </c>
      <c r="HE8">
        <v>452.69999999980001</v>
      </c>
      <c r="HF8">
        <v>312.60236333620003</v>
      </c>
      <c r="HG8">
        <v>90.095019325899997</v>
      </c>
      <c r="HH8">
        <v>452.80000000090001</v>
      </c>
      <c r="HI8">
        <v>452.80000000090001</v>
      </c>
      <c r="HJ8">
        <v>452.80000000090001</v>
      </c>
      <c r="HK8">
        <v>452.80000000090001</v>
      </c>
      <c r="HL8">
        <v>107.91788856300001</v>
      </c>
      <c r="HM8">
        <v>3.453607495</v>
      </c>
      <c r="HN8">
        <v>3.4002459481999998</v>
      </c>
      <c r="HO8">
        <v>3.4286041867999999</v>
      </c>
      <c r="HP8">
        <v>3.3705099382000001</v>
      </c>
      <c r="HQ8">
        <v>3.6536915209999998</v>
      </c>
      <c r="HR8">
        <v>2.3664950264</v>
      </c>
      <c r="HS8">
        <v>19.860706792599998</v>
      </c>
      <c r="HT8">
        <v>-25.806451612899998</v>
      </c>
      <c r="HU8">
        <v>-176</v>
      </c>
      <c r="HV8">
        <v>422.5580894547</v>
      </c>
      <c r="HW8">
        <v>93.841642228699996</v>
      </c>
      <c r="HX8">
        <v>640</v>
      </c>
      <c r="HY8">
        <v>19.860706792599998</v>
      </c>
      <c r="HZ8">
        <v>-25.806451612899998</v>
      </c>
      <c r="IA8">
        <v>-176</v>
      </c>
      <c r="IB8">
        <v>422.5580894547</v>
      </c>
      <c r="IC8">
        <v>93.841642228699996</v>
      </c>
      <c r="ID8">
        <v>640</v>
      </c>
      <c r="IE8">
        <v>30.2419105462</v>
      </c>
      <c r="IF8">
        <v>1.8038873551000001</v>
      </c>
      <c r="IG8">
        <v>-35.190615835800003</v>
      </c>
      <c r="IH8">
        <v>-240</v>
      </c>
      <c r="II8">
        <v>445.02978465019999</v>
      </c>
      <c r="IJ8">
        <v>103.22580645159999</v>
      </c>
      <c r="IK8">
        <v>704</v>
      </c>
      <c r="IL8">
        <v>402.69738266209998</v>
      </c>
      <c r="IM8">
        <v>119.6480938416</v>
      </c>
      <c r="IN8">
        <v>427.96901159599997</v>
      </c>
      <c r="IO8">
        <v>129.03225806450001</v>
      </c>
      <c r="IP8">
        <v>7.3999999986000002</v>
      </c>
      <c r="IQ8">
        <v>6.0000000012000001</v>
      </c>
      <c r="IR8">
        <v>9.1999999985999992</v>
      </c>
      <c r="IS8">
        <v>5.9685197726999997</v>
      </c>
      <c r="IT8">
        <v>5.9685197726999997</v>
      </c>
      <c r="IU8">
        <v>2.8000000001999998</v>
      </c>
      <c r="IV8">
        <v>-28.152492668600001</v>
      </c>
      <c r="IW8">
        <v>5.6000000003999997</v>
      </c>
      <c r="IX8">
        <v>75.073313783000003</v>
      </c>
      <c r="IY8">
        <v>4.4000000015999996</v>
      </c>
      <c r="IZ8">
        <v>98.533724340199996</v>
      </c>
      <c r="JA8">
        <v>-31.943475977599999</v>
      </c>
      <c r="JB8">
        <v>0.31636727269999998</v>
      </c>
      <c r="JC8">
        <v>-2.9413559999999999E-4</v>
      </c>
      <c r="JD8">
        <v>5.9250000000000004E-7</v>
      </c>
      <c r="JE8">
        <v>0.28955230189999998</v>
      </c>
      <c r="JF8">
        <v>0.15258554769999999</v>
      </c>
      <c r="JG8">
        <v>6.5290140400000002E-2</v>
      </c>
      <c r="JH8">
        <v>110.2015601961</v>
      </c>
      <c r="JI8">
        <v>3.6536915209999998</v>
      </c>
      <c r="JJ8">
        <v>2.8239989000000002E-3</v>
      </c>
      <c r="JK8">
        <v>-6.8785E-5</v>
      </c>
      <c r="JL8">
        <v>3.453607495</v>
      </c>
      <c r="JM8">
        <v>1.4627106343</v>
      </c>
      <c r="JN8">
        <v>0.50028438070000003</v>
      </c>
      <c r="JO8">
        <v>3.1542499994000002</v>
      </c>
      <c r="JP8">
        <v>2.5575000005000001</v>
      </c>
      <c r="JQ8">
        <v>3.9214999993999999</v>
      </c>
      <c r="JR8" s="17" t="s">
        <v>576</v>
      </c>
      <c r="JU8" s="17">
        <v>1</v>
      </c>
    </row>
    <row r="9" spans="1:281">
      <c r="A9" t="s">
        <v>655</v>
      </c>
      <c r="B9" t="s">
        <v>656</v>
      </c>
      <c r="C9" t="s">
        <v>657</v>
      </c>
      <c r="D9" t="s">
        <v>213</v>
      </c>
      <c r="E9">
        <v>3</v>
      </c>
      <c r="F9" t="s">
        <v>214</v>
      </c>
      <c r="G9" t="s">
        <v>215</v>
      </c>
      <c r="H9" t="s">
        <v>575</v>
      </c>
      <c r="I9" t="s">
        <v>217</v>
      </c>
      <c r="K9" t="s">
        <v>631</v>
      </c>
      <c r="L9" t="s">
        <v>632</v>
      </c>
      <c r="M9" t="s">
        <v>633</v>
      </c>
      <c r="N9" t="s">
        <v>634</v>
      </c>
      <c r="O9" t="s">
        <v>635</v>
      </c>
      <c r="P9">
        <v>0</v>
      </c>
      <c r="Q9">
        <v>0</v>
      </c>
      <c r="R9">
        <v>0.19999999860000001</v>
      </c>
      <c r="S9">
        <v>9.9999999300000003E-2</v>
      </c>
      <c r="T9">
        <v>9.9999999300000003E-2</v>
      </c>
      <c r="U9">
        <v>9.9999999300000003E-2</v>
      </c>
      <c r="V9">
        <v>0.29999999970000002</v>
      </c>
      <c r="W9">
        <v>0.19999999860000001</v>
      </c>
      <c r="X9">
        <v>0</v>
      </c>
      <c r="Y9">
        <v>0.29999999970000002</v>
      </c>
      <c r="Z9">
        <v>0.29999999970000002</v>
      </c>
      <c r="AA9">
        <v>0.39999999899999999</v>
      </c>
      <c r="AB9">
        <v>0.29999999970000002</v>
      </c>
      <c r="AC9">
        <v>0.29999999970000002</v>
      </c>
      <c r="AD9">
        <v>0.29999999970000002</v>
      </c>
      <c r="AE9">
        <v>0.39999999899999999</v>
      </c>
      <c r="AF9">
        <v>0.19999999860000001</v>
      </c>
      <c r="AG9">
        <v>0.59999999940000004</v>
      </c>
      <c r="AH9">
        <v>0.29999999970000002</v>
      </c>
      <c r="AI9">
        <v>0.50000000010000001</v>
      </c>
      <c r="AJ9">
        <v>0.50000000010000001</v>
      </c>
      <c r="AK9">
        <v>1.2999999999</v>
      </c>
      <c r="AL9">
        <v>8.3999999988000003</v>
      </c>
      <c r="AM9">
        <v>15.5999999988</v>
      </c>
      <c r="AN9">
        <v>22.9999999992</v>
      </c>
      <c r="AO9">
        <v>30.6</v>
      </c>
      <c r="AP9">
        <v>39.1</v>
      </c>
      <c r="AQ9">
        <v>47.099999999799998</v>
      </c>
      <c r="AR9">
        <v>55.199999998899997</v>
      </c>
      <c r="AS9">
        <v>63.399999999099997</v>
      </c>
      <c r="AT9">
        <v>71.799999999700006</v>
      </c>
      <c r="AU9">
        <v>79.699999998400003</v>
      </c>
      <c r="AV9">
        <v>88.699999998400003</v>
      </c>
      <c r="AW9">
        <v>97.599999999100007</v>
      </c>
      <c r="AX9">
        <v>106.59999999919999</v>
      </c>
      <c r="AY9">
        <v>116</v>
      </c>
      <c r="AZ9">
        <v>124.7999999996</v>
      </c>
      <c r="BA9">
        <v>133.19999999839999</v>
      </c>
      <c r="BB9">
        <v>142.19999999839999</v>
      </c>
      <c r="BC9">
        <v>151.19999999839999</v>
      </c>
      <c r="BD9">
        <v>159.7999999994</v>
      </c>
      <c r="BE9">
        <v>168.70000000019999</v>
      </c>
      <c r="BF9">
        <v>177.59999999909999</v>
      </c>
      <c r="BG9">
        <v>185.79999999930001</v>
      </c>
      <c r="BH9">
        <v>194.59999999889999</v>
      </c>
      <c r="BI9">
        <v>203.49999999959999</v>
      </c>
      <c r="BJ9">
        <v>211.89999999840001</v>
      </c>
      <c r="BK9">
        <v>220.6999999999</v>
      </c>
      <c r="BL9">
        <v>228.99999999939999</v>
      </c>
      <c r="BM9">
        <v>237.09999999850001</v>
      </c>
      <c r="BN9">
        <v>245.3999999998</v>
      </c>
      <c r="BO9">
        <v>253.89999999969999</v>
      </c>
      <c r="BP9">
        <v>262.19999999919997</v>
      </c>
      <c r="BQ9">
        <v>270.0999999997</v>
      </c>
      <c r="BR9">
        <v>278.09999999950003</v>
      </c>
      <c r="BS9">
        <v>285.79999999969999</v>
      </c>
      <c r="BT9">
        <v>293.29999999939997</v>
      </c>
      <c r="BU9">
        <v>301.1999999999</v>
      </c>
      <c r="BV9">
        <v>308.89999999999998</v>
      </c>
      <c r="BW9">
        <v>316.60000000010001</v>
      </c>
      <c r="BX9">
        <v>323.4999999986</v>
      </c>
      <c r="BY9">
        <v>330.69999999859999</v>
      </c>
      <c r="BZ9">
        <v>337.89999999859998</v>
      </c>
      <c r="CA9">
        <v>344.59999999849998</v>
      </c>
      <c r="CB9">
        <v>351.6</v>
      </c>
      <c r="CC9">
        <v>358.8</v>
      </c>
      <c r="CD9">
        <v>365.39999999880001</v>
      </c>
      <c r="CE9">
        <v>371.79999999900002</v>
      </c>
      <c r="CF9">
        <v>378.09999999989998</v>
      </c>
      <c r="CG9">
        <v>384.39999999899999</v>
      </c>
      <c r="CH9">
        <v>390.6999999999</v>
      </c>
      <c r="CI9">
        <v>396.6</v>
      </c>
      <c r="CJ9">
        <v>402.69999999869998</v>
      </c>
      <c r="CK9">
        <v>408.7999999992</v>
      </c>
      <c r="CL9">
        <v>414.9999999991</v>
      </c>
      <c r="CM9">
        <v>420.69999999880002</v>
      </c>
      <c r="CN9">
        <v>426.49999999959999</v>
      </c>
      <c r="CO9">
        <v>431.89999999960003</v>
      </c>
      <c r="CP9">
        <v>437.5</v>
      </c>
      <c r="CQ9">
        <v>444.39999999849999</v>
      </c>
      <c r="CR9">
        <v>449.59999999989998</v>
      </c>
      <c r="CS9">
        <v>453.59999999889999</v>
      </c>
      <c r="CT9">
        <v>455.3999999989</v>
      </c>
      <c r="CU9">
        <v>455.2999999996</v>
      </c>
      <c r="CV9">
        <v>455.2999999996</v>
      </c>
      <c r="CW9">
        <v>455.2999999996</v>
      </c>
      <c r="CX9">
        <v>455.09999999920001</v>
      </c>
      <c r="CY9">
        <v>455.3999999989</v>
      </c>
      <c r="CZ9">
        <v>455.3999999989</v>
      </c>
      <c r="DA9">
        <v>455.5</v>
      </c>
      <c r="DB9">
        <v>455.3999999989</v>
      </c>
      <c r="DC9">
        <v>455.5</v>
      </c>
      <c r="DD9">
        <v>455.5</v>
      </c>
      <c r="DE9">
        <v>455.5</v>
      </c>
      <c r="DF9">
        <v>455.3999999989</v>
      </c>
      <c r="DG9">
        <v>455.2999999996</v>
      </c>
      <c r="DH9">
        <v>0.79999999980000003</v>
      </c>
      <c r="DI9">
        <v>0.99999999839999998</v>
      </c>
      <c r="DJ9">
        <v>0.89999999909999995</v>
      </c>
      <c r="DK9">
        <v>0.99999999839999998</v>
      </c>
      <c r="DL9">
        <v>0.79999999980000003</v>
      </c>
      <c r="DM9">
        <v>0.89999999909999995</v>
      </c>
      <c r="DN9">
        <v>1.0999999995</v>
      </c>
      <c r="DO9">
        <v>1.0999999995</v>
      </c>
      <c r="DP9">
        <v>1.1999999988000001</v>
      </c>
      <c r="DQ9">
        <v>1.0999999995</v>
      </c>
      <c r="DR9">
        <v>1.0999999995</v>
      </c>
      <c r="DS9">
        <v>1.2999999999</v>
      </c>
      <c r="DT9">
        <v>1.2999999999</v>
      </c>
      <c r="DU9">
        <v>1.2999999999</v>
      </c>
      <c r="DV9">
        <v>1.2999999999</v>
      </c>
      <c r="DW9">
        <v>1.1999999988000001</v>
      </c>
      <c r="DX9">
        <v>1.2999999999</v>
      </c>
      <c r="DY9">
        <v>1.2999999999</v>
      </c>
      <c r="DZ9">
        <v>1.2999999999</v>
      </c>
      <c r="EA9">
        <v>5.1999999996000001</v>
      </c>
      <c r="EB9">
        <v>12.699999999299999</v>
      </c>
      <c r="EC9">
        <v>20.0999999997</v>
      </c>
      <c r="ED9">
        <v>27.599999999400001</v>
      </c>
      <c r="EE9">
        <v>35.799999999699999</v>
      </c>
      <c r="EF9">
        <v>44.099999999200001</v>
      </c>
      <c r="EG9">
        <v>51.899999998600002</v>
      </c>
      <c r="EH9">
        <v>60.099999998800001</v>
      </c>
      <c r="EI9">
        <v>68.299999998999994</v>
      </c>
      <c r="EJ9">
        <v>76.299999998800004</v>
      </c>
      <c r="EK9">
        <v>84.699999999400006</v>
      </c>
      <c r="EL9">
        <v>93.799999998700002</v>
      </c>
      <c r="EM9">
        <v>102.2999999986</v>
      </c>
      <c r="EN9">
        <v>111.69999999949999</v>
      </c>
      <c r="EO9">
        <v>120.9999999992</v>
      </c>
      <c r="EP9">
        <v>129.3999999998</v>
      </c>
      <c r="EQ9">
        <v>138.2999999987</v>
      </c>
      <c r="ER9">
        <v>147.2999999987</v>
      </c>
      <c r="ES9">
        <v>156.1000000002</v>
      </c>
      <c r="ET9">
        <v>164.9999999991</v>
      </c>
      <c r="EU9">
        <v>173.9999999991</v>
      </c>
      <c r="EV9">
        <v>182.1</v>
      </c>
      <c r="EW9">
        <v>191.49999999900001</v>
      </c>
      <c r="EX9">
        <v>200.60000000010001</v>
      </c>
      <c r="EY9">
        <v>209.29999999859999</v>
      </c>
      <c r="EZ9">
        <v>217.99999999889999</v>
      </c>
      <c r="FA9">
        <v>226.6</v>
      </c>
      <c r="FB9">
        <v>234.80000000019999</v>
      </c>
      <c r="FC9">
        <v>243.39999999939999</v>
      </c>
      <c r="FD9">
        <v>251.89999999930001</v>
      </c>
      <c r="FE9">
        <v>260.59999999960002</v>
      </c>
      <c r="FF9">
        <v>268.69999999869998</v>
      </c>
      <c r="FG9">
        <v>276.8999999989</v>
      </c>
      <c r="FH9">
        <v>284.99999999990001</v>
      </c>
      <c r="FI9">
        <v>292.59999999889999</v>
      </c>
      <c r="FJ9">
        <v>300.79999999910001</v>
      </c>
      <c r="FK9">
        <v>308.79999999889998</v>
      </c>
      <c r="FL9">
        <v>316.29999999860001</v>
      </c>
      <c r="FM9">
        <v>323.8000000001</v>
      </c>
      <c r="FN9">
        <v>331.29999999979998</v>
      </c>
      <c r="FO9">
        <v>338.59999999910002</v>
      </c>
      <c r="FP9">
        <v>345.40000000020001</v>
      </c>
      <c r="FQ9">
        <v>352.79999999879999</v>
      </c>
      <c r="FR9">
        <v>359.99999999879998</v>
      </c>
      <c r="FS9">
        <v>366.99999999840003</v>
      </c>
      <c r="FT9">
        <v>373.49999999969998</v>
      </c>
      <c r="FU9">
        <v>380.19999999959998</v>
      </c>
      <c r="FV9">
        <v>386.69999999909999</v>
      </c>
      <c r="FW9">
        <v>393</v>
      </c>
      <c r="FX9">
        <v>399.09999999870001</v>
      </c>
      <c r="FY9">
        <v>405.49999999890002</v>
      </c>
      <c r="FZ9">
        <v>411.79999999990002</v>
      </c>
      <c r="GA9">
        <v>417.79999999929998</v>
      </c>
      <c r="GB9">
        <v>423.60000000010001</v>
      </c>
      <c r="GC9">
        <v>428.79999999969999</v>
      </c>
      <c r="GD9">
        <v>434.40000000010002</v>
      </c>
      <c r="GE9">
        <v>440.09999999979999</v>
      </c>
      <c r="GF9">
        <v>445.99999999990001</v>
      </c>
      <c r="GG9">
        <v>450.1</v>
      </c>
      <c r="GH9">
        <v>453.7</v>
      </c>
      <c r="GI9">
        <v>455.1999999985</v>
      </c>
      <c r="GJ9">
        <v>455.1999999985</v>
      </c>
      <c r="GK9">
        <v>455.09999999920001</v>
      </c>
      <c r="GL9">
        <v>455.3999999989</v>
      </c>
      <c r="GM9">
        <v>455.3999999989</v>
      </c>
      <c r="GN9">
        <v>455.2999999996</v>
      </c>
      <c r="GO9">
        <v>455.5999999993</v>
      </c>
      <c r="GP9">
        <v>455.5</v>
      </c>
      <c r="GQ9">
        <v>455.5</v>
      </c>
      <c r="GR9">
        <v>455.3999999989</v>
      </c>
      <c r="GS9">
        <v>455.5</v>
      </c>
      <c r="GT9">
        <v>455.5</v>
      </c>
      <c r="GU9">
        <v>455.5999999993</v>
      </c>
      <c r="GV9">
        <v>455.5</v>
      </c>
      <c r="GW9">
        <v>455.69999999859999</v>
      </c>
      <c r="GX9">
        <v>1</v>
      </c>
      <c r="GY9">
        <v>108.1999999988</v>
      </c>
      <c r="GZ9">
        <v>106.59999999919999</v>
      </c>
      <c r="HA9">
        <v>106.59999999919999</v>
      </c>
      <c r="HB9">
        <v>111.69999999949999</v>
      </c>
      <c r="HC9">
        <v>107.82196246220001</v>
      </c>
      <c r="HD9">
        <v>-5.1000000002999997</v>
      </c>
      <c r="HE9">
        <v>455.69995609559999</v>
      </c>
      <c r="HF9">
        <v>320.43039183439998</v>
      </c>
      <c r="HG9">
        <v>92.045637142299995</v>
      </c>
      <c r="HH9">
        <v>455.69999999859999</v>
      </c>
      <c r="HI9">
        <v>455.69995609559999</v>
      </c>
      <c r="HJ9">
        <v>455.5</v>
      </c>
      <c r="HK9">
        <v>455.69999999859999</v>
      </c>
      <c r="HL9">
        <v>110.26392961880001</v>
      </c>
      <c r="HM9">
        <v>3.4822115201999999</v>
      </c>
      <c r="HN9">
        <v>3.3956145701999998</v>
      </c>
      <c r="HO9">
        <v>3.4693103603000002</v>
      </c>
      <c r="HP9">
        <v>3.5154278924</v>
      </c>
      <c r="HQ9">
        <v>3.7535929076999999</v>
      </c>
      <c r="HR9">
        <v>2.2447009385999999</v>
      </c>
      <c r="HS9">
        <v>15.7763253199</v>
      </c>
      <c r="HT9">
        <v>-25.806451612899998</v>
      </c>
      <c r="HU9">
        <v>-176</v>
      </c>
      <c r="HV9">
        <v>428.2523542966</v>
      </c>
      <c r="HW9">
        <v>96.187683284499997</v>
      </c>
      <c r="HX9">
        <v>656</v>
      </c>
      <c r="HY9">
        <v>15.7763253199</v>
      </c>
      <c r="HZ9">
        <v>-25.806451612899998</v>
      </c>
      <c r="IA9">
        <v>-176</v>
      </c>
      <c r="IB9">
        <v>428.2523542966</v>
      </c>
      <c r="IC9">
        <v>96.187683284499997</v>
      </c>
      <c r="ID9">
        <v>656</v>
      </c>
      <c r="IE9">
        <v>27.447601799000001</v>
      </c>
      <c r="IF9">
        <v>0.50158050720000003</v>
      </c>
      <c r="IG9">
        <v>-35.190615835800003</v>
      </c>
      <c r="IH9">
        <v>-240</v>
      </c>
      <c r="II9">
        <v>449.99614751399997</v>
      </c>
      <c r="IJ9">
        <v>105.57184750730001</v>
      </c>
      <c r="IK9">
        <v>720</v>
      </c>
      <c r="IL9">
        <v>412.47602897669998</v>
      </c>
      <c r="IM9">
        <v>121.9941348974</v>
      </c>
      <c r="IN9">
        <v>438.42027219829998</v>
      </c>
      <c r="IO9">
        <v>131.37829912020001</v>
      </c>
      <c r="IP9">
        <v>7.4999999997</v>
      </c>
      <c r="IQ9">
        <v>6.8999999985000002</v>
      </c>
      <c r="IR9">
        <v>9.4000000008000004</v>
      </c>
      <c r="IS9">
        <v>7.4347432315999997</v>
      </c>
      <c r="IT9">
        <v>7.4347432315999997</v>
      </c>
      <c r="IU9">
        <v>4.3000000004999999</v>
      </c>
      <c r="IV9">
        <v>-28.152492668600001</v>
      </c>
      <c r="IW9">
        <v>9.1000000010999997</v>
      </c>
      <c r="IX9">
        <v>89.149560117299998</v>
      </c>
      <c r="IY9">
        <v>8.4999999999</v>
      </c>
      <c r="IZ9">
        <v>103.22580645159999</v>
      </c>
      <c r="JA9">
        <v>-30.404923826899999</v>
      </c>
      <c r="JB9">
        <v>0.3058426299</v>
      </c>
      <c r="JC9">
        <v>-2.8501680000000003E-4</v>
      </c>
      <c r="JD9">
        <v>6.0670000000000005E-7</v>
      </c>
      <c r="JE9">
        <v>0.28717382450000001</v>
      </c>
      <c r="JF9">
        <v>0.2491997158</v>
      </c>
      <c r="JG9">
        <v>8.7541599900000003E-2</v>
      </c>
      <c r="JH9">
        <v>108.4760593733</v>
      </c>
      <c r="JI9">
        <v>3.7535929076999999</v>
      </c>
      <c r="JJ9">
        <v>1.9791167999999998E-3</v>
      </c>
      <c r="JK9">
        <v>-6.8079399999999997E-5</v>
      </c>
      <c r="JL9">
        <v>3.4822115201999999</v>
      </c>
      <c r="JM9">
        <v>1.6791022903999999</v>
      </c>
      <c r="JN9">
        <v>0.62436698040000005</v>
      </c>
      <c r="JO9">
        <v>3.1968749998999999</v>
      </c>
      <c r="JP9">
        <v>2.9411249993999999</v>
      </c>
      <c r="JQ9">
        <v>4.0067500004000003</v>
      </c>
      <c r="JR9" s="17" t="s">
        <v>576</v>
      </c>
      <c r="JU9" s="17">
        <v>1</v>
      </c>
    </row>
    <row r="10" spans="1:281">
      <c r="A10" t="s">
        <v>658</v>
      </c>
      <c r="B10" t="s">
        <v>659</v>
      </c>
      <c r="C10" t="s">
        <v>660</v>
      </c>
      <c r="D10" t="s">
        <v>213</v>
      </c>
      <c r="E10">
        <v>3</v>
      </c>
      <c r="F10" t="s">
        <v>214</v>
      </c>
      <c r="G10" t="s">
        <v>215</v>
      </c>
      <c r="H10" t="s">
        <v>575</v>
      </c>
      <c r="I10" t="s">
        <v>217</v>
      </c>
      <c r="K10" t="s">
        <v>639</v>
      </c>
      <c r="L10" t="s">
        <v>640</v>
      </c>
      <c r="M10" t="s">
        <v>641</v>
      </c>
      <c r="N10" t="s">
        <v>642</v>
      </c>
      <c r="O10" t="s">
        <v>643</v>
      </c>
      <c r="P10">
        <v>0</v>
      </c>
      <c r="Q10">
        <v>0</v>
      </c>
      <c r="R10">
        <v>0</v>
      </c>
      <c r="S10">
        <v>0.3000000015</v>
      </c>
      <c r="T10">
        <v>0.3000000015</v>
      </c>
      <c r="U10">
        <v>0.40000000079999998</v>
      </c>
      <c r="V10">
        <v>0.50000000010000001</v>
      </c>
      <c r="W10">
        <v>0.40000000079999998</v>
      </c>
      <c r="X10">
        <v>0.50000000010000001</v>
      </c>
      <c r="Y10">
        <v>0.40000000079999998</v>
      </c>
      <c r="Z10">
        <v>0.40000000079999998</v>
      </c>
      <c r="AA10">
        <v>0.60000000119999997</v>
      </c>
      <c r="AB10">
        <v>0.40000000079999998</v>
      </c>
      <c r="AC10">
        <v>0.50000000010000001</v>
      </c>
      <c r="AD10">
        <v>0.7000000005</v>
      </c>
      <c r="AE10">
        <v>0.50000000010000001</v>
      </c>
      <c r="AF10">
        <v>0.7000000005</v>
      </c>
      <c r="AG10">
        <v>0.7000000005</v>
      </c>
      <c r="AH10">
        <v>0.7000000005</v>
      </c>
      <c r="AI10">
        <v>0.7000000005</v>
      </c>
      <c r="AJ10">
        <v>3.0999999999000001</v>
      </c>
      <c r="AK10">
        <v>6.4000000002000004</v>
      </c>
      <c r="AL10">
        <v>13.1000000001</v>
      </c>
      <c r="AM10">
        <v>20.200000000799999</v>
      </c>
      <c r="AN10">
        <v>28.100000001400002</v>
      </c>
      <c r="AO10">
        <v>35.6000000011</v>
      </c>
      <c r="AP10">
        <v>43.100000000800001</v>
      </c>
      <c r="AQ10">
        <v>51.000000001300002</v>
      </c>
      <c r="AR10">
        <v>58.9</v>
      </c>
      <c r="AS10">
        <v>66.5000000008</v>
      </c>
      <c r="AT10">
        <v>74.700000001000006</v>
      </c>
      <c r="AU10">
        <v>83.100000001699996</v>
      </c>
      <c r="AV10">
        <v>91.200000000800003</v>
      </c>
      <c r="AW10">
        <v>99.299999999899995</v>
      </c>
      <c r="AX10">
        <v>108.50000000030001</v>
      </c>
      <c r="AY10">
        <v>117.60000000140001</v>
      </c>
      <c r="AZ10">
        <v>126.0000000002</v>
      </c>
      <c r="BA10">
        <v>134.80000000160001</v>
      </c>
      <c r="BB10">
        <v>143.3000000015</v>
      </c>
      <c r="BC10">
        <v>151.49999999990001</v>
      </c>
      <c r="BD10">
        <v>160.00000000169999</v>
      </c>
      <c r="BE10">
        <v>168.4000000005</v>
      </c>
      <c r="BF10">
        <v>176.7</v>
      </c>
      <c r="BG10">
        <v>185.10000000060001</v>
      </c>
      <c r="BH10">
        <v>194.00000000130001</v>
      </c>
      <c r="BI10">
        <v>202.00000000110001</v>
      </c>
      <c r="BJ10">
        <v>210.1000000002</v>
      </c>
      <c r="BK10">
        <v>218.6000000002</v>
      </c>
      <c r="BL10">
        <v>226.5000000007</v>
      </c>
      <c r="BM10">
        <v>234.80000000019999</v>
      </c>
      <c r="BN10">
        <v>243.10000000150001</v>
      </c>
      <c r="BO10">
        <v>250.80000000160001</v>
      </c>
      <c r="BP10">
        <v>258.60000000100001</v>
      </c>
      <c r="BQ10">
        <v>266.30000000109999</v>
      </c>
      <c r="BR10">
        <v>274.10000000050002</v>
      </c>
      <c r="BS10">
        <v>281.60000000029999</v>
      </c>
      <c r="BT10">
        <v>289.50000000080001</v>
      </c>
      <c r="BU10">
        <v>297.50000000059998</v>
      </c>
      <c r="BV10">
        <v>304.40000000089998</v>
      </c>
      <c r="BW10">
        <v>311.40000000049997</v>
      </c>
      <c r="BX10">
        <v>318.60000000050002</v>
      </c>
      <c r="BY10">
        <v>325.70000000120001</v>
      </c>
      <c r="BZ10">
        <v>332.60000000150001</v>
      </c>
      <c r="CA10">
        <v>339.40000000079999</v>
      </c>
      <c r="CB10">
        <v>346.70000000009998</v>
      </c>
      <c r="CC10">
        <v>353.20000000139999</v>
      </c>
      <c r="CD10">
        <v>359.60000000159999</v>
      </c>
      <c r="CE10">
        <v>366</v>
      </c>
      <c r="CF10">
        <v>372.40000000020001</v>
      </c>
      <c r="CG10">
        <v>378.70000000110002</v>
      </c>
      <c r="CH10">
        <v>384.60000000119999</v>
      </c>
      <c r="CI10">
        <v>391.2</v>
      </c>
      <c r="CJ10">
        <v>397.00000000080001</v>
      </c>
      <c r="CK10">
        <v>403.50000000030002</v>
      </c>
      <c r="CL10">
        <v>408.90000000039998</v>
      </c>
      <c r="CM10">
        <v>414.40000000150002</v>
      </c>
      <c r="CN10">
        <v>420.10000000119999</v>
      </c>
      <c r="CO10">
        <v>425.70000000160002</v>
      </c>
      <c r="CP10">
        <v>431.30000000019999</v>
      </c>
      <c r="CQ10">
        <v>436.70000000020002</v>
      </c>
      <c r="CR10">
        <v>441.90000000160001</v>
      </c>
      <c r="CS10">
        <v>445.99999999990001</v>
      </c>
      <c r="CT10">
        <v>449.70000000099998</v>
      </c>
      <c r="CU10">
        <v>449.80000000029997</v>
      </c>
      <c r="CV10">
        <v>449.80000000029997</v>
      </c>
      <c r="CW10">
        <v>449.80000000029997</v>
      </c>
      <c r="CX10">
        <v>449.80000000029997</v>
      </c>
      <c r="CY10">
        <v>449.90000000139997</v>
      </c>
      <c r="CZ10">
        <v>449.90000000139997</v>
      </c>
      <c r="DA10">
        <v>449.90000000139997</v>
      </c>
      <c r="DB10">
        <v>450.00000000070003</v>
      </c>
      <c r="DC10">
        <v>449.90000000139997</v>
      </c>
      <c r="DD10">
        <v>450.00000000070003</v>
      </c>
      <c r="DE10">
        <v>450.1</v>
      </c>
      <c r="DF10">
        <v>450.1</v>
      </c>
      <c r="DG10">
        <v>450.20000000110002</v>
      </c>
      <c r="DH10">
        <v>0.60000000119999997</v>
      </c>
      <c r="DI10">
        <v>1.400000001</v>
      </c>
      <c r="DJ10">
        <v>1.5000000003</v>
      </c>
      <c r="DK10">
        <v>1.5000000003</v>
      </c>
      <c r="DL10">
        <v>1.400000001</v>
      </c>
      <c r="DM10">
        <v>1.400000001</v>
      </c>
      <c r="DN10">
        <v>1.400000001</v>
      </c>
      <c r="DO10">
        <v>1.5000000003</v>
      </c>
      <c r="DP10">
        <v>1.5000000003</v>
      </c>
      <c r="DQ10">
        <v>1.6000000014</v>
      </c>
      <c r="DR10">
        <v>1.6000000014</v>
      </c>
      <c r="DS10">
        <v>1.6000000014</v>
      </c>
      <c r="DT10">
        <v>1.6000000014</v>
      </c>
      <c r="DU10">
        <v>1.6000000014</v>
      </c>
      <c r="DV10">
        <v>1.7000000007</v>
      </c>
      <c r="DW10">
        <v>1.8</v>
      </c>
      <c r="DX10">
        <v>1.7000000007</v>
      </c>
      <c r="DY10">
        <v>2.2000000007999998</v>
      </c>
      <c r="DZ10">
        <v>5.1000000002999997</v>
      </c>
      <c r="EA10">
        <v>10.400000001</v>
      </c>
      <c r="EB10">
        <v>17.400000000599999</v>
      </c>
      <c r="EC10">
        <v>24.800000001099999</v>
      </c>
      <c r="ED10">
        <v>32.600000000500003</v>
      </c>
      <c r="EE10">
        <v>39.900000001599999</v>
      </c>
      <c r="EF10">
        <v>47.800000000300003</v>
      </c>
      <c r="EG10">
        <v>55.6000000015</v>
      </c>
      <c r="EH10">
        <v>63.300000001599997</v>
      </c>
      <c r="EI10">
        <v>71.100000000999998</v>
      </c>
      <c r="EJ10">
        <v>79.300000001200004</v>
      </c>
      <c r="EK10">
        <v>87.600000000700007</v>
      </c>
      <c r="EL10">
        <v>95.500000001299995</v>
      </c>
      <c r="EM10">
        <v>104.1000000005</v>
      </c>
      <c r="EN10">
        <v>113.50000000129999</v>
      </c>
      <c r="EO10">
        <v>122.2000000016</v>
      </c>
      <c r="EP10">
        <v>130.7000000015</v>
      </c>
      <c r="EQ10">
        <v>139.90000000009999</v>
      </c>
      <c r="ER10">
        <v>147.6000000002</v>
      </c>
      <c r="ES10">
        <v>156.60000000030001</v>
      </c>
      <c r="ET10">
        <v>165.1000000002</v>
      </c>
      <c r="EU10">
        <v>173.1</v>
      </c>
      <c r="EV10">
        <v>182.0000000007</v>
      </c>
      <c r="EW10">
        <v>190.9000000014</v>
      </c>
      <c r="EX10">
        <v>198.9000000012</v>
      </c>
      <c r="EY10">
        <v>207.50000000040001</v>
      </c>
      <c r="EZ10">
        <v>215.70000000069999</v>
      </c>
      <c r="FA10">
        <v>224.0000000002</v>
      </c>
      <c r="FB10">
        <v>232.50000000009999</v>
      </c>
      <c r="FC10">
        <v>240.80000000140001</v>
      </c>
      <c r="FD10">
        <v>248.9000000005</v>
      </c>
      <c r="FE10">
        <v>256.800000001</v>
      </c>
      <c r="FF10">
        <v>264.80000000080003</v>
      </c>
      <c r="FG10">
        <v>273.10000000029999</v>
      </c>
      <c r="FH10">
        <v>280.50000000080001</v>
      </c>
      <c r="FI10">
        <v>288.70000000099998</v>
      </c>
      <c r="FJ10">
        <v>296.60000000150001</v>
      </c>
      <c r="FK10">
        <v>304.00000000009999</v>
      </c>
      <c r="FL10">
        <v>311.20000000009998</v>
      </c>
      <c r="FM10">
        <v>318.70000000160002</v>
      </c>
      <c r="FN10">
        <v>326.0000000009</v>
      </c>
      <c r="FO10">
        <v>333.10000000169998</v>
      </c>
      <c r="FP10">
        <v>340.20000000060003</v>
      </c>
      <c r="FQ10">
        <v>347.30000000130002</v>
      </c>
      <c r="FR10">
        <v>354.50000000130001</v>
      </c>
      <c r="FS10">
        <v>360.80000000040002</v>
      </c>
      <c r="FT10">
        <v>367.40000000100002</v>
      </c>
      <c r="FU10">
        <v>374.10000000090002</v>
      </c>
      <c r="FV10">
        <v>380.50000000109998</v>
      </c>
      <c r="FW10">
        <v>386.60000000159999</v>
      </c>
      <c r="FX10">
        <v>393.3000000015</v>
      </c>
      <c r="FY10">
        <v>399.30000000090001</v>
      </c>
      <c r="FZ10">
        <v>405.50000000080001</v>
      </c>
      <c r="GA10">
        <v>411.20000000049998</v>
      </c>
      <c r="GB10">
        <v>417.10000000060001</v>
      </c>
      <c r="GC10">
        <v>422.30000000019999</v>
      </c>
      <c r="GD10">
        <v>427.90000000060002</v>
      </c>
      <c r="GE10">
        <v>433.30000000059999</v>
      </c>
      <c r="GF10">
        <v>438.30000000159998</v>
      </c>
      <c r="GG10">
        <v>442.80000000069998</v>
      </c>
      <c r="GH10">
        <v>446.90000000079999</v>
      </c>
      <c r="GI10">
        <v>449.70000000099998</v>
      </c>
      <c r="GJ10">
        <v>449.80000000029997</v>
      </c>
      <c r="GK10">
        <v>449.70000000099998</v>
      </c>
      <c r="GL10">
        <v>449.80000000029997</v>
      </c>
      <c r="GM10">
        <v>449.70000000099998</v>
      </c>
      <c r="GN10">
        <v>449.70000000099998</v>
      </c>
      <c r="GO10">
        <v>449.90000000139997</v>
      </c>
      <c r="GP10">
        <v>449.80000000029997</v>
      </c>
      <c r="GQ10">
        <v>450.00000000070003</v>
      </c>
      <c r="GR10">
        <v>450.00000000070003</v>
      </c>
      <c r="GS10">
        <v>449.90000000139997</v>
      </c>
      <c r="GT10">
        <v>449.90000000139997</v>
      </c>
      <c r="GU10">
        <v>450.00000000070003</v>
      </c>
      <c r="GV10">
        <v>450.00000000070003</v>
      </c>
      <c r="GW10">
        <v>450.00000000070003</v>
      </c>
      <c r="GX10">
        <v>1</v>
      </c>
      <c r="GY10">
        <v>110.3000000003</v>
      </c>
      <c r="GZ10">
        <v>108.50000000030001</v>
      </c>
      <c r="HA10">
        <v>108.50000000030001</v>
      </c>
      <c r="HB10">
        <v>113.50000000129999</v>
      </c>
      <c r="HC10">
        <v>109.73305932069999</v>
      </c>
      <c r="HD10">
        <v>-5.0000000010000001</v>
      </c>
      <c r="HE10">
        <v>450.00000000070003</v>
      </c>
      <c r="HF10">
        <v>306.69104643409997</v>
      </c>
      <c r="HG10">
        <v>89.303110419600003</v>
      </c>
      <c r="HH10">
        <v>450.20000000110002</v>
      </c>
      <c r="HI10">
        <v>450.00001110940002</v>
      </c>
      <c r="HJ10">
        <v>450.20000000110002</v>
      </c>
      <c r="HK10">
        <v>450.00000000070003</v>
      </c>
      <c r="HL10">
        <v>110.26392961880001</v>
      </c>
      <c r="HM10">
        <v>3.3955059258000002</v>
      </c>
      <c r="HN10">
        <v>3.2995356918000001</v>
      </c>
      <c r="HO10">
        <v>3.3857107006999998</v>
      </c>
      <c r="HP10">
        <v>3.3947082383999998</v>
      </c>
      <c r="HQ10">
        <v>3.6218426292000001</v>
      </c>
      <c r="HR10">
        <v>2.3232987760000001</v>
      </c>
      <c r="HS10">
        <v>20.429948901100001</v>
      </c>
      <c r="HT10">
        <v>-25.806451612899998</v>
      </c>
      <c r="HU10">
        <v>-176</v>
      </c>
      <c r="HV10">
        <v>416.4241057548</v>
      </c>
      <c r="HW10">
        <v>93.841642228699996</v>
      </c>
      <c r="HX10">
        <v>640</v>
      </c>
      <c r="HY10">
        <v>20.429948901100001</v>
      </c>
      <c r="HZ10">
        <v>-25.806451612899998</v>
      </c>
      <c r="IA10">
        <v>-176</v>
      </c>
      <c r="IB10">
        <v>416.4241057548</v>
      </c>
      <c r="IC10">
        <v>93.841642228699996</v>
      </c>
      <c r="ID10">
        <v>640</v>
      </c>
      <c r="IE10">
        <v>33.575905354500001</v>
      </c>
      <c r="IF10">
        <v>0.70483225999999999</v>
      </c>
      <c r="IG10">
        <v>-35.190615835800003</v>
      </c>
      <c r="IH10">
        <v>-240</v>
      </c>
      <c r="II10">
        <v>438.0620528787</v>
      </c>
      <c r="IJ10">
        <v>103.22580645159999</v>
      </c>
      <c r="IK10">
        <v>704</v>
      </c>
      <c r="IL10">
        <v>395.99415685370002</v>
      </c>
      <c r="IM10">
        <v>119.6480938416</v>
      </c>
      <c r="IN10">
        <v>420.97305043360001</v>
      </c>
      <c r="IO10">
        <v>129.03225806450001</v>
      </c>
      <c r="IP10">
        <v>7.1000000006999997</v>
      </c>
      <c r="IQ10">
        <v>5.6000000003999997</v>
      </c>
      <c r="IR10">
        <v>9.4000000008000004</v>
      </c>
      <c r="IS10">
        <v>6.5569678902000001</v>
      </c>
      <c r="IT10">
        <v>6.5569678902000001</v>
      </c>
      <c r="IU10">
        <v>4.3000000004999999</v>
      </c>
      <c r="IV10">
        <v>-28.152492668600001</v>
      </c>
      <c r="IW10">
        <v>8.7000000002999993</v>
      </c>
      <c r="IX10">
        <v>84.457478005900001</v>
      </c>
      <c r="IY10">
        <v>7.5999999989999996</v>
      </c>
      <c r="IZ10">
        <v>100.87976539589999</v>
      </c>
      <c r="JA10">
        <v>-32.034651349800001</v>
      </c>
      <c r="JB10">
        <v>0.31542747700000001</v>
      </c>
      <c r="JC10">
        <v>-2.8112040000000002E-4</v>
      </c>
      <c r="JD10">
        <v>5.9849999999999997E-7</v>
      </c>
      <c r="JE10">
        <v>0.29450692229999997</v>
      </c>
      <c r="JF10">
        <v>0.25197501300000003</v>
      </c>
      <c r="JG10">
        <v>9.6616545799999995E-2</v>
      </c>
      <c r="JH10">
        <v>110.3239774212</v>
      </c>
      <c r="JI10">
        <v>3.6218426292000001</v>
      </c>
      <c r="JJ10">
        <v>1.9592609999999999E-3</v>
      </c>
      <c r="JK10">
        <v>-6.30713E-5</v>
      </c>
      <c r="JL10">
        <v>3.3955059258000002</v>
      </c>
      <c r="JM10">
        <v>1.4540249231</v>
      </c>
      <c r="JN10">
        <v>0.58835336459999998</v>
      </c>
      <c r="JO10">
        <v>3.0263750002999998</v>
      </c>
      <c r="JP10">
        <v>2.3870000002</v>
      </c>
      <c r="JQ10">
        <v>4.0067500004000003</v>
      </c>
      <c r="JR10" s="17" t="s">
        <v>576</v>
      </c>
      <c r="JU10" s="17">
        <v>1</v>
      </c>
    </row>
    <row r="11" spans="1:281">
      <c r="A11" t="s">
        <v>688</v>
      </c>
      <c r="B11" t="s">
        <v>689</v>
      </c>
      <c r="C11" t="s">
        <v>690</v>
      </c>
      <c r="D11" t="s">
        <v>213</v>
      </c>
      <c r="E11">
        <v>3</v>
      </c>
      <c r="F11" t="s">
        <v>214</v>
      </c>
      <c r="G11" t="s">
        <v>215</v>
      </c>
      <c r="H11" t="s">
        <v>575</v>
      </c>
      <c r="I11" t="s">
        <v>217</v>
      </c>
      <c r="K11" t="s">
        <v>668</v>
      </c>
      <c r="L11" t="s">
        <v>669</v>
      </c>
      <c r="M11" t="s">
        <v>670</v>
      </c>
      <c r="N11" t="s">
        <v>671</v>
      </c>
      <c r="O11" t="s">
        <v>672</v>
      </c>
      <c r="P11">
        <v>0</v>
      </c>
      <c r="Q11">
        <v>0</v>
      </c>
      <c r="R11">
        <v>0</v>
      </c>
      <c r="S11">
        <v>0</v>
      </c>
      <c r="T11">
        <v>0</v>
      </c>
      <c r="U11">
        <v>9.9999999300000003E-2</v>
      </c>
      <c r="V11">
        <v>9.9999999300000003E-2</v>
      </c>
      <c r="W11">
        <v>0.29999999970000002</v>
      </c>
      <c r="X11">
        <v>0.19999999860000001</v>
      </c>
      <c r="Y11">
        <v>0.19999999860000001</v>
      </c>
      <c r="Z11">
        <v>0.29999999970000002</v>
      </c>
      <c r="AA11">
        <v>0.29999999970000002</v>
      </c>
      <c r="AB11">
        <v>0.19999999860000001</v>
      </c>
      <c r="AC11">
        <v>0.39999999899999999</v>
      </c>
      <c r="AD11">
        <v>0.39999999899999999</v>
      </c>
      <c r="AE11">
        <v>0.39999999899999999</v>
      </c>
      <c r="AF11">
        <v>0.50000000010000001</v>
      </c>
      <c r="AG11">
        <v>0.50000000010000001</v>
      </c>
      <c r="AH11">
        <v>0.59999999940000004</v>
      </c>
      <c r="AI11">
        <v>2.3000000000999998</v>
      </c>
      <c r="AJ11">
        <v>7.7000000001000002</v>
      </c>
      <c r="AK11">
        <v>14.9999999994</v>
      </c>
      <c r="AL11">
        <v>22.299999998699999</v>
      </c>
      <c r="AM11">
        <v>29.0999999997</v>
      </c>
      <c r="AN11">
        <v>36.799999999900002</v>
      </c>
      <c r="AO11">
        <v>44.599999999300003</v>
      </c>
      <c r="AP11">
        <v>52.299999999400001</v>
      </c>
      <c r="AQ11">
        <v>60.299999999199997</v>
      </c>
      <c r="AR11">
        <v>68.299999998999994</v>
      </c>
      <c r="AS11">
        <v>75.999999999099998</v>
      </c>
      <c r="AT11">
        <v>83.899999999599999</v>
      </c>
      <c r="AU11">
        <v>92.399999999499997</v>
      </c>
      <c r="AV11">
        <v>100.3000000001</v>
      </c>
      <c r="AW11">
        <v>109.0999999997</v>
      </c>
      <c r="AX11">
        <v>117.89999999929999</v>
      </c>
      <c r="AY11">
        <v>126.9999999986</v>
      </c>
      <c r="AZ11">
        <v>134.8999999991</v>
      </c>
      <c r="BA11">
        <v>143.19999999859999</v>
      </c>
      <c r="BB11">
        <v>151.8999999989</v>
      </c>
      <c r="BC11">
        <v>160.5</v>
      </c>
      <c r="BD11">
        <v>169.5</v>
      </c>
      <c r="BE11">
        <v>178.09999999920001</v>
      </c>
      <c r="BF11">
        <v>185.79999999930001</v>
      </c>
      <c r="BG11">
        <v>193.99999999950001</v>
      </c>
      <c r="BH11">
        <v>202.99999999950001</v>
      </c>
      <c r="BI11">
        <v>211.29999999899999</v>
      </c>
      <c r="BJ11">
        <v>219.90000000009999</v>
      </c>
      <c r="BK11">
        <v>228.19999999960001</v>
      </c>
      <c r="BL11">
        <v>236.19999999940001</v>
      </c>
      <c r="BM11">
        <v>244.1999999992</v>
      </c>
      <c r="BN11">
        <v>251.8</v>
      </c>
      <c r="BO11">
        <v>260.19999999880002</v>
      </c>
      <c r="BP11">
        <v>268</v>
      </c>
      <c r="BQ11">
        <v>276.70000000030001</v>
      </c>
      <c r="BR11">
        <v>284.20000000009998</v>
      </c>
      <c r="BS11">
        <v>291.40000000010002</v>
      </c>
      <c r="BT11">
        <v>298.8999999998</v>
      </c>
      <c r="BU11">
        <v>306.39999999949998</v>
      </c>
      <c r="BV11">
        <v>313.79999999990002</v>
      </c>
      <c r="BW11">
        <v>321.09999999920001</v>
      </c>
      <c r="BX11">
        <v>328.89999999859998</v>
      </c>
      <c r="BY11">
        <v>335.9</v>
      </c>
      <c r="BZ11">
        <v>342.69999999919997</v>
      </c>
      <c r="CA11">
        <v>349.39999999920002</v>
      </c>
      <c r="CB11">
        <v>355.79999999939997</v>
      </c>
      <c r="CC11">
        <v>363.09999999870001</v>
      </c>
      <c r="CD11">
        <v>369.30000000029997</v>
      </c>
      <c r="CE11">
        <v>375.89999999909998</v>
      </c>
      <c r="CF11">
        <v>382.89999999870003</v>
      </c>
      <c r="CG11">
        <v>388.99999999919999</v>
      </c>
      <c r="CH11">
        <v>394.9999999986</v>
      </c>
      <c r="CI11">
        <v>400.59999999899998</v>
      </c>
      <c r="CJ11">
        <v>406.2999999987</v>
      </c>
      <c r="CK11">
        <v>412.09999999960002</v>
      </c>
      <c r="CL11">
        <v>418.49999999980002</v>
      </c>
      <c r="CM11">
        <v>423.69999999940001</v>
      </c>
      <c r="CN11">
        <v>429.50000000019998</v>
      </c>
      <c r="CO11">
        <v>435.59999999889999</v>
      </c>
      <c r="CP11">
        <v>440.89999999960003</v>
      </c>
      <c r="CQ11">
        <v>446.09999999920001</v>
      </c>
      <c r="CR11">
        <v>451.39999999989999</v>
      </c>
      <c r="CS11">
        <v>455.79999999969999</v>
      </c>
      <c r="CT11">
        <v>457.99999999869999</v>
      </c>
      <c r="CU11">
        <v>457.99999999869999</v>
      </c>
      <c r="CV11">
        <v>457.99999999869999</v>
      </c>
      <c r="CW11">
        <v>457.99999999869999</v>
      </c>
      <c r="CX11">
        <v>458.09999999979999</v>
      </c>
      <c r="CY11">
        <v>458.09999999979999</v>
      </c>
      <c r="CZ11">
        <v>457.99999999869999</v>
      </c>
      <c r="DA11">
        <v>458.09999999979999</v>
      </c>
      <c r="DB11">
        <v>457.99999999869999</v>
      </c>
      <c r="DC11">
        <v>458.09999999979999</v>
      </c>
      <c r="DD11">
        <v>458.19999999909999</v>
      </c>
      <c r="DE11">
        <v>458.30000000019999</v>
      </c>
      <c r="DF11">
        <v>458.30000000019999</v>
      </c>
      <c r="DG11">
        <v>458.19999999909999</v>
      </c>
      <c r="DH11">
        <v>0.79999999980000003</v>
      </c>
      <c r="DI11">
        <v>1.1999999988000001</v>
      </c>
      <c r="DJ11">
        <v>1.0999999995</v>
      </c>
      <c r="DK11">
        <v>1.0999999995</v>
      </c>
      <c r="DL11">
        <v>1.0000000002</v>
      </c>
      <c r="DM11">
        <v>1.3999999992000001</v>
      </c>
      <c r="DN11">
        <v>1.2999999999</v>
      </c>
      <c r="DO11">
        <v>1.2999999999</v>
      </c>
      <c r="DP11">
        <v>1.2999999999</v>
      </c>
      <c r="DQ11">
        <v>1.3999999992000001</v>
      </c>
      <c r="DR11">
        <v>1.3999999992000001</v>
      </c>
      <c r="DS11">
        <v>1.3999999992000001</v>
      </c>
      <c r="DT11">
        <v>1.5000000003</v>
      </c>
      <c r="DU11">
        <v>1.5000000003</v>
      </c>
      <c r="DV11">
        <v>1.5999999996000001</v>
      </c>
      <c r="DW11">
        <v>1.5000000003</v>
      </c>
      <c r="DX11">
        <v>1.3999999992000001</v>
      </c>
      <c r="DY11">
        <v>5.1000000002999997</v>
      </c>
      <c r="DZ11">
        <v>11.4999999987</v>
      </c>
      <c r="EA11">
        <v>19.199999998799999</v>
      </c>
      <c r="EB11">
        <v>26.200000000199999</v>
      </c>
      <c r="EC11">
        <v>32.799999999000001</v>
      </c>
      <c r="ED11">
        <v>41.4000000001</v>
      </c>
      <c r="EE11">
        <v>48.699999999399999</v>
      </c>
      <c r="EF11">
        <v>56.800000000300003</v>
      </c>
      <c r="EG11">
        <v>64.899999999399995</v>
      </c>
      <c r="EH11">
        <v>72.899999999200006</v>
      </c>
      <c r="EI11">
        <v>80.5</v>
      </c>
      <c r="EJ11">
        <v>88.599999999100007</v>
      </c>
      <c r="EK11">
        <v>96.799999999299999</v>
      </c>
      <c r="EL11">
        <v>104.99999999960001</v>
      </c>
      <c r="EM11">
        <v>113.7999999992</v>
      </c>
      <c r="EN11">
        <v>122.5999999988</v>
      </c>
      <c r="EO11">
        <v>130.90000000009999</v>
      </c>
      <c r="EP11">
        <v>139.10000000030001</v>
      </c>
      <c r="EQ11">
        <v>148.4</v>
      </c>
      <c r="ER11">
        <v>156.69999999949999</v>
      </c>
      <c r="ES11">
        <v>165.49999999920001</v>
      </c>
      <c r="ET11">
        <v>174.39999999989999</v>
      </c>
      <c r="EU11">
        <v>182.60000000010001</v>
      </c>
      <c r="EV11">
        <v>190.6999999992</v>
      </c>
      <c r="EW11">
        <v>199.6999999992</v>
      </c>
      <c r="EX11">
        <v>207.8000000001</v>
      </c>
      <c r="EY11">
        <v>216.5999999997</v>
      </c>
      <c r="EZ11">
        <v>225.39999999939999</v>
      </c>
      <c r="FA11">
        <v>233.39999999919999</v>
      </c>
      <c r="FB11">
        <v>241.2000000004</v>
      </c>
      <c r="FC11">
        <v>249.29999999949999</v>
      </c>
      <c r="FD11">
        <v>257.70000000009998</v>
      </c>
      <c r="FE11">
        <v>265.5999999988</v>
      </c>
      <c r="FF11">
        <v>274.49999999950001</v>
      </c>
      <c r="FG11">
        <v>281.99999999919999</v>
      </c>
      <c r="FH11">
        <v>289.49999999900001</v>
      </c>
      <c r="FI11">
        <v>297.19999999909999</v>
      </c>
      <c r="FJ11">
        <v>304.89999999920002</v>
      </c>
      <c r="FK11">
        <v>312.5</v>
      </c>
      <c r="FL11">
        <v>319.79999999929998</v>
      </c>
      <c r="FM11">
        <v>327.79999999910001</v>
      </c>
      <c r="FN11">
        <v>334.7999999987</v>
      </c>
      <c r="FO11">
        <v>341.4999999986</v>
      </c>
      <c r="FP11">
        <v>348.59999999939998</v>
      </c>
      <c r="FQ11">
        <v>355.09999999889999</v>
      </c>
      <c r="FR11">
        <v>362.60000000039997</v>
      </c>
      <c r="FS11">
        <v>369.30000000029997</v>
      </c>
      <c r="FT11">
        <v>375.69999999869998</v>
      </c>
      <c r="FU11">
        <v>382.70000000009998</v>
      </c>
      <c r="FV11">
        <v>389.10000000029999</v>
      </c>
      <c r="FW11">
        <v>394.9999999986</v>
      </c>
      <c r="FX11">
        <v>400.89999999870003</v>
      </c>
      <c r="FY11">
        <v>406.60000000029999</v>
      </c>
      <c r="FZ11">
        <v>412.9999999986</v>
      </c>
      <c r="GA11">
        <v>418.89999999880001</v>
      </c>
      <c r="GB11">
        <v>424.49999999919999</v>
      </c>
      <c r="GC11">
        <v>430.00000000030002</v>
      </c>
      <c r="GD11">
        <v>435.99999999969998</v>
      </c>
      <c r="GE11">
        <v>441.19999999930002</v>
      </c>
      <c r="GF11">
        <v>446.20000000030001</v>
      </c>
      <c r="GG11">
        <v>451.1000000002</v>
      </c>
      <c r="GH11">
        <v>455.2999999996</v>
      </c>
      <c r="GI11">
        <v>457.99999999869999</v>
      </c>
      <c r="GJ11">
        <v>458.09999999979999</v>
      </c>
      <c r="GK11">
        <v>457.99999999869999</v>
      </c>
      <c r="GL11">
        <v>457.699999999</v>
      </c>
      <c r="GM11">
        <v>457.99999999869999</v>
      </c>
      <c r="GN11">
        <v>457.8000000001</v>
      </c>
      <c r="GO11">
        <v>457.89999999939999</v>
      </c>
      <c r="GP11">
        <v>457.99999999869999</v>
      </c>
      <c r="GQ11">
        <v>457.89999999939999</v>
      </c>
      <c r="GR11">
        <v>458.19999999909999</v>
      </c>
      <c r="GS11">
        <v>458.09999999979999</v>
      </c>
      <c r="GT11">
        <v>458.09999999979999</v>
      </c>
      <c r="GU11">
        <v>458.30000000019999</v>
      </c>
      <c r="GV11">
        <v>458.30000000019999</v>
      </c>
      <c r="GW11">
        <v>458.19999999909999</v>
      </c>
      <c r="GX11">
        <v>1</v>
      </c>
      <c r="GY11">
        <v>119.6999999993</v>
      </c>
      <c r="GZ11">
        <v>117.89999999929999</v>
      </c>
      <c r="HA11">
        <v>117.89999999929999</v>
      </c>
      <c r="HB11">
        <v>122.5999999988</v>
      </c>
      <c r="HC11">
        <v>119.13319877719999</v>
      </c>
      <c r="HD11">
        <v>-4.6999999995000001</v>
      </c>
      <c r="HE11">
        <v>458.19999999909999</v>
      </c>
      <c r="HF11">
        <v>304.88502072879999</v>
      </c>
      <c r="HG11">
        <v>103.976489199</v>
      </c>
      <c r="HH11">
        <v>458.30000000019999</v>
      </c>
      <c r="HI11">
        <v>458.30000000019999</v>
      </c>
      <c r="HJ11">
        <v>458.30000000019999</v>
      </c>
      <c r="HK11">
        <v>458.30000000019999</v>
      </c>
      <c r="HL11">
        <v>110.26392961880001</v>
      </c>
      <c r="HM11">
        <v>3.3920212611</v>
      </c>
      <c r="HN11">
        <v>3.3284866070999999</v>
      </c>
      <c r="HO11">
        <v>3.3636218552999999</v>
      </c>
      <c r="HP11">
        <v>3.2564668436000002</v>
      </c>
      <c r="HQ11">
        <v>3.6098192407999998</v>
      </c>
      <c r="HR11">
        <v>2.2346645968000001</v>
      </c>
      <c r="HS11">
        <v>15.156709578299999</v>
      </c>
      <c r="HT11">
        <v>-30.4985337243</v>
      </c>
      <c r="HU11">
        <v>-208</v>
      </c>
      <c r="HV11">
        <v>424.01821950610002</v>
      </c>
      <c r="HW11">
        <v>93.841642228699996</v>
      </c>
      <c r="HX11">
        <v>640</v>
      </c>
      <c r="HY11">
        <v>15.156709578299999</v>
      </c>
      <c r="HZ11">
        <v>-30.4985337243</v>
      </c>
      <c r="IA11">
        <v>-208</v>
      </c>
      <c r="IB11">
        <v>424.01821950610002</v>
      </c>
      <c r="IC11">
        <v>93.841642228699996</v>
      </c>
      <c r="ID11">
        <v>640</v>
      </c>
      <c r="IE11">
        <v>34.2817804942</v>
      </c>
      <c r="IF11">
        <v>0.502181977</v>
      </c>
      <c r="IG11">
        <v>-39.8826979472</v>
      </c>
      <c r="IH11">
        <v>-272</v>
      </c>
      <c r="II11">
        <v>446.0294239584</v>
      </c>
      <c r="IJ11">
        <v>103.22580645159999</v>
      </c>
      <c r="IK11">
        <v>704</v>
      </c>
      <c r="IL11">
        <v>408.8615099278</v>
      </c>
      <c r="IM11">
        <v>124.3401759531</v>
      </c>
      <c r="IN11">
        <v>433.31502291039999</v>
      </c>
      <c r="IO11">
        <v>133.724340176</v>
      </c>
      <c r="IP11">
        <v>7.7000000001000002</v>
      </c>
      <c r="IQ11">
        <v>6.0999999987000004</v>
      </c>
      <c r="IR11">
        <v>9.2999999997000007</v>
      </c>
      <c r="IS11">
        <v>6.3393174565999999</v>
      </c>
      <c r="IT11">
        <v>6.3393174565999999</v>
      </c>
      <c r="IU11">
        <v>3.7999999986000002</v>
      </c>
      <c r="IV11">
        <v>-32.844574780099997</v>
      </c>
      <c r="IW11">
        <v>6.8000000009999999</v>
      </c>
      <c r="IX11">
        <v>70.381231671600005</v>
      </c>
      <c r="IY11">
        <v>6.4999999995</v>
      </c>
      <c r="IZ11">
        <v>98.533724340199996</v>
      </c>
      <c r="JA11">
        <v>-35.202901741200002</v>
      </c>
      <c r="JB11">
        <v>0.325768999</v>
      </c>
      <c r="JC11">
        <v>-3.2776380000000001E-4</v>
      </c>
      <c r="JD11">
        <v>6.5239999999999999E-7</v>
      </c>
      <c r="JE11">
        <v>0.29480947289999998</v>
      </c>
      <c r="JF11">
        <v>0.2380010575</v>
      </c>
      <c r="JG11">
        <v>9.97380182E-2</v>
      </c>
      <c r="JH11">
        <v>119.48677919470001</v>
      </c>
      <c r="JI11">
        <v>3.6098192407999998</v>
      </c>
      <c r="JJ11">
        <v>2.5748430999999999E-3</v>
      </c>
      <c r="JK11">
        <v>-7.0344299999999997E-5</v>
      </c>
      <c r="JL11">
        <v>3.3920212611</v>
      </c>
      <c r="JM11">
        <v>1.3735417405000001</v>
      </c>
      <c r="JN11">
        <v>0.59598467300000002</v>
      </c>
      <c r="JO11">
        <v>3.2821250000000002</v>
      </c>
      <c r="JP11">
        <v>2.6001249994000002</v>
      </c>
      <c r="JQ11">
        <v>3.9641249999000001</v>
      </c>
      <c r="JR11" s="17" t="s">
        <v>576</v>
      </c>
      <c r="JU11" s="17">
        <v>1</v>
      </c>
    </row>
    <row r="12" spans="1:281">
      <c r="A12" t="s">
        <v>691</v>
      </c>
      <c r="B12" t="s">
        <v>692</v>
      </c>
      <c r="C12" t="s">
        <v>693</v>
      </c>
      <c r="D12" t="s">
        <v>213</v>
      </c>
      <c r="E12">
        <v>3</v>
      </c>
      <c r="F12" t="s">
        <v>214</v>
      </c>
      <c r="G12" t="s">
        <v>215</v>
      </c>
      <c r="H12" t="s">
        <v>575</v>
      </c>
      <c r="I12" t="s">
        <v>217</v>
      </c>
      <c r="K12" t="s">
        <v>676</v>
      </c>
      <c r="L12" t="s">
        <v>677</v>
      </c>
      <c r="M12" t="s">
        <v>678</v>
      </c>
      <c r="N12" t="s">
        <v>679</v>
      </c>
      <c r="O12" t="s">
        <v>680</v>
      </c>
      <c r="P12">
        <v>0</v>
      </c>
      <c r="Q12">
        <v>0</v>
      </c>
      <c r="R12">
        <v>4.8000000005999999</v>
      </c>
      <c r="S12">
        <v>4.3999999998000003</v>
      </c>
      <c r="T12">
        <v>4.3000000004999999</v>
      </c>
      <c r="U12">
        <v>4.5000000009000001</v>
      </c>
      <c r="V12">
        <v>4.3999999998000003</v>
      </c>
      <c r="W12">
        <v>4.3000000004999999</v>
      </c>
      <c r="X12">
        <v>4.3999999998000003</v>
      </c>
      <c r="Y12">
        <v>4.2000000012000003</v>
      </c>
      <c r="Z12">
        <v>4.2000000012000003</v>
      </c>
      <c r="AA12">
        <v>4.0000000008000001</v>
      </c>
      <c r="AB12">
        <v>4.1000000000999997</v>
      </c>
      <c r="AC12">
        <v>4.0000000008000001</v>
      </c>
      <c r="AD12">
        <v>4.1000000000999997</v>
      </c>
      <c r="AE12">
        <v>3.3000000002999998</v>
      </c>
      <c r="AF12">
        <v>2.5000000005</v>
      </c>
      <c r="AG12">
        <v>1.2999999999</v>
      </c>
      <c r="AH12">
        <v>0.7000000005</v>
      </c>
      <c r="AI12">
        <v>0</v>
      </c>
      <c r="AJ12">
        <v>2.4000000012</v>
      </c>
      <c r="AK12">
        <v>5.1000000002999997</v>
      </c>
      <c r="AL12">
        <v>11.5000000005</v>
      </c>
      <c r="AM12">
        <v>18.9000000009</v>
      </c>
      <c r="AN12">
        <v>27</v>
      </c>
      <c r="AO12">
        <v>34.4000000005</v>
      </c>
      <c r="AP12">
        <v>42.300000001000001</v>
      </c>
      <c r="AQ12">
        <v>50.4000000001</v>
      </c>
      <c r="AR12">
        <v>58.100000000199998</v>
      </c>
      <c r="AS12">
        <v>66.200000001099994</v>
      </c>
      <c r="AT12">
        <v>74.4000000013</v>
      </c>
      <c r="AU12">
        <v>82.700000000800003</v>
      </c>
      <c r="AV12">
        <v>91.100000001500007</v>
      </c>
      <c r="AW12">
        <v>99.900000001099997</v>
      </c>
      <c r="AX12">
        <v>109.4000000012</v>
      </c>
      <c r="AY12">
        <v>118.5999999998</v>
      </c>
      <c r="AZ12">
        <v>127.8000000002</v>
      </c>
      <c r="BA12">
        <v>136.59999999979999</v>
      </c>
      <c r="BB12">
        <v>145.2000000008</v>
      </c>
      <c r="BC12">
        <v>153.9000000012</v>
      </c>
      <c r="BD12">
        <v>162.60000000150001</v>
      </c>
      <c r="BE12">
        <v>171.10000000139999</v>
      </c>
      <c r="BF12">
        <v>179.29999999980001</v>
      </c>
      <c r="BG12">
        <v>188.29999999980001</v>
      </c>
      <c r="BH12">
        <v>196.8000000015</v>
      </c>
      <c r="BI12">
        <v>205.90000000079999</v>
      </c>
      <c r="BJ12">
        <v>213.90000000059999</v>
      </c>
      <c r="BK12">
        <v>222.0000000016</v>
      </c>
      <c r="BL12">
        <v>230.50000000150001</v>
      </c>
      <c r="BM12">
        <v>239.10000000069999</v>
      </c>
      <c r="BN12">
        <v>247.40000000020001</v>
      </c>
      <c r="BO12">
        <v>256.00000000120002</v>
      </c>
      <c r="BP12">
        <v>264.20000000139999</v>
      </c>
      <c r="BQ12">
        <v>272.10000000010001</v>
      </c>
      <c r="BR12">
        <v>279.80000000029997</v>
      </c>
      <c r="BS12">
        <v>287.40000000110001</v>
      </c>
      <c r="BT12">
        <v>295.79999999990002</v>
      </c>
      <c r="BU12">
        <v>303.7000000004</v>
      </c>
      <c r="BV12">
        <v>311.10000000079998</v>
      </c>
      <c r="BW12">
        <v>318.80000000090001</v>
      </c>
      <c r="BX12">
        <v>326.0000000009</v>
      </c>
      <c r="BY12">
        <v>333.40000000129999</v>
      </c>
      <c r="BZ12">
        <v>340.40000000100002</v>
      </c>
      <c r="CA12">
        <v>348.2000000004</v>
      </c>
      <c r="CB12">
        <v>355.10000000069999</v>
      </c>
      <c r="CC12">
        <v>362.4</v>
      </c>
      <c r="CD12">
        <v>368.90000000129999</v>
      </c>
      <c r="CE12">
        <v>375.40000000079999</v>
      </c>
      <c r="CF12">
        <v>381.9000000003</v>
      </c>
      <c r="CG12">
        <v>388.6000000002</v>
      </c>
      <c r="CH12">
        <v>394.8</v>
      </c>
      <c r="CI12">
        <v>401.30000000140001</v>
      </c>
      <c r="CJ12">
        <v>408.10000000060001</v>
      </c>
      <c r="CK12">
        <v>414.50000000080001</v>
      </c>
      <c r="CL12">
        <v>420.60000000129997</v>
      </c>
      <c r="CM12">
        <v>426.5000000014</v>
      </c>
      <c r="CN12">
        <v>432.50000000080001</v>
      </c>
      <c r="CO12">
        <v>437.90000000079999</v>
      </c>
      <c r="CP12">
        <v>443.40000000010002</v>
      </c>
      <c r="CQ12">
        <v>448.8000000001</v>
      </c>
      <c r="CR12">
        <v>454.30000000119998</v>
      </c>
      <c r="CS12">
        <v>459.50000000080001</v>
      </c>
      <c r="CT12">
        <v>459.8999999998</v>
      </c>
      <c r="CU12">
        <v>459.80000000050001</v>
      </c>
      <c r="CV12">
        <v>460.0000000009</v>
      </c>
      <c r="CW12">
        <v>459.80000000050001</v>
      </c>
      <c r="CX12">
        <v>459.8999999998</v>
      </c>
      <c r="CY12">
        <v>460.1000000002</v>
      </c>
      <c r="CZ12">
        <v>460.0000000009</v>
      </c>
      <c r="DA12">
        <v>460.0000000009</v>
      </c>
      <c r="DB12">
        <v>460.1000000002</v>
      </c>
      <c r="DC12">
        <v>460.20000000139999</v>
      </c>
      <c r="DD12">
        <v>460.0000000009</v>
      </c>
      <c r="DE12">
        <v>460.20000000139999</v>
      </c>
      <c r="DF12">
        <v>460.0000000009</v>
      </c>
      <c r="DG12">
        <v>460.1000000002</v>
      </c>
      <c r="DH12">
        <v>5.3000000006999999</v>
      </c>
      <c r="DI12">
        <v>4.8999999999000003</v>
      </c>
      <c r="DJ12">
        <v>4.8999999999000003</v>
      </c>
      <c r="DK12">
        <v>4.8000000005999999</v>
      </c>
      <c r="DL12">
        <v>5.0000000010000001</v>
      </c>
      <c r="DM12">
        <v>4.8999999999000003</v>
      </c>
      <c r="DN12">
        <v>4.8999999999000003</v>
      </c>
      <c r="DO12">
        <v>4.8999999999000003</v>
      </c>
      <c r="DP12">
        <v>4.7000000013000003</v>
      </c>
      <c r="DQ12">
        <v>4.8000000005999999</v>
      </c>
      <c r="DR12">
        <v>4.8000000005999999</v>
      </c>
      <c r="DS12">
        <v>4.7000000013000003</v>
      </c>
      <c r="DT12">
        <v>4.7000000013000003</v>
      </c>
      <c r="DU12">
        <v>3.8000000003999999</v>
      </c>
      <c r="DV12">
        <v>2.8000000001999998</v>
      </c>
      <c r="DW12">
        <v>2.0000000004</v>
      </c>
      <c r="DX12">
        <v>1.0000000002</v>
      </c>
      <c r="DY12">
        <v>1.400000001</v>
      </c>
      <c r="DZ12">
        <v>4.3999999998000003</v>
      </c>
      <c r="EA12">
        <v>7.9000000005000004</v>
      </c>
      <c r="EB12">
        <v>15.699999999899999</v>
      </c>
      <c r="EC12">
        <v>23.4</v>
      </c>
      <c r="ED12">
        <v>31.000000000899998</v>
      </c>
      <c r="EE12">
        <v>39.000000000699998</v>
      </c>
      <c r="EF12">
        <v>47.000000000500002</v>
      </c>
      <c r="EG12">
        <v>54.799999999900002</v>
      </c>
      <c r="EH12">
        <v>62.6000000011</v>
      </c>
      <c r="EI12">
        <v>70.600000000899996</v>
      </c>
      <c r="EJ12">
        <v>79.100000000799994</v>
      </c>
      <c r="EK12">
        <v>87.400000000299997</v>
      </c>
      <c r="EL12">
        <v>96.300000001100003</v>
      </c>
      <c r="EM12">
        <v>104.800000001</v>
      </c>
      <c r="EN12">
        <v>114.0000000014</v>
      </c>
      <c r="EO12">
        <v>123.2</v>
      </c>
      <c r="EP12">
        <v>132.40000000040001</v>
      </c>
      <c r="EQ12">
        <v>141.30000000109999</v>
      </c>
      <c r="ER12">
        <v>150.00000000150001</v>
      </c>
      <c r="ES12">
        <v>158.90000000040001</v>
      </c>
      <c r="ET12">
        <v>167.300000001</v>
      </c>
      <c r="EU12">
        <v>175.50000000119999</v>
      </c>
      <c r="EV12">
        <v>184.69999999980001</v>
      </c>
      <c r="EW12">
        <v>193.50000000119999</v>
      </c>
      <c r="EX12">
        <v>202.3000000008</v>
      </c>
      <c r="EY12">
        <v>211.1000000004</v>
      </c>
      <c r="EZ12">
        <v>219.4</v>
      </c>
      <c r="FA12">
        <v>227.5000000009</v>
      </c>
      <c r="FB12">
        <v>236.10000000010001</v>
      </c>
      <c r="FC12">
        <v>245.00000000079999</v>
      </c>
      <c r="FD12">
        <v>253.5000000007</v>
      </c>
      <c r="FE12">
        <v>261.80000000019999</v>
      </c>
      <c r="FF12">
        <v>269.90000000110001</v>
      </c>
      <c r="FG12">
        <v>277.50000000009999</v>
      </c>
      <c r="FH12">
        <v>285.5</v>
      </c>
      <c r="FI12">
        <v>293.90000000060002</v>
      </c>
      <c r="FJ12">
        <v>302.20000000009998</v>
      </c>
      <c r="FK12">
        <v>309.90000000020001</v>
      </c>
      <c r="FL12">
        <v>317.80000000069998</v>
      </c>
      <c r="FM12">
        <v>325.00000000070003</v>
      </c>
      <c r="FN12">
        <v>332.3</v>
      </c>
      <c r="FO12">
        <v>339.60000000119999</v>
      </c>
      <c r="FP12">
        <v>346.90000000049997</v>
      </c>
      <c r="FQ12">
        <v>354.30000000090001</v>
      </c>
      <c r="FR12">
        <v>361.80000000059999</v>
      </c>
      <c r="FS12">
        <v>368.50000000049999</v>
      </c>
      <c r="FT12">
        <v>375.1000000011</v>
      </c>
      <c r="FU12">
        <v>381.60000000060001</v>
      </c>
      <c r="FV12">
        <v>388.00000000080001</v>
      </c>
      <c r="FW12">
        <v>394.70000000070002</v>
      </c>
      <c r="FX12">
        <v>400.99999999980002</v>
      </c>
      <c r="FY12">
        <v>407.90000000020001</v>
      </c>
      <c r="FZ12">
        <v>413.90000000139997</v>
      </c>
      <c r="GA12">
        <v>419.90000000079999</v>
      </c>
      <c r="GB12">
        <v>426.10000000060001</v>
      </c>
      <c r="GC12">
        <v>431.59999999989998</v>
      </c>
      <c r="GD12">
        <v>436.99999999990001</v>
      </c>
      <c r="GE12">
        <v>442.50000000099999</v>
      </c>
      <c r="GF12">
        <v>447.50000000019998</v>
      </c>
      <c r="GG12">
        <v>453.00000000130001</v>
      </c>
      <c r="GH12">
        <v>457.8000000001</v>
      </c>
      <c r="GI12">
        <v>459.60000000010001</v>
      </c>
      <c r="GJ12">
        <v>459.70000000120001</v>
      </c>
      <c r="GK12">
        <v>460.0000000009</v>
      </c>
      <c r="GL12">
        <v>459.8999999998</v>
      </c>
      <c r="GM12">
        <v>460.0000000009</v>
      </c>
      <c r="GN12">
        <v>460.0000000009</v>
      </c>
      <c r="GO12">
        <v>460.20000000139999</v>
      </c>
      <c r="GP12">
        <v>460.1000000002</v>
      </c>
      <c r="GQ12">
        <v>460.30000000059999</v>
      </c>
      <c r="GR12">
        <v>460.1000000002</v>
      </c>
      <c r="GS12">
        <v>460.0000000009</v>
      </c>
      <c r="GT12">
        <v>460.1000000002</v>
      </c>
      <c r="GU12">
        <v>460.0000000009</v>
      </c>
      <c r="GV12">
        <v>460.20000000139999</v>
      </c>
      <c r="GW12">
        <v>460.1000000002</v>
      </c>
      <c r="GX12">
        <v>1</v>
      </c>
      <c r="GY12">
        <v>106.59999999919999</v>
      </c>
      <c r="GZ12">
        <v>109.4000000012</v>
      </c>
      <c r="HA12">
        <v>109.4000000012</v>
      </c>
      <c r="HB12">
        <v>114.0000000014</v>
      </c>
      <c r="HC12">
        <v>110.5166358809</v>
      </c>
      <c r="HD12">
        <v>-4.6000000001999997</v>
      </c>
      <c r="HE12">
        <v>460.1000000002</v>
      </c>
      <c r="HF12">
        <v>320.73867217089997</v>
      </c>
      <c r="HG12">
        <v>91.409801152100002</v>
      </c>
      <c r="HH12">
        <v>460.30000000059999</v>
      </c>
      <c r="HI12">
        <v>460.30000000059999</v>
      </c>
      <c r="HJ12">
        <v>460.20000000139999</v>
      </c>
      <c r="HK12">
        <v>460.30000000059999</v>
      </c>
      <c r="HL12">
        <v>110.26392961880001</v>
      </c>
      <c r="HM12">
        <v>3.4719177228000002</v>
      </c>
      <c r="HN12">
        <v>3.4096279350000001</v>
      </c>
      <c r="HO12">
        <v>3.4599250725999999</v>
      </c>
      <c r="HP12">
        <v>3.4909594681999998</v>
      </c>
      <c r="HQ12">
        <v>3.7197038185000002</v>
      </c>
      <c r="HR12">
        <v>2.3221980303</v>
      </c>
      <c r="HS12">
        <v>19.106834728700001</v>
      </c>
      <c r="HT12">
        <v>-25.806451612899998</v>
      </c>
      <c r="HU12">
        <v>-176</v>
      </c>
      <c r="HV12">
        <v>431.25530805170001</v>
      </c>
      <c r="HW12">
        <v>96.187683284499997</v>
      </c>
      <c r="HX12">
        <v>656</v>
      </c>
      <c r="HY12">
        <v>19.106834728700001</v>
      </c>
      <c r="HZ12">
        <v>-25.806451612899998</v>
      </c>
      <c r="IA12">
        <v>-176</v>
      </c>
      <c r="IB12">
        <v>431.25530805170001</v>
      </c>
      <c r="IC12">
        <v>96.187683284499997</v>
      </c>
      <c r="ID12">
        <v>656</v>
      </c>
      <c r="IE12">
        <v>29.044691948899999</v>
      </c>
      <c r="IF12">
        <v>2.1297402999999999E-3</v>
      </c>
      <c r="IG12">
        <v>-35.190615835800003</v>
      </c>
      <c r="IH12">
        <v>-240</v>
      </c>
      <c r="II12">
        <v>452.91557101080002</v>
      </c>
      <c r="IJ12">
        <v>105.57184750730001</v>
      </c>
      <c r="IK12">
        <v>720</v>
      </c>
      <c r="IL12">
        <v>412.14847332300002</v>
      </c>
      <c r="IM12">
        <v>121.9941348974</v>
      </c>
      <c r="IN12">
        <v>437.16101271389999</v>
      </c>
      <c r="IO12">
        <v>131.37829912020001</v>
      </c>
      <c r="IP12">
        <v>7.7999999993999998</v>
      </c>
      <c r="IQ12">
        <v>5.5000000011000001</v>
      </c>
      <c r="IR12">
        <v>9.5000000001</v>
      </c>
      <c r="IS12">
        <v>6.6277001553000003</v>
      </c>
      <c r="IT12">
        <v>6.6277001553000003</v>
      </c>
      <c r="IU12">
        <v>4.1999999994000001</v>
      </c>
      <c r="IV12">
        <v>-28.152492668600001</v>
      </c>
      <c r="IW12">
        <v>6.6999999999000002</v>
      </c>
      <c r="IX12">
        <v>56.304985337200002</v>
      </c>
      <c r="IY12">
        <v>4.6000000001999997</v>
      </c>
      <c r="IZ12">
        <v>100.87976539589999</v>
      </c>
      <c r="JA12">
        <v>-31.430642925600001</v>
      </c>
      <c r="JB12">
        <v>0.3072207146</v>
      </c>
      <c r="JC12">
        <v>-2.704254E-4</v>
      </c>
      <c r="JD12">
        <v>5.6449999999999995E-7</v>
      </c>
      <c r="JE12">
        <v>0.2880252586</v>
      </c>
      <c r="JF12">
        <v>0.28036980589999999</v>
      </c>
      <c r="JG12">
        <v>0.13367769160000001</v>
      </c>
      <c r="JH12">
        <v>111.20772864040001</v>
      </c>
      <c r="JI12">
        <v>3.7197038185000002</v>
      </c>
      <c r="JJ12">
        <v>1.9576843E-3</v>
      </c>
      <c r="JK12">
        <v>-6.3917800000000007E-5</v>
      </c>
      <c r="JL12">
        <v>3.4719177228000002</v>
      </c>
      <c r="JM12">
        <v>1.6454031027</v>
      </c>
      <c r="JN12">
        <v>0.70191572290000004</v>
      </c>
      <c r="JO12">
        <v>3.3247499996999998</v>
      </c>
      <c r="JP12">
        <v>2.3443750004999999</v>
      </c>
      <c r="JQ12">
        <v>4.0493750000000004</v>
      </c>
      <c r="JR12" s="17" t="s">
        <v>576</v>
      </c>
      <c r="JU12" s="17">
        <v>1</v>
      </c>
    </row>
    <row r="13" spans="1:281">
      <c r="A13" t="s">
        <v>703</v>
      </c>
      <c r="B13" t="s">
        <v>704</v>
      </c>
      <c r="C13" t="s">
        <v>705</v>
      </c>
      <c r="D13" t="s">
        <v>213</v>
      </c>
      <c r="E13">
        <v>3</v>
      </c>
      <c r="F13" t="s">
        <v>214</v>
      </c>
      <c r="G13" t="s">
        <v>215</v>
      </c>
      <c r="H13" t="s">
        <v>575</v>
      </c>
      <c r="I13" t="s">
        <v>217</v>
      </c>
      <c r="K13" t="s">
        <v>698</v>
      </c>
      <c r="L13" t="s">
        <v>699</v>
      </c>
      <c r="M13" t="s">
        <v>700</v>
      </c>
      <c r="N13" t="s">
        <v>701</v>
      </c>
      <c r="O13" t="s">
        <v>702</v>
      </c>
      <c r="P13">
        <v>0</v>
      </c>
      <c r="Q13">
        <v>0</v>
      </c>
      <c r="R13">
        <v>0</v>
      </c>
      <c r="S13">
        <v>0.89999999909999995</v>
      </c>
      <c r="T13">
        <v>0.99999999839999998</v>
      </c>
      <c r="U13">
        <v>0.99999999839999998</v>
      </c>
      <c r="V13">
        <v>0.99999999839999998</v>
      </c>
      <c r="W13">
        <v>0.69999999869999996</v>
      </c>
      <c r="X13">
        <v>1.0999999995</v>
      </c>
      <c r="Y13">
        <v>1.1999999988000001</v>
      </c>
      <c r="Z13">
        <v>0.99999999839999998</v>
      </c>
      <c r="AA13">
        <v>0.89999999909999995</v>
      </c>
      <c r="AB13">
        <v>0.99999999839999998</v>
      </c>
      <c r="AC13">
        <v>1.0999999995</v>
      </c>
      <c r="AD13">
        <v>1.1999999988000001</v>
      </c>
      <c r="AE13">
        <v>1.3999999992000001</v>
      </c>
      <c r="AF13">
        <v>1.0999999995</v>
      </c>
      <c r="AG13">
        <v>1.2999999999</v>
      </c>
      <c r="AH13">
        <v>1.3999999992000001</v>
      </c>
      <c r="AI13">
        <v>1.4999999985000001</v>
      </c>
      <c r="AJ13">
        <v>1.2999999999</v>
      </c>
      <c r="AK13">
        <v>1.8</v>
      </c>
      <c r="AL13">
        <v>7.0999999989000004</v>
      </c>
      <c r="AM13">
        <v>15.199999999799999</v>
      </c>
      <c r="AN13">
        <v>23.399999998199998</v>
      </c>
      <c r="AO13">
        <v>30.599999998200001</v>
      </c>
      <c r="AP13">
        <v>38.5999999999</v>
      </c>
      <c r="AQ13">
        <v>46.999999998699998</v>
      </c>
      <c r="AR13">
        <v>55.599999999700003</v>
      </c>
      <c r="AS13">
        <v>63.5999999995</v>
      </c>
      <c r="AT13">
        <v>72.5999999995</v>
      </c>
      <c r="AU13">
        <v>80.799999999700006</v>
      </c>
      <c r="AV13">
        <v>89.499999998199996</v>
      </c>
      <c r="AW13">
        <v>97.899999998799998</v>
      </c>
      <c r="AX13">
        <v>107.5999999994</v>
      </c>
      <c r="AY13">
        <v>116.399999999</v>
      </c>
      <c r="AZ13">
        <v>125.79999999979999</v>
      </c>
      <c r="BA13">
        <v>134.39999999899999</v>
      </c>
      <c r="BB13">
        <v>143.19999999859999</v>
      </c>
      <c r="BC13">
        <v>151.9999999982</v>
      </c>
      <c r="BD13">
        <v>161.19999999859999</v>
      </c>
      <c r="BE13">
        <v>169.99999999830001</v>
      </c>
      <c r="BF13">
        <v>179.29999999980001</v>
      </c>
      <c r="BG13">
        <v>187.79999999969999</v>
      </c>
      <c r="BH13">
        <v>196.69999999859999</v>
      </c>
      <c r="BI13">
        <v>205.4999999982</v>
      </c>
      <c r="BJ13">
        <v>214.69999999859999</v>
      </c>
      <c r="BK13">
        <v>222.89999999880001</v>
      </c>
      <c r="BL13">
        <v>232</v>
      </c>
      <c r="BM13">
        <v>240.19999999839999</v>
      </c>
      <c r="BN13">
        <v>248.7999999994</v>
      </c>
      <c r="BO13">
        <v>257.29999999929998</v>
      </c>
      <c r="BP13">
        <v>266.2</v>
      </c>
      <c r="BQ13">
        <v>273.89999999830002</v>
      </c>
      <c r="BR13">
        <v>282.39999999819997</v>
      </c>
      <c r="BS13">
        <v>290.89999999999998</v>
      </c>
      <c r="BT13">
        <v>298.19999999930002</v>
      </c>
      <c r="BU13">
        <v>306.29999999839998</v>
      </c>
      <c r="BV13">
        <v>314.699999999</v>
      </c>
      <c r="BW13">
        <v>322.49999999840003</v>
      </c>
      <c r="BX13">
        <v>329.29999999939997</v>
      </c>
      <c r="BY13">
        <v>337.59999999889999</v>
      </c>
      <c r="BZ13">
        <v>344.69999999959998</v>
      </c>
      <c r="CA13">
        <v>351.99999999900001</v>
      </c>
      <c r="CB13">
        <v>358.89999999930001</v>
      </c>
      <c r="CC13">
        <v>366.39999999899999</v>
      </c>
      <c r="CD13">
        <v>373.69999999829997</v>
      </c>
      <c r="CE13">
        <v>380.09999999849998</v>
      </c>
      <c r="CF13">
        <v>386.69999999909999</v>
      </c>
      <c r="CG13">
        <v>394.09999999950003</v>
      </c>
      <c r="CH13">
        <v>399.6999999999</v>
      </c>
      <c r="CI13">
        <v>407.19999999959998</v>
      </c>
      <c r="CJ13">
        <v>413.69999999919997</v>
      </c>
      <c r="CK13">
        <v>420.59999999950003</v>
      </c>
      <c r="CL13">
        <v>427.19999999829997</v>
      </c>
      <c r="CM13">
        <v>433.09999999839999</v>
      </c>
      <c r="CN13">
        <v>438.59999999950003</v>
      </c>
      <c r="CO13">
        <v>445.49999999980002</v>
      </c>
      <c r="CP13">
        <v>451.79999999889998</v>
      </c>
      <c r="CQ13">
        <v>454.99999999990001</v>
      </c>
      <c r="CR13">
        <v>456.29999999979998</v>
      </c>
      <c r="CS13">
        <v>456.29999999979998</v>
      </c>
      <c r="CT13">
        <v>456.39999999909998</v>
      </c>
      <c r="CU13">
        <v>456.39999999909998</v>
      </c>
      <c r="CV13">
        <v>456.39999999909998</v>
      </c>
      <c r="CW13">
        <v>456.39999999909998</v>
      </c>
      <c r="CX13">
        <v>456.49999999840003</v>
      </c>
      <c r="CY13">
        <v>456.49999999840003</v>
      </c>
      <c r="CZ13">
        <v>456.49999999840003</v>
      </c>
      <c r="DA13">
        <v>456.39999999909998</v>
      </c>
      <c r="DB13">
        <v>456.39999999909998</v>
      </c>
      <c r="DC13">
        <v>456.39999999909998</v>
      </c>
      <c r="DD13">
        <v>456.39999999909998</v>
      </c>
      <c r="DE13">
        <v>456.39999999909998</v>
      </c>
      <c r="DF13">
        <v>456.39999999909998</v>
      </c>
      <c r="DG13">
        <v>456.39999999909998</v>
      </c>
      <c r="DH13">
        <v>1.0999999995</v>
      </c>
      <c r="DI13">
        <v>1.8</v>
      </c>
      <c r="DJ13">
        <v>1.8</v>
      </c>
      <c r="DK13">
        <v>1.9999999986000001</v>
      </c>
      <c r="DL13">
        <v>1.9999999986000001</v>
      </c>
      <c r="DM13">
        <v>1.8999999993000001</v>
      </c>
      <c r="DN13">
        <v>1.8999999993000001</v>
      </c>
      <c r="DO13">
        <v>1.8999999993000001</v>
      </c>
      <c r="DP13">
        <v>1.8</v>
      </c>
      <c r="DQ13">
        <v>1.9999999986000001</v>
      </c>
      <c r="DR13">
        <v>2.0999999997000001</v>
      </c>
      <c r="DS13">
        <v>2.2999999983000001</v>
      </c>
      <c r="DT13">
        <v>2.2999999983000001</v>
      </c>
      <c r="DU13">
        <v>2.1999999990000001</v>
      </c>
      <c r="DV13">
        <v>2.4999999986999999</v>
      </c>
      <c r="DW13">
        <v>2.2999999983000001</v>
      </c>
      <c r="DX13">
        <v>2.5999999998000001</v>
      </c>
      <c r="DY13">
        <v>2.6999999991000001</v>
      </c>
      <c r="DZ13">
        <v>2.5999999998000001</v>
      </c>
      <c r="EA13">
        <v>3.4999999988999999</v>
      </c>
      <c r="EB13">
        <v>10.199999998799999</v>
      </c>
      <c r="EC13">
        <v>18.499999998300002</v>
      </c>
      <c r="ED13">
        <v>26.299999999499999</v>
      </c>
      <c r="EE13">
        <v>34.199999998199999</v>
      </c>
      <c r="EF13">
        <v>41.899999998299997</v>
      </c>
      <c r="EG13">
        <v>51.099999998800001</v>
      </c>
      <c r="EH13">
        <v>59.099999998599998</v>
      </c>
      <c r="EI13">
        <v>67.099999998399994</v>
      </c>
      <c r="EJ13">
        <v>76.4999999992</v>
      </c>
      <c r="EK13">
        <v>84.299999998600001</v>
      </c>
      <c r="EL13">
        <v>93.199999999300005</v>
      </c>
      <c r="EM13">
        <v>102.19999999940001</v>
      </c>
      <c r="EN13">
        <v>111.59999999839999</v>
      </c>
      <c r="EO13">
        <v>120.4999999991</v>
      </c>
      <c r="EP13">
        <v>130.29999999890001</v>
      </c>
      <c r="EQ13">
        <v>138.3999999998</v>
      </c>
      <c r="ER13">
        <v>147.2999999987</v>
      </c>
      <c r="ES13">
        <v>156.69999999949999</v>
      </c>
      <c r="ET13">
        <v>165.49999999920001</v>
      </c>
      <c r="EU13">
        <v>174.39999999989999</v>
      </c>
      <c r="EV13">
        <v>183.9</v>
      </c>
      <c r="EW13">
        <v>192.49999999920001</v>
      </c>
      <c r="EX13">
        <v>200.8999999998</v>
      </c>
      <c r="EY13">
        <v>210.29999999879999</v>
      </c>
      <c r="EZ13">
        <v>219.19999999949999</v>
      </c>
      <c r="FA13">
        <v>227.4999999991</v>
      </c>
      <c r="FB13">
        <v>236.59999999839999</v>
      </c>
      <c r="FC13">
        <v>244.99999999900001</v>
      </c>
      <c r="FD13">
        <v>253.2999999985</v>
      </c>
      <c r="FE13">
        <v>262.29999999850003</v>
      </c>
      <c r="FF13">
        <v>270.79999999839998</v>
      </c>
      <c r="FG13">
        <v>278.39999999920002</v>
      </c>
      <c r="FH13">
        <v>287.3</v>
      </c>
      <c r="FI13">
        <v>294.89999999899999</v>
      </c>
      <c r="FJ13">
        <v>302.89999999880001</v>
      </c>
      <c r="FK13">
        <v>311.39999999870003</v>
      </c>
      <c r="FL13">
        <v>319.49999999959999</v>
      </c>
      <c r="FM13">
        <v>326.69999999959998</v>
      </c>
      <c r="FN13">
        <v>334.69999999940001</v>
      </c>
      <c r="FO13">
        <v>342.09999999979999</v>
      </c>
      <c r="FP13">
        <v>348.99999999829998</v>
      </c>
      <c r="FQ13">
        <v>356.19999999840002</v>
      </c>
      <c r="FR13">
        <v>363.5999999988</v>
      </c>
      <c r="FS13">
        <v>370.99999999919999</v>
      </c>
      <c r="FT13">
        <v>377.59999999979999</v>
      </c>
      <c r="FU13">
        <v>384.19999999859999</v>
      </c>
      <c r="FV13">
        <v>392.39999999880001</v>
      </c>
      <c r="FW13">
        <v>398.89999999830002</v>
      </c>
      <c r="FX13">
        <v>405.19999999919997</v>
      </c>
      <c r="FY13">
        <v>411.59999999950003</v>
      </c>
      <c r="FZ13">
        <v>417.0999999988</v>
      </c>
      <c r="GA13">
        <v>424.09999999839999</v>
      </c>
      <c r="GB13">
        <v>430.09999999960002</v>
      </c>
      <c r="GC13">
        <v>435.99999999969998</v>
      </c>
      <c r="GD13">
        <v>443.39999999830002</v>
      </c>
      <c r="GE13">
        <v>449.39999999949998</v>
      </c>
      <c r="GF13">
        <v>453.79999999929998</v>
      </c>
      <c r="GG13">
        <v>456.09999999939998</v>
      </c>
      <c r="GH13">
        <v>456.09999999939998</v>
      </c>
      <c r="GI13">
        <v>456.19999999869998</v>
      </c>
      <c r="GJ13">
        <v>455.99999999829998</v>
      </c>
      <c r="GK13">
        <v>455.99999999829998</v>
      </c>
      <c r="GL13">
        <v>455.99999999829998</v>
      </c>
      <c r="GM13">
        <v>456.09999999939998</v>
      </c>
      <c r="GN13">
        <v>455.89999999899999</v>
      </c>
      <c r="GO13">
        <v>456.09999999939998</v>
      </c>
      <c r="GP13">
        <v>456.09999999939998</v>
      </c>
      <c r="GQ13">
        <v>456.19999999869998</v>
      </c>
      <c r="GR13">
        <v>456.09999999939998</v>
      </c>
      <c r="GS13">
        <v>456.39999999909998</v>
      </c>
      <c r="GT13">
        <v>456.39999999909998</v>
      </c>
      <c r="GU13">
        <v>456.29999999979998</v>
      </c>
      <c r="GV13">
        <v>456.39999999909998</v>
      </c>
      <c r="GW13">
        <v>456.39999999909998</v>
      </c>
      <c r="GX13">
        <v>1</v>
      </c>
      <c r="GY13">
        <v>109.00000000039999</v>
      </c>
      <c r="GZ13">
        <v>107.5999999994</v>
      </c>
      <c r="HA13">
        <v>107.5999999994</v>
      </c>
      <c r="HB13">
        <v>111.59999999839999</v>
      </c>
      <c r="HC13">
        <v>108.5605609106</v>
      </c>
      <c r="HD13">
        <v>-3.9999999989999999</v>
      </c>
      <c r="HE13">
        <v>456.39999999909998</v>
      </c>
      <c r="HF13">
        <v>321.36311349729999</v>
      </c>
      <c r="HG13">
        <v>93.238726993200004</v>
      </c>
      <c r="HH13">
        <v>456.49999999840003</v>
      </c>
      <c r="HI13">
        <v>456.39999999909998</v>
      </c>
      <c r="HJ13">
        <v>456.49999999840003</v>
      </c>
      <c r="HK13">
        <v>456.39999999909998</v>
      </c>
      <c r="HL13">
        <v>105.57184750730001</v>
      </c>
      <c r="HM13">
        <v>3.5596060410999999</v>
      </c>
      <c r="HN13">
        <v>3.525512913</v>
      </c>
      <c r="HO13">
        <v>3.5323453587999998</v>
      </c>
      <c r="HP13">
        <v>3.5286679397</v>
      </c>
      <c r="HQ13">
        <v>3.7904002708000002</v>
      </c>
      <c r="HR13">
        <v>2.4153620052</v>
      </c>
      <c r="HS13">
        <v>15.321833917399999</v>
      </c>
      <c r="HT13">
        <v>-25.806451612899998</v>
      </c>
      <c r="HU13">
        <v>-176</v>
      </c>
      <c r="HV13">
        <v>429.92367440790002</v>
      </c>
      <c r="HW13">
        <v>93.841642228699996</v>
      </c>
      <c r="HX13">
        <v>640</v>
      </c>
      <c r="HY13">
        <v>15.321833917399999</v>
      </c>
      <c r="HZ13">
        <v>-25.806451612899998</v>
      </c>
      <c r="IA13">
        <v>-176</v>
      </c>
      <c r="IB13">
        <v>429.92367440790002</v>
      </c>
      <c r="IC13">
        <v>93.841642228699996</v>
      </c>
      <c r="ID13">
        <v>640</v>
      </c>
      <c r="IE13">
        <v>26.476325591199998</v>
      </c>
      <c r="IF13">
        <v>1.5055214709</v>
      </c>
      <c r="IG13">
        <v>-35.190615835800003</v>
      </c>
      <c r="IH13">
        <v>-240</v>
      </c>
      <c r="II13">
        <v>453.78422436390002</v>
      </c>
      <c r="IJ13">
        <v>103.22580645159999</v>
      </c>
      <c r="IK13">
        <v>704</v>
      </c>
      <c r="IL13">
        <v>414.60184049050002</v>
      </c>
      <c r="IM13">
        <v>119.6480938416</v>
      </c>
      <c r="IN13">
        <v>441.42816608070001</v>
      </c>
      <c r="IO13">
        <v>129.03225806450001</v>
      </c>
      <c r="IP13">
        <v>8.2999999995000007</v>
      </c>
      <c r="IQ13">
        <v>7.3999999986000002</v>
      </c>
      <c r="IR13">
        <v>9.7999999998000007</v>
      </c>
      <c r="IS13">
        <v>6.3743942223000003</v>
      </c>
      <c r="IT13">
        <v>6.3743942223000003</v>
      </c>
      <c r="IU13">
        <v>3.0999999999000001</v>
      </c>
      <c r="IV13">
        <v>-28.152492668600001</v>
      </c>
      <c r="IW13">
        <v>5.6999999997000002</v>
      </c>
      <c r="IX13">
        <v>79.765395894400001</v>
      </c>
      <c r="IY13">
        <v>4.7999999987999997</v>
      </c>
      <c r="IZ13">
        <v>98.533724340199996</v>
      </c>
      <c r="JA13">
        <v>-30.206584123399999</v>
      </c>
      <c r="JB13">
        <v>0.30046482359999999</v>
      </c>
      <c r="JC13">
        <v>-2.596338E-4</v>
      </c>
      <c r="JD13">
        <v>5.3880000000000003E-7</v>
      </c>
      <c r="JE13">
        <v>0.28092996479999999</v>
      </c>
      <c r="JF13">
        <v>0.22159465380000001</v>
      </c>
      <c r="JG13">
        <v>0.1004348176</v>
      </c>
      <c r="JH13">
        <v>108.97442439770001</v>
      </c>
      <c r="JI13">
        <v>3.7904002708000002</v>
      </c>
      <c r="JJ13">
        <v>2.3971063000000001E-3</v>
      </c>
      <c r="JK13">
        <v>-6.9077200000000003E-5</v>
      </c>
      <c r="JL13">
        <v>3.5596060410999999</v>
      </c>
      <c r="JM13">
        <v>1.3805937998</v>
      </c>
      <c r="JN13">
        <v>0.62223921660000003</v>
      </c>
      <c r="JO13">
        <v>3.5378749998000001</v>
      </c>
      <c r="JP13">
        <v>3.1542499994000002</v>
      </c>
      <c r="JQ13">
        <v>4.1772499998999999</v>
      </c>
      <c r="JR13" s="17" t="s">
        <v>576</v>
      </c>
      <c r="JU13" s="17">
        <v>1</v>
      </c>
    </row>
  </sheetData>
  <phoneticPr fontId="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02"/>
  <sheetViews>
    <sheetView topLeftCell="A2" zoomScale="70" zoomScaleNormal="70" workbookViewId="0">
      <selection activeCell="P11" sqref="P11"/>
    </sheetView>
  </sheetViews>
  <sheetFormatPr defaultColWidth="7" defaultRowHeight="16.5"/>
  <cols>
    <col min="1" max="1" width="20.5" style="1" bestFit="1" customWidth="1"/>
    <col min="2" max="2" width="7" style="1"/>
    <col min="3" max="4" width="14.375" style="1" customWidth="1"/>
    <col min="5" max="5" width="32.625" style="1" bestFit="1" customWidth="1"/>
    <col min="6" max="6" width="11.125" style="1" bestFit="1" customWidth="1"/>
    <col min="7" max="7" width="7" style="1"/>
    <col min="8" max="8" width="12.125" style="1" customWidth="1"/>
    <col min="9" max="16384" width="7" style="1"/>
  </cols>
  <sheetData>
    <row r="2" spans="1:7">
      <c r="B2" s="1" t="s">
        <v>22</v>
      </c>
    </row>
    <row r="3" spans="1:7">
      <c r="B3" s="2" t="s">
        <v>23</v>
      </c>
      <c r="C3" s="3"/>
    </row>
    <row r="4" spans="1:7">
      <c r="B4" s="97" t="s">
        <v>24</v>
      </c>
      <c r="C4" s="3"/>
    </row>
    <row r="5" spans="1:7">
      <c r="B5" s="98"/>
      <c r="C5" s="3"/>
    </row>
    <row r="6" spans="1:7">
      <c r="B6" s="98"/>
      <c r="C6" s="3"/>
    </row>
    <row r="7" spans="1:7">
      <c r="B7" s="99"/>
      <c r="C7" s="3"/>
    </row>
    <row r="8" spans="1:7">
      <c r="B8" s="100" t="s">
        <v>25</v>
      </c>
      <c r="C8" s="3"/>
    </row>
    <row r="9" spans="1:7">
      <c r="B9" s="100"/>
      <c r="C9" s="3"/>
    </row>
    <row r="10" spans="1:7">
      <c r="B10" s="100"/>
      <c r="C10" s="3"/>
    </row>
    <row r="11" spans="1:7">
      <c r="B11" s="100"/>
      <c r="C11" s="3"/>
    </row>
    <row r="12" spans="1:7">
      <c r="D12" s="1" t="s">
        <v>26</v>
      </c>
    </row>
    <row r="13" spans="1:7">
      <c r="A13" s="1" t="s">
        <v>27</v>
      </c>
      <c r="C13" s="4"/>
    </row>
    <row r="14" spans="1:7" ht="17.25" thickBot="1">
      <c r="A14" s="1" t="s">
        <v>28</v>
      </c>
      <c r="C14" s="4"/>
    </row>
    <row r="15" spans="1:7">
      <c r="A15" s="1" t="s">
        <v>29</v>
      </c>
      <c r="C15" s="5" t="e">
        <f>'Summary(3pcs)'!#REF!</f>
        <v>#REF!</v>
      </c>
      <c r="D15" s="6" t="e">
        <f>AVERAGE(C15:C17)</f>
        <v>#REF!</v>
      </c>
      <c r="E15" s="1" t="s">
        <v>30</v>
      </c>
      <c r="G15" s="7" t="s">
        <v>109</v>
      </c>
    </row>
    <row r="16" spans="1:7">
      <c r="A16" s="1" t="s">
        <v>29</v>
      </c>
      <c r="C16" s="8">
        <f>'Summary(3pcs)'!D35</f>
        <v>73.735004099700006</v>
      </c>
      <c r="D16" s="9">
        <f>AVERAGE(C18:C20)</f>
        <v>75.055117899999999</v>
      </c>
      <c r="E16" s="1" t="s">
        <v>31</v>
      </c>
      <c r="G16" s="7" t="s">
        <v>110</v>
      </c>
    </row>
    <row r="17" spans="1:7" ht="17.25" thickBot="1">
      <c r="A17" s="1" t="s">
        <v>29</v>
      </c>
      <c r="C17" s="10">
        <f>'Summary(3pcs)'!D36</f>
        <v>68.536956435900009</v>
      </c>
      <c r="D17" s="9">
        <f>AVERAGE(C21:C23)</f>
        <v>75.920988393866665</v>
      </c>
      <c r="E17" s="1" t="s">
        <v>32</v>
      </c>
      <c r="G17" s="7" t="s">
        <v>111</v>
      </c>
    </row>
    <row r="18" spans="1:7" ht="17.25" thickBot="1">
      <c r="A18" s="1" t="s">
        <v>33</v>
      </c>
      <c r="C18" s="5">
        <f>'Summary(3pcs)'!D37</f>
        <v>71.149558731699997</v>
      </c>
      <c r="D18" s="11">
        <f>AVERAGE(C24:C26)</f>
        <v>68.879037629233324</v>
      </c>
      <c r="E18" s="1" t="s">
        <v>34</v>
      </c>
      <c r="G18" s="7" t="s">
        <v>112</v>
      </c>
    </row>
    <row r="19" spans="1:7">
      <c r="A19" s="1" t="s">
        <v>33</v>
      </c>
      <c r="C19" s="8">
        <f>'Summary(3pcs)'!D38</f>
        <v>76.920677972999997</v>
      </c>
      <c r="D19" s="6">
        <f>AVERAGE('Summary(3pcs)'!E35:E36)</f>
        <v>150.65997412148792</v>
      </c>
      <c r="E19" s="1" t="s">
        <v>36</v>
      </c>
      <c r="G19" s="1" t="s">
        <v>37</v>
      </c>
    </row>
    <row r="20" spans="1:7" ht="17.25" thickBot="1">
      <c r="A20" s="1" t="s">
        <v>33</v>
      </c>
      <c r="C20" s="10">
        <f>'Summary(3pcs)'!D39</f>
        <v>77.095116995300003</v>
      </c>
      <c r="D20" s="9">
        <f>AVERAGE('Summary(3pcs)'!E37:E39)</f>
        <v>140.13216355900457</v>
      </c>
      <c r="E20" s="1" t="s">
        <v>39</v>
      </c>
      <c r="G20" s="1" t="s">
        <v>40</v>
      </c>
    </row>
    <row r="21" spans="1:7">
      <c r="A21" s="1" t="s">
        <v>35</v>
      </c>
      <c r="C21" s="5">
        <f>'Summary(3pcs)'!D40</f>
        <v>80.337110234299999</v>
      </c>
      <c r="D21" s="9">
        <f>AVERAGE('Summary(3pcs)'!E40:E42)</f>
        <v>151.72336789997124</v>
      </c>
      <c r="E21" s="1" t="s">
        <v>41</v>
      </c>
      <c r="G21" s="1" t="s">
        <v>42</v>
      </c>
    </row>
    <row r="22" spans="1:7" ht="17.25" thickBot="1">
      <c r="A22" s="1" t="s">
        <v>35</v>
      </c>
      <c r="C22" s="8">
        <f>'Summary(3pcs)'!D41</f>
        <v>75.022599364900003</v>
      </c>
      <c r="D22" s="11">
        <f>AVERAGE('Summary(3pcs)'!E43:E45)</f>
        <v>157.28590348220459</v>
      </c>
      <c r="E22" s="1" t="s">
        <v>43</v>
      </c>
      <c r="G22" s="1" t="s">
        <v>44</v>
      </c>
    </row>
    <row r="23" spans="1:7" ht="17.25" thickBot="1">
      <c r="A23" s="1" t="s">
        <v>35</v>
      </c>
      <c r="C23" s="10">
        <f>'Summary(3pcs)'!D42</f>
        <v>72.403255582400007</v>
      </c>
      <c r="D23" s="6">
        <f t="shared" ref="D23:D42" si="0">C31</f>
        <v>0</v>
      </c>
      <c r="E23" s="1" t="s">
        <v>45</v>
      </c>
      <c r="G23" s="1" t="s">
        <v>46</v>
      </c>
    </row>
    <row r="24" spans="1:7">
      <c r="A24" s="1" t="s">
        <v>38</v>
      </c>
      <c r="C24" s="5">
        <f>'Summary(3pcs)'!D43</f>
        <v>66.321574710899995</v>
      </c>
      <c r="D24" s="9">
        <f t="shared" si="0"/>
        <v>0</v>
      </c>
      <c r="E24" s="1" t="s">
        <v>45</v>
      </c>
      <c r="G24" s="1" t="s">
        <v>46</v>
      </c>
    </row>
    <row r="25" spans="1:7">
      <c r="A25" s="1" t="s">
        <v>38</v>
      </c>
      <c r="C25" s="8">
        <f>'Summary(3pcs)'!D44</f>
        <v>72.590288000499996</v>
      </c>
      <c r="D25" s="9">
        <f t="shared" si="0"/>
        <v>0</v>
      </c>
      <c r="E25" s="1" t="s">
        <v>45</v>
      </c>
      <c r="G25" s="1" t="s">
        <v>46</v>
      </c>
    </row>
    <row r="26" spans="1:7" ht="17.25" thickBot="1">
      <c r="A26" s="1" t="s">
        <v>38</v>
      </c>
      <c r="C26" s="10">
        <f>'Summary(3pcs)'!D45</f>
        <v>67.725250176299994</v>
      </c>
      <c r="D26" s="9">
        <f t="shared" si="0"/>
        <v>0</v>
      </c>
      <c r="E26" s="1" t="s">
        <v>45</v>
      </c>
      <c r="G26" s="1" t="s">
        <v>46</v>
      </c>
    </row>
    <row r="27" spans="1:7">
      <c r="C27" s="12">
        <f>[2]Result!S15</f>
        <v>0</v>
      </c>
      <c r="D27" s="9">
        <f t="shared" si="0"/>
        <v>0</v>
      </c>
      <c r="E27" s="1" t="s">
        <v>47</v>
      </c>
      <c r="G27" s="1" t="s">
        <v>48</v>
      </c>
    </row>
    <row r="28" spans="1:7">
      <c r="C28" s="8">
        <f>[2]Result!S16</f>
        <v>0</v>
      </c>
      <c r="D28" s="9">
        <f t="shared" si="0"/>
        <v>0</v>
      </c>
      <c r="E28" s="1" t="s">
        <v>47</v>
      </c>
      <c r="G28" s="1" t="s">
        <v>48</v>
      </c>
    </row>
    <row r="29" spans="1:7">
      <c r="C29" s="8">
        <f>[2]Result!S17</f>
        <v>0</v>
      </c>
      <c r="D29" s="9">
        <f t="shared" si="0"/>
        <v>0</v>
      </c>
      <c r="E29" s="1" t="s">
        <v>47</v>
      </c>
      <c r="G29" s="1" t="s">
        <v>48</v>
      </c>
    </row>
    <row r="30" spans="1:7" ht="17.25" thickBot="1">
      <c r="C30" s="13">
        <f>[2]Result!S18</f>
        <v>0</v>
      </c>
      <c r="D30" s="11">
        <f t="shared" si="0"/>
        <v>0</v>
      </c>
      <c r="E30" s="1" t="s">
        <v>47</v>
      </c>
      <c r="G30" s="1" t="s">
        <v>48</v>
      </c>
    </row>
    <row r="31" spans="1:7">
      <c r="A31" s="1" t="s">
        <v>54</v>
      </c>
      <c r="C31" s="5">
        <f t="shared" ref="C31:C38" si="1">C4</f>
        <v>0</v>
      </c>
      <c r="D31" s="6">
        <f t="shared" si="0"/>
        <v>2.4869367390999999</v>
      </c>
      <c r="E31" s="1" t="s">
        <v>49</v>
      </c>
      <c r="G31" s="1" t="s">
        <v>50</v>
      </c>
    </row>
    <row r="32" spans="1:7">
      <c r="A32" s="1" t="s">
        <v>56</v>
      </c>
      <c r="C32" s="8">
        <f t="shared" si="1"/>
        <v>0</v>
      </c>
      <c r="D32" s="9">
        <f t="shared" si="0"/>
        <v>2.4413456107</v>
      </c>
      <c r="E32" s="1" t="s">
        <v>49</v>
      </c>
      <c r="G32" s="1" t="s">
        <v>49</v>
      </c>
    </row>
    <row r="33" spans="1:7" ht="17.25" thickBot="1">
      <c r="A33" s="1" t="s">
        <v>57</v>
      </c>
      <c r="C33" s="8">
        <f t="shared" si="1"/>
        <v>0</v>
      </c>
      <c r="D33" s="11">
        <f t="shared" si="0"/>
        <v>0.2262970883</v>
      </c>
      <c r="E33" s="1" t="s">
        <v>49</v>
      </c>
      <c r="G33" s="1" t="s">
        <v>49</v>
      </c>
    </row>
    <row r="34" spans="1:7">
      <c r="A34" s="1" t="s">
        <v>58</v>
      </c>
      <c r="C34" s="8">
        <f t="shared" si="1"/>
        <v>0</v>
      </c>
      <c r="D34" s="6">
        <f t="shared" si="0"/>
        <v>0.30938684230000002</v>
      </c>
      <c r="E34" s="1" t="s">
        <v>51</v>
      </c>
      <c r="G34" s="1" t="s">
        <v>51</v>
      </c>
    </row>
    <row r="35" spans="1:7">
      <c r="A35" s="1" t="s">
        <v>60</v>
      </c>
      <c r="C35" s="8">
        <f t="shared" si="1"/>
        <v>0</v>
      </c>
      <c r="D35" s="9">
        <f t="shared" si="0"/>
        <v>6.1964890191000004</v>
      </c>
      <c r="E35" s="1" t="s">
        <v>51</v>
      </c>
      <c r="G35" s="1" t="s">
        <v>51</v>
      </c>
    </row>
    <row r="36" spans="1:7" ht="17.25" thickBot="1">
      <c r="A36" s="1" t="s">
        <v>61</v>
      </c>
      <c r="C36" s="8">
        <f t="shared" si="1"/>
        <v>0</v>
      </c>
      <c r="D36" s="11">
        <f t="shared" si="0"/>
        <v>-3.483799281</v>
      </c>
      <c r="E36" s="1" t="s">
        <v>51</v>
      </c>
      <c r="G36" s="1" t="s">
        <v>51</v>
      </c>
    </row>
    <row r="37" spans="1:7">
      <c r="A37" s="1" t="s">
        <v>62</v>
      </c>
      <c r="C37" s="8">
        <f t="shared" si="1"/>
        <v>0</v>
      </c>
      <c r="D37" s="6">
        <f t="shared" si="0"/>
        <v>-11.4258464965</v>
      </c>
      <c r="E37" s="1" t="s">
        <v>52</v>
      </c>
      <c r="G37" s="1" t="s">
        <v>52</v>
      </c>
    </row>
    <row r="38" spans="1:7" ht="17.25" thickBot="1">
      <c r="A38" s="1" t="s">
        <v>64</v>
      </c>
      <c r="C38" s="10">
        <f t="shared" si="1"/>
        <v>0</v>
      </c>
      <c r="D38" s="9">
        <f t="shared" si="0"/>
        <v>0.93782885410000005</v>
      </c>
      <c r="E38" s="1" t="s">
        <v>52</v>
      </c>
      <c r="G38" s="1" t="s">
        <v>52</v>
      </c>
    </row>
    <row r="39" spans="1:7" ht="17.25" thickBot="1">
      <c r="A39" s="1" t="s">
        <v>49</v>
      </c>
      <c r="B39" s="94">
        <f>AVERAGE(C39:C42)</f>
        <v>1.3659915701000001</v>
      </c>
      <c r="C39" s="5">
        <f>'Summary(3pcs)'!M35</f>
        <v>2.4869367390999999</v>
      </c>
      <c r="D39" s="11">
        <f t="shared" si="0"/>
        <v>0.8223546826</v>
      </c>
      <c r="E39" s="1" t="s">
        <v>52</v>
      </c>
      <c r="G39" s="1" t="s">
        <v>52</v>
      </c>
    </row>
    <row r="40" spans="1:7">
      <c r="A40" s="1" t="s">
        <v>49</v>
      </c>
      <c r="B40" s="95"/>
      <c r="C40" s="8">
        <f>'Summary(3pcs)'!M36</f>
        <v>2.4413456107</v>
      </c>
      <c r="D40" s="6">
        <f t="shared" si="0"/>
        <v>-6.2741505642000002</v>
      </c>
      <c r="E40" s="1" t="s">
        <v>53</v>
      </c>
      <c r="G40" s="1" t="s">
        <v>53</v>
      </c>
    </row>
    <row r="41" spans="1:7" ht="17.25" thickBot="1">
      <c r="A41" s="1" t="s">
        <v>49</v>
      </c>
      <c r="B41" s="95"/>
      <c r="C41" s="10">
        <f>'Summary(3pcs)'!M38</f>
        <v>0.2262970883</v>
      </c>
      <c r="D41" s="9" t="e">
        <f t="shared" si="0"/>
        <v>#REF!</v>
      </c>
      <c r="E41" s="1" t="s">
        <v>53</v>
      </c>
      <c r="G41" s="1" t="s">
        <v>53</v>
      </c>
    </row>
    <row r="42" spans="1:7" ht="17.25" thickBot="1">
      <c r="A42" s="1" t="s">
        <v>51</v>
      </c>
      <c r="B42" s="96"/>
      <c r="C42" s="5">
        <f>'Summary(3pcs)'!M39</f>
        <v>0.30938684230000002</v>
      </c>
      <c r="D42" s="11" t="e">
        <f t="shared" si="0"/>
        <v>#REF!</v>
      </c>
      <c r="E42" s="1" t="s">
        <v>53</v>
      </c>
      <c r="G42" s="1" t="s">
        <v>53</v>
      </c>
    </row>
    <row r="43" spans="1:7">
      <c r="A43" s="1" t="s">
        <v>51</v>
      </c>
      <c r="B43" s="94">
        <f>AVERAGE(C43:C46)</f>
        <v>-1.943831976075</v>
      </c>
      <c r="C43" s="8">
        <f>'Summary(3pcs)'!M40</f>
        <v>6.1964890191000004</v>
      </c>
      <c r="D43" s="6">
        <f t="shared" ref="D43:D54" si="2">C55</f>
        <v>3.5657654736</v>
      </c>
      <c r="E43" s="1" t="s">
        <v>55</v>
      </c>
      <c r="G43" s="1" t="s">
        <v>55</v>
      </c>
    </row>
    <row r="44" spans="1:7" ht="17.25" thickBot="1">
      <c r="A44" s="1" t="s">
        <v>51</v>
      </c>
      <c r="B44" s="95"/>
      <c r="C44" s="10">
        <f>'Summary(3pcs)'!M42</f>
        <v>-3.483799281</v>
      </c>
      <c r="D44" s="9">
        <f t="shared" si="2"/>
        <v>1.5377007225999999</v>
      </c>
      <c r="E44" s="1" t="s">
        <v>55</v>
      </c>
      <c r="G44" s="1" t="s">
        <v>55</v>
      </c>
    </row>
    <row r="45" spans="1:7" ht="17.25" thickBot="1">
      <c r="A45" s="1" t="s">
        <v>52</v>
      </c>
      <c r="B45" s="95"/>
      <c r="C45" s="5">
        <f>'Summary(3pcs)'!M43</f>
        <v>-11.4258464965</v>
      </c>
      <c r="D45" s="11">
        <f t="shared" si="2"/>
        <v>8.0127552761</v>
      </c>
      <c r="E45" s="1" t="s">
        <v>55</v>
      </c>
      <c r="G45" s="1" t="s">
        <v>55</v>
      </c>
    </row>
    <row r="46" spans="1:7">
      <c r="A46" s="1" t="s">
        <v>52</v>
      </c>
      <c r="B46" s="96"/>
      <c r="C46" s="8">
        <f>'Summary(3pcs)'!M44</f>
        <v>0.93782885410000005</v>
      </c>
      <c r="D46" s="6">
        <f t="shared" si="2"/>
        <v>4.8677615939000001</v>
      </c>
      <c r="E46" s="1" t="s">
        <v>59</v>
      </c>
      <c r="G46" s="1" t="s">
        <v>59</v>
      </c>
    </row>
    <row r="47" spans="1:7" ht="17.25" thickBot="1">
      <c r="A47" s="1" t="s">
        <v>52</v>
      </c>
      <c r="B47" s="94" t="e">
        <f>AVERAGE(C47:C50)</f>
        <v>#REF!</v>
      </c>
      <c r="C47" s="10">
        <f>'Summary(3pcs)'!M45</f>
        <v>0.8223546826</v>
      </c>
      <c r="D47" s="9">
        <f t="shared" si="2"/>
        <v>5.3326691092000003</v>
      </c>
      <c r="E47" s="1" t="s">
        <v>59</v>
      </c>
      <c r="G47" s="1" t="s">
        <v>59</v>
      </c>
    </row>
    <row r="48" spans="1:7" ht="17.25" thickBot="1">
      <c r="A48" s="1" t="s">
        <v>53</v>
      </c>
      <c r="B48" s="95"/>
      <c r="C48" s="5">
        <f>'Summary(3pcs)'!M46</f>
        <v>-6.2741505642000002</v>
      </c>
      <c r="D48" s="11">
        <f t="shared" si="2"/>
        <v>3.0487023216</v>
      </c>
      <c r="E48" s="1" t="s">
        <v>59</v>
      </c>
      <c r="G48" s="1" t="s">
        <v>59</v>
      </c>
    </row>
    <row r="49" spans="1:7">
      <c r="A49" s="1" t="s">
        <v>53</v>
      </c>
      <c r="B49" s="95"/>
      <c r="C49" s="8" t="e">
        <f>'Summary(3pcs)'!#REF!</f>
        <v>#REF!</v>
      </c>
      <c r="D49" s="6">
        <f t="shared" si="2"/>
        <v>-1.3225292476000003</v>
      </c>
      <c r="E49" s="1" t="s">
        <v>63</v>
      </c>
      <c r="G49" s="1" t="s">
        <v>63</v>
      </c>
    </row>
    <row r="50" spans="1:7" ht="17.25" thickBot="1">
      <c r="A50" s="1" t="s">
        <v>53</v>
      </c>
      <c r="B50" s="96"/>
      <c r="C50" s="10" t="e">
        <f>'Summary(3pcs)'!#REF!</f>
        <v>#REF!</v>
      </c>
      <c r="D50" s="9">
        <f t="shared" si="2"/>
        <v>0.28111378939999998</v>
      </c>
      <c r="E50" s="1" t="s">
        <v>63</v>
      </c>
      <c r="G50" s="1" t="s">
        <v>63</v>
      </c>
    </row>
    <row r="51" spans="1:7" ht="17.25" thickBot="1">
      <c r="B51" s="94">
        <f>AVERAGE(C51:C54)</f>
        <v>0</v>
      </c>
      <c r="C51" s="12">
        <f>[2]Result!Z15</f>
        <v>0</v>
      </c>
      <c r="D51" s="11">
        <f t="shared" si="2"/>
        <v>-2.2542975977999999</v>
      </c>
      <c r="E51" s="1" t="s">
        <v>63</v>
      </c>
      <c r="G51" s="1" t="s">
        <v>63</v>
      </c>
    </row>
    <row r="52" spans="1:7">
      <c r="B52" s="95"/>
      <c r="C52" s="8">
        <f>[2]Result!Z16</f>
        <v>0</v>
      </c>
      <c r="D52" s="6">
        <f t="shared" si="2"/>
        <v>0.36877146339999989</v>
      </c>
      <c r="E52" s="1" t="s">
        <v>65</v>
      </c>
      <c r="G52" s="1" t="s">
        <v>65</v>
      </c>
    </row>
    <row r="53" spans="1:7">
      <c r="B53" s="95"/>
      <c r="C53" s="8">
        <f>[2]Result!Z17</f>
        <v>0</v>
      </c>
      <c r="D53" s="9" t="e">
        <f t="shared" si="2"/>
        <v>#REF!</v>
      </c>
      <c r="E53" s="1" t="s">
        <v>65</v>
      </c>
      <c r="G53" s="1" t="s">
        <v>65</v>
      </c>
    </row>
    <row r="54" spans="1:7" ht="17.25" thickBot="1">
      <c r="B54" s="96"/>
      <c r="C54" s="13">
        <f>[2]Result!Z18</f>
        <v>0</v>
      </c>
      <c r="D54" s="11" t="e">
        <f t="shared" si="2"/>
        <v>#REF!</v>
      </c>
      <c r="E54" s="1" t="s">
        <v>65</v>
      </c>
      <c r="G54" s="1" t="s">
        <v>65</v>
      </c>
    </row>
    <row r="55" spans="1:7">
      <c r="A55" s="1" t="s">
        <v>55</v>
      </c>
      <c r="B55" s="94">
        <f>AVERAGE(C55:C58)</f>
        <v>4.4959957665500001</v>
      </c>
      <c r="C55" s="5">
        <f>'Summary(3pcs)'!N35</f>
        <v>3.5657654736</v>
      </c>
      <c r="D55" s="6">
        <f>AVERAGE(D31:D33)</f>
        <v>1.7181931460333333</v>
      </c>
      <c r="E55" s="1" t="s">
        <v>66</v>
      </c>
      <c r="G55" s="1" t="s">
        <v>67</v>
      </c>
    </row>
    <row r="56" spans="1:7">
      <c r="A56" s="1" t="s">
        <v>55</v>
      </c>
      <c r="B56" s="95"/>
      <c r="C56" s="8">
        <f>'Summary(3pcs)'!N36</f>
        <v>1.5377007225999999</v>
      </c>
      <c r="D56" s="9">
        <f>AVERAGE(D34:D36)</f>
        <v>1.0073588601333336</v>
      </c>
      <c r="E56" s="1" t="s">
        <v>68</v>
      </c>
      <c r="G56" s="1" t="s">
        <v>69</v>
      </c>
    </row>
    <row r="57" spans="1:7" ht="17.25" thickBot="1">
      <c r="A57" s="1" t="s">
        <v>55</v>
      </c>
      <c r="B57" s="95"/>
      <c r="C57" s="10">
        <f>'Summary(3pcs)'!N38</f>
        <v>8.0127552761</v>
      </c>
      <c r="D57" s="9">
        <f>AVERAGE(D37:D39)</f>
        <v>-3.2218876532666667</v>
      </c>
      <c r="E57" s="1" t="s">
        <v>70</v>
      </c>
      <c r="G57" s="1" t="s">
        <v>71</v>
      </c>
    </row>
    <row r="58" spans="1:7">
      <c r="A58" s="1" t="s">
        <v>59</v>
      </c>
      <c r="B58" s="96"/>
      <c r="C58" s="5">
        <f>'Summary(3pcs)'!N39</f>
        <v>4.8677615939000001</v>
      </c>
      <c r="D58" s="9" t="e">
        <f>AVERAGE(D40:D42)</f>
        <v>#REF!</v>
      </c>
      <c r="E58" s="1" t="s">
        <v>72</v>
      </c>
      <c r="G58" s="1" t="s">
        <v>73</v>
      </c>
    </row>
    <row r="59" spans="1:7">
      <c r="A59" s="1" t="s">
        <v>59</v>
      </c>
      <c r="B59" s="94">
        <f>AVERAGE(C59:C62)</f>
        <v>1.8349889931499999</v>
      </c>
      <c r="C59" s="8">
        <f>'Summary(3pcs)'!N40</f>
        <v>5.3326691092000003</v>
      </c>
      <c r="D59" s="9">
        <f>AVERAGE(D43:D45)</f>
        <v>4.3720738241000001</v>
      </c>
      <c r="E59" s="1" t="s">
        <v>74</v>
      </c>
      <c r="G59" s="1" t="s">
        <v>75</v>
      </c>
    </row>
    <row r="60" spans="1:7" ht="17.25" thickBot="1">
      <c r="A60" s="1" t="s">
        <v>59</v>
      </c>
      <c r="B60" s="95"/>
      <c r="C60" s="10">
        <f>'Summary(3pcs)'!N42</f>
        <v>3.0487023216</v>
      </c>
      <c r="D60" s="9">
        <f>AVERAGE(D46:D48)</f>
        <v>4.4163776749000005</v>
      </c>
      <c r="E60" s="7" t="s">
        <v>113</v>
      </c>
      <c r="G60" s="1" t="s">
        <v>77</v>
      </c>
    </row>
    <row r="61" spans="1:7">
      <c r="A61" s="1" t="s">
        <v>63</v>
      </c>
      <c r="B61" s="95"/>
      <c r="C61" s="5">
        <f>'Summary(3pcs)'!N43</f>
        <v>-1.3225292476000003</v>
      </c>
      <c r="D61" s="9">
        <f>AVERAGE(D49:D51)</f>
        <v>-1.0985710186666668</v>
      </c>
      <c r="E61" s="1" t="s">
        <v>76</v>
      </c>
      <c r="G61" s="1" t="s">
        <v>77</v>
      </c>
    </row>
    <row r="62" spans="1:7" ht="17.25" thickBot="1">
      <c r="A62" s="1" t="s">
        <v>63</v>
      </c>
      <c r="B62" s="96"/>
      <c r="C62" s="8">
        <f>'Summary(3pcs)'!N44</f>
        <v>0.28111378939999998</v>
      </c>
      <c r="D62" s="11" t="e">
        <f>AVERAGE(D52:D54)</f>
        <v>#REF!</v>
      </c>
      <c r="E62" s="1" t="s">
        <v>78</v>
      </c>
      <c r="G62" s="1" t="s">
        <v>79</v>
      </c>
    </row>
    <row r="63" spans="1:7" ht="17.25" thickBot="1">
      <c r="A63" s="1" t="s">
        <v>63</v>
      </c>
      <c r="B63" s="94" t="e">
        <f>AVERAGE(C63:C66)</f>
        <v>#REF!</v>
      </c>
      <c r="C63" s="10">
        <f>'Summary(3pcs)'!N45</f>
        <v>-2.2542975977999999</v>
      </c>
      <c r="D63" s="6">
        <f>AVERAGE(C71:C73)</f>
        <v>5.0699127515333338</v>
      </c>
      <c r="E63" s="1" t="s">
        <v>80</v>
      </c>
      <c r="G63" s="1" t="s">
        <v>80</v>
      </c>
    </row>
    <row r="64" spans="1:7">
      <c r="A64" s="1" t="s">
        <v>65</v>
      </c>
      <c r="B64" s="95"/>
      <c r="C64" s="5">
        <f>'Summary(3pcs)'!N46</f>
        <v>0.36877146339999989</v>
      </c>
      <c r="D64" s="9">
        <f>AVERAGE(C74:C76)</f>
        <v>5.1538845697999998</v>
      </c>
      <c r="E64" s="1" t="s">
        <v>81</v>
      </c>
      <c r="G64" s="1" t="s">
        <v>81</v>
      </c>
    </row>
    <row r="65" spans="1:7">
      <c r="A65" s="1" t="s">
        <v>65</v>
      </c>
      <c r="B65" s="95"/>
      <c r="C65" s="8" t="e">
        <f>'Summary(3pcs)'!#REF!</f>
        <v>#REF!</v>
      </c>
      <c r="D65" s="9">
        <f>AVERAGE(C77:C79)</f>
        <v>6.5185337066666662</v>
      </c>
      <c r="E65" s="1" t="s">
        <v>82</v>
      </c>
      <c r="G65" s="1" t="s">
        <v>82</v>
      </c>
    </row>
    <row r="66" spans="1:7" ht="17.25" thickBot="1">
      <c r="A66" s="1" t="s">
        <v>65</v>
      </c>
      <c r="B66" s="96"/>
      <c r="C66" s="10" t="e">
        <f>'Summary(3pcs)'!#REF!</f>
        <v>#REF!</v>
      </c>
      <c r="D66" s="11">
        <f>AVERAGE(C80:C82)</f>
        <v>2.1328868866000001</v>
      </c>
      <c r="E66" s="1" t="s">
        <v>83</v>
      </c>
      <c r="G66" s="1" t="s">
        <v>83</v>
      </c>
    </row>
    <row r="67" spans="1:7">
      <c r="B67" s="94">
        <f>AVERAGE(C67:C70)</f>
        <v>0</v>
      </c>
      <c r="C67" s="12">
        <f>[2]Result!AA15</f>
        <v>0</v>
      </c>
      <c r="D67" s="6">
        <f>AVERAGE(C87:C89)</f>
        <v>0.90764911969999995</v>
      </c>
      <c r="E67" s="1" t="s">
        <v>84</v>
      </c>
      <c r="G67" s="1" t="s">
        <v>84</v>
      </c>
    </row>
    <row r="68" spans="1:7">
      <c r="B68" s="95"/>
      <c r="C68" s="8">
        <f>[2]Result!AA16</f>
        <v>0</v>
      </c>
      <c r="D68" s="9">
        <f>AVERAGE(C90:C92)</f>
        <v>0.27121476333333322</v>
      </c>
      <c r="E68" s="1" t="s">
        <v>85</v>
      </c>
      <c r="G68" s="1" t="s">
        <v>85</v>
      </c>
    </row>
    <row r="69" spans="1:7">
      <c r="B69" s="95"/>
      <c r="C69" s="8">
        <f>[2]Result!AA17</f>
        <v>0</v>
      </c>
      <c r="D69" s="9">
        <f>AVERAGE(C93:C95)</f>
        <v>-1.6234692335333334</v>
      </c>
      <c r="E69" s="1" t="s">
        <v>86</v>
      </c>
      <c r="G69" s="1" t="s">
        <v>86</v>
      </c>
    </row>
    <row r="70" spans="1:7" ht="17.25" thickBot="1">
      <c r="B70" s="96"/>
      <c r="C70" s="13">
        <f>[2]Result!AA18</f>
        <v>0</v>
      </c>
      <c r="D70" s="11">
        <f>AVERAGE(C96:C98)</f>
        <v>-2.3431408803</v>
      </c>
      <c r="E70" s="1" t="s">
        <v>87</v>
      </c>
      <c r="G70" s="1" t="s">
        <v>87</v>
      </c>
    </row>
    <row r="71" spans="1:7">
      <c r="A71" s="1" t="s">
        <v>80</v>
      </c>
      <c r="C71" s="5">
        <f>'Summary(3pcs)'!V35</f>
        <v>7.2190408707000007</v>
      </c>
      <c r="D71" s="14"/>
      <c r="E71" s="1" t="s">
        <v>88</v>
      </c>
      <c r="G71" s="1" t="s">
        <v>88</v>
      </c>
    </row>
    <row r="72" spans="1:7">
      <c r="A72" s="1" t="s">
        <v>80</v>
      </c>
      <c r="C72" s="8">
        <f>'Summary(3pcs)'!V36</f>
        <v>5.1272792815999999</v>
      </c>
      <c r="D72" s="15"/>
      <c r="E72" s="1" t="s">
        <v>88</v>
      </c>
      <c r="G72" s="1" t="s">
        <v>88</v>
      </c>
    </row>
    <row r="73" spans="1:7" ht="17.25" thickBot="1">
      <c r="A73" s="1" t="s">
        <v>80</v>
      </c>
      <c r="C73" s="10">
        <f>'Summary(3pcs)'!V37</f>
        <v>2.8634181022999998</v>
      </c>
      <c r="D73" s="15"/>
      <c r="E73" s="1" t="s">
        <v>88</v>
      </c>
      <c r="G73" s="1" t="s">
        <v>88</v>
      </c>
    </row>
    <row r="74" spans="1:7">
      <c r="A74" s="1" t="s">
        <v>81</v>
      </c>
      <c r="C74" s="5">
        <f>'Summary(3pcs)'!V38</f>
        <v>4.5134162903000004</v>
      </c>
      <c r="D74" s="15"/>
      <c r="E74" s="1" t="s">
        <v>89</v>
      </c>
      <c r="G74" s="1" t="s">
        <v>89</v>
      </c>
    </row>
    <row r="75" spans="1:7">
      <c r="A75" s="1" t="s">
        <v>81</v>
      </c>
      <c r="C75" s="8">
        <f>'Summary(3pcs)'!V39</f>
        <v>7.6856870650999998</v>
      </c>
      <c r="D75" s="15"/>
      <c r="E75" s="1" t="s">
        <v>89</v>
      </c>
      <c r="G75" s="1" t="s">
        <v>89</v>
      </c>
    </row>
    <row r="76" spans="1:7" ht="17.25" thickBot="1">
      <c r="A76" s="1" t="s">
        <v>81</v>
      </c>
      <c r="C76" s="10">
        <f>'Summary(3pcs)'!V40</f>
        <v>3.262550354</v>
      </c>
      <c r="D76" s="15"/>
      <c r="E76" s="1" t="s">
        <v>89</v>
      </c>
      <c r="G76" s="1" t="s">
        <v>89</v>
      </c>
    </row>
    <row r="77" spans="1:7">
      <c r="A77" s="1" t="s">
        <v>82</v>
      </c>
      <c r="C77" s="5">
        <f>'Summary(3pcs)'!V41</f>
        <v>6.5676698684999995</v>
      </c>
      <c r="D77" s="15"/>
      <c r="E77" s="1" t="s">
        <v>90</v>
      </c>
      <c r="G77" s="1" t="s">
        <v>90</v>
      </c>
    </row>
    <row r="78" spans="1:7">
      <c r="A78" s="1" t="s">
        <v>82</v>
      </c>
      <c r="C78" s="8">
        <f>'Summary(3pcs)'!V42</f>
        <v>7.5007467269999992</v>
      </c>
      <c r="D78" s="15"/>
      <c r="E78" s="1" t="s">
        <v>90</v>
      </c>
      <c r="G78" s="1" t="s">
        <v>90</v>
      </c>
    </row>
    <row r="79" spans="1:7" ht="17.25" thickBot="1">
      <c r="A79" s="1" t="s">
        <v>82</v>
      </c>
      <c r="C79" s="10">
        <f>'Summary(3pcs)'!V43</f>
        <v>5.4871845244999999</v>
      </c>
      <c r="D79" s="15"/>
      <c r="E79" s="1" t="s">
        <v>90</v>
      </c>
      <c r="G79" s="1" t="s">
        <v>90</v>
      </c>
    </row>
    <row r="80" spans="1:7">
      <c r="A80" s="1" t="s">
        <v>83</v>
      </c>
      <c r="C80" s="5">
        <f>'Summary(3pcs)'!V44</f>
        <v>0.52099466319999976</v>
      </c>
      <c r="D80" s="15"/>
      <c r="E80" s="1" t="s">
        <v>91</v>
      </c>
      <c r="G80" s="1" t="s">
        <v>91</v>
      </c>
    </row>
    <row r="81" spans="1:7">
      <c r="A81" s="1" t="s">
        <v>83</v>
      </c>
      <c r="C81" s="8">
        <f>'Summary(3pcs)'!V45</f>
        <v>2.9166774750000002</v>
      </c>
      <c r="D81" s="15"/>
      <c r="E81" s="1" t="s">
        <v>91</v>
      </c>
      <c r="G81" s="1" t="s">
        <v>91</v>
      </c>
    </row>
    <row r="82" spans="1:7" ht="17.25" thickBot="1">
      <c r="A82" s="1" t="s">
        <v>83</v>
      </c>
      <c r="C82" s="10">
        <f>'Summary(3pcs)'!V46</f>
        <v>2.9609885216</v>
      </c>
      <c r="D82" s="16"/>
      <c r="E82" s="1" t="s">
        <v>91</v>
      </c>
      <c r="G82" s="1" t="s">
        <v>91</v>
      </c>
    </row>
    <row r="83" spans="1:7">
      <c r="C83" s="12">
        <f>[2]Result!AI15</f>
        <v>0</v>
      </c>
      <c r="D83" s="14">
        <v>1</v>
      </c>
      <c r="E83" s="1" t="s">
        <v>92</v>
      </c>
      <c r="G83" s="1" t="s">
        <v>92</v>
      </c>
    </row>
    <row r="84" spans="1:7">
      <c r="C84" s="8">
        <f>[2]Result!AI16</f>
        <v>0</v>
      </c>
      <c r="D84" s="15">
        <v>1</v>
      </c>
      <c r="E84" s="1" t="s">
        <v>93</v>
      </c>
      <c r="G84" s="1" t="s">
        <v>93</v>
      </c>
    </row>
    <row r="85" spans="1:7">
      <c r="C85" s="8">
        <f>[2]Result!AI17</f>
        <v>0</v>
      </c>
      <c r="D85" s="15">
        <v>1</v>
      </c>
      <c r="E85" s="1" t="s">
        <v>94</v>
      </c>
      <c r="G85" s="1" t="s">
        <v>94</v>
      </c>
    </row>
    <row r="86" spans="1:7" ht="17.25" thickBot="1">
      <c r="C86" s="13">
        <f>[2]Result!AI18</f>
        <v>0</v>
      </c>
      <c r="D86" s="15">
        <v>1</v>
      </c>
      <c r="E86" s="1" t="s">
        <v>95</v>
      </c>
      <c r="G86" s="1" t="s">
        <v>95</v>
      </c>
    </row>
    <row r="87" spans="1:7">
      <c r="A87" s="1" t="s">
        <v>84</v>
      </c>
      <c r="C87" s="5">
        <f>'Summary(3pcs)'!W35</f>
        <v>-0.72158694270000012</v>
      </c>
      <c r="D87" s="15">
        <v>1</v>
      </c>
      <c r="E87" s="1" t="s">
        <v>96</v>
      </c>
      <c r="G87" s="1" t="s">
        <v>96</v>
      </c>
    </row>
    <row r="88" spans="1:7">
      <c r="A88" s="1" t="s">
        <v>84</v>
      </c>
      <c r="C88" s="8">
        <f>'Summary(3pcs)'!W36</f>
        <v>1.7600092888000001</v>
      </c>
      <c r="D88" s="15">
        <v>1</v>
      </c>
      <c r="E88" s="1" t="s">
        <v>97</v>
      </c>
      <c r="G88" s="1" t="s">
        <v>97</v>
      </c>
    </row>
    <row r="89" spans="1:7" ht="17.25" thickBot="1">
      <c r="A89" s="1" t="s">
        <v>84</v>
      </c>
      <c r="C89" s="10">
        <f>'Summary(3pcs)'!W37</f>
        <v>1.684525013</v>
      </c>
      <c r="D89" s="15">
        <v>1</v>
      </c>
      <c r="E89" s="1" t="s">
        <v>98</v>
      </c>
      <c r="G89" s="1" t="s">
        <v>98</v>
      </c>
    </row>
    <row r="90" spans="1:7">
      <c r="A90" s="1" t="s">
        <v>85</v>
      </c>
      <c r="C90" s="5">
        <f>'Summary(3pcs)'!W38</f>
        <v>-2.0294386148000001</v>
      </c>
      <c r="D90" s="15">
        <v>1</v>
      </c>
      <c r="E90" s="1" t="s">
        <v>99</v>
      </c>
      <c r="G90" s="1" t="s">
        <v>99</v>
      </c>
    </row>
    <row r="91" spans="1:7">
      <c r="A91" s="1" t="s">
        <v>85</v>
      </c>
      <c r="C91" s="8">
        <f>'Summary(3pcs)'!W39</f>
        <v>3.0424633025999999</v>
      </c>
      <c r="D91" s="15">
        <v>1</v>
      </c>
      <c r="E91" s="1" t="s">
        <v>100</v>
      </c>
      <c r="G91" s="1" t="s">
        <v>100</v>
      </c>
    </row>
    <row r="92" spans="1:7" ht="17.25" thickBot="1">
      <c r="A92" s="1" t="s">
        <v>85</v>
      </c>
      <c r="C92" s="10">
        <f>'Summary(3pcs)'!W40</f>
        <v>-0.19938039780000016</v>
      </c>
      <c r="D92" s="15">
        <v>1</v>
      </c>
      <c r="E92" s="1" t="s">
        <v>101</v>
      </c>
      <c r="G92" s="1" t="s">
        <v>101</v>
      </c>
    </row>
    <row r="93" spans="1:7">
      <c r="A93" s="1" t="s">
        <v>86</v>
      </c>
      <c r="C93" s="5">
        <f>'Summary(3pcs)'!W41</f>
        <v>0.40958285329999988</v>
      </c>
      <c r="D93" s="15">
        <v>1</v>
      </c>
      <c r="E93" s="1" t="s">
        <v>102</v>
      </c>
      <c r="G93" s="1" t="s">
        <v>102</v>
      </c>
    </row>
    <row r="94" spans="1:7" ht="17.25" thickBot="1">
      <c r="A94" s="1" t="s">
        <v>86</v>
      </c>
      <c r="C94" s="8">
        <f>'Summary(3pcs)'!W42</f>
        <v>-3.1332199574000001</v>
      </c>
      <c r="D94" s="16">
        <v>1</v>
      </c>
      <c r="E94" s="1" t="s">
        <v>103</v>
      </c>
      <c r="G94" s="1" t="s">
        <v>103</v>
      </c>
    </row>
    <row r="95" spans="1:7" ht="17.25" thickBot="1">
      <c r="A95" s="1" t="s">
        <v>86</v>
      </c>
      <c r="C95" s="10">
        <f>'Summary(3pcs)'!W43</f>
        <v>-2.1467705965000001</v>
      </c>
    </row>
    <row r="96" spans="1:7">
      <c r="A96" s="1" t="s">
        <v>87</v>
      </c>
      <c r="C96" s="5">
        <f>'Summary(3pcs)'!W44</f>
        <v>0.82108259199999978</v>
      </c>
    </row>
    <row r="97" spans="1:3">
      <c r="A97" s="1" t="s">
        <v>87</v>
      </c>
      <c r="C97" s="8">
        <f>'Summary(3pcs)'!W45</f>
        <v>-4.6348382235000001</v>
      </c>
    </row>
    <row r="98" spans="1:3" ht="17.25" thickBot="1">
      <c r="A98" s="1" t="s">
        <v>87</v>
      </c>
      <c r="C98" s="10">
        <f>'Summary(3pcs)'!W46</f>
        <v>-3.2156670094000002</v>
      </c>
    </row>
    <row r="99" spans="1:3">
      <c r="C99" s="12">
        <f>[2]Result!AJ15</f>
        <v>0</v>
      </c>
    </row>
    <row r="100" spans="1:3">
      <c r="C100" s="8">
        <f>[2]Result!AJ16</f>
        <v>0</v>
      </c>
    </row>
    <row r="101" spans="1:3">
      <c r="C101" s="8">
        <f>[2]Result!AJ17</f>
        <v>0</v>
      </c>
    </row>
    <row r="102" spans="1:3" ht="17.25" thickBot="1">
      <c r="C102" s="10">
        <f>[2]Result!AJ18</f>
        <v>0</v>
      </c>
    </row>
  </sheetData>
  <mergeCells count="10">
    <mergeCell ref="B55:B58"/>
    <mergeCell ref="B59:B62"/>
    <mergeCell ref="B63:B66"/>
    <mergeCell ref="B67:B70"/>
    <mergeCell ref="B4:B7"/>
    <mergeCell ref="B8:B11"/>
    <mergeCell ref="B39:B42"/>
    <mergeCell ref="B43:B46"/>
    <mergeCell ref="B47:B50"/>
    <mergeCell ref="B51:B54"/>
  </mergeCells>
  <phoneticPr fontId="6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E22" sqref="E21:E22"/>
    </sheetView>
  </sheetViews>
  <sheetFormatPr defaultRowHeight="13.5"/>
  <sheetData>
    <row r="1" spans="1:4">
      <c r="A1" s="40"/>
      <c r="B1" s="40" t="s">
        <v>147</v>
      </c>
      <c r="C1" s="40" t="s">
        <v>138</v>
      </c>
      <c r="D1" s="40" t="s">
        <v>139</v>
      </c>
    </row>
    <row r="2" spans="1:4">
      <c r="A2" s="40">
        <v>4</v>
      </c>
      <c r="B2" s="40">
        <v>0</v>
      </c>
      <c r="C2" s="40">
        <v>0</v>
      </c>
      <c r="D2" s="40">
        <v>0</v>
      </c>
    </row>
    <row r="3" spans="1:4">
      <c r="A3" s="40">
        <v>5</v>
      </c>
      <c r="B3" s="40">
        <v>0</v>
      </c>
      <c r="C3" s="40">
        <v>-1</v>
      </c>
      <c r="D3" s="40">
        <v>0</v>
      </c>
    </row>
    <row r="4" spans="1:4">
      <c r="A4" s="40">
        <v>6</v>
      </c>
      <c r="B4" s="40">
        <v>-8</v>
      </c>
      <c r="C4" s="40">
        <v>0</v>
      </c>
      <c r="D4" s="40">
        <v>0</v>
      </c>
    </row>
  </sheetData>
  <phoneticPr fontId="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History</vt:lpstr>
      <vt:lpstr>File location</vt:lpstr>
      <vt:lpstr>Summary(3pcs)</vt:lpstr>
      <vt:lpstr>OC</vt:lpstr>
      <vt:lpstr>FPDC</vt:lpstr>
      <vt:lpstr>IPQC</vt:lpstr>
      <vt:lpstr>VCM</vt:lpstr>
      <vt:lpstr>전산등록</vt:lpstr>
      <vt:lpstr>Tester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lgit</dc:creator>
  <cp:lastModifiedBy>Administrator</cp:lastModifiedBy>
  <dcterms:created xsi:type="dcterms:W3CDTF">2021-07-17T06:53:14Z</dcterms:created>
  <dcterms:modified xsi:type="dcterms:W3CDTF">2022-09-23T14:20:05Z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245a93e0-3047-4973-a6b5-815c61d488e0</vt:lpwstr>
  </property>
</Properties>
</file>