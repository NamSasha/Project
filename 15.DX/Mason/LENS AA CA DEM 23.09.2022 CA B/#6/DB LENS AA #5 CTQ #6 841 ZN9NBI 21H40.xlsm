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<sst xmlns="http://schemas.openxmlformats.org/spreadsheetml/2006/main" count="1419" uniqueCount="671">
  <si>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</si>
  <si>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</si>
  <si>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</si>
  <si>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</si>
  <si>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</si>
  <si>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</si>
  <si>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</si>
  <si>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</si>
  <si>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</si>
  <si>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</si>
  <si>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</si>
  <si>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</si>
  <si>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</si>
  <si>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</si>
  <si>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</si>
  <si>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</si>
  <si>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</si>
  <si>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</si>
  <si>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</si>
  <si>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</si>
  <si>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</si>
  <si>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</si>
  <si>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</si>
  <si>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</si>
  <si>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</si>
  <si>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</si>
  <si>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</si>
  <si>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</si>
  <si>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</si>
  <si>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</si>
  <si>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</si>
  <si>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</si>
  <si>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</si>
  <si>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</si>
  <si>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</si>
  <si>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</si>
  <si>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</si>
  <si>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</si>
  <si>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</si>
  <si>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</si>
  <si>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</si>
  <si>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</si>
  <si>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</si>
  <si>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</si>
  <si>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</si>
  <si>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</si>
  <si>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</si>
  <si>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</si>
  <si>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</si>
  <si>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</si>
  <si>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</si>
  <si>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</si>
  <si>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</si>
  <si>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</si>
  <si>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</si>
  <si>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</si>
  <si>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</si>
  <si>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</si>
  <si>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</si>
  <si>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</si>
  <si>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</si>
  <si>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</si>
  <si>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</si>
  <si>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</si>
  <si>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</si>
  <si>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</si>
  <si>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</si>
  <si>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</si>
  <si>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</si>
  <si>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</si>
  <si>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</si>
  <si>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</si>
  <si>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</si>
  <si>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</si>
  <si>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</si>
  <si>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</si>
  <si>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</si>
  <si>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</si>
  <si>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</si>
  <si>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</si>
  <si>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</si>
  <si>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</si>
  <si>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</si>
  <si>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</si>
  <si>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</si>
  <si>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</si>
  <si>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</si>
  <si>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</si>
  <si>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</si>
  <si>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</si>
  <si>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</si>
  <si>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</si>
  <si>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</si>
  <si>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</si>
  <si>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</si>
  <si>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</si>
  <si>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</si>
  <si>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</si>
  <si>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</si>
  <si>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</si>
  <si>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</si>
  <si>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</si>
  <si>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</si>
  <si>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</si>
  <si>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</si>
  <si>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</si>
  <si>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</si>
  <si>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</si>
  <si>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</si>
  <si>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</si>
  <si>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</si>
  <si>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</si>
  <si>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</si>
  <si>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</si>
  <si>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</si>
  <si>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</si>
  <si>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</si>
  <si>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</si>
  <si>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</si>
  <si>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</si>
  <si>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</si>
  <si>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</si>
  <si>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</si>
  <si>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</si>
  <si>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</si>
  <si>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</si>
  <si>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</si>
  <si>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</si>
  <si>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</si>
  <si>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</si>
  <si>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</si>
  <si>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</si>
  <si>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</si>
  <si>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</si>
  <si>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</si>
  <si>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</si>
  <si>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</si>
  <si>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</si>
  <si>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</si>
  <si>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</si>
  <si>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</si>
  <si>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</si>
  <si>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</si>
  <si>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</si>
  <si>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</si>
  <si>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</si>
  <si>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</si>
  <si>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</si>
  <si>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</si>
  <si>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</si>
  <si>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</si>
  <si>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</si>
  <si>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</si>
  <si>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</si>
  <si>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</si>
  <si>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</si>
  <si>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</si>
  <si>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</si>
  <si>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</si>
  <si>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</si>
  <si>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</si>
  <si>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</si>
  <si>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</si>
  <si>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</si>
  <si>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</si>
  <si>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</si>
  <si>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</si>
  <si>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</si>
  <si>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</si>
  <si>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</si>
  <si>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</si>
  <si>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</si>
  <si>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D:\EVMS\TP\LOG\VSY841ZN9NBI_2022092310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</si>
  <si>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</si>
  <si>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</si>
  <si>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</si>
  <si>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</si>
  <si>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</si>
  <si>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</si>
  <si>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</si>
  <si>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</si>
  <si>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</si>
  <si>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</si>
  <si>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</si>
  <si>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</si>
  <si>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</si>
  <si>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</si>
  <si>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</si>
  <si>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</si>
  <si>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</si>
  <si>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</si>
  <si>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</si>
  <si>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</si>
  <si>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</si>
  <si>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</si>
  <si>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</si>
  <si>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</si>
  <si>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</si>
  <si>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</si>
  <si>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</si>
  <si>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</si>
  <si>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</si>
  <si>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</si>
  <si>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</si>
  <si>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</si>
  <si>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</si>
  <si>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</si>
  <si>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</si>
  <si>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</si>
  <si>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T220923102120234VCMLEBC050</t>
  </si>
  <si>
    <t>'2022-09-23 10:21:29:377</t>
  </si>
  <si>
    <t>VCMLEBC050A</t>
  </si>
  <si>
    <t>DB_C1001</t>
  </si>
  <si>
    <t>210615ADOE</t>
  </si>
  <si>
    <t>R13A_OC_MFG_C10_21091603_b1779c9</t>
  </si>
  <si>
    <t>VSY841ZN9NBI</t>
  </si>
  <si>
    <t>22cd19070358</t>
  </si>
  <si>
    <t>0x5240fe6284561301</t>
  </si>
  <si>
    <t>AS2C3541E52JA7B2A736118137</t>
  </si>
  <si>
    <t>AJ8C353311HBB3B3A647</t>
  </si>
  <si>
    <t>DNA22243053410M08A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</si>
  <si>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</si>
  <si>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</si>
  <si>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</si>
  <si>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</si>
  <si>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</si>
  <si>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</si>
  <si>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</si>
  <si>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</si>
  <si>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</si>
  <si>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</si>
  <si>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</si>
  <si>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</si>
  <si>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</si>
  <si>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</si>
  <si>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</si>
  <si>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</si>
  <si>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</si>
  <si>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</si>
  <si>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</si>
  <si>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</si>
  <si>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</si>
  <si>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</si>
  <si>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</si>
  <si>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</si>
  <si>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</si>
  <si>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</si>
  <si>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</si>
  <si>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</si>
  <si>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</si>
  <si>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</si>
  <si>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</si>
  <si>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</si>
  <si>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</si>
  <si>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</si>
  <si>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</si>
  <si>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</si>
  <si>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</si>
  <si>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T220923102146888VCMLEBC050</t>
  </si>
  <si>
    <t>'2022-09-23 10:22:16:181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</si>
  <si>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</si>
  <si>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</si>
  <si>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</si>
  <si>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</si>
  <si>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</si>
  <si>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</si>
  <si>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</si>
  <si>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</si>
  <si>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</si>
  <si>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</si>
  <si>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</si>
  <si>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</si>
  <si>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</si>
  <si>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</si>
  <si>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</si>
  <si>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</si>
  <si>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10:22:06:156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</si>
  <si>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</si>
  <si>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</si>
  <si>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</si>
  <si>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</si>
  <si>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</si>
  <si>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</si>
  <si>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</si>
  <si>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</si>
  <si>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</si>
  <si>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</si>
  <si>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</si>
  <si>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</si>
  <si>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</si>
  <si>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</si>
  <si>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</si>
  <si>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</si>
  <si>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</si>
  <si>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</si>
  <si>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</si>
  <si>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</si>
  <si>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</si>
  <si>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</si>
  <si>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</si>
  <si>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</si>
  <si>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</si>
  <si>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</si>
  <si>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</si>
  <si>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</si>
  <si>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</si>
  <si>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</si>
  <si>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</si>
  <si>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</si>
  <si>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</si>
  <si>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</si>
  <si>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</si>
  <si>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</si>
  <si>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</si>
  <si>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</si>
  <si>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</si>
  <si>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</si>
  <si>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</si>
  <si>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</si>
  <si>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</si>
  <si>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</si>
  <si>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</si>
  <si>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</si>
  <si>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</si>
  <si>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</si>
  <si>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</si>
  <si>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</si>
  <si>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</si>
  <si>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</si>
  <si>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</si>
  <si>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</si>
  <si>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</si>
  <si>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</si>
  <si>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</si>
  <si>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</si>
  <si>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</si>
  <si>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</si>
  <si>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</si>
  <si>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</si>
  <si>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</si>
  <si>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</si>
  <si>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</si>
  <si>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</si>
  <si>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</si>
  <si>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</si>
  <si>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</si>
  <si>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</si>
  <si>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</si>
  <si>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</si>
  <si>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</si>
  <si>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</si>
  <si>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</si>
  <si>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</si>
  <si>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</si>
  <si>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</si>
  <si>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</si>
  <si>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</si>
  <si>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</si>
  <si>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</si>
  <si>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</si>
  <si>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</si>
  <si>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</si>
  <si>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</si>
  <si>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</si>
  <si>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</si>
  <si>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</si>
  <si>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</si>
  <si>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</si>
  <si>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</si>
  <si>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</si>
  <si>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</si>
  <si>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</si>
  <si>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</si>
  <si>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</si>
  <si>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</si>
  <si>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</si>
  <si>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</si>
  <si>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</si>
  <si>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</si>
  <si>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</si>
  <si>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</si>
  <si>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</si>
  <si>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</si>
  <si>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</si>
  <si>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</si>
  <si>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</si>
  <si>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</si>
  <si>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</si>
  <si>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</si>
  <si>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</si>
  <si>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</si>
  <si>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</si>
  <si>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</si>
  <si>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</si>
  <si>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</si>
  <si>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</si>
  <si>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</si>
  <si>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</si>
  <si>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</si>
  <si>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</si>
  <si>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</si>
  <si>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</si>
  <si>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</si>
  <si>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</si>
  <si>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</si>
  <si>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</si>
  <si>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</si>
  <si>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</si>
  <si>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</si>
  <si>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</si>
  <si>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</si>
  <si>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</si>
  <si>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</si>
  <si>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</si>
  <si>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</si>
  <si>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</si>
  <si>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</si>
  <si>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</si>
  <si>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</si>
  <si>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</si>
  <si>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</si>
  <si>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</si>
  <si>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</si>
  <si>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</si>
  <si>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</si>
  <si>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</si>
  <si>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</si>
  <si>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</si>
  <si>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</si>
  <si>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</si>
  <si>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</si>
  <si>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</si>
  <si>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</si>
  <si>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</si>
  <si>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</si>
  <si>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</si>
  <si>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</si>
  <si>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</si>
  <si>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</si>
  <si>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</si>
  <si>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</si>
  <si>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</si>
  <si>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</si>
  <si>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</si>
  <si>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</si>
  <si>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</si>
  <si>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</si>
  <si>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</si>
  <si>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</si>
  <si>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</si>
  <si>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</si>
  <si>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</si>
  <si>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</si>
  <si>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</si>
  <si>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</si>
  <si>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</si>
  <si>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</si>
  <si>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</si>
  <si>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</si>
  <si>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</si>
  <si>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</si>
  <si>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</si>
  <si>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</si>
  <si>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</si>
  <si>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</si>
  <si>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</si>
  <si>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</si>
  <si>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</si>
  <si>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</si>
  <si>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</si>
  <si>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</si>
  <si>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</si>
  <si>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</si>
  <si>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</si>
  <si>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</si>
  <si>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</si>
  <si>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</si>
  <si>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</si>
  <si>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</si>
  <si>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</si>
  <si>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</si>
  <si>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</si>
  <si>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</si>
  <si>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</si>
  <si>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</si>
  <si>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</si>
  <si>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</si>
  <si>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</si>
  <si>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</si>
  <si>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</si>
  <si>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</si>
  <si>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</si>
  <si>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</si>
  <si>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</si>
  <si>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</si>
  <si>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</si>
  <si>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</si>
  <si>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</si>
  <si>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</si>
  <si>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</si>
  <si>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</si>
  <si>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</si>
  <si>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</si>
  <si>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</si>
  <si>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</si>
  <si>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</si>
  <si>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</si>
  <si>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</si>
  <si>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</si>
  <si>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</si>
  <si>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</si>
  <si>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</si>
  <si>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</si>
  <si>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</si>
  <si>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</si>
  <si>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</si>
  <si>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</si>
  <si>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</si>
  <si>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</si>
  <si>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</si>
  <si>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</si>
  <si>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</si>
  <si>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</si>
  <si>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</si>
  <si>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</si>
  <si>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</si>
  <si>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</si>
  <si>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</si>
  <si>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</si>
  <si>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</si>
  <si>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</si>
  <si>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</si>
  <si>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</si>
  <si>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</si>
  <si>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T220923102132047VCMLEBC050</t>
  </si>
  <si>
    <t>'2022-09-23 10:21:44:580</t>
  </si>
  <si>
    <t>R13A_IPQC_MFG_Laser_C10_21090805_b1779c9</t>
  </si>
  <si>
    <t>v9p4</t>
  </si>
  <si>
    <t>AG</t>
  </si>
  <si>
    <t>T220923102228432VCMLEBC050</t>
  </si>
  <si>
    <t>'2022-09-23 10:22:37:800</t>
  </si>
  <si>
    <t>22cd19080546</t>
  </si>
  <si>
    <t>0x5240fe6282cc1801</t>
  </si>
  <si>
    <t>AS2C3541C51MA7B2A335133002</t>
  </si>
  <si>
    <t>AJ8C353311HAB3B3A642</t>
  </si>
  <si>
    <t>DNA22224012180E03A</t>
  </si>
  <si>
    <t>T220923102240927VCMLEBC050</t>
  </si>
  <si>
    <t>'2022-09-23 10:22:53:463</t>
  </si>
  <si>
    <t>T220923102255729VCMLEBC050</t>
  </si>
  <si>
    <t>'2022-09-23 10:23:25:817</t>
  </si>
  <si>
    <t>'2022-09-23 10:23:15:791</t>
  </si>
  <si>
    <t>T220923102336633VCMLEBC050</t>
  </si>
  <si>
    <t>'2022-09-23 10:01:43:851</t>
  </si>
  <si>
    <t>22cd19070628</t>
  </si>
  <si>
    <t>0x5240fe6283856907</t>
  </si>
  <si>
    <t>AS2C3541C52FA7B2A734144103</t>
  </si>
  <si>
    <t>AJ8C353321FPB2B3A630</t>
  </si>
  <si>
    <t>DNA22241022080A01A</t>
  </si>
  <si>
    <t>T220923100202020VCMLEBC050</t>
  </si>
  <si>
    <t>'2022-09-23 10:02:30:807</t>
  </si>
  <si>
    <t>'2022-09-23 10:02:20:781</t>
  </si>
  <si>
    <t>T220923100147190VCMLEBC050</t>
  </si>
  <si>
    <t>'2022-09-23 10:01:59:723</t>
  </si>
  <si>
    <t>T220923100255132VCMLEBC050</t>
  </si>
  <si>
    <t>'2022-09-23 10:03:04:328</t>
  </si>
  <si>
    <t>22cd19070691</t>
  </si>
  <si>
    <t>0x5240fe6283856f07</t>
  </si>
  <si>
    <t>AS2C3541D53PA7B2A739119116</t>
  </si>
  <si>
    <t>AJ8C353321G1B4B3A641</t>
  </si>
  <si>
    <t>DNA22224012240G09A</t>
  </si>
  <si>
    <t>T220923100321911VCMLEBC050</t>
  </si>
  <si>
    <t>'2022-09-23 10:03:51:028</t>
  </si>
  <si>
    <t>'2022-09-23 10:03:41:000</t>
  </si>
  <si>
    <t>T220923100307070VCMLEBC050</t>
  </si>
  <si>
    <t>'2022-09-23 10:03:19:603</t>
  </si>
  <si>
    <t>T220923100451065VCMLEBC050</t>
  </si>
  <si>
    <t>'2022-09-23 10:05:00:391</t>
  </si>
  <si>
    <t>22cd19080673</t>
  </si>
  <si>
    <t>0x5240fe6284561705</t>
  </si>
  <si>
    <t>AS2C3541E52NA7B2A843118009</t>
  </si>
  <si>
    <t>AJ8C353321K9B1B3A638</t>
  </si>
  <si>
    <t>DNA22224012280A12A</t>
  </si>
  <si>
    <t>T220923100559558VCMLEBC050</t>
  </si>
  <si>
    <t>'2022-09-23 10:06:08:459</t>
  </si>
  <si>
    <t>22cd19070386</t>
  </si>
  <si>
    <t>0x5240fe6283856405</t>
  </si>
  <si>
    <t>AS2C3541C52GA7B2A839170102</t>
  </si>
  <si>
    <t>AJ8C353311H8B3B3A614</t>
  </si>
  <si>
    <t>DNA22237065080D11A</t>
  </si>
  <si>
    <t>T220923100517918VCMLEBC050</t>
  </si>
  <si>
    <t>'2022-09-23 10:05:48:141</t>
  </si>
  <si>
    <t>T220923100625937VCMLEBC050</t>
  </si>
  <si>
    <t>'2022-09-23 10:06:54:878</t>
  </si>
  <si>
    <t>'2022-09-23 10:05:38:118</t>
  </si>
  <si>
    <t>'2022-09-23 10:06:44:853</t>
  </si>
  <si>
    <t>T220923100503086VCMLEBC050</t>
  </si>
  <si>
    <t>'2022-09-23 10:05:15:618</t>
  </si>
  <si>
    <t>T220923100611106VCMLEBC050</t>
  </si>
  <si>
    <t>'2022-09-23 10:06:23:635</t>
  </si>
  <si>
    <t>T220923100706569VCMLEBC050</t>
  </si>
  <si>
    <t>'2022-09-23 10:07:15:515</t>
  </si>
  <si>
    <t>22cd19070274</t>
  </si>
  <si>
    <t>0x5240fe6283856c03</t>
  </si>
  <si>
    <t>AS2C3541E52HA7B2A837124015</t>
  </si>
  <si>
    <t>AJ8C353331GKB2B3A646</t>
  </si>
  <si>
    <t>DNA22224012240H07A</t>
  </si>
  <si>
    <t>T220923100733059VCMLEBC050</t>
  </si>
  <si>
    <t>'2022-09-23 10:08:02:287</t>
  </si>
  <si>
    <t>'2022-09-23 10:07:52:262</t>
  </si>
  <si>
    <t>T220923100718228VCMLEBC050</t>
  </si>
  <si>
    <t>'2022-09-23 10:07:30:763</t>
  </si>
  <si>
    <t>T220923100813073VCMLEBC050</t>
  </si>
  <si>
    <t>'2022-09-23 10:08:21:946</t>
  </si>
  <si>
    <t>22cd19080665</t>
  </si>
  <si>
    <t>0x5240fe6284560a01</t>
  </si>
  <si>
    <t>AS2C3541D534A7B2A537144009</t>
  </si>
  <si>
    <t>AJ8C353331GMB4B3A640</t>
  </si>
  <si>
    <t>DNA22224012280J10A</t>
  </si>
  <si>
    <t>T220923101146010VCMLEBC050</t>
  </si>
  <si>
    <t>'2022-09-23 10:11:54:814</t>
  </si>
  <si>
    <t>22cd19080038</t>
  </si>
  <si>
    <t>0x5240fe6283856101</t>
  </si>
  <si>
    <t>AS2C3541E52KA7B2A431010127</t>
  </si>
  <si>
    <t>AJ8C353321KAB4B3A640</t>
  </si>
  <si>
    <t>DNA22224012280B08A</t>
  </si>
  <si>
    <t>T220923100839882VCMLEBC050</t>
  </si>
  <si>
    <t>'2022-09-23 10:09:09:260</t>
  </si>
  <si>
    <t>T220923101212291VCMLEBC050</t>
  </si>
  <si>
    <t>'2022-09-23 10:12:42:203</t>
  </si>
  <si>
    <t>'2022-09-23 10:08:59:236</t>
  </si>
  <si>
    <t>'2022-09-23 10:12:32:179</t>
  </si>
  <si>
    <t>T220923100825050VCMLEBC050</t>
  </si>
  <si>
    <t>'2022-09-23 10:08:37:582</t>
  </si>
  <si>
    <t>T220923101157465VCMLEBC050</t>
  </si>
  <si>
    <t>'2022-09-23 10:12:09:996</t>
  </si>
  <si>
    <t>T220923101256917VCMLEBC050</t>
  </si>
  <si>
    <t>'2022-09-23 10:13:06:104</t>
  </si>
  <si>
    <t>22cd19070720</t>
  </si>
  <si>
    <t>0x5240fe6283855101</t>
  </si>
  <si>
    <t>AS2C3541D535A7B2A839147108</t>
  </si>
  <si>
    <t>AJ8C353311HDB3B3A644</t>
  </si>
  <si>
    <t>DNA22224012280J09A</t>
  </si>
  <si>
    <t>T220923101403188VCMLEBC050</t>
  </si>
  <si>
    <t>'2022-09-23 10:14:12:182</t>
  </si>
  <si>
    <t>22cd19080282</t>
  </si>
  <si>
    <t>0x5240fe6284561303</t>
  </si>
  <si>
    <t>AS2C3541E52LA7B2A230130034</t>
  </si>
  <si>
    <t>AJ8C353311LKB3B3A638</t>
  </si>
  <si>
    <t>DNA22224012280A14A</t>
  </si>
  <si>
    <t>T220923101323901VCMLEBC050</t>
  </si>
  <si>
    <t>'2022-09-23 10:13:53:074</t>
  </si>
  <si>
    <t>T220923101429728VCMLEBC050</t>
  </si>
  <si>
    <t>'2022-09-23 10:14:58:857</t>
  </si>
  <si>
    <t>'2022-09-23 10:13:43:049</t>
  </si>
  <si>
    <t>'2022-09-23 10:14:48:827</t>
  </si>
  <si>
    <t>T220923101309109VCMLEBC050</t>
  </si>
  <si>
    <t>'2022-09-23 10:13:21:647</t>
  </si>
  <si>
    <t>T220923101414887VCMLEBC050</t>
  </si>
  <si>
    <t>'2022-09-23 10:14:27:422</t>
  </si>
  <si>
    <t>T220923101531203VCMLEBC050</t>
  </si>
  <si>
    <t>'2022-09-23 10:15:40:107</t>
  </si>
  <si>
    <t>22cd19070658</t>
  </si>
  <si>
    <t>0x5240fe6282e1ea01</t>
  </si>
  <si>
    <t>AS2C3541D53NA7B2A838115112</t>
  </si>
  <si>
    <t>AJ8C353331GJB3B3A635</t>
  </si>
  <si>
    <t>DNA22243052190G12A</t>
  </si>
  <si>
    <t>T220923101557806VCMLEBC050</t>
  </si>
  <si>
    <t>'2022-09-23 10:16:26:708</t>
  </si>
  <si>
    <t>'2022-09-23 10:16:16:681</t>
  </si>
  <si>
    <t>T220923101542980VCMLEBC050</t>
  </si>
  <si>
    <t>'2022-09-23 10:15:55:509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</si>
</sst>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-5.2963874710000001</c:v>
                </c:pt>
                <c:pt idx="1">
                  <c:v>-5.7932893577</c:v>
                </c:pt>
                <c:pt idx="2">
                  <c:v>-6.4074267013000004</c:v>
                </c:pt>
                <c:pt idx="3">
                  <c:v>5.4903890361999999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-0.9044558545000001</c:v>
                </c:pt>
                <c:pt idx="1">
                  <c:v>-1.0478684491000001</c:v>
                </c:pt>
                <c:pt idx="2">
                  <c:v>2.5427859935999999</c:v>
                </c:pt>
                <c:pt idx="3">
                  <c:v>-2.7141661654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-5.8323678433333335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0.19682056333333323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89056"/>
        <c:axId val="50190592"/>
      </c:scatterChart>
      <c:valAx>
        <c:axId val="501890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190592"/>
        <c:crosses val="autoZero"/>
        <c:crossBetween val="midCat"/>
        <c:majorUnit val="10"/>
      </c:valAx>
      <c:valAx>
        <c:axId val="501905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189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2.5928292118999998</c:v>
                </c:pt>
                <c:pt idx="1">
                  <c:v>-3.0268720930000002</c:v>
                </c:pt>
                <c:pt idx="2">
                  <c:v>5.2983220257000001</c:v>
                </c:pt>
                <c:pt idx="3">
                  <c:v>2.9370890675000001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2.0274251812999999</c:v>
                </c:pt>
                <c:pt idx="1">
                  <c:v>-4.6486789616999999</c:v>
                </c:pt>
                <c:pt idx="2">
                  <c:v>6.4016822035000001</c:v>
                </c:pt>
                <c:pt idx="3">
                  <c:v>8.9321977258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1.6854487183666667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-1.7784733152666667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39744"/>
        <c:axId val="50249728"/>
      </c:scatterChart>
      <c:valAx>
        <c:axId val="502397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249728"/>
        <c:crosses val="autoZero"/>
        <c:crossBetween val="midCat"/>
        <c:majorUnit val="10"/>
      </c:valAx>
      <c:valAx>
        <c:axId val="502497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23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1.7068615008000001</c:v>
                </c:pt>
                <c:pt idx="1">
                  <c:v>1.4332914328999999</c:v>
                </c:pt>
                <c:pt idx="2">
                  <c:v>0.58262395280000001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6.1848416109999995</c:v>
                </c:pt>
                <c:pt idx="1">
                  <c:v>-4.2961387609999999</c:v>
                </c:pt>
                <c:pt idx="2">
                  <c:v>-0.31999992779999964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3.3140908646666669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7.1729071801000002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368"/>
        <c:axId val="51131904"/>
      </c:scatterChart>
      <c:valAx>
        <c:axId val="511303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131904"/>
        <c:crosses val="autoZero"/>
        <c:crossBetween val="midCat"/>
        <c:majorUnit val="10"/>
      </c:valAx>
      <c:valAx>
        <c:axId val="511319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13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1.0312132285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3.2638920003000003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1.0157095380666668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-0.45074889616666641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32800"/>
        <c:axId val="85134336"/>
      </c:scatterChart>
      <c:valAx>
        <c:axId val="851328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5134336"/>
        <c:crosses val="autoZero"/>
        <c:crossBetween val="midCat"/>
        <c:majorUnit val="10"/>
      </c:valAx>
      <c:valAx>
        <c:axId val="851343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5132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82.583537140600001</c:v>
                </c:pt>
                <c:pt idx="1">
                  <c:v>90.094031080700006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87.83501828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81184"/>
        <c:axId val="85182720"/>
      </c:scatterChart>
      <c:valAx>
        <c:axId val="8518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182720"/>
        <c:crosses val="autoZero"/>
        <c:crossBetween val="midCat"/>
      </c:valAx>
      <c:valAx>
        <c:axId val="8518272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18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90.827486618699993</c:v>
                </c:pt>
                <c:pt idx="1">
                  <c:v>88.336865634399999</c:v>
                </c:pt>
                <c:pt idx="2">
                  <c:v>94.506358906499997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90.185069954566657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1200"/>
        <c:axId val="124612992"/>
      </c:scatterChart>
      <c:valAx>
        <c:axId val="12461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12992"/>
        <c:crosses val="autoZero"/>
        <c:crossBetween val="midCat"/>
      </c:valAx>
      <c:valAx>
        <c:axId val="1246129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11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87.711985322800004</c:v>
                </c:pt>
                <c:pt idx="1">
                  <c:v>94.135265665299997</c:v>
                </c:pt>
                <c:pt idx="2">
                  <c:v>93.419029058299998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93.811355825266659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72864"/>
        <c:axId val="125974400"/>
      </c:scatterChart>
      <c:valAx>
        <c:axId val="12597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74400"/>
        <c:crosses val="autoZero"/>
        <c:crossBetween val="midCat"/>
      </c:valAx>
      <c:valAx>
        <c:axId val="1259744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72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93.879772752199997</c:v>
                </c:pt>
                <c:pt idx="1">
                  <c:v>95.181244672399998</c:v>
                </c:pt>
                <c:pt idx="2">
                  <c:v>90.018514263699998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92.738088925233342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000512"/>
        <c:axId val="126014592"/>
      </c:scatterChart>
      <c:valAx>
        <c:axId val="12600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014592"/>
        <c:crosses val="autoZero"/>
        <c:crossBetween val="midCat"/>
      </c:valAx>
      <c:valAx>
        <c:axId val="1260145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000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2.427945137</c:v>
                </c:pt>
                <c:pt idx="1">
                  <c:v>-8.2975900172999992</c:v>
                </c:pt>
                <c:pt idx="2">
                  <c:v>1.7412819861999997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5.9167194365999993</c:v>
                </c:pt>
                <c:pt idx="1">
                  <c:v>-1.0159835815</c:v>
                </c:pt>
                <c:pt idx="2">
                  <c:v>5.4521656035999992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-1.3761209646999999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3.4509671528999992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137472"/>
        <c:axId val="126139008"/>
      </c:scatterChart>
      <c:valAx>
        <c:axId val="1261374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139008"/>
        <c:crosses val="autoZero"/>
        <c:crossBetween val="midCat"/>
        <c:majorUnit val="10"/>
      </c:valAx>
      <c:valAx>
        <c:axId val="1261390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1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0.61800098420000005</c:v>
                </c:pt>
                <c:pt idx="1">
                  <c:v>-12.6140856743</c:v>
                </c:pt>
                <c:pt idx="2">
                  <c:v>-0.34005165099999957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2.9221343994</c:v>
                </c:pt>
                <c:pt idx="1">
                  <c:v>1.2309322357000001</c:v>
                </c:pt>
                <c:pt idx="2">
                  <c:v>1.8281655311999998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-4.1120454470333332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1.9937440554333332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179968"/>
        <c:axId val="126194048"/>
      </c:scatterChart>
      <c:valAx>
        <c:axId val="1261799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194048"/>
        <c:crosses val="autoZero"/>
        <c:crossBetween val="midCat"/>
        <c:majorUnit val="10"/>
      </c:valAx>
      <c:valAx>
        <c:axId val="1261940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17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2.1946363449000001</c:v>
                </c:pt>
                <c:pt idx="1">
                  <c:v>-7.8759684562999999</c:v>
                </c:pt>
                <c:pt idx="2">
                  <c:v>-6.0765756368999995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7.1980171203999994</c:v>
                </c:pt>
                <c:pt idx="1">
                  <c:v>2.9692120551999999</c:v>
                </c:pt>
                <c:pt idx="2">
                  <c:v>-2.0918489098999999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-3.9193025827666665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2.6917934218999999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2720"/>
        <c:axId val="126224256"/>
      </c:scatterChart>
      <c:valAx>
        <c:axId val="1262227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224256"/>
        <c:crosses val="autoZero"/>
        <c:crossBetween val="midCat"/>
        <c:majorUnit val="10"/>
      </c:valAx>
      <c:valAx>
        <c:axId val="1262242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22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-5.1206791996999996</c:v>
                </c:pt>
                <c:pt idx="1">
                  <c:v>-0.93774271010000021</c:v>
                </c:pt>
                <c:pt idx="2">
                  <c:v>1.3863534926999996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-4.6496324538999998</c:v>
                </c:pt>
                <c:pt idx="1">
                  <c:v>-3.6779178380999999</c:v>
                </c:pt>
                <c:pt idx="2">
                  <c:v>7.2798423766999996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-1.5573561390333335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-0.34923597176666671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85696"/>
        <c:axId val="126287232"/>
      </c:scatterChart>
      <c:valAx>
        <c:axId val="1262856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287232"/>
        <c:crosses val="autoZero"/>
        <c:crossBetween val="midCat"/>
        <c:majorUnit val="10"/>
      </c:valAx>
      <c:valAx>
        <c:axId val="1262872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285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D:\EVMS\TP\LOG\VSY841ZN9NBI_2022092310_D50_ON_OC.csv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D:\EVMS\TP\LOG\VSY841ZN9NBI_2022092310_FPDC_INFD_normal.csv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D:\EVMS\TP\LOG\VSY841ZN9NBI_2022092310_INFDMargin_IPQC.csv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D:\EVMS\TP\LOG\VSY841ZN9NBI_2022092310_VCM_MEASURE.csv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172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538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22cd19070358</v>
      </c>
      <c r="C34" s="44">
        <f>IPQC!S2+VLOOKUP($R$31,$AD$38:$AK$42,6,FALSE)+VLOOKUP('File location'!$B$1,'Tester offset'!$A$2:$D$4,2,FALSE)</f>
        <v>82.583537140600001</v>
      </c>
      <c r="D34" s="44">
        <f>IPQC!Z2+VLOOKUP($R$31,$AD$38:$AK$42,6,FALSE)</f>
        <v>65.519124210699999</v>
      </c>
      <c r="E34" s="44">
        <f>VCM!HU2-'Summary(3pcs)'!C34-'Summary(3pcs)'!$D$32</f>
        <v>165.12992499243791</v>
      </c>
      <c r="F34" s="90">
        <f>AVERAGEIF($A$34:$A$45,1,$C$34:$C$45)</f>
        <v>87.83501828</v>
      </c>
      <c r="G34" s="91">
        <f>AVERAGEIF($A$34:$A$45,1,$D$34:$D$45)</f>
        <v>68.181412167399998</v>
      </c>
      <c r="H34" s="91">
        <f>AVERAGEIF($A$34:$A$45,1,$E$34:$E$45)</f>
        <v>163.73975605970458</v>
      </c>
      <c r="I34" s="91">
        <f>85-F34</f>
        <v>-2.8350182799999999</v>
      </c>
      <c r="J34"/>
      <c r="K34" s="79">
        <f>T34</f>
        <v>1</v>
      </c>
      <c r="L34" s="80" t="str">
        <f>OC!J2</f>
        <v>22cd19070358</v>
      </c>
      <c r="M34" s="44">
        <f>OC!S2+VLOOKUP($R$31,$AD$38:$AK$42,4,FALSE)</f>
        <v>-5.2963874710000001</v>
      </c>
      <c r="N34" s="44">
        <f>OC!T2+VLOOKUP($R$31,$AD$38:$AK$42,5,FALSE)</f>
        <v>-0.9044558545000001</v>
      </c>
      <c r="O34" s="92">
        <f>AVERAGEIF($K$34:$K$45,1,$M$34:$M$45)</f>
        <v>-5.8323678433333335</v>
      </c>
      <c r="P34" s="92">
        <f>AVERAGEIF($K$34:$K$45,1,$N$34:$N$45)</f>
        <v>0.19682056333333323</v>
      </c>
      <c r="Q34" s="90">
        <f>P34*0.001</f>
        <v>1.9682056333333322E-4</v>
      </c>
      <c r="R34" s="90">
        <f>O34*0.001</f>
        <v>-5.8323678433333335E-3</v>
      </c>
      <c r="T34" s="79">
        <v>1</v>
      </c>
      <c r="U34" s="80" t="str">
        <f>FPDC!J2</f>
        <v>22cd19070358</v>
      </c>
      <c r="V34" s="75">
        <f>FPDC!R2+VLOOKUP($R$31,$AD$38:$AK$42,2,FALSE)+VLOOKUP($R$31,$AD$38:$AK$42,7,FALSE)+VLOOKUP('File location'!$B$1,'Tester offset'!$A$2:$D$4,3,FALSE)</f>
        <v>-5.1206791996999996</v>
      </c>
      <c r="W34" s="76">
        <f>FPDC!S2+VLOOKUP($R$31,$AD$38:$AK$42,3,FALSE)+VLOOKUP($R$31,$AD$38:$AK$42,8,FALSE)+VLOOKUP('File location'!$B$1,'Tester offset'!$A$2:$D$4,4,FALSE)</f>
        <v>-4.6496324538999998</v>
      </c>
      <c r="X34" s="92">
        <f>AVERAGEIF($T$34:$T$45,1,$V$34:$V$45)</f>
        <v>-1.5573561390333335</v>
      </c>
      <c r="Y34" s="92">
        <f>AVERAGEIF($T$34:$T$45,1,$W$34:$W$45)</f>
        <v>-0.34923597176666671</v>
      </c>
      <c r="Z34" s="90">
        <f>(X34*-0.01)/4</f>
        <v>3.8933903475833337E-3</v>
      </c>
      <c r="AA34" s="90">
        <f>(Y34*-0.01)/4</f>
        <v>8.7308992941666675E-4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22cd19080546</v>
      </c>
      <c r="C35" s="44">
        <f>IPQC!S3+VLOOKUP($R$31,$AD$38:$AK$42,6,FALSE)+VLOOKUP('File location'!$B$1,'Tester offset'!$A$2:$D$4,2,FALSE)</f>
        <v>90.094031080700006</v>
      </c>
      <c r="D35" s="44">
        <f>IPQC!Z3+VLOOKUP($R$31,$AD$38:$AK$42,6,FALSE)</f>
        <v>68.130973409800006</v>
      </c>
      <c r="E35" s="44">
        <f>VCM!HU3-'Summary(3pcs)'!C35-'Summary(3pcs)'!$D$32</f>
        <v>162.12579042403792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22cd19080546</v>
      </c>
      <c r="M35" s="44">
        <f>OC!S3+VLOOKUP($R$31,$AD$38:$AK$42,4,FALSE)</f>
        <v>-5.7932893577</v>
      </c>
      <c r="N35" s="44">
        <f>OC!T3+VLOOKUP($R$31,$AD$38:$AK$42,5,FALSE)</f>
        <v>-1.0478684491000001</v>
      </c>
      <c r="O35" s="92"/>
      <c r="P35" s="92"/>
      <c r="Q35" s="90"/>
      <c r="R35" s="90"/>
      <c r="T35" s="79">
        <v>1</v>
      </c>
      <c r="U35" s="80" t="str">
        <f>FPDC!J3</f>
        <v>22cd19080546</v>
      </c>
      <c r="V35" s="75">
        <f>FPDC!R3+VLOOKUP($R$31,$AD$38:$AK$42,2,FALSE)+VLOOKUP($R$31,$AD$38:$AK$42,7,FALSE)+VLOOKUP('File location'!$B$1,'Tester offset'!$A$2:$D$4,3,FALSE)</f>
        <v>-0.93774271010000021</v>
      </c>
      <c r="W35" s="76">
        <f>FPDC!S3+VLOOKUP($R$31,$AD$38:$AK$42,3,FALSE)+VLOOKUP($R$31,$AD$38:$AK$42,8,FALSE)+VLOOKUP('File location'!$B$1,'Tester offset'!$A$2:$D$4,4,FALSE)</f>
        <v>-3.6779178380999999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22cd19070628</v>
      </c>
      <c r="C36" s="44">
        <f>IPQC!S4+VLOOKUP($R$31,$AD$38:$AK$42,6,FALSE)+VLOOKUP('File location'!$B$1,'Tester offset'!$A$2:$D$4,2,FALSE)</f>
        <v>90.827486618699993</v>
      </c>
      <c r="D36" s="44">
        <f>IPQC!Z4+VLOOKUP($R$31,$AD$38:$AK$42,6,FALSE)</f>
        <v>70.894138881700002</v>
      </c>
      <c r="E36" s="44">
        <f>VCM!HU4-'Summary(3pcs)'!C36-'Summary(3pcs)'!$D$32</f>
        <v>163.9635527626379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22cd19070628</v>
      </c>
      <c r="M36" s="44">
        <f>OC!S4+VLOOKUP($R$31,$AD$38:$AK$42,4,FALSE)</f>
        <v>-6.4074267013000004</v>
      </c>
      <c r="N36" s="44">
        <f>OC!T4+VLOOKUP($R$31,$AD$38:$AK$42,5,FALSE)</f>
        <v>2.5427859935999999</v>
      </c>
      <c r="O36" s="92"/>
      <c r="P36" s="92"/>
      <c r="Q36" s="90"/>
      <c r="R36" s="90"/>
      <c r="T36" s="79">
        <v>1</v>
      </c>
      <c r="U36" s="80" t="str">
        <f>FPDC!J4</f>
        <v>22cd19070628</v>
      </c>
      <c r="V36" s="75">
        <f>FPDC!R4+VLOOKUP($R$31,$AD$38:$AK$42,2,FALSE)+VLOOKUP($R$31,$AD$38:$AK$42,7,FALSE)+VLOOKUP('File location'!$B$1,'Tester offset'!$A$2:$D$4,3,FALSE)</f>
        <v>1.3863534926999996</v>
      </c>
      <c r="W36" s="76">
        <f>FPDC!S4+VLOOKUP($R$31,$AD$38:$AK$42,3,FALSE)+VLOOKUP($R$31,$AD$38:$AK$42,8,FALSE)+VLOOKUP('File location'!$B$1,'Tester offset'!$A$2:$D$4,4,FALSE)</f>
        <v>7.2798423766999996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22cd19070691</v>
      </c>
      <c r="C37" s="44">
        <f>IPQC!S5+VLOOKUP($R$31,$AD$38:$AK$42,6,FALSE)+VLOOKUP('File location'!$B$1,'Tester offset'!$A$2:$D$4,2,FALSE)</f>
        <v>88.336865634399999</v>
      </c>
      <c r="D37" s="44">
        <f>IPQC!Z5+VLOOKUP($R$31,$AD$38:$AK$42,6,FALSE)</f>
        <v>71.176101553899997</v>
      </c>
      <c r="E37" s="44">
        <f>VCM!HU5-'Summary(3pcs)'!C37-'Summary(3pcs)'!$D$32</f>
        <v>155.76816358773789</v>
      </c>
      <c r="F37" s="90">
        <f>AVERAGEIF($A$34:$A$45,2,$C$34:$C$45)</f>
        <v>90.185069954566657</v>
      </c>
      <c r="G37" s="91">
        <f>AVERAGEIF($A$34:$A$45,2,$D$34:$D$45)</f>
        <v>70.561233680466671</v>
      </c>
      <c r="H37" s="91">
        <f>AVERAGEIF($A$34:$A$45,2,$E$34:$E$45)</f>
        <v>161.02901162357125</v>
      </c>
      <c r="I37" s="91">
        <f>85-F37</f>
        <v>-5.1850699545666572</v>
      </c>
      <c r="J37"/>
      <c r="K37" s="79">
        <f t="shared" si="1"/>
        <v>2</v>
      </c>
      <c r="L37" s="80" t="str">
        <f>OC!J5</f>
        <v>22cd19070691</v>
      </c>
      <c r="M37" s="44">
        <f>OC!S5+VLOOKUP($R$31,$AD$38:$AK$42,4,FALSE)</f>
        <v>5.4903890361999999</v>
      </c>
      <c r="N37" s="44">
        <f>OC!T5+VLOOKUP($R$31,$AD$38:$AK$42,5,FALSE)</f>
        <v>-2.7141661654</v>
      </c>
      <c r="O37" s="92">
        <f>AVERAGEIF($K$34:$K$45,2,$M$34:$M$45)</f>
        <v>1.6854487183666667</v>
      </c>
      <c r="P37" s="92">
        <f>AVERAGEIF($K$34:$K$45,2,$N$34:$N$45)</f>
        <v>-1.7784733152666667</v>
      </c>
      <c r="Q37" s="90">
        <f>P37*0.001</f>
        <v>-1.7784733152666668E-3</v>
      </c>
      <c r="R37" s="90">
        <f>O37*0.001</f>
        <v>1.6854487183666667E-3</v>
      </c>
      <c r="T37" s="79">
        <v>2</v>
      </c>
      <c r="U37" s="80" t="str">
        <f>FPDC!J5</f>
        <v>22cd19070691</v>
      </c>
      <c r="V37" s="75">
        <f>FPDC!R5+VLOOKUP($R$31,$AD$38:$AK$42,2,FALSE)+VLOOKUP($R$31,$AD$38:$AK$42,7,FALSE)+VLOOKUP('File location'!$B$1,'Tester offset'!$A$2:$D$4,3,FALSE)</f>
        <v>2.427945137</v>
      </c>
      <c r="W37" s="76">
        <f>FPDC!S5+VLOOKUP($R$31,$AD$38:$AK$42,3,FALSE)+VLOOKUP($R$31,$AD$38:$AK$42,8,FALSE)+VLOOKUP('File location'!$B$1,'Tester offset'!$A$2:$D$4,4,FALSE)</f>
        <v>5.9167194365999993</v>
      </c>
      <c r="X37" s="92">
        <f>AVERAGEIF($T$34:$T$45,2,$V$34:$V$45)</f>
        <v>-1.3761209646999999</v>
      </c>
      <c r="Y37" s="92">
        <f>AVERAGEIF($T$34:$T$45,2,$W$34:$W$45)</f>
        <v>3.4509671528999992</v>
      </c>
      <c r="Z37" s="90">
        <f>(X37*-0.01)/4</f>
        <v>3.4403024117499997E-3</v>
      </c>
      <c r="AA37" s="90">
        <f>(Y37*-0.01)/4</f>
        <v>-8.6274178822499988E-3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22cd19080673</v>
      </c>
      <c r="C38" s="44">
        <f>IPQC!S6+VLOOKUP($R$31,$AD$38:$AK$42,6,FALSE)+VLOOKUP('File location'!$B$1,'Tester offset'!$A$2:$D$4,2,FALSE)</f>
        <v>94.506358906499997</v>
      </c>
      <c r="D38" s="44">
        <f>IPQC!Z6+VLOOKUP($R$31,$AD$38:$AK$42,6,FALSE)</f>
        <v>74.442755165199998</v>
      </c>
      <c r="E38" s="44">
        <f>VCM!HU6-'Summary(3pcs)'!C38-'Summary(3pcs)'!$D$32</f>
        <v>158.14322145403793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22cd19080673</v>
      </c>
      <c r="M38" s="44">
        <f>OC!S6+VLOOKUP($R$31,$AD$38:$AK$42,4,FALSE)</f>
        <v>2.5928292118999998</v>
      </c>
      <c r="N38" s="44">
        <f>OC!T6+VLOOKUP($R$31,$AD$38:$AK$42,5,FALSE)</f>
        <v>2.0274251812999999</v>
      </c>
      <c r="O38" s="92"/>
      <c r="P38" s="92"/>
      <c r="Q38" s="90"/>
      <c r="R38" s="90"/>
      <c r="T38" s="79">
        <v>2</v>
      </c>
      <c r="U38" s="80" t="str">
        <f>FPDC!J6</f>
        <v>22cd19080673</v>
      </c>
      <c r="V38" s="75">
        <f>FPDC!R6+VLOOKUP($R$31,$AD$38:$AK$42,2,FALSE)+VLOOKUP($R$31,$AD$38:$AK$42,7,FALSE)+VLOOKUP('File location'!$B$1,'Tester offset'!$A$2:$D$4,3,FALSE)</f>
        <v>-8.2975900172999992</v>
      </c>
      <c r="W38" s="76">
        <f>FPDC!S6+VLOOKUP($R$31,$AD$38:$AK$42,3,FALSE)+VLOOKUP($R$31,$AD$38:$AK$42,8,FALSE)+VLOOKUP('File location'!$B$1,'Tester offset'!$A$2:$D$4,4,FALSE)</f>
        <v>-1.0159835815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22cd19070386</v>
      </c>
      <c r="C39" s="44">
        <f>IPQC!S7+VLOOKUP($R$31,$AD$38:$AK$42,6,FALSE)+VLOOKUP('File location'!$B$1,'Tester offset'!$A$2:$D$4,2,FALSE)</f>
        <v>87.711985322800004</v>
      </c>
      <c r="D39" s="44">
        <f>IPQC!Z7+VLOOKUP($R$31,$AD$38:$AK$42,6,FALSE)</f>
        <v>66.064844322300004</v>
      </c>
      <c r="E39" s="44">
        <f>VCM!HU7-'Summary(3pcs)'!C39-'Summary(3pcs)'!$D$32</f>
        <v>169.17564982893794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22cd19070386</v>
      </c>
      <c r="M39" s="44">
        <f>OC!S7+VLOOKUP($R$31,$AD$38:$AK$42,4,FALSE)</f>
        <v>-3.0268720930000002</v>
      </c>
      <c r="N39" s="44">
        <f>OC!T7+VLOOKUP($R$31,$AD$38:$AK$42,5,FALSE)</f>
        <v>-4.6486789616999999</v>
      </c>
      <c r="O39" s="92"/>
      <c r="P39" s="92"/>
      <c r="Q39" s="90"/>
      <c r="R39" s="90"/>
      <c r="T39" s="79">
        <v>2</v>
      </c>
      <c r="U39" s="80" t="str">
        <f>FPDC!J7</f>
        <v>22cd19070386</v>
      </c>
      <c r="V39" s="75">
        <f>FPDC!R7+VLOOKUP($R$31,$AD$38:$AK$42,2,FALSE)+VLOOKUP($R$31,$AD$38:$AK$42,7,FALSE)+VLOOKUP('File location'!$B$1,'Tester offset'!$A$2:$D$4,3,FALSE)</f>
        <v>1.7412819861999997</v>
      </c>
      <c r="W39" s="76">
        <f>FPDC!S7+VLOOKUP($R$31,$AD$38:$AK$42,3,FALSE)+VLOOKUP($R$31,$AD$38:$AK$42,8,FALSE)+VLOOKUP('File location'!$B$1,'Tester offset'!$A$2:$D$4,4,FALSE)</f>
        <v>5.4521656035999992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22cd19070274</v>
      </c>
      <c r="C40" s="44">
        <f>IPQC!S8+VLOOKUP($R$31,$AD$38:$AK$42,6,FALSE)+VLOOKUP('File location'!$B$1,'Tester offset'!$A$2:$D$4,2,FALSE)</f>
        <v>94.135265665299997</v>
      </c>
      <c r="D40" s="44">
        <f>IPQC!Z8+VLOOKUP($R$31,$AD$38:$AK$42,6,FALSE)</f>
        <v>78.252919055600003</v>
      </c>
      <c r="E40" s="44">
        <f>VCM!HU8-'Summary(3pcs)'!C40-'Summary(3pcs)'!$D$32</f>
        <v>164.12641884173792</v>
      </c>
      <c r="F40" s="90">
        <f>AVERAGEIF($A$34:$A$45,3,$C$34:$C$45)</f>
        <v>93.811355825266659</v>
      </c>
      <c r="G40" s="91">
        <f>AVERAGEIF($A$34:$A$45,3,$D$34:$D$45)</f>
        <v>76.032757001933348</v>
      </c>
      <c r="H40" s="91">
        <f>AVERAGEIF($A$34:$A$45,3,$E$34:$E$45)</f>
        <v>159.11018969907124</v>
      </c>
      <c r="I40" s="91">
        <f>85-F40</f>
        <v>-8.8113558252666593</v>
      </c>
      <c r="J40"/>
      <c r="K40" s="79">
        <f t="shared" si="1"/>
        <v>3</v>
      </c>
      <c r="L40" s="80" t="str">
        <f>OC!J8</f>
        <v>22cd19070274</v>
      </c>
      <c r="M40" s="44">
        <f>OC!S8+VLOOKUP($R$31,$AD$38:$AK$42,4,FALSE)</f>
        <v>5.2983220257000001</v>
      </c>
      <c r="N40" s="44">
        <f>OC!T8+VLOOKUP($R$31,$AD$38:$AK$42,5,FALSE)</f>
        <v>6.4016822035000001</v>
      </c>
      <c r="O40" s="92">
        <f>AVERAGEIF($K$34:$K$45,3,$M$34:$M$45)</f>
        <v>3.3140908646666669</v>
      </c>
      <c r="P40" s="92">
        <f>AVERAGEIF($K$34:$K$45,3,$N$34:$N$45)</f>
        <v>7.1729071801000002</v>
      </c>
      <c r="Q40" s="90">
        <f>P40*0.001</f>
        <v>7.1729071801000001E-3</v>
      </c>
      <c r="R40" s="90">
        <f>O40*0.001</f>
        <v>3.3140908646666668E-3</v>
      </c>
      <c r="T40" s="79">
        <v>3</v>
      </c>
      <c r="U40" s="80" t="str">
        <f>FPDC!J8</f>
        <v>22cd19070274</v>
      </c>
      <c r="V40" s="75">
        <f>FPDC!R8+VLOOKUP($R$31,$AD$38:$AK$42,2,FALSE)+VLOOKUP($R$31,$AD$38:$AK$42,7,FALSE)+VLOOKUP('File location'!$B$1,'Tester offset'!$A$2:$D$4,3,FALSE)</f>
        <v>0.61800098420000005</v>
      </c>
      <c r="W40" s="76">
        <f>FPDC!S8+VLOOKUP($R$31,$AD$38:$AK$42,3,FALSE)+VLOOKUP($R$31,$AD$38:$AK$42,8,FALSE)+VLOOKUP('File location'!$B$1,'Tester offset'!$A$2:$D$4,4,FALSE)</f>
        <v>2.9221343994</v>
      </c>
      <c r="X40" s="92">
        <f>AVERAGEIF($T$34:$T$45,3,$V$34:$V$45)</f>
        <v>-4.1120454470333332</v>
      </c>
      <c r="Y40" s="92">
        <f>AVERAGEIF($T$34:$T$45,3,$W$34:$W$45)</f>
        <v>1.9937440554333332</v>
      </c>
      <c r="Z40" s="90">
        <f>(X40*-0.01)/4</f>
        <v>1.0280113617583334E-2</v>
      </c>
      <c r="AA40" s="90">
        <f>(Y40*-0.01)/4</f>
        <v>-4.9843601385833334E-3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22cd19080665</v>
      </c>
      <c r="C41" s="44">
        <f>IPQC!S9+VLOOKUP($R$31,$AD$38:$AK$42,6,FALSE)+VLOOKUP('File location'!$B$1,'Tester offset'!$A$2:$D$4,2,FALSE)</f>
        <v>93.419029058299998</v>
      </c>
      <c r="D41" s="44">
        <f>IPQC!Z9+VLOOKUP($R$31,$AD$38:$AK$42,6,FALSE)</f>
        <v>76.153096911800006</v>
      </c>
      <c r="E41" s="44">
        <f>VCM!HU9-'Summary(3pcs)'!C41-'Summary(3pcs)'!$D$32</f>
        <v>155.82027835393791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22cd19080665</v>
      </c>
      <c r="M41" s="44">
        <f>OC!S9+VLOOKUP($R$31,$AD$38:$AK$42,4,FALSE)</f>
        <v>2.9370890675000001</v>
      </c>
      <c r="N41" s="44">
        <f>OC!T9+VLOOKUP($R$31,$AD$38:$AK$42,5,FALSE)</f>
        <v>8.9321977258</v>
      </c>
      <c r="O41" s="92"/>
      <c r="P41" s="92"/>
      <c r="Q41" s="90"/>
      <c r="R41" s="90"/>
      <c r="T41" s="79">
        <v>3</v>
      </c>
      <c r="U41" s="80" t="str">
        <f>FPDC!J9</f>
        <v>22cd19080665</v>
      </c>
      <c r="V41" s="75">
        <f>FPDC!R9+VLOOKUP($R$31,$AD$38:$AK$42,2,FALSE)+VLOOKUP($R$31,$AD$38:$AK$42,7,FALSE)+VLOOKUP('File location'!$B$1,'Tester offset'!$A$2:$D$4,3,FALSE)</f>
        <v>-12.6140856743</v>
      </c>
      <c r="W41" s="76">
        <f>FPDC!S9+VLOOKUP($R$31,$AD$38:$AK$42,3,FALSE)+VLOOKUP($R$31,$AD$38:$AK$42,8,FALSE)+VLOOKUP('File location'!$B$1,'Tester offset'!$A$2:$D$4,4,FALSE)</f>
        <v>1.2309322357000001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22cd19080038</v>
      </c>
      <c r="C42" s="44">
        <f>IPQC!S10+VLOOKUP($R$31,$AD$38:$AK$42,6,FALSE)+VLOOKUP('File location'!$B$1,'Tester offset'!$A$2:$D$4,2,FALSE)</f>
        <v>93.879772752199997</v>
      </c>
      <c r="D42" s="44">
        <f>IPQC!Z10+VLOOKUP($R$31,$AD$38:$AK$42,6,FALSE)</f>
        <v>73.692255038400006</v>
      </c>
      <c r="E42" s="44">
        <f>VCM!HU10-'Summary(3pcs)'!C42-'Summary(3pcs)'!$D$32</f>
        <v>157.38387190153793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22cd19080038</v>
      </c>
      <c r="M42" s="44">
        <f>OC!S10+VLOOKUP($R$31,$AD$38:$AK$42,4,FALSE)</f>
        <v>1.7068615008000001</v>
      </c>
      <c r="N42" s="44">
        <f>OC!T10+VLOOKUP($R$31,$AD$38:$AK$42,5,FALSE)</f>
        <v>6.1848416109999995</v>
      </c>
      <c r="O42" s="92"/>
      <c r="P42" s="92"/>
      <c r="Q42" s="90"/>
      <c r="R42" s="90"/>
      <c r="T42" s="79">
        <v>3</v>
      </c>
      <c r="U42" s="80" t="str">
        <f>FPDC!J10</f>
        <v>22cd19080038</v>
      </c>
      <c r="V42" s="75">
        <f>FPDC!R10+VLOOKUP($R$31,$AD$38:$AK$42,2,FALSE)+VLOOKUP($R$31,$AD$38:$AK$42,7,FALSE)+VLOOKUP('File location'!$B$1,'Tester offset'!$A$2:$D$4,3,FALSE)</f>
        <v>-0.34005165099999957</v>
      </c>
      <c r="W42" s="76">
        <f>FPDC!S10+VLOOKUP($R$31,$AD$38:$AK$42,3,FALSE)+VLOOKUP($R$31,$AD$38:$AK$42,8,FALSE)+VLOOKUP('File location'!$B$1,'Tester offset'!$A$2:$D$4,4,FALSE)</f>
        <v>1.8281655311999998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22cd19070720</v>
      </c>
      <c r="C43" s="44">
        <f>IPQC!S11+VLOOKUP($R$31,$AD$38:$AK$42,6,FALSE)+VLOOKUP('File location'!$B$1,'Tester offset'!$A$2:$D$4,2,FALSE)</f>
        <v>95.181244672399998</v>
      </c>
      <c r="D43" s="44">
        <f>IPQC!Z11+VLOOKUP($R$31,$AD$38:$AK$42,6,FALSE)</f>
        <v>72.022234792399999</v>
      </c>
      <c r="E43" s="44">
        <f>VCM!HU11-'Summary(3pcs)'!C43-'Summary(3pcs)'!$D$32</f>
        <v>163.60331082103789</v>
      </c>
      <c r="F43" s="90">
        <f>AVERAGEIF($A$34:$A$45,4,$C$34:$C$45)</f>
        <v>92.738088925233342</v>
      </c>
      <c r="G43" s="91">
        <f>AVERAGEIF($A$34:$A$45,4,$D$34:$D$45)</f>
        <v>73.398866977133324</v>
      </c>
      <c r="H43" s="91">
        <f>AVERAGEIF($A$34:$A$45,4,$E$34:$E$45)</f>
        <v>160.5779133029379</v>
      </c>
      <c r="I43" s="91">
        <f>85-F43</f>
        <v>-7.7380889252333418</v>
      </c>
      <c r="J43"/>
      <c r="K43" s="79">
        <f t="shared" si="1"/>
        <v>4</v>
      </c>
      <c r="L43" s="80" t="str">
        <f>OC!J11</f>
        <v>22cd19070720</v>
      </c>
      <c r="M43" s="44">
        <f>OC!S11+VLOOKUP($R$31,$AD$38:$AK$42,4,FALSE)</f>
        <v>1.4332914328999999</v>
      </c>
      <c r="N43" s="44">
        <f>OC!T11+VLOOKUP($R$31,$AD$38:$AK$42,5,FALSE)</f>
        <v>-4.2961387609999999</v>
      </c>
      <c r="O43" s="92">
        <f>AVERAGEIF($K$34:$K$45,4,$M$34:$M$45)</f>
        <v>1.0157095380666668</v>
      </c>
      <c r="P43" s="92">
        <f>AVERAGEIF($K$34:$K$45,4,$N$34:$N$45)</f>
        <v>-0.45074889616666641</v>
      </c>
      <c r="Q43" s="90">
        <f>P43*0.001</f>
        <v>-4.5074889616666643E-4</v>
      </c>
      <c r="R43" s="90">
        <f>O43*0.001</f>
        <v>1.0157095380666668E-3</v>
      </c>
      <c r="T43" s="79">
        <v>4</v>
      </c>
      <c r="U43" s="80" t="str">
        <f>FPDC!J11</f>
        <v>22cd19070720</v>
      </c>
      <c r="V43" s="75">
        <f>FPDC!R11+VLOOKUP($R$31,$AD$38:$AK$42,2,FALSE)+VLOOKUP($R$31,$AD$38:$AK$42,7,FALSE)+VLOOKUP('File location'!$B$1,'Tester offset'!$A$2:$D$4,3,FALSE)</f>
        <v>2.1946363449000001</v>
      </c>
      <c r="W43" s="76">
        <f>FPDC!S11+VLOOKUP($R$31,$AD$38:$AK$42,3,FALSE)+VLOOKUP($R$31,$AD$38:$AK$42,8,FALSE)+VLOOKUP('File location'!$B$1,'Tester offset'!$A$2:$D$4,4,FALSE)</f>
        <v>7.1980171203999994</v>
      </c>
      <c r="X43" s="92">
        <f>AVERAGEIF($T$34:$T$45,4,$V$34:$V$45)</f>
        <v>-3.9193025827666665</v>
      </c>
      <c r="Y43" s="92">
        <f>AVERAGEIF($T$34:$T$45,4,$W$34:$W$45)</f>
        <v>2.6917934218999999</v>
      </c>
      <c r="Z43" s="90">
        <f>(X43*-0.01)/4</f>
        <v>9.7982564569166659E-3</v>
      </c>
      <c r="AA43" s="90">
        <f>(Y43*-0.01)/4</f>
        <v>-6.7294835547499999E-3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22cd19080282</v>
      </c>
      <c r="C44" s="44">
        <f>IPQC!S12+VLOOKUP($R$31,$AD$38:$AK$42,6,FALSE)+VLOOKUP('File location'!$B$1,'Tester offset'!$A$2:$D$4,2,FALSE)</f>
        <v>90.018514263699998</v>
      </c>
      <c r="D44" s="44">
        <f>IPQC!Z12+VLOOKUP($R$31,$AD$38:$AK$42,6,FALSE)</f>
        <v>75.866234795599993</v>
      </c>
      <c r="E44" s="44">
        <f>VCM!HU12-'Summary(3pcs)'!C44-'Summary(3pcs)'!$D$32</f>
        <v>159.26915241983789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22cd19080282</v>
      </c>
      <c r="M44" s="44">
        <f>OC!S12+VLOOKUP($R$31,$AD$38:$AK$42,4,FALSE)</f>
        <v>0.58262395280000001</v>
      </c>
      <c r="N44" s="44">
        <f>OC!T12+VLOOKUP($R$31,$AD$38:$AK$42,5,FALSE)</f>
        <v>-0.31999992779999964</v>
      </c>
      <c r="O44" s="92"/>
      <c r="P44" s="92"/>
      <c r="Q44" s="90"/>
      <c r="R44" s="90"/>
      <c r="T44" s="79">
        <v>4</v>
      </c>
      <c r="U44" s="80" t="str">
        <f>FPDC!J12</f>
        <v>22cd19080282</v>
      </c>
      <c r="V44" s="75">
        <f>FPDC!R12+VLOOKUP($R$31,$AD$38:$AK$42,2,FALSE)+VLOOKUP($R$31,$AD$38:$AK$42,7,FALSE)+VLOOKUP('File location'!$B$1,'Tester offset'!$A$2:$D$4,3,FALSE)</f>
        <v>-7.8759684562999999</v>
      </c>
      <c r="W44" s="76">
        <f>FPDC!S12+VLOOKUP($R$31,$AD$38:$AK$42,3,FALSE)+VLOOKUP($R$31,$AD$38:$AK$42,8,FALSE)+VLOOKUP('File location'!$B$1,'Tester offset'!$A$2:$D$4,4,FALSE)</f>
        <v>2.9692120551999999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22cd19070658</v>
      </c>
      <c r="C45" s="44">
        <f>IPQC!S13+VLOOKUP($R$31,$AD$38:$AK$42,6,FALSE)+VLOOKUP('File location'!$B$1,'Tester offset'!$A$2:$D$4,2,FALSE)</f>
        <v>93.0145078396</v>
      </c>
      <c r="D45" s="44">
        <f>IPQC!Z13+VLOOKUP($R$31,$AD$38:$AK$42,6,FALSE)</f>
        <v>72.308131343400007</v>
      </c>
      <c r="E45" s="44">
        <f>VCM!HU13-'Summary(3pcs)'!C45-'Summary(3pcs)'!$D$32</f>
        <v>158.86127666793789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22cd19070658</v>
      </c>
      <c r="M45" s="44">
        <f>OC!S13+VLOOKUP($R$31,$AD$38:$AK$42,4,FALSE)</f>
        <v>1.0312132285</v>
      </c>
      <c r="N45" s="44">
        <f>OC!T13+VLOOKUP($R$31,$AD$38:$AK$42,5,FALSE)</f>
        <v>3.2638920003000003</v>
      </c>
      <c r="O45" s="92"/>
      <c r="P45" s="92"/>
      <c r="Q45" s="90"/>
      <c r="R45" s="90"/>
      <c r="T45" s="79">
        <v>4</v>
      </c>
      <c r="U45" s="80" t="str">
        <f>FPDC!J13</f>
        <v>22cd19070658</v>
      </c>
      <c r="V45" s="75">
        <f>FPDC!R13+VLOOKUP($R$31,$AD$38:$AK$42,2,FALSE)+VLOOKUP($R$31,$AD$38:$AK$42,7,FALSE)+VLOOKUP('File location'!$B$1,'Tester offset'!$A$2:$D$4,3,FALSE)</f>
        <v>-6.0765756368999995</v>
      </c>
      <c r="W45" s="76">
        <f>FPDC!S13+VLOOKUP($R$31,$AD$38:$AK$42,3,FALSE)+VLOOKUP($R$31,$AD$38:$AK$42,8,FALSE)+VLOOKUP('File location'!$B$1,'Tester offset'!$A$2:$D$4,4,FALSE)</f>
        <v>-2.0918489098999999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82.583537140600001</v>
      </c>
      <c r="L54" s="49">
        <f t="shared" ref="L54:L65" si="4">D34</f>
        <v>65.519124210699999</v>
      </c>
      <c r="M54" s="49">
        <f t="shared" ref="M54:M65" si="5">E34</f>
        <v>165.12992499243791</v>
      </c>
      <c r="N54" s="49">
        <f t="shared" ref="N54:O65" si="6">M34</f>
        <v>-5.2963874710000001</v>
      </c>
      <c r="O54" s="49">
        <f t="shared" si="6"/>
        <v>-0.9044558545000001</v>
      </c>
      <c r="P54" s="49">
        <f t="shared" ref="P54:P65" si="7">V34</f>
        <v>-5.1206791996999996</v>
      </c>
      <c r="Q54" s="50">
        <f t="shared" ref="Q54:Q65" si="8">W34</f>
        <v>-4.6496324538999998</v>
      </c>
    </row>
    <row r="55" spans="6:27" ht="19.5">
      <c r="I55" s="47">
        <f t="shared" si="2"/>
        <v>1</v>
      </c>
      <c r="J55" s="46"/>
      <c r="K55" s="51">
        <f t="shared" si="3"/>
        <v>90.094031080700006</v>
      </c>
      <c r="L55" s="52">
        <f t="shared" si="4"/>
        <v>68.130973409800006</v>
      </c>
      <c r="M55" s="52">
        <f t="shared" si="5"/>
        <v>162.12579042403792</v>
      </c>
      <c r="N55" s="52">
        <f t="shared" si="6"/>
        <v>-5.7932893577</v>
      </c>
      <c r="O55" s="52">
        <f t="shared" si="6"/>
        <v>-1.0478684491000001</v>
      </c>
      <c r="P55" s="52">
        <f t="shared" si="7"/>
        <v>-0.93774271010000021</v>
      </c>
      <c r="Q55" s="53">
        <f t="shared" si="8"/>
        <v>-3.6779178380999999</v>
      </c>
    </row>
    <row r="56" spans="6:27" ht="19.5">
      <c r="I56" s="47">
        <f t="shared" si="2"/>
        <v>1</v>
      </c>
      <c r="J56" s="46"/>
      <c r="K56" s="54">
        <f t="shared" si="3"/>
        <v>90.827486618699993</v>
      </c>
      <c r="L56" s="55">
        <f t="shared" si="4"/>
        <v>70.894138881700002</v>
      </c>
      <c r="M56" s="55">
        <f t="shared" si="5"/>
        <v>163.9635527626379</v>
      </c>
      <c r="N56" s="55">
        <f t="shared" si="6"/>
        <v>-6.4074267013000004</v>
      </c>
      <c r="O56" s="55">
        <f t="shared" si="6"/>
        <v>2.5427859935999999</v>
      </c>
      <c r="P56" s="55">
        <f t="shared" si="7"/>
        <v>1.3863534926999996</v>
      </c>
      <c r="Q56" s="56">
        <f t="shared" si="8"/>
        <v>7.2798423766999996</v>
      </c>
    </row>
    <row r="57" spans="6:27" ht="19.5">
      <c r="I57" s="47">
        <f t="shared" si="2"/>
        <v>2</v>
      </c>
      <c r="J57" s="46"/>
      <c r="K57" s="57">
        <f t="shared" si="3"/>
        <v>88.336865634399999</v>
      </c>
      <c r="L57" s="58">
        <f t="shared" si="4"/>
        <v>71.176101553899997</v>
      </c>
      <c r="M57" s="58">
        <f t="shared" si="5"/>
        <v>155.76816358773789</v>
      </c>
      <c r="N57" s="58">
        <f t="shared" si="6"/>
        <v>5.4903890361999999</v>
      </c>
      <c r="O57" s="58">
        <f t="shared" si="6"/>
        <v>-2.7141661654</v>
      </c>
      <c r="P57" s="58">
        <f t="shared" si="7"/>
        <v>2.427945137</v>
      </c>
      <c r="Q57" s="59">
        <f t="shared" si="8"/>
        <v>5.9167194365999993</v>
      </c>
    </row>
    <row r="58" spans="6:27" ht="19.5">
      <c r="I58" s="47">
        <f t="shared" si="2"/>
        <v>2</v>
      </c>
      <c r="J58" s="46"/>
      <c r="K58" s="57">
        <f t="shared" si="3"/>
        <v>94.506358906499997</v>
      </c>
      <c r="L58" s="58">
        <f t="shared" si="4"/>
        <v>74.442755165199998</v>
      </c>
      <c r="M58" s="58">
        <f t="shared" si="5"/>
        <v>158.14322145403793</v>
      </c>
      <c r="N58" s="58">
        <f t="shared" si="6"/>
        <v>2.5928292118999998</v>
      </c>
      <c r="O58" s="58">
        <f t="shared" si="6"/>
        <v>2.0274251812999999</v>
      </c>
      <c r="P58" s="58">
        <f t="shared" si="7"/>
        <v>-8.2975900172999992</v>
      </c>
      <c r="Q58" s="59">
        <f t="shared" si="8"/>
        <v>-1.0159835815</v>
      </c>
    </row>
    <row r="59" spans="6:27" ht="19.5">
      <c r="I59" s="47">
        <f t="shared" si="2"/>
        <v>2</v>
      </c>
      <c r="J59" s="46"/>
      <c r="K59" s="57">
        <f t="shared" si="3"/>
        <v>87.711985322800004</v>
      </c>
      <c r="L59" s="58">
        <f t="shared" si="4"/>
        <v>66.064844322300004</v>
      </c>
      <c r="M59" s="58">
        <f t="shared" si="5"/>
        <v>169.17564982893794</v>
      </c>
      <c r="N59" s="58">
        <f t="shared" si="6"/>
        <v>-3.0268720930000002</v>
      </c>
      <c r="O59" s="58">
        <f t="shared" si="6"/>
        <v>-4.6486789616999999</v>
      </c>
      <c r="P59" s="58">
        <f t="shared" si="7"/>
        <v>1.7412819861999997</v>
      </c>
      <c r="Q59" s="59">
        <f t="shared" si="8"/>
        <v>5.4521656035999992</v>
      </c>
    </row>
    <row r="60" spans="6:27" ht="19.5">
      <c r="I60" s="47">
        <f t="shared" si="2"/>
        <v>3</v>
      </c>
      <c r="J60" s="46"/>
      <c r="K60" s="60">
        <f t="shared" si="3"/>
        <v>94.135265665299997</v>
      </c>
      <c r="L60" s="61">
        <f t="shared" si="4"/>
        <v>78.252919055600003</v>
      </c>
      <c r="M60" s="61">
        <f t="shared" si="5"/>
        <v>164.12641884173792</v>
      </c>
      <c r="N60" s="61">
        <f t="shared" si="6"/>
        <v>5.2983220257000001</v>
      </c>
      <c r="O60" s="61">
        <f t="shared" si="6"/>
        <v>6.4016822035000001</v>
      </c>
      <c r="P60" s="61">
        <f t="shared" si="7"/>
        <v>0.61800098420000005</v>
      </c>
      <c r="Q60" s="62">
        <f t="shared" si="8"/>
        <v>2.9221343994</v>
      </c>
    </row>
    <row r="61" spans="6:27" ht="19.5">
      <c r="I61" s="47">
        <f t="shared" si="2"/>
        <v>3</v>
      </c>
      <c r="J61" s="46"/>
      <c r="K61" s="63">
        <f t="shared" si="3"/>
        <v>93.419029058299998</v>
      </c>
      <c r="L61" s="64">
        <f t="shared" si="4"/>
        <v>76.153096911800006</v>
      </c>
      <c r="M61" s="64">
        <f t="shared" si="5"/>
        <v>155.82027835393791</v>
      </c>
      <c r="N61" s="64">
        <f t="shared" si="6"/>
        <v>2.9370890675000001</v>
      </c>
      <c r="O61" s="64">
        <f t="shared" si="6"/>
        <v>8.9321977258</v>
      </c>
      <c r="P61" s="64">
        <f t="shared" si="7"/>
        <v>-12.6140856743</v>
      </c>
      <c r="Q61" s="65">
        <f t="shared" si="8"/>
        <v>1.2309322357000001</v>
      </c>
    </row>
    <row r="62" spans="6:27" ht="19.5">
      <c r="I62" s="47">
        <f t="shared" si="2"/>
        <v>3</v>
      </c>
      <c r="J62" s="46"/>
      <c r="K62" s="66">
        <f t="shared" si="3"/>
        <v>93.879772752199997</v>
      </c>
      <c r="L62" s="67">
        <f t="shared" si="4"/>
        <v>73.692255038400006</v>
      </c>
      <c r="M62" s="67">
        <f t="shared" si="5"/>
        <v>157.38387190153793</v>
      </c>
      <c r="N62" s="67">
        <f t="shared" si="6"/>
        <v>1.7068615008000001</v>
      </c>
      <c r="O62" s="67">
        <f t="shared" si="6"/>
        <v>6.1848416109999995</v>
      </c>
      <c r="P62" s="67">
        <f t="shared" si="7"/>
        <v>-0.34005165099999957</v>
      </c>
      <c r="Q62" s="68">
        <f t="shared" si="8"/>
        <v>1.8281655311999998</v>
      </c>
    </row>
    <row r="63" spans="6:27" ht="19.5">
      <c r="I63" s="47">
        <f t="shared" si="2"/>
        <v>4</v>
      </c>
      <c r="J63" s="46"/>
      <c r="K63" s="57">
        <f t="shared" si="3"/>
        <v>95.181244672399998</v>
      </c>
      <c r="L63" s="58">
        <f t="shared" si="4"/>
        <v>72.022234792399999</v>
      </c>
      <c r="M63" s="58">
        <f t="shared" si="5"/>
        <v>163.60331082103789</v>
      </c>
      <c r="N63" s="58">
        <f t="shared" si="6"/>
        <v>1.4332914328999999</v>
      </c>
      <c r="O63" s="58">
        <f t="shared" si="6"/>
        <v>-4.2961387609999999</v>
      </c>
      <c r="P63" s="58">
        <f t="shared" si="7"/>
        <v>2.1946363449000001</v>
      </c>
      <c r="Q63" s="59">
        <f t="shared" si="8"/>
        <v>7.1980171203999994</v>
      </c>
    </row>
    <row r="64" spans="6:27" ht="19.5">
      <c r="I64" s="47">
        <f t="shared" si="2"/>
        <v>4</v>
      </c>
      <c r="J64" s="46"/>
      <c r="K64" s="57">
        <f t="shared" si="3"/>
        <v>90.018514263699998</v>
      </c>
      <c r="L64" s="58">
        <f t="shared" si="4"/>
        <v>75.866234795599993</v>
      </c>
      <c r="M64" s="58">
        <f t="shared" si="5"/>
        <v>159.26915241983789</v>
      </c>
      <c r="N64" s="58">
        <f t="shared" si="6"/>
        <v>0.58262395280000001</v>
      </c>
      <c r="O64" s="58">
        <f t="shared" si="6"/>
        <v>-0.31999992779999964</v>
      </c>
      <c r="P64" s="58">
        <f t="shared" si="7"/>
        <v>-7.8759684562999999</v>
      </c>
      <c r="Q64" s="59">
        <f t="shared" si="8"/>
        <v>2.9692120551999999</v>
      </c>
    </row>
    <row r="65" spans="9:17" ht="20.25" thickBot="1">
      <c r="I65" s="47">
        <f t="shared" si="2"/>
        <v>4</v>
      </c>
      <c r="J65" s="46"/>
      <c r="K65" s="69">
        <f t="shared" si="3"/>
        <v>93.0145078396</v>
      </c>
      <c r="L65" s="70">
        <f t="shared" si="4"/>
        <v>72.308131343400007</v>
      </c>
      <c r="M65" s="70">
        <f t="shared" si="5"/>
        <v>158.86127666793789</v>
      </c>
      <c r="N65" s="70">
        <f t="shared" si="6"/>
        <v>1.0312132285</v>
      </c>
      <c r="O65" s="70">
        <f t="shared" si="6"/>
        <v>3.2638920003000003</v>
      </c>
      <c r="P65" s="70">
        <f t="shared" si="7"/>
        <v>-6.0765756368999995</v>
      </c>
      <c r="Q65" s="71">
        <f t="shared" si="8"/>
        <v>-2.0918489098999999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</row>
    <row r="2" spans="1:36">
      <c r="A2" t="s">
        <v>209</v>
      </c>
      <c r="B2" t="s">
        <v>210</v>
      </c>
      <c r="C2" t="s">
        <v>211</v>
      </c>
      <c r="D2">
        <v>3</v>
      </c>
      <c r="E2" t="s">
        <v>212</v>
      </c>
      <c r="F2" t="s">
        <v>213</v>
      </c>
      <c r="G2" t="s">
        <v>214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2107.2036125290001</v>
      </c>
      <c r="R2">
        <v>1517.4044558544999</v>
      </c>
      <c r="S2">
        <v>-5.2963874710000001</v>
      </c>
      <c r="T2">
        <v>-4.9044558545000001</v>
      </c>
      <c r="U2">
        <v>7.2184075439999997</v>
      </c>
      <c r="V2">
        <v>734.94090000000006</v>
      </c>
      <c r="W2">
        <v>391.86</v>
      </c>
      <c r="X2">
        <v>391.85730000000001</v>
      </c>
      <c r="Y2">
        <v>392.53219999999999</v>
      </c>
      <c r="Z2">
        <v>388.4864</v>
      </c>
      <c r="AA2">
        <v>563.06243749999999</v>
      </c>
      <c r="AB2" t="s">
        <v>221</v>
      </c>
      <c r="AC2" t="s">
        <v>222</v>
      </c>
      <c r="AD2" t="s">
        <v>223</v>
      </c>
      <c r="AE2" t="s">
        <v>224</v>
      </c>
      <c r="AF2" t="s">
        <v>225</v>
      </c>
      <c r="AG2">
        <v>7</v>
      </c>
      <c r="AH2" t="s">
        <v>226</v>
      </c>
      <c r="AJ2">
        <v>1</v>
      </c>
    </row>
    <row r="3" spans="1:36">
      <c r="A3" t="s">
        <v>539</v>
      </c>
      <c r="B3" t="s">
        <v>540</v>
      </c>
      <c r="C3" t="s">
        <v>211</v>
      </c>
      <c r="D3">
        <v>3</v>
      </c>
      <c r="E3" t="s">
        <v>212</v>
      </c>
      <c r="F3" t="s">
        <v>213</v>
      </c>
      <c r="G3" t="s">
        <v>214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2106.7067106423001</v>
      </c>
      <c r="R3">
        <v>1517.5478684491</v>
      </c>
      <c r="S3">
        <v>-5.7932893577</v>
      </c>
      <c r="T3">
        <v>-5.0478684491000001</v>
      </c>
      <c r="U3">
        <v>7.6839558472</v>
      </c>
      <c r="V3">
        <v>734.92460000000005</v>
      </c>
      <c r="W3">
        <v>391.86660000000001</v>
      </c>
      <c r="X3">
        <v>392.0351</v>
      </c>
      <c r="Y3">
        <v>390.14490000000001</v>
      </c>
      <c r="Z3">
        <v>389.33080000000001</v>
      </c>
      <c r="AA3">
        <v>562.88447499999995</v>
      </c>
      <c r="AB3" t="s">
        <v>221</v>
      </c>
      <c r="AC3" t="s">
        <v>222</v>
      </c>
      <c r="AD3" t="s">
        <v>223</v>
      </c>
      <c r="AE3" t="s">
        <v>224</v>
      </c>
      <c r="AF3" t="s">
        <v>225</v>
      </c>
      <c r="AG3">
        <v>7</v>
      </c>
      <c r="AH3" t="s">
        <v>226</v>
      </c>
      <c r="AJ3">
        <v>1</v>
      </c>
    </row>
    <row r="4" spans="1:36">
      <c r="A4" t="s">
        <v>551</v>
      </c>
      <c r="B4" t="s">
        <v>552</v>
      </c>
      <c r="C4" t="s">
        <v>211</v>
      </c>
      <c r="D4">
        <v>3</v>
      </c>
      <c r="E4" t="s">
        <v>212</v>
      </c>
      <c r="F4" t="s">
        <v>213</v>
      </c>
      <c r="G4" t="s">
        <v>214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2106.0925732986998</v>
      </c>
      <c r="R4">
        <v>1513.9572140063999</v>
      </c>
      <c r="S4">
        <v>-6.4074267013000004</v>
      </c>
      <c r="T4">
        <v>-1.4572140064000001</v>
      </c>
      <c r="U4">
        <v>6.5710417434000004</v>
      </c>
      <c r="V4">
        <v>724.72029999999995</v>
      </c>
      <c r="W4">
        <v>385.33300000000003</v>
      </c>
      <c r="X4">
        <v>387.90039999999999</v>
      </c>
      <c r="Y4">
        <v>386.62439999999998</v>
      </c>
      <c r="Z4">
        <v>384.10219999999998</v>
      </c>
      <c r="AA4">
        <v>555.35514999999998</v>
      </c>
      <c r="AB4" t="s">
        <v>221</v>
      </c>
      <c r="AC4" t="s">
        <v>222</v>
      </c>
      <c r="AD4" t="s">
        <v>223</v>
      </c>
      <c r="AE4" t="s">
        <v>224</v>
      </c>
      <c r="AF4" t="s">
        <v>225</v>
      </c>
      <c r="AG4">
        <v>7</v>
      </c>
      <c r="AH4" t="s">
        <v>226</v>
      </c>
      <c r="AJ4">
        <v>1</v>
      </c>
    </row>
    <row r="5" spans="1:36">
      <c r="A5" t="s">
        <v>563</v>
      </c>
      <c r="B5" t="s">
        <v>564</v>
      </c>
      <c r="C5" t="s">
        <v>211</v>
      </c>
      <c r="D5">
        <v>3</v>
      </c>
      <c r="E5" t="s">
        <v>212</v>
      </c>
      <c r="F5" t="s">
        <v>213</v>
      </c>
      <c r="G5" t="s">
        <v>214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2117.9903890362002</v>
      </c>
      <c r="R5">
        <v>1519.2141661654</v>
      </c>
      <c r="S5">
        <v>5.4903890361999999</v>
      </c>
      <c r="T5">
        <v>-6.7141661654</v>
      </c>
      <c r="U5">
        <v>8.6732000476</v>
      </c>
      <c r="V5">
        <v>735.19230000000005</v>
      </c>
      <c r="W5">
        <v>388.4341</v>
      </c>
      <c r="X5">
        <v>394.69600000000003</v>
      </c>
      <c r="Y5">
        <v>386.48239999999998</v>
      </c>
      <c r="Z5">
        <v>391.10820000000001</v>
      </c>
      <c r="AA5">
        <v>562.68623749999995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>
        <v>7</v>
      </c>
      <c r="AH5" t="s">
        <v>226</v>
      </c>
      <c r="AJ5">
        <v>1</v>
      </c>
    </row>
    <row r="6" spans="1:36">
      <c r="A6" t="s">
        <v>575</v>
      </c>
      <c r="B6" t="s">
        <v>576</v>
      </c>
      <c r="C6" t="s">
        <v>211</v>
      </c>
      <c r="D6">
        <v>3</v>
      </c>
      <c r="E6" t="s">
        <v>212</v>
      </c>
      <c r="F6" t="s">
        <v>213</v>
      </c>
      <c r="G6" t="s">
        <v>214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2115.0928292119002</v>
      </c>
      <c r="R6">
        <v>1514.4725748187</v>
      </c>
      <c r="S6">
        <v>2.5928292118999998</v>
      </c>
      <c r="T6">
        <v>-1.9725748187000001</v>
      </c>
      <c r="U6">
        <v>3.2578850098999999</v>
      </c>
      <c r="V6">
        <v>735.13850000000002</v>
      </c>
      <c r="W6">
        <v>389.50360000000001</v>
      </c>
      <c r="X6">
        <v>391.84050000000002</v>
      </c>
      <c r="Y6">
        <v>387.95409999999998</v>
      </c>
      <c r="Z6">
        <v>390.67430000000002</v>
      </c>
      <c r="AA6">
        <v>562.56581249999999</v>
      </c>
      <c r="AB6" t="s">
        <v>221</v>
      </c>
      <c r="AC6" t="s">
        <v>222</v>
      </c>
      <c r="AD6" t="s">
        <v>223</v>
      </c>
      <c r="AE6" t="s">
        <v>224</v>
      </c>
      <c r="AF6" t="s">
        <v>225</v>
      </c>
      <c r="AG6">
        <v>7</v>
      </c>
      <c r="AH6" t="s">
        <v>226</v>
      </c>
      <c r="AJ6">
        <v>1</v>
      </c>
    </row>
    <row r="7" spans="1:36">
      <c r="A7" t="s">
        <v>582</v>
      </c>
      <c r="B7" t="s">
        <v>583</v>
      </c>
      <c r="C7" t="s">
        <v>211</v>
      </c>
      <c r="D7">
        <v>3</v>
      </c>
      <c r="E7" t="s">
        <v>212</v>
      </c>
      <c r="F7" t="s">
        <v>213</v>
      </c>
      <c r="G7" t="s">
        <v>214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2109.4731279070002</v>
      </c>
      <c r="R7">
        <v>1521.1486789616999</v>
      </c>
      <c r="S7">
        <v>-3.0268720930000002</v>
      </c>
      <c r="T7">
        <v>-8.6486789616999999</v>
      </c>
      <c r="U7">
        <v>9.1630563923999997</v>
      </c>
      <c r="V7">
        <v>734.25750000000005</v>
      </c>
      <c r="W7">
        <v>389.3698</v>
      </c>
      <c r="X7">
        <v>393.69310000000002</v>
      </c>
      <c r="Y7">
        <v>390.12810000000002</v>
      </c>
      <c r="Z7">
        <v>389.28379999999999</v>
      </c>
      <c r="AA7">
        <v>562.43809999999996</v>
      </c>
      <c r="AB7" t="s">
        <v>221</v>
      </c>
      <c r="AC7" t="s">
        <v>222</v>
      </c>
      <c r="AD7" t="s">
        <v>223</v>
      </c>
      <c r="AE7" t="s">
        <v>224</v>
      </c>
      <c r="AF7" t="s">
        <v>225</v>
      </c>
      <c r="AG7">
        <v>7</v>
      </c>
      <c r="AH7" t="s">
        <v>226</v>
      </c>
      <c r="AJ7">
        <v>1</v>
      </c>
    </row>
    <row r="8" spans="1:36">
      <c r="A8" t="s">
        <v>599</v>
      </c>
      <c r="B8" t="s">
        <v>600</v>
      </c>
      <c r="C8" t="s">
        <v>211</v>
      </c>
      <c r="D8">
        <v>3</v>
      </c>
      <c r="E8" t="s">
        <v>212</v>
      </c>
      <c r="F8" t="s">
        <v>213</v>
      </c>
      <c r="G8" t="s">
        <v>214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2117.7983220257001</v>
      </c>
      <c r="R8">
        <v>1510.0983177964999</v>
      </c>
      <c r="S8">
        <v>5.2983220257000001</v>
      </c>
      <c r="T8">
        <v>2.4016822035000001</v>
      </c>
      <c r="U8">
        <v>5.8172410724999999</v>
      </c>
      <c r="V8">
        <v>716.99130000000002</v>
      </c>
      <c r="W8">
        <v>383.85969999999998</v>
      </c>
      <c r="X8">
        <v>381.40289999999999</v>
      </c>
      <c r="Y8">
        <v>380.06490000000002</v>
      </c>
      <c r="Z8">
        <v>380.67110000000002</v>
      </c>
      <c r="AA8">
        <v>549.24547500000006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>
        <v>7</v>
      </c>
      <c r="AH8" t="s">
        <v>226</v>
      </c>
      <c r="AJ8">
        <v>1</v>
      </c>
    </row>
    <row r="9" spans="1:36">
      <c r="A9" t="s">
        <v>611</v>
      </c>
      <c r="B9" t="s">
        <v>612</v>
      </c>
      <c r="C9" t="s">
        <v>211</v>
      </c>
      <c r="D9">
        <v>3</v>
      </c>
      <c r="E9" t="s">
        <v>212</v>
      </c>
      <c r="F9" t="s">
        <v>213</v>
      </c>
      <c r="G9" t="s">
        <v>214</v>
      </c>
      <c r="H9" t="s">
        <v>215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2115.4370890675</v>
      </c>
      <c r="R9">
        <v>1507.5678022741999</v>
      </c>
      <c r="S9">
        <v>2.9370890675000001</v>
      </c>
      <c r="T9">
        <v>4.9321977258</v>
      </c>
      <c r="U9">
        <v>5.7404761646000004</v>
      </c>
      <c r="V9">
        <v>728.15350000000001</v>
      </c>
      <c r="W9">
        <v>386.98169999999999</v>
      </c>
      <c r="X9">
        <v>385.62369999999999</v>
      </c>
      <c r="Y9">
        <v>384.96660000000003</v>
      </c>
      <c r="Z9">
        <v>385.34449999999998</v>
      </c>
      <c r="AA9">
        <v>556.94131249999998</v>
      </c>
      <c r="AB9" t="s">
        <v>221</v>
      </c>
      <c r="AC9" t="s">
        <v>222</v>
      </c>
      <c r="AD9" t="s">
        <v>223</v>
      </c>
      <c r="AE9" t="s">
        <v>224</v>
      </c>
      <c r="AF9" t="s">
        <v>225</v>
      </c>
      <c r="AG9">
        <v>7</v>
      </c>
      <c r="AH9" t="s">
        <v>226</v>
      </c>
      <c r="AJ9">
        <v>1</v>
      </c>
    </row>
    <row r="10" spans="1:36">
      <c r="A10" t="s">
        <v>618</v>
      </c>
      <c r="B10" t="s">
        <v>619</v>
      </c>
      <c r="C10" t="s">
        <v>211</v>
      </c>
      <c r="D10">
        <v>3</v>
      </c>
      <c r="E10" t="s">
        <v>212</v>
      </c>
      <c r="F10" t="s">
        <v>213</v>
      </c>
      <c r="G10" t="s">
        <v>214</v>
      </c>
      <c r="H10" t="s">
        <v>215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2114.2068615008002</v>
      </c>
      <c r="R10">
        <v>1510.3151583890001</v>
      </c>
      <c r="S10">
        <v>1.7068615008000001</v>
      </c>
      <c r="T10">
        <v>2.184841611</v>
      </c>
      <c r="U10">
        <v>2.7725275558</v>
      </c>
      <c r="V10">
        <v>720.80640000000005</v>
      </c>
      <c r="W10">
        <v>382.07319999999999</v>
      </c>
      <c r="X10">
        <v>381.59160000000003</v>
      </c>
      <c r="Y10">
        <v>378.76920000000001</v>
      </c>
      <c r="Z10">
        <v>381.65249999999997</v>
      </c>
      <c r="AA10">
        <v>550.91401250000001</v>
      </c>
      <c r="AB10" t="s">
        <v>221</v>
      </c>
      <c r="AC10" t="s">
        <v>222</v>
      </c>
      <c r="AD10" t="s">
        <v>223</v>
      </c>
      <c r="AE10" t="s">
        <v>224</v>
      </c>
      <c r="AF10" t="s">
        <v>225</v>
      </c>
      <c r="AG10">
        <v>7</v>
      </c>
      <c r="AH10" t="s">
        <v>226</v>
      </c>
      <c r="AJ10">
        <v>1</v>
      </c>
    </row>
    <row r="11" spans="1:36">
      <c r="A11" t="s">
        <v>635</v>
      </c>
      <c r="B11" t="s">
        <v>636</v>
      </c>
      <c r="C11" t="s">
        <v>211</v>
      </c>
      <c r="D11">
        <v>3</v>
      </c>
      <c r="E11" t="s">
        <v>212</v>
      </c>
      <c r="F11" t="s">
        <v>213</v>
      </c>
      <c r="G11" t="s">
        <v>214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2113.9332914329002</v>
      </c>
      <c r="R11">
        <v>1520.7961387610001</v>
      </c>
      <c r="S11">
        <v>1.4332914328999999</v>
      </c>
      <c r="T11">
        <v>-8.2961387609999999</v>
      </c>
      <c r="U11">
        <v>8.4190404842</v>
      </c>
      <c r="V11">
        <v>734.53039999999999</v>
      </c>
      <c r="W11">
        <v>392.28100000000001</v>
      </c>
      <c r="X11">
        <v>393.40719999999999</v>
      </c>
      <c r="Y11">
        <v>389.9169</v>
      </c>
      <c r="Z11">
        <v>391.27789999999999</v>
      </c>
      <c r="AA11">
        <v>563.12557500000003</v>
      </c>
      <c r="AB11" t="s">
        <v>221</v>
      </c>
      <c r="AC11" t="s">
        <v>222</v>
      </c>
      <c r="AD11" t="s">
        <v>223</v>
      </c>
      <c r="AE11" t="s">
        <v>224</v>
      </c>
      <c r="AF11" t="s">
        <v>225</v>
      </c>
      <c r="AG11">
        <v>7</v>
      </c>
      <c r="AH11" t="s">
        <v>226</v>
      </c>
      <c r="AJ11">
        <v>1</v>
      </c>
    </row>
    <row r="12" spans="1:36">
      <c r="A12" t="s">
        <v>642</v>
      </c>
      <c r="B12" t="s">
        <v>643</v>
      </c>
      <c r="C12" t="s">
        <v>211</v>
      </c>
      <c r="D12">
        <v>3</v>
      </c>
      <c r="E12" t="s">
        <v>212</v>
      </c>
      <c r="F12" t="s">
        <v>213</v>
      </c>
      <c r="G12" t="s">
        <v>214</v>
      </c>
      <c r="H12" t="s">
        <v>215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2113.0826239528001</v>
      </c>
      <c r="R12">
        <v>1516.8199999277999</v>
      </c>
      <c r="S12">
        <v>0.58262395280000001</v>
      </c>
      <c r="T12">
        <v>-4.3199999277999996</v>
      </c>
      <c r="U12">
        <v>4.3591111532999998</v>
      </c>
      <c r="V12">
        <v>745.13649999999996</v>
      </c>
      <c r="W12">
        <v>396.35820000000001</v>
      </c>
      <c r="X12">
        <v>395.07729999999998</v>
      </c>
      <c r="Y12">
        <v>395.43369999999999</v>
      </c>
      <c r="Z12">
        <v>395.23039999999997</v>
      </c>
      <c r="AA12">
        <v>570.33069999999998</v>
      </c>
      <c r="AB12" t="s">
        <v>221</v>
      </c>
      <c r="AC12" t="s">
        <v>222</v>
      </c>
      <c r="AD12" t="s">
        <v>223</v>
      </c>
      <c r="AE12" t="s">
        <v>224</v>
      </c>
      <c r="AF12" t="s">
        <v>225</v>
      </c>
      <c r="AG12">
        <v>7</v>
      </c>
      <c r="AH12" t="s">
        <v>226</v>
      </c>
      <c r="AJ12">
        <v>1</v>
      </c>
    </row>
    <row r="13" spans="1:36">
      <c r="A13" t="s">
        <v>659</v>
      </c>
      <c r="B13" t="s">
        <v>660</v>
      </c>
      <c r="C13" t="s">
        <v>211</v>
      </c>
      <c r="D13">
        <v>3</v>
      </c>
      <c r="E13" t="s">
        <v>212</v>
      </c>
      <c r="F13" t="s">
        <v>213</v>
      </c>
      <c r="G13" t="s">
        <v>214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2113.5312132284998</v>
      </c>
      <c r="R13">
        <v>1513.2361079996999</v>
      </c>
      <c r="S13">
        <v>1.0312132285</v>
      </c>
      <c r="T13">
        <v>-0.73610799969999996</v>
      </c>
      <c r="U13">
        <v>1.2669868626</v>
      </c>
      <c r="V13">
        <v>741.62350000000004</v>
      </c>
      <c r="W13">
        <v>393.14670000000001</v>
      </c>
      <c r="X13">
        <v>396.14229999999998</v>
      </c>
      <c r="Y13">
        <v>393.59870000000001</v>
      </c>
      <c r="Z13">
        <v>392.09539999999998</v>
      </c>
      <c r="AA13">
        <v>567.68463750000001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>
        <v>7</v>
      </c>
      <c r="AH13" t="s">
        <v>226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227</v>
      </c>
      <c r="R1" t="s">
        <v>228</v>
      </c>
      <c r="S1" t="s">
        <v>229</v>
      </c>
      <c r="T1" t="s">
        <v>230</v>
      </c>
      <c r="U1" t="s">
        <v>231</v>
      </c>
      <c r="V1" t="s">
        <v>232</v>
      </c>
      <c r="W1" t="s">
        <v>233</v>
      </c>
      <c r="X1" t="s">
        <v>234</v>
      </c>
      <c r="Y1" t="s">
        <v>235</v>
      </c>
      <c r="Z1" t="s">
        <v>236</v>
      </c>
      <c r="AA1" t="s">
        <v>237</v>
      </c>
      <c r="AB1" t="s">
        <v>238</v>
      </c>
      <c r="AC1" t="s">
        <v>239</v>
      </c>
      <c r="AD1" t="s">
        <v>240</v>
      </c>
      <c r="AE1" t="s">
        <v>241</v>
      </c>
      <c r="AF1" t="s">
        <v>242</v>
      </c>
      <c r="AG1" t="s">
        <v>243</v>
      </c>
      <c r="AH1" t="s">
        <v>244</v>
      </c>
      <c r="AI1" t="s">
        <v>245</v>
      </c>
      <c r="AJ1" t="s">
        <v>246</v>
      </c>
      <c r="AK1" t="s">
        <v>247</v>
      </c>
      <c r="AL1" t="s">
        <v>248</v>
      </c>
      <c r="AM1" t="s">
        <v>249</v>
      </c>
      <c r="AN1" t="s">
        <v>250</v>
      </c>
      <c r="AO1" t="s">
        <v>251</v>
      </c>
      <c r="AP1" t="s">
        <v>252</v>
      </c>
      <c r="AQ1" t="s">
        <v>253</v>
      </c>
      <c r="AR1" t="s">
        <v>254</v>
      </c>
      <c r="AS1" t="s">
        <v>255</v>
      </c>
      <c r="AT1" t="s">
        <v>256</v>
      </c>
      <c r="AU1" t="s">
        <v>257</v>
      </c>
      <c r="AV1" t="s">
        <v>206</v>
      </c>
      <c r="AW1" t="s">
        <v>207</v>
      </c>
      <c r="AX1" t="s">
        <v>208</v>
      </c>
    </row>
    <row r="2" spans="1:50">
      <c r="A2" t="s">
        <v>258</v>
      </c>
      <c r="B2" t="s">
        <v>259</v>
      </c>
      <c r="C2" t="s">
        <v>211</v>
      </c>
      <c r="D2">
        <v>3</v>
      </c>
      <c r="E2" t="s">
        <v>212</v>
      </c>
      <c r="F2" t="s">
        <v>213</v>
      </c>
      <c r="G2" t="s">
        <v>260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1.3113E-6</v>
      </c>
      <c r="R2">
        <v>-0.1206791997</v>
      </c>
      <c r="S2">
        <v>-1.6496324539</v>
      </c>
      <c r="T2">
        <v>-2.7782101630999998</v>
      </c>
      <c r="U2">
        <v>1.159065485</v>
      </c>
      <c r="V2">
        <v>1.3097460270000001</v>
      </c>
      <c r="W2">
        <v>2.6194176674</v>
      </c>
      <c r="X2">
        <v>0.60881090159999995</v>
      </c>
      <c r="Y2">
        <v>1.5447982549999999</v>
      </c>
      <c r="Z2">
        <v>2.3359024525000001</v>
      </c>
      <c r="AA2">
        <v>-0.4234041274</v>
      </c>
      <c r="AB2">
        <v>-0.27926588060000002</v>
      </c>
      <c r="AC2">
        <v>-0.7876929641</v>
      </c>
      <c r="AD2">
        <v>-0.90357398990000004</v>
      </c>
      <c r="AE2">
        <v>-0.27962049839999997</v>
      </c>
      <c r="AF2">
        <v>-0.1145158112</v>
      </c>
      <c r="AG2">
        <v>-0.1714866608</v>
      </c>
      <c r="AH2">
        <v>-0.33465218540000002</v>
      </c>
      <c r="AI2">
        <v>-1.3650555610999999</v>
      </c>
      <c r="AJ2">
        <v>5.4575130299999997E-2</v>
      </c>
      <c r="AK2">
        <v>2.022231E-4</v>
      </c>
      <c r="AL2">
        <v>4.6547450099999998E-2</v>
      </c>
      <c r="AM2">
        <v>7.1120619800000007E-2</v>
      </c>
      <c r="AN2">
        <v>5.1442101599999998E-2</v>
      </c>
      <c r="AO2">
        <v>7.1120619800000007E-2</v>
      </c>
      <c r="AP2">
        <v>7.1120619800000007E-2</v>
      </c>
      <c r="AQ2">
        <v>1.6540407196</v>
      </c>
      <c r="AR2" t="s">
        <v>261</v>
      </c>
      <c r="AS2" t="s">
        <v>262</v>
      </c>
      <c r="AT2">
        <v>3</v>
      </c>
      <c r="AU2">
        <v>2.9</v>
      </c>
      <c r="AX2">
        <v>1</v>
      </c>
    </row>
    <row r="3" spans="1:50">
      <c r="A3" t="s">
        <v>548</v>
      </c>
      <c r="B3" t="s">
        <v>549</v>
      </c>
      <c r="C3" t="s">
        <v>211</v>
      </c>
      <c r="D3">
        <v>3</v>
      </c>
      <c r="E3" t="s">
        <v>212</v>
      </c>
      <c r="F3" t="s">
        <v>213</v>
      </c>
      <c r="G3" t="s">
        <v>260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-1.1444099999999999E-5</v>
      </c>
      <c r="R3">
        <v>4.0622572898999998</v>
      </c>
      <c r="S3">
        <v>-0.67791783809999995</v>
      </c>
      <c r="T3">
        <v>-0.95789021249999995</v>
      </c>
      <c r="U3">
        <v>6.7827005386000003</v>
      </c>
      <c r="V3">
        <v>-0.63894832130000001</v>
      </c>
      <c r="W3">
        <v>-2.3931660652</v>
      </c>
      <c r="X3">
        <v>3.2357599735</v>
      </c>
      <c r="Y3">
        <v>3.0494790077</v>
      </c>
      <c r="Z3">
        <v>-4.2426168899999998E-2</v>
      </c>
      <c r="AA3">
        <v>1.1338979006000001</v>
      </c>
      <c r="AB3">
        <v>-2.1315181255</v>
      </c>
      <c r="AC3">
        <v>0.57125008109999997</v>
      </c>
      <c r="AD3">
        <v>1.0303688048999999</v>
      </c>
      <c r="AE3">
        <v>-1.5175670385</v>
      </c>
      <c r="AF3">
        <v>-1.6882748604</v>
      </c>
      <c r="AG3">
        <v>0.16779947279999999</v>
      </c>
      <c r="AH3">
        <v>-0.18589359520000001</v>
      </c>
      <c r="AI3">
        <v>0.39540255070000002</v>
      </c>
      <c r="AJ3">
        <v>0.13816368579999999</v>
      </c>
      <c r="AK3">
        <v>1.7642499999999999E-4</v>
      </c>
      <c r="AL3">
        <v>4.34903726E-2</v>
      </c>
      <c r="AM3">
        <v>7.9128541100000005E-2</v>
      </c>
      <c r="AN3">
        <v>7.8563623099999993E-2</v>
      </c>
      <c r="AO3">
        <v>0.1780169308</v>
      </c>
      <c r="AP3">
        <v>0.18490833039999999</v>
      </c>
      <c r="AQ3">
        <v>4.1184350043000002</v>
      </c>
      <c r="AR3" t="s">
        <v>261</v>
      </c>
      <c r="AS3" t="s">
        <v>262</v>
      </c>
      <c r="AT3">
        <v>3</v>
      </c>
      <c r="AU3">
        <v>2.9</v>
      </c>
      <c r="AX3">
        <v>1</v>
      </c>
    </row>
    <row r="4" spans="1:50">
      <c r="A4" t="s">
        <v>558</v>
      </c>
      <c r="B4" t="s">
        <v>559</v>
      </c>
      <c r="C4" t="s">
        <v>211</v>
      </c>
      <c r="D4">
        <v>3</v>
      </c>
      <c r="E4" t="s">
        <v>212</v>
      </c>
      <c r="F4" t="s">
        <v>213</v>
      </c>
      <c r="G4" t="s">
        <v>260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-4.3630600000000002E-5</v>
      </c>
      <c r="R4">
        <v>6.3863534926999996</v>
      </c>
      <c r="S4">
        <v>10.2798423767</v>
      </c>
      <c r="T4">
        <v>-2.1583077907999999</v>
      </c>
      <c r="U4">
        <v>6.8468523026000003</v>
      </c>
      <c r="V4">
        <v>-0.77818274499999995</v>
      </c>
      <c r="W4">
        <v>2.0945317745000001</v>
      </c>
      <c r="X4">
        <v>0.23159062859999999</v>
      </c>
      <c r="Y4">
        <v>3.0502965450000001</v>
      </c>
      <c r="Z4">
        <v>0.35484302039999999</v>
      </c>
      <c r="AA4">
        <v>1.3980882167999999</v>
      </c>
      <c r="AB4">
        <v>-2.3003358840999999</v>
      </c>
      <c r="AC4">
        <v>0.84837687019999997</v>
      </c>
      <c r="AD4">
        <v>-1.9223980904</v>
      </c>
      <c r="AE4">
        <v>-0.95113956929999999</v>
      </c>
      <c r="AF4">
        <v>-0.4843994975</v>
      </c>
      <c r="AG4">
        <v>0.32057127359999998</v>
      </c>
      <c r="AH4">
        <v>0.48621237280000001</v>
      </c>
      <c r="AI4">
        <v>-1.0325235128000001</v>
      </c>
      <c r="AJ4">
        <v>-0.35869336130000001</v>
      </c>
      <c r="AK4">
        <v>1.982381E-4</v>
      </c>
      <c r="AL4">
        <v>4.5870345100000001E-2</v>
      </c>
      <c r="AM4">
        <v>9.2234395400000002E-2</v>
      </c>
      <c r="AN4">
        <v>0.16539308429999999</v>
      </c>
      <c r="AO4">
        <v>0.22958156469999999</v>
      </c>
      <c r="AP4">
        <v>0.22958156469999999</v>
      </c>
      <c r="AQ4">
        <v>12.102093629800001</v>
      </c>
      <c r="AR4" t="s">
        <v>261</v>
      </c>
      <c r="AS4" t="s">
        <v>262</v>
      </c>
      <c r="AT4">
        <v>3</v>
      </c>
      <c r="AU4">
        <v>2.9</v>
      </c>
      <c r="AX4">
        <v>1</v>
      </c>
    </row>
    <row r="5" spans="1:50">
      <c r="A5" t="s">
        <v>570</v>
      </c>
      <c r="B5" t="s">
        <v>571</v>
      </c>
      <c r="C5" t="s">
        <v>211</v>
      </c>
      <c r="D5">
        <v>3</v>
      </c>
      <c r="E5" t="s">
        <v>212</v>
      </c>
      <c r="F5" t="s">
        <v>213</v>
      </c>
      <c r="G5" t="s">
        <v>260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2.63453E-5</v>
      </c>
      <c r="R5">
        <v>7.427945137</v>
      </c>
      <c r="S5">
        <v>8.9167194365999993</v>
      </c>
      <c r="T5">
        <v>0.70508980750000005</v>
      </c>
      <c r="U5">
        <v>8.6395397186</v>
      </c>
      <c r="V5">
        <v>-2.3691568374999998</v>
      </c>
      <c r="W5">
        <v>-2.1530368327999998</v>
      </c>
      <c r="X5">
        <v>-1.5972272158</v>
      </c>
      <c r="Y5">
        <v>1.9632637501000001</v>
      </c>
      <c r="Z5">
        <v>1.0260511637</v>
      </c>
      <c r="AA5">
        <v>0.60487854480000003</v>
      </c>
      <c r="AB5">
        <v>-2.5001392364999999</v>
      </c>
      <c r="AC5">
        <v>0.55860626700000005</v>
      </c>
      <c r="AD5">
        <v>0.44287723299999998</v>
      </c>
      <c r="AE5">
        <v>0.2399154305</v>
      </c>
      <c r="AF5">
        <v>-0.62002378700000005</v>
      </c>
      <c r="AG5">
        <v>0.92556440829999997</v>
      </c>
      <c r="AH5">
        <v>-0.62925958630000001</v>
      </c>
      <c r="AI5">
        <v>0.234503448</v>
      </c>
      <c r="AJ5">
        <v>0.54376232619999998</v>
      </c>
      <c r="AK5">
        <v>1.8475300000000001E-4</v>
      </c>
      <c r="AL5">
        <v>4.5030720500000003E-2</v>
      </c>
      <c r="AM5">
        <v>0.1285910904</v>
      </c>
      <c r="AN5">
        <v>0.1727641523</v>
      </c>
      <c r="AO5">
        <v>0.30478227140000003</v>
      </c>
      <c r="AP5">
        <v>0.30478227140000003</v>
      </c>
      <c r="AQ5">
        <v>11.605268392899999</v>
      </c>
      <c r="AR5" t="s">
        <v>261</v>
      </c>
      <c r="AS5" t="s">
        <v>262</v>
      </c>
      <c r="AT5">
        <v>3</v>
      </c>
      <c r="AU5">
        <v>2.9</v>
      </c>
      <c r="AX5">
        <v>1</v>
      </c>
    </row>
    <row r="6" spans="1:50">
      <c r="A6" t="s">
        <v>589</v>
      </c>
      <c r="B6" t="s">
        <v>590</v>
      </c>
      <c r="C6" t="s">
        <v>211</v>
      </c>
      <c r="D6">
        <v>3</v>
      </c>
      <c r="E6" t="s">
        <v>212</v>
      </c>
      <c r="F6" t="s">
        <v>213</v>
      </c>
      <c r="G6" t="s">
        <v>260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-2.2888199999999999E-5</v>
      </c>
      <c r="R6">
        <v>-3.2975900173000001</v>
      </c>
      <c r="S6">
        <v>1.9840164185</v>
      </c>
      <c r="T6">
        <v>1.1532559394999999</v>
      </c>
      <c r="U6">
        <v>7.4178428649999999</v>
      </c>
      <c r="V6">
        <v>-3.2605719566000002</v>
      </c>
      <c r="W6">
        <v>2.2173461913999999</v>
      </c>
      <c r="X6">
        <v>4.8508310318000003</v>
      </c>
      <c r="Y6">
        <v>1.5252219439000001</v>
      </c>
      <c r="Z6">
        <v>-0.41942965980000002</v>
      </c>
      <c r="AA6">
        <v>1.3910955191000001</v>
      </c>
      <c r="AB6">
        <v>-2.7870621680999998</v>
      </c>
      <c r="AC6">
        <v>0.9117209315</v>
      </c>
      <c r="AD6">
        <v>-1.0900124310999999</v>
      </c>
      <c r="AE6">
        <v>-3.1138753890999999</v>
      </c>
      <c r="AF6">
        <v>-0.86274945739999997</v>
      </c>
      <c r="AG6">
        <v>-7.0313245100000005E-2</v>
      </c>
      <c r="AH6">
        <v>1.6513466800000001E-2</v>
      </c>
      <c r="AI6">
        <v>0.17302310470000001</v>
      </c>
      <c r="AJ6">
        <v>-0.40685597060000001</v>
      </c>
      <c r="AK6">
        <v>2.4395370000000001E-4</v>
      </c>
      <c r="AL6">
        <v>5.2576474800000002E-2</v>
      </c>
      <c r="AM6">
        <v>7.7868878799999999E-2</v>
      </c>
      <c r="AN6">
        <v>9.3504562999999999E-2</v>
      </c>
      <c r="AO6">
        <v>0.2007118464</v>
      </c>
      <c r="AP6">
        <v>0.2007118464</v>
      </c>
      <c r="AQ6">
        <v>3.8484309882000001</v>
      </c>
      <c r="AR6" t="s">
        <v>261</v>
      </c>
      <c r="AS6" t="s">
        <v>262</v>
      </c>
      <c r="AT6">
        <v>3</v>
      </c>
      <c r="AU6">
        <v>2.9</v>
      </c>
      <c r="AX6">
        <v>1</v>
      </c>
    </row>
    <row r="7" spans="1:50">
      <c r="A7" t="s">
        <v>591</v>
      </c>
      <c r="B7" t="s">
        <v>592</v>
      </c>
      <c r="C7" t="s">
        <v>211</v>
      </c>
      <c r="D7">
        <v>3</v>
      </c>
      <c r="E7" t="s">
        <v>212</v>
      </c>
      <c r="F7" t="s">
        <v>213</v>
      </c>
      <c r="G7" t="s">
        <v>260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5.7219999999999996E-6</v>
      </c>
      <c r="R7">
        <v>6.7412819861999997</v>
      </c>
      <c r="S7">
        <v>8.4521656035999992</v>
      </c>
      <c r="T7">
        <v>3.7765347958</v>
      </c>
      <c r="U7">
        <v>9.7667675018000004</v>
      </c>
      <c r="V7">
        <v>-4.4914708138000004</v>
      </c>
      <c r="W7">
        <v>0.30375146870000003</v>
      </c>
      <c r="X7">
        <v>-0.8395069838</v>
      </c>
      <c r="Y7">
        <v>0.66274023059999998</v>
      </c>
      <c r="Z7">
        <v>-0.89055228230000005</v>
      </c>
      <c r="AA7">
        <v>0.6664805412</v>
      </c>
      <c r="AB7">
        <v>-2.9411568641999999</v>
      </c>
      <c r="AC7">
        <v>0.95657104250000002</v>
      </c>
      <c r="AD7">
        <v>-0.8483505845</v>
      </c>
      <c r="AE7">
        <v>-0.43829667570000003</v>
      </c>
      <c r="AF7">
        <v>-0.65301358700000001</v>
      </c>
      <c r="AG7">
        <v>0.28691828250000001</v>
      </c>
      <c r="AH7">
        <v>-0.32285797599999999</v>
      </c>
      <c r="AI7">
        <v>0.14016616339999999</v>
      </c>
      <c r="AJ7">
        <v>-0.22677069899999999</v>
      </c>
      <c r="AK7">
        <v>1.764801E-4</v>
      </c>
      <c r="AL7">
        <v>4.3776553099999997E-2</v>
      </c>
      <c r="AM7">
        <v>0.13575863839999999</v>
      </c>
      <c r="AN7">
        <v>0.18366573750000001</v>
      </c>
      <c r="AO7">
        <v>0.29713618759999999</v>
      </c>
      <c r="AP7">
        <v>0.29713618759999999</v>
      </c>
      <c r="AQ7">
        <v>10.811289757000001</v>
      </c>
      <c r="AR7" t="s">
        <v>261</v>
      </c>
      <c r="AS7" t="s">
        <v>262</v>
      </c>
      <c r="AT7">
        <v>3</v>
      </c>
      <c r="AU7">
        <v>2.9</v>
      </c>
      <c r="AX7">
        <v>1</v>
      </c>
    </row>
    <row r="8" spans="1:50">
      <c r="A8" t="s">
        <v>606</v>
      </c>
      <c r="B8" t="s">
        <v>607</v>
      </c>
      <c r="C8" t="s">
        <v>211</v>
      </c>
      <c r="D8">
        <v>3</v>
      </c>
      <c r="E8" t="s">
        <v>212</v>
      </c>
      <c r="F8" t="s">
        <v>213</v>
      </c>
      <c r="G8" t="s">
        <v>260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5.3644199999999997E-5</v>
      </c>
      <c r="R8">
        <v>5.6180009842</v>
      </c>
      <c r="S8">
        <v>5.9221343994</v>
      </c>
      <c r="T8">
        <v>-1.600528717</v>
      </c>
      <c r="U8">
        <v>5.9359316825999997</v>
      </c>
      <c r="V8">
        <v>-9.112569809</v>
      </c>
      <c r="W8">
        <v>1.1271903514999999</v>
      </c>
      <c r="X8">
        <v>1.8946683407</v>
      </c>
      <c r="Y8">
        <v>2.0577368736000001</v>
      </c>
      <c r="Z8">
        <v>1.1742680073</v>
      </c>
      <c r="AA8">
        <v>1.7496995926000001</v>
      </c>
      <c r="AB8">
        <v>-1.0303362608</v>
      </c>
      <c r="AC8">
        <v>3.3396239281</v>
      </c>
      <c r="AD8">
        <v>-1.2624136209000001</v>
      </c>
      <c r="AE8">
        <v>-1.5967612267</v>
      </c>
      <c r="AF8">
        <v>-0.77712100740000001</v>
      </c>
      <c r="AG8">
        <v>0.42849195000000001</v>
      </c>
      <c r="AH8">
        <v>-0.38774454590000001</v>
      </c>
      <c r="AI8">
        <v>-0.51151716709999995</v>
      </c>
      <c r="AJ8">
        <v>0.22143542769999999</v>
      </c>
      <c r="AK8">
        <v>2.5242560000000001E-4</v>
      </c>
      <c r="AL8">
        <v>5.2623175100000003E-2</v>
      </c>
      <c r="AM8">
        <v>0.18649910389999999</v>
      </c>
      <c r="AN8">
        <v>0.22563123700000001</v>
      </c>
      <c r="AO8">
        <v>0.22563123700000001</v>
      </c>
      <c r="AP8">
        <v>0.22563123700000001</v>
      </c>
      <c r="AQ8">
        <v>8.1629413143999994</v>
      </c>
      <c r="AR8" t="s">
        <v>261</v>
      </c>
      <c r="AS8" t="s">
        <v>262</v>
      </c>
      <c r="AT8">
        <v>3</v>
      </c>
      <c r="AU8">
        <v>2.9</v>
      </c>
      <c r="AX8">
        <v>1</v>
      </c>
    </row>
    <row r="9" spans="1:50">
      <c r="A9" t="s">
        <v>625</v>
      </c>
      <c r="B9" t="s">
        <v>626</v>
      </c>
      <c r="C9" t="s">
        <v>211</v>
      </c>
      <c r="D9">
        <v>3</v>
      </c>
      <c r="E9" t="s">
        <v>212</v>
      </c>
      <c r="F9" t="s">
        <v>213</v>
      </c>
      <c r="G9" t="s">
        <v>260</v>
      </c>
      <c r="H9" t="s">
        <v>215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7.1529999999999995E-7</v>
      </c>
      <c r="R9">
        <v>-7.6140856743000001</v>
      </c>
      <c r="S9">
        <v>4.2309322357000001</v>
      </c>
      <c r="T9">
        <v>-3.3516607285000002</v>
      </c>
      <c r="U9">
        <v>4.4120330810999997</v>
      </c>
      <c r="V9">
        <v>-3.5576164721999999</v>
      </c>
      <c r="W9">
        <v>2.2052371501999999</v>
      </c>
      <c r="X9">
        <v>2.8645856379999999</v>
      </c>
      <c r="Y9">
        <v>3.1022868155999999</v>
      </c>
      <c r="Z9">
        <v>0.79307717079999995</v>
      </c>
      <c r="AA9">
        <v>0.70461636780000003</v>
      </c>
      <c r="AB9">
        <v>-1.7353339194999999</v>
      </c>
      <c r="AC9">
        <v>0.4695703685</v>
      </c>
      <c r="AD9">
        <v>-0.80684226749999999</v>
      </c>
      <c r="AE9">
        <v>-1.9383332729</v>
      </c>
      <c r="AF9">
        <v>-0.90853589769999998</v>
      </c>
      <c r="AG9">
        <v>0.3697121739</v>
      </c>
      <c r="AH9">
        <v>-0.32961690430000001</v>
      </c>
      <c r="AI9">
        <v>0.50181454420000005</v>
      </c>
      <c r="AJ9">
        <v>0.15290704369999999</v>
      </c>
      <c r="AK9">
        <v>2.415122E-4</v>
      </c>
      <c r="AL9">
        <v>5.1625989400000002E-2</v>
      </c>
      <c r="AM9">
        <v>0.13559795920000001</v>
      </c>
      <c r="AN9">
        <v>0.1059035212</v>
      </c>
      <c r="AO9">
        <v>0.14852976800000001</v>
      </c>
      <c r="AP9">
        <v>0.14852976800000001</v>
      </c>
      <c r="AQ9">
        <v>8.7106307601000008</v>
      </c>
      <c r="AR9" t="s">
        <v>261</v>
      </c>
      <c r="AS9" t="s">
        <v>262</v>
      </c>
      <c r="AT9">
        <v>3</v>
      </c>
      <c r="AU9">
        <v>2.9</v>
      </c>
      <c r="AX9">
        <v>1</v>
      </c>
    </row>
    <row r="10" spans="1:50">
      <c r="A10" t="s">
        <v>627</v>
      </c>
      <c r="B10" t="s">
        <v>628</v>
      </c>
      <c r="C10" t="s">
        <v>211</v>
      </c>
      <c r="D10">
        <v>3</v>
      </c>
      <c r="E10" t="s">
        <v>212</v>
      </c>
      <c r="F10" t="s">
        <v>213</v>
      </c>
      <c r="G10" t="s">
        <v>260</v>
      </c>
      <c r="H10" t="s">
        <v>215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1.90735E-5</v>
      </c>
      <c r="R10">
        <v>4.6599483490000004</v>
      </c>
      <c r="S10">
        <v>4.8281655311999998</v>
      </c>
      <c r="T10">
        <v>1.6652232409000001</v>
      </c>
      <c r="U10">
        <v>5.6845889091000004</v>
      </c>
      <c r="V10">
        <v>-6.4785737991000003</v>
      </c>
      <c r="W10">
        <v>-0.22230188549999999</v>
      </c>
      <c r="X10">
        <v>1.1929488182000001</v>
      </c>
      <c r="Y10">
        <v>1.3076511621</v>
      </c>
      <c r="Z10">
        <v>0.20143640039999999</v>
      </c>
      <c r="AA10">
        <v>0.69397962089999998</v>
      </c>
      <c r="AB10">
        <v>-1.7221343517000001</v>
      </c>
      <c r="AC10">
        <v>1.8654905557999999</v>
      </c>
      <c r="AD10">
        <v>-6.2186330599999999E-2</v>
      </c>
      <c r="AE10">
        <v>-1.0436893702000001</v>
      </c>
      <c r="AF10">
        <v>-0.49750065799999998</v>
      </c>
      <c r="AG10">
        <v>-0.62443089490000003</v>
      </c>
      <c r="AH10">
        <v>0.5811398029</v>
      </c>
      <c r="AI10">
        <v>-0.26143896579999998</v>
      </c>
      <c r="AJ10">
        <v>0.5410024524</v>
      </c>
      <c r="AK10">
        <v>1.7408549999999999E-4</v>
      </c>
      <c r="AL10">
        <v>4.4268272800000001E-2</v>
      </c>
      <c r="AM10">
        <v>0.1394359916</v>
      </c>
      <c r="AN10">
        <v>0.1564549059</v>
      </c>
      <c r="AO10">
        <v>0.17272433640000001</v>
      </c>
      <c r="AP10">
        <v>0.17272433640000001</v>
      </c>
      <c r="AQ10">
        <v>6.7101640078000004</v>
      </c>
      <c r="AR10" t="s">
        <v>261</v>
      </c>
      <c r="AS10" t="s">
        <v>262</v>
      </c>
      <c r="AT10">
        <v>3</v>
      </c>
      <c r="AU10">
        <v>2.9</v>
      </c>
      <c r="AX10">
        <v>1</v>
      </c>
    </row>
    <row r="11" spans="1:50">
      <c r="A11" t="s">
        <v>649</v>
      </c>
      <c r="B11" t="s">
        <v>650</v>
      </c>
      <c r="C11" t="s">
        <v>211</v>
      </c>
      <c r="D11">
        <v>3</v>
      </c>
      <c r="E11" t="s">
        <v>212</v>
      </c>
      <c r="F11" t="s">
        <v>213</v>
      </c>
      <c r="G11" t="s">
        <v>260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3.1471299999999998E-5</v>
      </c>
      <c r="R11">
        <v>7.1946363449000001</v>
      </c>
      <c r="S11">
        <v>10.198017120399999</v>
      </c>
      <c r="T11">
        <v>-2.4087176323000001</v>
      </c>
      <c r="U11">
        <v>3.603621006</v>
      </c>
      <c r="V11">
        <v>-1.8554284572999999</v>
      </c>
      <c r="W11">
        <v>-1.1644906998</v>
      </c>
      <c r="X11">
        <v>1.1526049376</v>
      </c>
      <c r="Y11">
        <v>2.5482563971999999</v>
      </c>
      <c r="Z11">
        <v>2.7462482451999999</v>
      </c>
      <c r="AA11">
        <v>1.4030606747000001</v>
      </c>
      <c r="AB11">
        <v>-1.3518612385</v>
      </c>
      <c r="AC11">
        <v>0.66269993780000003</v>
      </c>
      <c r="AD11">
        <v>4.9042582500000001E-2</v>
      </c>
      <c r="AE11">
        <v>-1.5581139326</v>
      </c>
      <c r="AF11">
        <v>-0.35812538859999998</v>
      </c>
      <c r="AG11">
        <v>-0.301099807</v>
      </c>
      <c r="AH11">
        <v>-0.67445158959999996</v>
      </c>
      <c r="AI11">
        <v>-1.0761190652999999</v>
      </c>
      <c r="AJ11">
        <v>1.4654993999999999E-2</v>
      </c>
      <c r="AK11">
        <v>1.4375720000000001E-4</v>
      </c>
      <c r="AL11">
        <v>4.0186740499999998E-2</v>
      </c>
      <c r="AM11">
        <v>0.15321400760000001</v>
      </c>
      <c r="AN11">
        <v>0.16374856230000001</v>
      </c>
      <c r="AO11">
        <v>0.20206993819999999</v>
      </c>
      <c r="AP11">
        <v>0.20206993819999999</v>
      </c>
      <c r="AQ11">
        <v>12.480478569500001</v>
      </c>
      <c r="AR11" t="s">
        <v>261</v>
      </c>
      <c r="AS11" t="s">
        <v>262</v>
      </c>
      <c r="AT11">
        <v>3</v>
      </c>
      <c r="AU11">
        <v>2.9</v>
      </c>
      <c r="AX11">
        <v>1</v>
      </c>
    </row>
    <row r="12" spans="1:50">
      <c r="A12" t="s">
        <v>651</v>
      </c>
      <c r="B12" t="s">
        <v>652</v>
      </c>
      <c r="C12" t="s">
        <v>211</v>
      </c>
      <c r="D12">
        <v>3</v>
      </c>
      <c r="E12" t="s">
        <v>212</v>
      </c>
      <c r="F12" t="s">
        <v>213</v>
      </c>
      <c r="G12" t="s">
        <v>260</v>
      </c>
      <c r="H12" t="s">
        <v>215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-2.53469E-5</v>
      </c>
      <c r="R12">
        <v>-2.8759684562999999</v>
      </c>
      <c r="S12">
        <v>5.9692120551999999</v>
      </c>
      <c r="T12">
        <v>-5.5603265761999996</v>
      </c>
      <c r="U12">
        <v>1.5716093779</v>
      </c>
      <c r="V12">
        <v>-2.0310254096999998</v>
      </c>
      <c r="W12">
        <v>2.2444415092000001</v>
      </c>
      <c r="X12">
        <v>4.3230004310999997</v>
      </c>
      <c r="Y12">
        <v>3.4247412682</v>
      </c>
      <c r="Z12">
        <v>-0.98534679410000003</v>
      </c>
      <c r="AA12">
        <v>2.3245480061000001</v>
      </c>
      <c r="AB12">
        <v>-6.6288277500000006E-2</v>
      </c>
      <c r="AC12">
        <v>0.36896586419999999</v>
      </c>
      <c r="AD12">
        <v>-1.1532995700999999</v>
      </c>
      <c r="AE12">
        <v>-2.7675867081000001</v>
      </c>
      <c r="AF12">
        <v>-0.55281293389999997</v>
      </c>
      <c r="AG12">
        <v>-9.7382545500000001E-2</v>
      </c>
      <c r="AH12">
        <v>-0.1768331528</v>
      </c>
      <c r="AI12">
        <v>0.25386953350000002</v>
      </c>
      <c r="AJ12">
        <v>7.7342472999999995E-2</v>
      </c>
      <c r="AK12">
        <v>1.9230439999999999E-4</v>
      </c>
      <c r="AL12">
        <v>4.39122692E-2</v>
      </c>
      <c r="AM12">
        <v>7.4938878400000006E-2</v>
      </c>
      <c r="AN12">
        <v>0.11338615420000001</v>
      </c>
      <c r="AO12">
        <v>0.1138147265</v>
      </c>
      <c r="AP12">
        <v>0.1461779922</v>
      </c>
      <c r="AQ12">
        <v>6.6259102862999999</v>
      </c>
      <c r="AR12" t="s">
        <v>261</v>
      </c>
      <c r="AS12" t="s">
        <v>262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667</v>
      </c>
      <c r="C13" t="s">
        <v>211</v>
      </c>
      <c r="D13">
        <v>3</v>
      </c>
      <c r="E13" t="s">
        <v>212</v>
      </c>
      <c r="F13" t="s">
        <v>213</v>
      </c>
      <c r="G13" t="s">
        <v>260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-3.7431700000000003E-5</v>
      </c>
      <c r="R13">
        <v>-1.0765756368999999</v>
      </c>
      <c r="S13">
        <v>0.90815109009999995</v>
      </c>
      <c r="T13">
        <v>-0.34335392710000001</v>
      </c>
      <c r="U13">
        <v>5.7168850898999999</v>
      </c>
      <c r="V13">
        <v>0.7741338015</v>
      </c>
      <c r="W13">
        <v>2.6274373530999999</v>
      </c>
      <c r="X13">
        <v>3.1211547851999999</v>
      </c>
      <c r="Y13">
        <v>2.4574022293</v>
      </c>
      <c r="Z13">
        <v>1.2760169506000001</v>
      </c>
      <c r="AA13">
        <v>1.055804491</v>
      </c>
      <c r="AB13">
        <v>-1.5582606792</v>
      </c>
      <c r="AC13">
        <v>0.33389440180000002</v>
      </c>
      <c r="AD13">
        <v>-1.3853653668999999</v>
      </c>
      <c r="AE13">
        <v>-1.3517768382999999</v>
      </c>
      <c r="AF13">
        <v>-0.19217348100000001</v>
      </c>
      <c r="AG13">
        <v>0.58389663700000005</v>
      </c>
      <c r="AH13">
        <v>0.72036135199999995</v>
      </c>
      <c r="AI13">
        <v>-0.75208485130000002</v>
      </c>
      <c r="AJ13">
        <v>-7.5269796E-2</v>
      </c>
      <c r="AK13">
        <v>1.5984619999999999E-4</v>
      </c>
      <c r="AL13">
        <v>4.1322447399999997E-2</v>
      </c>
      <c r="AM13">
        <v>6.5069563699999999E-2</v>
      </c>
      <c r="AN13">
        <v>5.0003096499999997E-2</v>
      </c>
      <c r="AO13">
        <v>0.124475576</v>
      </c>
      <c r="AP13">
        <v>0.124475576</v>
      </c>
      <c r="AQ13">
        <v>1.4084578461999999</v>
      </c>
      <c r="AR13" t="s">
        <v>261</v>
      </c>
      <c r="AS13" t="s">
        <v>262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263</v>
      </c>
      <c r="R1" t="s">
        <v>264</v>
      </c>
      <c r="S1" t="s">
        <v>265</v>
      </c>
      <c r="T1" t="s">
        <v>266</v>
      </c>
      <c r="U1" t="s">
        <v>267</v>
      </c>
      <c r="V1" t="s">
        <v>268</v>
      </c>
      <c r="W1" t="s">
        <v>269</v>
      </c>
      <c r="X1" t="s">
        <v>270</v>
      </c>
      <c r="Y1" t="s">
        <v>271</v>
      </c>
      <c r="Z1" t="s">
        <v>272</v>
      </c>
      <c r="AA1" t="s">
        <v>273</v>
      </c>
      <c r="AB1" t="s">
        <v>274</v>
      </c>
      <c r="AC1" t="s">
        <v>275</v>
      </c>
      <c r="AD1" t="s">
        <v>206</v>
      </c>
      <c r="AE1" t="s">
        <v>207</v>
      </c>
      <c r="AF1" t="s">
        <v>208</v>
      </c>
    </row>
    <row r="2" spans="1:32">
      <c r="A2" t="s">
        <v>258</v>
      </c>
      <c r="B2" t="s">
        <v>276</v>
      </c>
      <c r="C2" t="s">
        <v>211</v>
      </c>
      <c r="D2">
        <v>3</v>
      </c>
      <c r="E2" t="s">
        <v>212</v>
      </c>
      <c r="F2" t="s">
        <v>213</v>
      </c>
      <c r="G2" t="s">
        <v>260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-4.6920821114000004</v>
      </c>
      <c r="R2">
        <v>-32</v>
      </c>
      <c r="S2">
        <v>82.583537140600001</v>
      </c>
      <c r="T2">
        <v>99.918383003599999</v>
      </c>
      <c r="U2">
        <v>3.716067652</v>
      </c>
      <c r="V2">
        <v>4.3012322000000004E-3</v>
      </c>
      <c r="W2">
        <v>-6.3449999999999997E-5</v>
      </c>
      <c r="X2">
        <v>3.6575938072</v>
      </c>
      <c r="Y2">
        <v>80.9577565763</v>
      </c>
      <c r="Z2">
        <v>65.519124210699999</v>
      </c>
      <c r="AA2">
        <v>344.6330305825</v>
      </c>
      <c r="AB2">
        <v>367.50489733580002</v>
      </c>
      <c r="AC2">
        <v>1</v>
      </c>
      <c r="AF2">
        <v>1</v>
      </c>
    </row>
    <row r="3" spans="1:32">
      <c r="A3" t="s">
        <v>548</v>
      </c>
      <c r="B3" t="s">
        <v>550</v>
      </c>
      <c r="C3" t="s">
        <v>211</v>
      </c>
      <c r="D3">
        <v>3</v>
      </c>
      <c r="E3" t="s">
        <v>212</v>
      </c>
      <c r="F3" t="s">
        <v>213</v>
      </c>
      <c r="G3" t="s">
        <v>260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-2.3460410557000002</v>
      </c>
      <c r="R3">
        <v>-16</v>
      </c>
      <c r="S3">
        <v>90.094031080700006</v>
      </c>
      <c r="T3">
        <v>98.955064864999997</v>
      </c>
      <c r="U3">
        <v>3.7878561836000002</v>
      </c>
      <c r="V3">
        <v>4.4657285999999997E-3</v>
      </c>
      <c r="W3">
        <v>-6.6089500000000005E-5</v>
      </c>
      <c r="X3">
        <v>3.7257507792000002</v>
      </c>
      <c r="Y3">
        <v>88.131756870299995</v>
      </c>
      <c r="Z3">
        <v>68.130973409800006</v>
      </c>
      <c r="AA3">
        <v>341.62889601400002</v>
      </c>
      <c r="AB3">
        <v>365.57064791829998</v>
      </c>
      <c r="AC3">
        <v>1</v>
      </c>
      <c r="AF3">
        <v>1</v>
      </c>
    </row>
    <row r="4" spans="1:32">
      <c r="A4" t="s">
        <v>558</v>
      </c>
      <c r="B4" t="s">
        <v>560</v>
      </c>
      <c r="C4" t="s">
        <v>211</v>
      </c>
      <c r="D4">
        <v>3</v>
      </c>
      <c r="E4" t="s">
        <v>212</v>
      </c>
      <c r="F4" t="s">
        <v>213</v>
      </c>
      <c r="G4" t="s">
        <v>260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-3.5190615836000001</v>
      </c>
      <c r="R4">
        <v>-24</v>
      </c>
      <c r="S4">
        <v>90.827486618699993</v>
      </c>
      <c r="T4">
        <v>103.9778119841</v>
      </c>
      <c r="U4">
        <v>3.7531334538999999</v>
      </c>
      <c r="V4">
        <v>4.3897804000000004E-3</v>
      </c>
      <c r="W4">
        <v>-6.47153E-5</v>
      </c>
      <c r="X4">
        <v>3.6936822595000001</v>
      </c>
      <c r="Y4">
        <v>89.186004497499994</v>
      </c>
      <c r="Z4">
        <v>70.894138881700002</v>
      </c>
      <c r="AA4">
        <v>343.46665835269999</v>
      </c>
      <c r="AB4">
        <v>368.7021342086</v>
      </c>
      <c r="AC4">
        <v>1</v>
      </c>
      <c r="AF4">
        <v>1</v>
      </c>
    </row>
    <row r="5" spans="1:32">
      <c r="A5" t="s">
        <v>570</v>
      </c>
      <c r="B5" t="s">
        <v>572</v>
      </c>
      <c r="C5" t="s">
        <v>211</v>
      </c>
      <c r="D5">
        <v>3</v>
      </c>
      <c r="E5" t="s">
        <v>212</v>
      </c>
      <c r="F5" t="s">
        <v>213</v>
      </c>
      <c r="G5" t="s">
        <v>260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-3.5190615836000001</v>
      </c>
      <c r="R5">
        <v>-24</v>
      </c>
      <c r="S5">
        <v>88.336865634399999</v>
      </c>
      <c r="T5">
        <v>101.5321960249</v>
      </c>
      <c r="U5">
        <v>3.7658384801999998</v>
      </c>
      <c r="V5">
        <v>4.3529314000000001E-3</v>
      </c>
      <c r="W5">
        <v>-6.8411500000000001E-5</v>
      </c>
      <c r="X5">
        <v>3.6949031088000002</v>
      </c>
      <c r="Y5">
        <v>87.425064118500003</v>
      </c>
      <c r="Z5">
        <v>71.176101553899997</v>
      </c>
      <c r="AA5">
        <v>335.27126917779998</v>
      </c>
      <c r="AB5">
        <v>359.99784728769998</v>
      </c>
      <c r="AC5">
        <v>1</v>
      </c>
      <c r="AF5">
        <v>1</v>
      </c>
    </row>
    <row r="6" spans="1:32">
      <c r="A6" t="s">
        <v>589</v>
      </c>
      <c r="B6" t="s">
        <v>593</v>
      </c>
      <c r="C6" t="s">
        <v>211</v>
      </c>
      <c r="D6">
        <v>3</v>
      </c>
      <c r="E6" t="s">
        <v>212</v>
      </c>
      <c r="F6" t="s">
        <v>213</v>
      </c>
      <c r="G6" t="s">
        <v>260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-1.1730205279000001</v>
      </c>
      <c r="R6">
        <v>-8</v>
      </c>
      <c r="S6">
        <v>94.506358906499997</v>
      </c>
      <c r="T6">
        <v>99.058591951400004</v>
      </c>
      <c r="U6">
        <v>3.8847996327000001</v>
      </c>
      <c r="V6">
        <v>3.3616402E-3</v>
      </c>
      <c r="W6">
        <v>-5.6461E-5</v>
      </c>
      <c r="X6">
        <v>3.8102116436000002</v>
      </c>
      <c r="Y6">
        <v>93.581130547200004</v>
      </c>
      <c r="Z6">
        <v>74.442755165199998</v>
      </c>
      <c r="AA6">
        <v>337.64632704410002</v>
      </c>
      <c r="AB6">
        <v>364.9644871136</v>
      </c>
      <c r="AC6">
        <v>1</v>
      </c>
      <c r="AF6">
        <v>1</v>
      </c>
    </row>
    <row r="7" spans="1:32">
      <c r="A7" t="s">
        <v>591</v>
      </c>
      <c r="B7" t="s">
        <v>594</v>
      </c>
      <c r="C7" t="s">
        <v>211</v>
      </c>
      <c r="D7">
        <v>3</v>
      </c>
      <c r="E7" t="s">
        <v>212</v>
      </c>
      <c r="F7" t="s">
        <v>213</v>
      </c>
      <c r="G7" t="s">
        <v>260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-4.6920821114000004</v>
      </c>
      <c r="R7">
        <v>-32</v>
      </c>
      <c r="S7">
        <v>87.711985322800004</v>
      </c>
      <c r="T7">
        <v>105.06358247359999</v>
      </c>
      <c r="U7">
        <v>3.7243650572</v>
      </c>
      <c r="V7">
        <v>5.2780209000000003E-3</v>
      </c>
      <c r="W7">
        <v>-6.9995999999999999E-5</v>
      </c>
      <c r="X7">
        <v>3.6961240936999999</v>
      </c>
      <c r="Y7">
        <v>85.653765699299996</v>
      </c>
      <c r="Z7">
        <v>66.064844322300004</v>
      </c>
      <c r="AA7">
        <v>348.67875541900003</v>
      </c>
      <c r="AB7">
        <v>372.57731508979998</v>
      </c>
      <c r="AC7">
        <v>1</v>
      </c>
      <c r="AF7">
        <v>1</v>
      </c>
    </row>
    <row r="8" spans="1:32">
      <c r="A8" t="s">
        <v>606</v>
      </c>
      <c r="B8" t="s">
        <v>608</v>
      </c>
      <c r="C8" t="s">
        <v>211</v>
      </c>
      <c r="D8">
        <v>3</v>
      </c>
      <c r="E8" t="s">
        <v>212</v>
      </c>
      <c r="F8" t="s">
        <v>213</v>
      </c>
      <c r="G8" t="s">
        <v>260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-3.5190615836000001</v>
      </c>
      <c r="R8">
        <v>-24</v>
      </c>
      <c r="S8">
        <v>94.135265665299997</v>
      </c>
      <c r="T8">
        <v>107.19330410800001</v>
      </c>
      <c r="U8">
        <v>3.7292959839000002</v>
      </c>
      <c r="V8">
        <v>5.0535157000000004E-3</v>
      </c>
      <c r="W8">
        <v>-6.8887900000000002E-5</v>
      </c>
      <c r="X8">
        <v>3.6905216335</v>
      </c>
      <c r="Y8">
        <v>93.323511090699995</v>
      </c>
      <c r="Z8">
        <v>78.252919055600003</v>
      </c>
      <c r="AA8">
        <v>343.62952443180001</v>
      </c>
      <c r="AB8">
        <v>368.12684413160002</v>
      </c>
      <c r="AC8">
        <v>1</v>
      </c>
      <c r="AF8">
        <v>1</v>
      </c>
    </row>
    <row r="9" spans="1:32">
      <c r="A9" t="s">
        <v>625</v>
      </c>
      <c r="B9" t="s">
        <v>629</v>
      </c>
      <c r="C9" t="s">
        <v>211</v>
      </c>
      <c r="D9">
        <v>3</v>
      </c>
      <c r="E9" t="s">
        <v>212</v>
      </c>
      <c r="F9" t="s">
        <v>213</v>
      </c>
      <c r="G9" t="s">
        <v>260</v>
      </c>
      <c r="H9" t="s">
        <v>215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-2.3460410557000002</v>
      </c>
      <c r="R9">
        <v>-16</v>
      </c>
      <c r="S9">
        <v>93.419029058299998</v>
      </c>
      <c r="T9">
        <v>102.3125647764</v>
      </c>
      <c r="U9">
        <v>3.8017440798000002</v>
      </c>
      <c r="V9">
        <v>4.4746435000000001E-3</v>
      </c>
      <c r="W9">
        <v>-6.8457300000000006E-5</v>
      </c>
      <c r="X9">
        <v>3.7385650601</v>
      </c>
      <c r="Y9">
        <v>91.597429843699999</v>
      </c>
      <c r="Z9">
        <v>76.153096911800006</v>
      </c>
      <c r="AA9">
        <v>335.323383944</v>
      </c>
      <c r="AB9">
        <v>359.73364902470001</v>
      </c>
      <c r="AC9">
        <v>1</v>
      </c>
      <c r="AF9">
        <v>1</v>
      </c>
    </row>
    <row r="10" spans="1:32">
      <c r="A10" t="s">
        <v>627</v>
      </c>
      <c r="B10" t="s">
        <v>630</v>
      </c>
      <c r="C10" t="s">
        <v>211</v>
      </c>
      <c r="D10">
        <v>3</v>
      </c>
      <c r="E10" t="s">
        <v>212</v>
      </c>
      <c r="F10" t="s">
        <v>213</v>
      </c>
      <c r="G10" t="s">
        <v>260</v>
      </c>
      <c r="H10" t="s">
        <v>215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-1.1730205279000001</v>
      </c>
      <c r="R10">
        <v>-8</v>
      </c>
      <c r="S10">
        <v>93.879772752199997</v>
      </c>
      <c r="T10">
        <v>98.356367321099995</v>
      </c>
      <c r="U10">
        <v>3.8213564992000002</v>
      </c>
      <c r="V10">
        <v>4.2429631000000002E-3</v>
      </c>
      <c r="W10">
        <v>-5.9991100000000002E-5</v>
      </c>
      <c r="X10">
        <v>3.7877660100999999</v>
      </c>
      <c r="Y10">
        <v>93.461621657600006</v>
      </c>
      <c r="Z10">
        <v>73.692255038400006</v>
      </c>
      <c r="AA10">
        <v>336.88697749160002</v>
      </c>
      <c r="AB10">
        <v>364.46457478830001</v>
      </c>
      <c r="AC10">
        <v>1</v>
      </c>
      <c r="AF10">
        <v>1</v>
      </c>
    </row>
    <row r="11" spans="1:32">
      <c r="A11" t="s">
        <v>649</v>
      </c>
      <c r="B11" t="s">
        <v>653</v>
      </c>
      <c r="C11" t="s">
        <v>211</v>
      </c>
      <c r="D11">
        <v>3</v>
      </c>
      <c r="E11" t="s">
        <v>212</v>
      </c>
      <c r="F11" t="s">
        <v>213</v>
      </c>
      <c r="G11" t="s">
        <v>260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-3.5190615836000001</v>
      </c>
      <c r="R11">
        <v>-24</v>
      </c>
      <c r="S11">
        <v>95.181244672399998</v>
      </c>
      <c r="T11">
        <v>108.50676265209999</v>
      </c>
      <c r="U11">
        <v>3.8060466921999998</v>
      </c>
      <c r="V11">
        <v>5.2504346000000002E-3</v>
      </c>
      <c r="W11">
        <v>-7.2842200000000005E-5</v>
      </c>
      <c r="X11">
        <v>3.7709540733</v>
      </c>
      <c r="Y11">
        <v>92.720409189999998</v>
      </c>
      <c r="Z11">
        <v>72.022234792399999</v>
      </c>
      <c r="AA11">
        <v>343.10641641109999</v>
      </c>
      <c r="AB11">
        <v>368.65101477960002</v>
      </c>
      <c r="AC11">
        <v>1</v>
      </c>
      <c r="AF11">
        <v>1</v>
      </c>
    </row>
    <row r="12" spans="1:32">
      <c r="A12" t="s">
        <v>651</v>
      </c>
      <c r="B12" t="s">
        <v>654</v>
      </c>
      <c r="C12" t="s">
        <v>211</v>
      </c>
      <c r="D12">
        <v>3</v>
      </c>
      <c r="E12" t="s">
        <v>212</v>
      </c>
      <c r="F12" t="s">
        <v>213</v>
      </c>
      <c r="G12" t="s">
        <v>260</v>
      </c>
      <c r="H12" t="s">
        <v>215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-2.3460410557000002</v>
      </c>
      <c r="R12">
        <v>-16</v>
      </c>
      <c r="S12">
        <v>90.018514263699998</v>
      </c>
      <c r="T12">
        <v>98.909408902099997</v>
      </c>
      <c r="U12">
        <v>3.8026681762000001</v>
      </c>
      <c r="V12">
        <v>5.3375881999999999E-3</v>
      </c>
      <c r="W12">
        <v>-7.3063699999999996E-5</v>
      </c>
      <c r="X12">
        <v>3.7721455990999999</v>
      </c>
      <c r="Y12">
        <v>89.412043870000005</v>
      </c>
      <c r="Z12">
        <v>75.866234795599993</v>
      </c>
      <c r="AA12">
        <v>338.7722580098</v>
      </c>
      <c r="AB12">
        <v>362.22357076259999</v>
      </c>
      <c r="AC12">
        <v>1</v>
      </c>
      <c r="AF12">
        <v>1</v>
      </c>
    </row>
    <row r="13" spans="1:32">
      <c r="A13" t="s">
        <v>666</v>
      </c>
      <c r="B13" t="s">
        <v>668</v>
      </c>
      <c r="C13" t="s">
        <v>211</v>
      </c>
      <c r="D13">
        <v>3</v>
      </c>
      <c r="E13" t="s">
        <v>212</v>
      </c>
      <c r="F13" t="s">
        <v>213</v>
      </c>
      <c r="G13" t="s">
        <v>260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-3.5190615836000001</v>
      </c>
      <c r="R13">
        <v>-24</v>
      </c>
      <c r="S13">
        <v>93.0145078396</v>
      </c>
      <c r="T13">
        <v>106.32827630990001</v>
      </c>
      <c r="U13">
        <v>3.7978446262999999</v>
      </c>
      <c r="V13">
        <v>3.9020347000000002E-3</v>
      </c>
      <c r="W13">
        <v>-6.3301999999999998E-5</v>
      </c>
      <c r="X13">
        <v>3.7239444175999998</v>
      </c>
      <c r="Y13">
        <v>91.887521985899994</v>
      </c>
      <c r="Z13">
        <v>72.308131343400007</v>
      </c>
      <c r="AA13">
        <v>338.36438225799998</v>
      </c>
      <c r="AB13">
        <v>362.52012763239998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277</v>
      </c>
      <c r="R1" t="s">
        <v>278</v>
      </c>
      <c r="S1" t="s">
        <v>279</v>
      </c>
      <c r="T1" t="s">
        <v>280</v>
      </c>
      <c r="U1" t="s">
        <v>281</v>
      </c>
      <c r="V1" t="s">
        <v>282</v>
      </c>
      <c r="W1" t="s">
        <v>283</v>
      </c>
      <c r="X1" t="s">
        <v>284</v>
      </c>
      <c r="Y1" t="s">
        <v>285</v>
      </c>
      <c r="Z1" t="s">
        <v>286</v>
      </c>
      <c r="AA1" t="s">
        <v>287</v>
      </c>
      <c r="AB1" t="s">
        <v>288</v>
      </c>
      <c r="AC1" t="s">
        <v>289</v>
      </c>
      <c r="AD1" t="s">
        <v>290</v>
      </c>
      <c r="AE1" t="s">
        <v>291</v>
      </c>
      <c r="AF1" t="s">
        <v>292</v>
      </c>
      <c r="AG1" t="s">
        <v>293</v>
      </c>
      <c r="AH1" t="s">
        <v>294</v>
      </c>
      <c r="AI1" t="s">
        <v>295</v>
      </c>
      <c r="AJ1" t="s">
        <v>296</v>
      </c>
      <c r="AK1" t="s">
        <v>297</v>
      </c>
      <c r="AL1" t="s">
        <v>298</v>
      </c>
      <c r="AM1" t="s">
        <v>299</v>
      </c>
      <c r="AN1" t="s">
        <v>300</v>
      </c>
      <c r="AO1" t="s">
        <v>301</v>
      </c>
      <c r="AP1" t="s">
        <v>302</v>
      </c>
      <c r="AQ1" t="s">
        <v>303</v>
      </c>
      <c r="AR1" t="s">
        <v>304</v>
      </c>
      <c r="AS1" t="s">
        <v>305</v>
      </c>
      <c r="AT1" t="s">
        <v>306</v>
      </c>
      <c r="AU1" t="s">
        <v>307</v>
      </c>
      <c r="AV1" t="s">
        <v>308</v>
      </c>
      <c r="AW1" t="s">
        <v>309</v>
      </c>
      <c r="AX1" t="s">
        <v>310</v>
      </c>
      <c r="AY1" t="s">
        <v>311</v>
      </c>
      <c r="AZ1" t="s">
        <v>312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322</v>
      </c>
      <c r="BK1" t="s">
        <v>323</v>
      </c>
      <c r="BL1" t="s">
        <v>324</v>
      </c>
      <c r="BM1" t="s">
        <v>325</v>
      </c>
      <c r="BN1" t="s">
        <v>326</v>
      </c>
      <c r="BO1" t="s">
        <v>327</v>
      </c>
      <c r="BP1" t="s">
        <v>328</v>
      </c>
      <c r="BQ1" t="s">
        <v>329</v>
      </c>
      <c r="BR1" t="s">
        <v>330</v>
      </c>
      <c r="BS1" t="s">
        <v>331</v>
      </c>
      <c r="BT1" t="s">
        <v>332</v>
      </c>
      <c r="BU1" t="s">
        <v>333</v>
      </c>
      <c r="BV1" t="s">
        <v>334</v>
      </c>
      <c r="BW1" t="s">
        <v>335</v>
      </c>
      <c r="BX1" t="s">
        <v>336</v>
      </c>
      <c r="BY1" t="s">
        <v>337</v>
      </c>
      <c r="BZ1" t="s">
        <v>338</v>
      </c>
      <c r="CA1" t="s">
        <v>339</v>
      </c>
      <c r="CB1" t="s">
        <v>340</v>
      </c>
      <c r="CC1" t="s">
        <v>341</v>
      </c>
      <c r="CD1" t="s">
        <v>342</v>
      </c>
      <c r="CE1" t="s">
        <v>343</v>
      </c>
      <c r="CF1" t="s">
        <v>344</v>
      </c>
      <c r="CG1" t="s">
        <v>345</v>
      </c>
      <c r="CH1" t="s">
        <v>346</v>
      </c>
      <c r="CI1" t="s">
        <v>347</v>
      </c>
      <c r="CJ1" t="s">
        <v>348</v>
      </c>
      <c r="CK1" t="s">
        <v>349</v>
      </c>
      <c r="CL1" t="s">
        <v>350</v>
      </c>
      <c r="CM1" t="s">
        <v>351</v>
      </c>
      <c r="CN1" t="s">
        <v>352</v>
      </c>
      <c r="CO1" t="s">
        <v>353</v>
      </c>
      <c r="CP1" t="s">
        <v>354</v>
      </c>
      <c r="CQ1" t="s">
        <v>355</v>
      </c>
      <c r="CR1" t="s">
        <v>356</v>
      </c>
      <c r="CS1" t="s">
        <v>357</v>
      </c>
      <c r="CT1" t="s">
        <v>358</v>
      </c>
      <c r="CU1" t="s">
        <v>359</v>
      </c>
      <c r="CV1" t="s">
        <v>360</v>
      </c>
      <c r="CW1" t="s">
        <v>361</v>
      </c>
      <c r="CX1" t="s">
        <v>362</v>
      </c>
      <c r="CY1" t="s">
        <v>363</v>
      </c>
      <c r="CZ1" t="s">
        <v>364</v>
      </c>
      <c r="DA1" t="s">
        <v>365</v>
      </c>
      <c r="DB1" t="s">
        <v>366</v>
      </c>
      <c r="DC1" t="s">
        <v>367</v>
      </c>
      <c r="DD1" t="s">
        <v>368</v>
      </c>
      <c r="DE1" t="s">
        <v>369</v>
      </c>
      <c r="DF1" t="s">
        <v>370</v>
      </c>
      <c r="DG1" t="s">
        <v>371</v>
      </c>
      <c r="DH1" t="s">
        <v>372</v>
      </c>
      <c r="DI1" t="s">
        <v>373</v>
      </c>
      <c r="DJ1" t="s">
        <v>374</v>
      </c>
      <c r="DK1" t="s">
        <v>375</v>
      </c>
      <c r="DL1" t="s">
        <v>376</v>
      </c>
      <c r="DM1" t="s">
        <v>377</v>
      </c>
      <c r="DN1" t="s">
        <v>378</v>
      </c>
      <c r="DO1" t="s">
        <v>379</v>
      </c>
      <c r="DP1" t="s">
        <v>380</v>
      </c>
      <c r="DQ1" t="s">
        <v>381</v>
      </c>
      <c r="DR1" t="s">
        <v>382</v>
      </c>
      <c r="DS1" t="s">
        <v>383</v>
      </c>
      <c r="DT1" t="s">
        <v>384</v>
      </c>
      <c r="DU1" t="s">
        <v>385</v>
      </c>
      <c r="DV1" t="s">
        <v>386</v>
      </c>
      <c r="DW1" t="s">
        <v>387</v>
      </c>
      <c r="DX1" t="s">
        <v>388</v>
      </c>
      <c r="DY1" t="s">
        <v>389</v>
      </c>
      <c r="DZ1" t="s">
        <v>390</v>
      </c>
      <c r="EA1" t="s">
        <v>391</v>
      </c>
      <c r="EB1" t="s">
        <v>392</v>
      </c>
      <c r="EC1" t="s">
        <v>393</v>
      </c>
      <c r="ED1" t="s">
        <v>394</v>
      </c>
      <c r="EE1" t="s">
        <v>395</v>
      </c>
      <c r="EF1" t="s">
        <v>396</v>
      </c>
      <c r="EG1" t="s">
        <v>397</v>
      </c>
      <c r="EH1" t="s">
        <v>398</v>
      </c>
      <c r="EI1" t="s">
        <v>399</v>
      </c>
      <c r="EJ1" t="s">
        <v>400</v>
      </c>
      <c r="EK1" t="s">
        <v>401</v>
      </c>
      <c r="EL1" t="s">
        <v>402</v>
      </c>
      <c r="EM1" t="s">
        <v>403</v>
      </c>
      <c r="EN1" t="s">
        <v>404</v>
      </c>
      <c r="EO1" t="s">
        <v>405</v>
      </c>
      <c r="EP1" t="s">
        <v>406</v>
      </c>
      <c r="EQ1" t="s">
        <v>407</v>
      </c>
      <c r="ER1" t="s">
        <v>408</v>
      </c>
      <c r="ES1" t="s">
        <v>409</v>
      </c>
      <c r="ET1" t="s">
        <v>410</v>
      </c>
      <c r="EU1" t="s">
        <v>411</v>
      </c>
      <c r="EV1" t="s">
        <v>412</v>
      </c>
      <c r="EW1" t="s">
        <v>413</v>
      </c>
      <c r="EX1" t="s">
        <v>414</v>
      </c>
      <c r="EY1" t="s">
        <v>415</v>
      </c>
      <c r="EZ1" t="s">
        <v>416</v>
      </c>
      <c r="FA1" t="s">
        <v>417</v>
      </c>
      <c r="FB1" t="s">
        <v>418</v>
      </c>
      <c r="FC1" t="s">
        <v>419</v>
      </c>
      <c r="FD1" t="s">
        <v>420</v>
      </c>
      <c r="FE1" t="s">
        <v>421</v>
      </c>
      <c r="FF1" t="s">
        <v>422</v>
      </c>
      <c r="FG1" t="s">
        <v>423</v>
      </c>
      <c r="FH1" t="s">
        <v>424</v>
      </c>
      <c r="FI1" t="s">
        <v>425</v>
      </c>
      <c r="FJ1" t="s">
        <v>426</v>
      </c>
      <c r="FK1" t="s">
        <v>427</v>
      </c>
      <c r="FL1" t="s">
        <v>428</v>
      </c>
      <c r="FM1" t="s">
        <v>429</v>
      </c>
      <c r="FN1" t="s">
        <v>430</v>
      </c>
      <c r="FO1" t="s">
        <v>431</v>
      </c>
      <c r="FP1" t="s">
        <v>432</v>
      </c>
      <c r="FQ1" t="s">
        <v>433</v>
      </c>
      <c r="FR1" t="s">
        <v>434</v>
      </c>
      <c r="FS1" t="s">
        <v>435</v>
      </c>
      <c r="FT1" t="s">
        <v>436</v>
      </c>
      <c r="FU1" t="s">
        <v>437</v>
      </c>
      <c r="FV1" t="s">
        <v>438</v>
      </c>
      <c r="FW1" t="s">
        <v>439</v>
      </c>
      <c r="FX1" t="s">
        <v>440</v>
      </c>
      <c r="FY1" t="s">
        <v>441</v>
      </c>
      <c r="FZ1" t="s">
        <v>442</v>
      </c>
      <c r="GA1" t="s">
        <v>443</v>
      </c>
      <c r="GB1" t="s">
        <v>444</v>
      </c>
      <c r="GC1" t="s">
        <v>445</v>
      </c>
      <c r="GD1" t="s">
        <v>446</v>
      </c>
      <c r="GE1" t="s">
        <v>447</v>
      </c>
      <c r="GF1" t="s">
        <v>448</v>
      </c>
      <c r="GG1" t="s">
        <v>449</v>
      </c>
      <c r="GH1" t="s">
        <v>450</v>
      </c>
      <c r="GI1" t="s">
        <v>451</v>
      </c>
      <c r="GJ1" t="s">
        <v>452</v>
      </c>
      <c r="GK1" t="s">
        <v>453</v>
      </c>
      <c r="GL1" t="s">
        <v>454</v>
      </c>
      <c r="GM1" t="s">
        <v>455</v>
      </c>
      <c r="GN1" t="s">
        <v>456</v>
      </c>
      <c r="GO1" t="s">
        <v>457</v>
      </c>
      <c r="GP1" t="s">
        <v>458</v>
      </c>
      <c r="GQ1" t="s">
        <v>459</v>
      </c>
      <c r="GR1" t="s">
        <v>460</v>
      </c>
      <c r="GS1" t="s">
        <v>461</v>
      </c>
      <c r="GT1" t="s">
        <v>462</v>
      </c>
      <c r="GU1" t="s">
        <v>463</v>
      </c>
      <c r="GV1" t="s">
        <v>464</v>
      </c>
      <c r="GW1" t="s">
        <v>465</v>
      </c>
      <c r="GX1" t="s">
        <v>466</v>
      </c>
      <c r="GY1" t="s">
        <v>467</v>
      </c>
      <c r="GZ1" t="s">
        <v>468</v>
      </c>
      <c r="HA1" t="s">
        <v>469</v>
      </c>
      <c r="HB1" t="s">
        <v>470</v>
      </c>
      <c r="HC1" t="s">
        <v>471</v>
      </c>
      <c r="HD1" t="s">
        <v>472</v>
      </c>
      <c r="HE1" t="s">
        <v>473</v>
      </c>
      <c r="HF1" t="s">
        <v>474</v>
      </c>
      <c r="HG1" t="s">
        <v>475</v>
      </c>
      <c r="HH1" t="s">
        <v>476</v>
      </c>
      <c r="HI1" t="s">
        <v>477</v>
      </c>
      <c r="HJ1" t="s">
        <v>478</v>
      </c>
      <c r="HK1" t="s">
        <v>479</v>
      </c>
      <c r="HL1" t="s">
        <v>480</v>
      </c>
      <c r="HM1" t="s">
        <v>481</v>
      </c>
      <c r="HN1" t="s">
        <v>482</v>
      </c>
      <c r="HO1" t="s">
        <v>483</v>
      </c>
      <c r="HP1" t="s">
        <v>484</v>
      </c>
      <c r="HQ1" t="s">
        <v>485</v>
      </c>
      <c r="HR1" t="s">
        <v>486</v>
      </c>
      <c r="HS1" t="s">
        <v>487</v>
      </c>
      <c r="HT1" t="s">
        <v>488</v>
      </c>
      <c r="HU1" t="s">
        <v>489</v>
      </c>
      <c r="HV1" t="s">
        <v>490</v>
      </c>
      <c r="HW1" t="s">
        <v>491</v>
      </c>
      <c r="HX1" t="s">
        <v>492</v>
      </c>
      <c r="HY1" t="s">
        <v>493</v>
      </c>
      <c r="HZ1" t="s">
        <v>494</v>
      </c>
      <c r="IA1" t="s">
        <v>495</v>
      </c>
      <c r="IB1" t="s">
        <v>496</v>
      </c>
      <c r="IC1" t="s">
        <v>497</v>
      </c>
      <c r="ID1" t="s">
        <v>498</v>
      </c>
      <c r="IE1" t="s">
        <v>499</v>
      </c>
      <c r="IF1" t="s">
        <v>500</v>
      </c>
      <c r="IG1" t="s">
        <v>501</v>
      </c>
      <c r="IH1" t="s">
        <v>502</v>
      </c>
      <c r="II1" t="s">
        <v>503</v>
      </c>
      <c r="IJ1" t="s">
        <v>504</v>
      </c>
      <c r="IK1" t="s">
        <v>505</v>
      </c>
      <c r="IL1" t="s">
        <v>506</v>
      </c>
      <c r="IM1" t="s">
        <v>507</v>
      </c>
      <c r="IN1" t="s">
        <v>508</v>
      </c>
      <c r="IO1" t="s">
        <v>509</v>
      </c>
      <c r="IP1" t="s">
        <v>510</v>
      </c>
      <c r="IQ1" t="s">
        <v>511</v>
      </c>
      <c r="IR1" t="s">
        <v>512</v>
      </c>
      <c r="IS1" t="s">
        <v>513</v>
      </c>
      <c r="IT1" t="s">
        <v>514</v>
      </c>
      <c r="IU1" t="s">
        <v>515</v>
      </c>
      <c r="IV1" t="s">
        <v>516</v>
      </c>
      <c r="IW1" t="s">
        <v>517</v>
      </c>
      <c r="IX1" t="s">
        <v>518</v>
      </c>
      <c r="IY1" t="s">
        <v>519</v>
      </c>
      <c r="IZ1" t="s">
        <v>520</v>
      </c>
      <c r="JA1" t="s">
        <v>521</v>
      </c>
      <c r="JB1" t="s">
        <v>522</v>
      </c>
      <c r="JC1" t="s">
        <v>523</v>
      </c>
      <c r="JD1" t="s">
        <v>524</v>
      </c>
      <c r="JE1" t="s">
        <v>525</v>
      </c>
      <c r="JF1" t="s">
        <v>526</v>
      </c>
      <c r="JG1" t="s">
        <v>527</v>
      </c>
      <c r="JH1" t="s">
        <v>528</v>
      </c>
      <c r="JI1" t="s">
        <v>529</v>
      </c>
      <c r="JJ1" t="s">
        <v>530</v>
      </c>
      <c r="JK1" t="s">
        <v>270</v>
      </c>
      <c r="JL1" t="s">
        <v>531</v>
      </c>
      <c r="JM1" t="s">
        <v>532</v>
      </c>
      <c r="JN1" t="s">
        <v>533</v>
      </c>
      <c r="JO1" t="s">
        <v>206</v>
      </c>
      <c r="JP1" t="s">
        <v>207</v>
      </c>
      <c r="JQ1" t="s">
        <v>208</v>
      </c>
    </row>
    <row r="2" spans="1:277">
      <c r="A2" t="s">
        <v>534</v>
      </c>
      <c r="B2" t="s">
        <v>535</v>
      </c>
      <c r="C2" t="s">
        <v>211</v>
      </c>
      <c r="D2">
        <v>3</v>
      </c>
      <c r="E2" t="s">
        <v>212</v>
      </c>
      <c r="F2" t="s">
        <v>213</v>
      </c>
      <c r="G2" t="s">
        <v>536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0</v>
      </c>
      <c r="R2">
        <v>0.60000000119999997</v>
      </c>
      <c r="S2">
        <v>0.7000000005</v>
      </c>
      <c r="T2">
        <v>0.7000000005</v>
      </c>
      <c r="U2">
        <v>0.7000000005</v>
      </c>
      <c r="V2">
        <v>0.79999999980000003</v>
      </c>
      <c r="W2">
        <v>0.79999999980000003</v>
      </c>
      <c r="X2">
        <v>0.90000000089999999</v>
      </c>
      <c r="Y2">
        <v>0.90000000089999999</v>
      </c>
      <c r="Z2">
        <v>1.0000000002</v>
      </c>
      <c r="AA2">
        <v>1.1000000013</v>
      </c>
      <c r="AB2">
        <v>1.2000000006</v>
      </c>
      <c r="AC2">
        <v>1.2000000006</v>
      </c>
      <c r="AD2">
        <v>1.2000000006</v>
      </c>
      <c r="AE2">
        <v>1.2000000006</v>
      </c>
      <c r="AF2">
        <v>1.2999999999</v>
      </c>
      <c r="AG2">
        <v>1.2999999999</v>
      </c>
      <c r="AH2">
        <v>1.400000001</v>
      </c>
      <c r="AI2">
        <v>1.6000000014</v>
      </c>
      <c r="AJ2">
        <v>2.1000000015000002</v>
      </c>
      <c r="AK2">
        <v>4.0000000008000001</v>
      </c>
      <c r="AL2">
        <v>9.2000000003999993</v>
      </c>
      <c r="AM2">
        <v>16.300000001099999</v>
      </c>
      <c r="AN2">
        <v>23.500000001099998</v>
      </c>
      <c r="AO2">
        <v>30.700000001199999</v>
      </c>
      <c r="AP2">
        <v>38.099999999799998</v>
      </c>
      <c r="AQ2">
        <v>46.100000001399998</v>
      </c>
      <c r="AR2">
        <v>54.600000001300003</v>
      </c>
      <c r="AS2">
        <v>63.000000000100002</v>
      </c>
      <c r="AT2">
        <v>70.999999999899998</v>
      </c>
      <c r="AU2">
        <v>78.7</v>
      </c>
      <c r="AV2">
        <v>86.400000000099993</v>
      </c>
      <c r="AW2">
        <v>95.000000001199993</v>
      </c>
      <c r="AX2">
        <v>104.6999999999</v>
      </c>
      <c r="AY2">
        <v>114.0000000014</v>
      </c>
      <c r="AZ2">
        <v>122.4000000002</v>
      </c>
      <c r="BA2">
        <v>130.6000000004</v>
      </c>
      <c r="BB2">
        <v>138.5000000009</v>
      </c>
      <c r="BC2">
        <v>147.00000000079999</v>
      </c>
      <c r="BD2">
        <v>156.0000000009</v>
      </c>
      <c r="BE2">
        <v>165.2000000013</v>
      </c>
      <c r="BF2">
        <v>173.60000000010001</v>
      </c>
      <c r="BG2">
        <v>181.70000000100001</v>
      </c>
      <c r="BH2">
        <v>189.8000000001</v>
      </c>
      <c r="BI2">
        <v>198.3</v>
      </c>
      <c r="BJ2">
        <v>207.00000000029999</v>
      </c>
      <c r="BK2">
        <v>216.2000000008</v>
      </c>
      <c r="BL2">
        <v>224.50000000029999</v>
      </c>
      <c r="BM2">
        <v>232.60000000119999</v>
      </c>
      <c r="BN2">
        <v>240.49999999990001</v>
      </c>
      <c r="BO2">
        <v>248.9999999998</v>
      </c>
      <c r="BP2">
        <v>257.50000000149998</v>
      </c>
      <c r="BQ2">
        <v>266.30000000109999</v>
      </c>
      <c r="BR2">
        <v>274.6999999999</v>
      </c>
      <c r="BS2">
        <v>282.69999999970003</v>
      </c>
      <c r="BT2">
        <v>290.30000000059999</v>
      </c>
      <c r="BU2">
        <v>298.40000000150002</v>
      </c>
      <c r="BV2">
        <v>306.50000000059998</v>
      </c>
      <c r="BW2">
        <v>315.00000000049999</v>
      </c>
      <c r="BX2">
        <v>323.10000000140002</v>
      </c>
      <c r="BY2">
        <v>330.79999999969999</v>
      </c>
      <c r="BZ2">
        <v>337.99999999969998</v>
      </c>
      <c r="CA2">
        <v>345.30000000090001</v>
      </c>
      <c r="CB2">
        <v>353.00000000099999</v>
      </c>
      <c r="CC2">
        <v>360.6</v>
      </c>
      <c r="CD2">
        <v>368.4000000012</v>
      </c>
      <c r="CE2">
        <v>376.00000000019998</v>
      </c>
      <c r="CF2">
        <v>383.10000000090002</v>
      </c>
      <c r="CG2">
        <v>389.50000000109998</v>
      </c>
      <c r="CH2">
        <v>396.50000000070003</v>
      </c>
      <c r="CI2">
        <v>403.60000000150001</v>
      </c>
      <c r="CJ2">
        <v>410.7000000004</v>
      </c>
      <c r="CK2">
        <v>418.00000000149998</v>
      </c>
      <c r="CL2">
        <v>424.9</v>
      </c>
      <c r="CM2">
        <v>431.30000000019999</v>
      </c>
      <c r="CN2">
        <v>437.4000000007</v>
      </c>
      <c r="CO2">
        <v>443.69999999980001</v>
      </c>
      <c r="CP2">
        <v>449.00000000049999</v>
      </c>
      <c r="CQ2">
        <v>453.10000000060001</v>
      </c>
      <c r="CR2">
        <v>454.40000000049997</v>
      </c>
      <c r="CS2">
        <v>454.40000000049997</v>
      </c>
      <c r="CT2">
        <v>454.49999999980002</v>
      </c>
      <c r="CU2">
        <v>454.49999999980002</v>
      </c>
      <c r="CV2">
        <v>454.49999999980002</v>
      </c>
      <c r="CW2">
        <v>454.60000000090002</v>
      </c>
      <c r="CX2">
        <v>454.60000000090002</v>
      </c>
      <c r="CY2">
        <v>454.70000000020002</v>
      </c>
      <c r="CZ2">
        <v>454.70000000020002</v>
      </c>
      <c r="DA2">
        <v>454.60000000090002</v>
      </c>
      <c r="DB2">
        <v>454.60000000090002</v>
      </c>
      <c r="DC2">
        <v>454.70000000020002</v>
      </c>
      <c r="DD2">
        <v>454.80000000130002</v>
      </c>
      <c r="DE2">
        <v>454.80000000130002</v>
      </c>
      <c r="DF2">
        <v>454.80000000130002</v>
      </c>
      <c r="DG2">
        <v>1.5000000003</v>
      </c>
      <c r="DH2">
        <v>1.2999999999</v>
      </c>
      <c r="DI2">
        <v>1.5000000003</v>
      </c>
      <c r="DJ2">
        <v>1.5000000003</v>
      </c>
      <c r="DK2">
        <v>1.5000000003</v>
      </c>
      <c r="DL2">
        <v>1.6000000014</v>
      </c>
      <c r="DM2">
        <v>1.6000000014</v>
      </c>
      <c r="DN2">
        <v>1.7000000007</v>
      </c>
      <c r="DO2">
        <v>1.8</v>
      </c>
      <c r="DP2">
        <v>1.8</v>
      </c>
      <c r="DQ2">
        <v>1.9000000011</v>
      </c>
      <c r="DR2">
        <v>1.9000000011</v>
      </c>
      <c r="DS2">
        <v>2.0000000004</v>
      </c>
      <c r="DT2">
        <v>2.4000000012</v>
      </c>
      <c r="DU2">
        <v>3.0000000006</v>
      </c>
      <c r="DV2">
        <v>3.0999999999000001</v>
      </c>
      <c r="DW2">
        <v>3.0999999999000001</v>
      </c>
      <c r="DX2">
        <v>3.3000000002999998</v>
      </c>
      <c r="DY2">
        <v>5.1000000002999997</v>
      </c>
      <c r="DZ2">
        <v>10.299999999900001</v>
      </c>
      <c r="EA2">
        <v>17.200000000199999</v>
      </c>
      <c r="EB2">
        <v>23.800000000800001</v>
      </c>
      <c r="EC2">
        <v>31.000000000899998</v>
      </c>
      <c r="ED2">
        <v>38.5999999999</v>
      </c>
      <c r="EE2">
        <v>46.5000000004</v>
      </c>
      <c r="EF2">
        <v>55.3</v>
      </c>
      <c r="EG2">
        <v>63.100000001200002</v>
      </c>
      <c r="EH2">
        <v>70.499999999799996</v>
      </c>
      <c r="EI2">
        <v>78.000000001299995</v>
      </c>
      <c r="EJ2">
        <v>86.100000000400001</v>
      </c>
      <c r="EK2">
        <v>94.4</v>
      </c>
      <c r="EL2">
        <v>103.7000000015</v>
      </c>
      <c r="EM2">
        <v>113.3000000009</v>
      </c>
      <c r="EN2">
        <v>121.6000000004</v>
      </c>
      <c r="EO2">
        <v>129.6000000002</v>
      </c>
      <c r="EP2">
        <v>138.00000000079999</v>
      </c>
      <c r="EQ2">
        <v>146.6</v>
      </c>
      <c r="ER2">
        <v>155.70000000120001</v>
      </c>
      <c r="ES2">
        <v>164.80000000050001</v>
      </c>
      <c r="ET2">
        <v>173.0000000007</v>
      </c>
      <c r="EU2">
        <v>181.20000000089999</v>
      </c>
      <c r="EV2">
        <v>189.9000000012</v>
      </c>
      <c r="EW2">
        <v>198.60000000150001</v>
      </c>
      <c r="EX2">
        <v>207.8000000001</v>
      </c>
      <c r="EY2">
        <v>216.8000000001</v>
      </c>
      <c r="EZ2">
        <v>225.00000000040001</v>
      </c>
      <c r="FA2">
        <v>233.0000000002</v>
      </c>
      <c r="FB2">
        <v>241.50000000009999</v>
      </c>
      <c r="FC2">
        <v>250</v>
      </c>
      <c r="FD2">
        <v>259.2000000004</v>
      </c>
      <c r="FE2">
        <v>268.2000000004</v>
      </c>
      <c r="FF2">
        <v>276.10000000100001</v>
      </c>
      <c r="FG2">
        <v>284.00000000149998</v>
      </c>
      <c r="FH2">
        <v>292.300000001</v>
      </c>
      <c r="FI2">
        <v>300.69999999980001</v>
      </c>
      <c r="FJ2">
        <v>309.40000000010002</v>
      </c>
      <c r="FK2">
        <v>318.00000000109998</v>
      </c>
      <c r="FL2">
        <v>325.70000000120001</v>
      </c>
      <c r="FM2">
        <v>333.09999999979999</v>
      </c>
      <c r="FN2">
        <v>341.00000000030002</v>
      </c>
      <c r="FO2">
        <v>349.00000000019998</v>
      </c>
      <c r="FP2">
        <v>357</v>
      </c>
      <c r="FQ2">
        <v>365.30000000130002</v>
      </c>
      <c r="FR2">
        <v>373.0000000014</v>
      </c>
      <c r="FS2">
        <v>379.80000000059999</v>
      </c>
      <c r="FT2">
        <v>386.80000000019999</v>
      </c>
      <c r="FU2">
        <v>394.10000000129997</v>
      </c>
      <c r="FV2">
        <v>401.30000000140001</v>
      </c>
      <c r="FW2">
        <v>408.4000000003</v>
      </c>
      <c r="FX2">
        <v>415.9</v>
      </c>
      <c r="FY2">
        <v>422.50000000059998</v>
      </c>
      <c r="FZ2">
        <v>428.6000000011</v>
      </c>
      <c r="GA2">
        <v>434.90000000020001</v>
      </c>
      <c r="GB2">
        <v>440.80000000029997</v>
      </c>
      <c r="GC2">
        <v>446.10000000100001</v>
      </c>
      <c r="GD2">
        <v>450.39999999970001</v>
      </c>
      <c r="GE2">
        <v>453.4000000003</v>
      </c>
      <c r="GF2">
        <v>454.30000000119998</v>
      </c>
      <c r="GG2">
        <v>454.40000000049997</v>
      </c>
      <c r="GH2">
        <v>454.40000000049997</v>
      </c>
      <c r="GI2">
        <v>454.49999999980002</v>
      </c>
      <c r="GJ2">
        <v>454.49999999980002</v>
      </c>
      <c r="GK2">
        <v>454.60000000090002</v>
      </c>
      <c r="GL2">
        <v>454.60000000090002</v>
      </c>
      <c r="GM2">
        <v>454.60000000090002</v>
      </c>
      <c r="GN2">
        <v>454.60000000090002</v>
      </c>
      <c r="GO2">
        <v>454.60000000090002</v>
      </c>
      <c r="GP2">
        <v>454.70000000020002</v>
      </c>
      <c r="GQ2">
        <v>454.70000000020002</v>
      </c>
      <c r="GR2">
        <v>454.70000000020002</v>
      </c>
      <c r="GS2">
        <v>454.70000000020002</v>
      </c>
      <c r="GT2">
        <v>454.80000000130002</v>
      </c>
      <c r="GU2">
        <v>454.80000000130002</v>
      </c>
      <c r="GV2">
        <v>454.80000000130002</v>
      </c>
      <c r="GW2">
        <v>1</v>
      </c>
      <c r="GX2">
        <v>102.5000000009</v>
      </c>
      <c r="GY2">
        <v>95.000000001199993</v>
      </c>
      <c r="GZ2">
        <v>95.000000001199993</v>
      </c>
      <c r="HA2">
        <v>113.3000000009</v>
      </c>
      <c r="HB2">
        <v>99.190732191099997</v>
      </c>
      <c r="HC2">
        <v>-18.299999999699999</v>
      </c>
      <c r="HD2">
        <v>454.80000000130002</v>
      </c>
      <c r="HE2">
        <v>328.02583553199997</v>
      </c>
      <c r="HF2">
        <v>82.126319261199995</v>
      </c>
      <c r="HG2">
        <v>454.80000000130002</v>
      </c>
      <c r="HH2">
        <v>454.80000000130002</v>
      </c>
      <c r="HI2">
        <v>454.80000000130002</v>
      </c>
      <c r="HJ2">
        <v>454.80000000130002</v>
      </c>
      <c r="HK2">
        <v>105.57184750730001</v>
      </c>
      <c r="HL2">
        <v>3.6575938072</v>
      </c>
      <c r="HM2">
        <v>3.4892254386000001</v>
      </c>
      <c r="HN2">
        <v>3.5488029652000002</v>
      </c>
      <c r="HO2">
        <v>3.4094833474000001</v>
      </c>
      <c r="HP2">
        <v>3.716067652</v>
      </c>
      <c r="HQ2">
        <v>2.9096498773000001</v>
      </c>
      <c r="HR2">
        <v>17.064412929900001</v>
      </c>
      <c r="HS2">
        <v>-23.460410557199999</v>
      </c>
      <c r="HT2">
        <v>-160</v>
      </c>
      <c r="HU2">
        <v>427.21656772310001</v>
      </c>
      <c r="HV2">
        <v>91.495601172999997</v>
      </c>
      <c r="HW2">
        <v>624</v>
      </c>
      <c r="HX2">
        <v>17.064412929900001</v>
      </c>
      <c r="HY2">
        <v>-23.460410557199999</v>
      </c>
      <c r="HZ2">
        <v>-160</v>
      </c>
      <c r="IA2">
        <v>427.21656772310001</v>
      </c>
      <c r="IB2">
        <v>91.495601172999997</v>
      </c>
      <c r="IC2">
        <v>624</v>
      </c>
      <c r="ID2">
        <v>27.5834322782</v>
      </c>
      <c r="IE2">
        <v>1.6257805643000001</v>
      </c>
      <c r="IF2">
        <v>-32.844574780099997</v>
      </c>
      <c r="IG2">
        <v>-224</v>
      </c>
      <c r="IH2">
        <v>450.08843447639998</v>
      </c>
      <c r="II2">
        <v>100.87976539589999</v>
      </c>
      <c r="IJ2">
        <v>688</v>
      </c>
      <c r="IK2">
        <v>410.1521547932</v>
      </c>
      <c r="IL2">
        <v>114.9560117302</v>
      </c>
      <c r="IM2">
        <v>435.72496701789998</v>
      </c>
      <c r="IN2">
        <v>124.3401759531</v>
      </c>
      <c r="IO2">
        <v>7.1000000006999997</v>
      </c>
      <c r="IP2">
        <v>6.2999999990999997</v>
      </c>
      <c r="IQ2">
        <v>9.6999999986999992</v>
      </c>
      <c r="IR2">
        <v>3.2988988552</v>
      </c>
      <c r="IS2">
        <v>3.2988988552</v>
      </c>
      <c r="IT2">
        <v>14.6000000004</v>
      </c>
      <c r="IU2">
        <v>-25.806451612899998</v>
      </c>
      <c r="IV2">
        <v>20.0000000004</v>
      </c>
      <c r="IW2">
        <v>70.381231671600005</v>
      </c>
      <c r="IX2">
        <v>14.800000000800001</v>
      </c>
      <c r="IY2">
        <v>98.533724340199996</v>
      </c>
      <c r="IZ2">
        <v>-28.2495020295</v>
      </c>
      <c r="JA2">
        <v>0.30081717159999999</v>
      </c>
      <c r="JB2">
        <v>-2.1529789999999999E-4</v>
      </c>
      <c r="JC2">
        <v>3.8860000000000003E-7</v>
      </c>
      <c r="JD2">
        <v>0.2734037875</v>
      </c>
      <c r="JE2">
        <v>0.28632609479999999</v>
      </c>
      <c r="JF2">
        <v>0.11902205389999999</v>
      </c>
      <c r="JG2">
        <v>99.918383003599999</v>
      </c>
      <c r="JH2">
        <v>3.716067652</v>
      </c>
      <c r="JI2">
        <v>4.3012322000000004E-3</v>
      </c>
      <c r="JJ2">
        <v>-6.3449999999999997E-5</v>
      </c>
      <c r="JK2">
        <v>3.6575938072</v>
      </c>
      <c r="JL2">
        <v>1.2092503305</v>
      </c>
      <c r="JM2">
        <v>0.40415492419999999</v>
      </c>
      <c r="JN2" t="s">
        <v>537</v>
      </c>
      <c r="JQ2">
        <v>1</v>
      </c>
    </row>
    <row r="3" spans="1:277">
      <c r="A3" t="s">
        <v>546</v>
      </c>
      <c r="B3" t="s">
        <v>547</v>
      </c>
      <c r="C3" t="s">
        <v>211</v>
      </c>
      <c r="D3">
        <v>3</v>
      </c>
      <c r="E3" t="s">
        <v>212</v>
      </c>
      <c r="F3" t="s">
        <v>213</v>
      </c>
      <c r="G3" t="s">
        <v>536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</v>
      </c>
      <c r="R3">
        <v>0.7000000005</v>
      </c>
      <c r="S3">
        <v>0.7000000005</v>
      </c>
      <c r="T3">
        <v>0.79999999980000003</v>
      </c>
      <c r="U3">
        <v>0.79999999980000003</v>
      </c>
      <c r="V3">
        <v>0.79999999980000003</v>
      </c>
      <c r="W3">
        <v>0.90000000089999999</v>
      </c>
      <c r="X3">
        <v>1.0000000002</v>
      </c>
      <c r="Y3">
        <v>1.0000000002</v>
      </c>
      <c r="Z3">
        <v>1.0999999995</v>
      </c>
      <c r="AA3">
        <v>1.0999999995</v>
      </c>
      <c r="AB3">
        <v>1.2000000006</v>
      </c>
      <c r="AC3">
        <v>1.2000000006</v>
      </c>
      <c r="AD3">
        <v>1.2999999999</v>
      </c>
      <c r="AE3">
        <v>1.400000001</v>
      </c>
      <c r="AF3">
        <v>1.5000000003</v>
      </c>
      <c r="AG3">
        <v>1.5999999996000001</v>
      </c>
      <c r="AH3">
        <v>1.7000000007</v>
      </c>
      <c r="AI3">
        <v>1.8</v>
      </c>
      <c r="AJ3">
        <v>1.8999999993000001</v>
      </c>
      <c r="AK3">
        <v>3.5000000007000001</v>
      </c>
      <c r="AL3">
        <v>7.4000000004000004</v>
      </c>
      <c r="AM3">
        <v>13.699999999499999</v>
      </c>
      <c r="AN3">
        <v>20.8999999995</v>
      </c>
      <c r="AO3">
        <v>28.4000000011</v>
      </c>
      <c r="AP3">
        <v>36.4000000009</v>
      </c>
      <c r="AQ3">
        <v>45.000000000100002</v>
      </c>
      <c r="AR3">
        <v>53.299999999599997</v>
      </c>
      <c r="AS3">
        <v>61.200000000099998</v>
      </c>
      <c r="AT3">
        <v>69.199999999900001</v>
      </c>
      <c r="AU3">
        <v>76.900000000000006</v>
      </c>
      <c r="AV3">
        <v>85.6000000003</v>
      </c>
      <c r="AW3">
        <v>95.100000000500003</v>
      </c>
      <c r="AX3">
        <v>104.3000000009</v>
      </c>
      <c r="AY3">
        <v>112.8000000008</v>
      </c>
      <c r="AZ3">
        <v>121.4</v>
      </c>
      <c r="BA3">
        <v>129.19999999940001</v>
      </c>
      <c r="BB3">
        <v>138.00000000079999</v>
      </c>
      <c r="BC3">
        <v>147.6000000002</v>
      </c>
      <c r="BD3">
        <v>156.30000000059999</v>
      </c>
      <c r="BE3">
        <v>164.69999999940001</v>
      </c>
      <c r="BF3">
        <v>173.20000000109999</v>
      </c>
      <c r="BG3">
        <v>181.20000000089999</v>
      </c>
      <c r="BH3">
        <v>190.09999999979999</v>
      </c>
      <c r="BI3">
        <v>199.59999999990001</v>
      </c>
      <c r="BJ3">
        <v>208.20000000089999</v>
      </c>
      <c r="BK3">
        <v>216.50000000049999</v>
      </c>
      <c r="BL3">
        <v>225.0999999997</v>
      </c>
      <c r="BM3">
        <v>233.2000000006</v>
      </c>
      <c r="BN3">
        <v>242.0000000002</v>
      </c>
      <c r="BO3">
        <v>251.400000001</v>
      </c>
      <c r="BP3">
        <v>260.00000000019998</v>
      </c>
      <c r="BQ3">
        <v>268</v>
      </c>
      <c r="BR3">
        <v>276.40000000060002</v>
      </c>
      <c r="BS3">
        <v>284.20000000009998</v>
      </c>
      <c r="BT3">
        <v>292.49999999959999</v>
      </c>
      <c r="BU3">
        <v>301.60000000069999</v>
      </c>
      <c r="BV3">
        <v>309.90000000020001</v>
      </c>
      <c r="BW3">
        <v>317.60000000029999</v>
      </c>
      <c r="BX3">
        <v>325.60000000010001</v>
      </c>
      <c r="BY3">
        <v>333.00000000049999</v>
      </c>
      <c r="BZ3">
        <v>340.50000000019998</v>
      </c>
      <c r="CA3">
        <v>349.09999999950003</v>
      </c>
      <c r="CB3">
        <v>357.40000000079999</v>
      </c>
      <c r="CC3">
        <v>364.40000000039998</v>
      </c>
      <c r="CD3">
        <v>371.80000000080003</v>
      </c>
      <c r="CE3">
        <v>379.30000000050001</v>
      </c>
      <c r="CF3">
        <v>386.2000000008</v>
      </c>
      <c r="CG3">
        <v>393.0999999993</v>
      </c>
      <c r="CH3">
        <v>400.99999999980002</v>
      </c>
      <c r="CI3">
        <v>408.60000000069999</v>
      </c>
      <c r="CJ3">
        <v>415.19999999949999</v>
      </c>
      <c r="CK3">
        <v>422.09999999979999</v>
      </c>
      <c r="CL3">
        <v>428.90000000079999</v>
      </c>
      <c r="CM3">
        <v>435.10000000060001</v>
      </c>
      <c r="CN3">
        <v>441.60000000010001</v>
      </c>
      <c r="CO3">
        <v>447.90000000100002</v>
      </c>
      <c r="CP3">
        <v>453.99999999969998</v>
      </c>
      <c r="CQ3">
        <v>458.30000000019999</v>
      </c>
      <c r="CR3">
        <v>459.30000000040002</v>
      </c>
      <c r="CS3">
        <v>459.30000000040002</v>
      </c>
      <c r="CT3">
        <v>459.30000000040002</v>
      </c>
      <c r="CU3">
        <v>459.30000000040002</v>
      </c>
      <c r="CV3">
        <v>459.39999999970001</v>
      </c>
      <c r="CW3">
        <v>459.39999999970001</v>
      </c>
      <c r="CX3">
        <v>459.30000000040002</v>
      </c>
      <c r="CY3">
        <v>459.39999999970001</v>
      </c>
      <c r="CZ3">
        <v>459.30000000040002</v>
      </c>
      <c r="DA3">
        <v>459.39999999970001</v>
      </c>
      <c r="DB3">
        <v>459.39999999970001</v>
      </c>
      <c r="DC3">
        <v>459.39999999970001</v>
      </c>
      <c r="DD3">
        <v>459.50000000080001</v>
      </c>
      <c r="DE3">
        <v>459.39999999970001</v>
      </c>
      <c r="DF3">
        <v>459.50000000080001</v>
      </c>
      <c r="DG3">
        <v>0.29999999970000002</v>
      </c>
      <c r="DH3">
        <v>1.5000000003</v>
      </c>
      <c r="DI3">
        <v>1.5999999996000001</v>
      </c>
      <c r="DJ3">
        <v>1.5999999996000001</v>
      </c>
      <c r="DK3">
        <v>1.7000000007</v>
      </c>
      <c r="DL3">
        <v>1.7000000007</v>
      </c>
      <c r="DM3">
        <v>1.8</v>
      </c>
      <c r="DN3">
        <v>1.8</v>
      </c>
      <c r="DO3">
        <v>1.8999999993000001</v>
      </c>
      <c r="DP3">
        <v>1.8999999993000001</v>
      </c>
      <c r="DQ3">
        <v>2.0000000004</v>
      </c>
      <c r="DR3">
        <v>2.0000000004</v>
      </c>
      <c r="DS3">
        <v>2.0999999997000001</v>
      </c>
      <c r="DT3">
        <v>2.2000000007999998</v>
      </c>
      <c r="DU3">
        <v>2.3000000000999998</v>
      </c>
      <c r="DV3">
        <v>2.3000000000999998</v>
      </c>
      <c r="DW3">
        <v>2.5000000005</v>
      </c>
      <c r="DX3">
        <v>2.5000000005</v>
      </c>
      <c r="DY3">
        <v>3.6999999993000001</v>
      </c>
      <c r="DZ3">
        <v>7.7999999993999998</v>
      </c>
      <c r="EA3">
        <v>14.4999999993</v>
      </c>
      <c r="EB3">
        <v>21.800000000400001</v>
      </c>
      <c r="EC3">
        <v>29.599999999800001</v>
      </c>
      <c r="ED3">
        <v>37.599999999700003</v>
      </c>
      <c r="EE3">
        <v>46.3</v>
      </c>
      <c r="EF3">
        <v>54.099999999399998</v>
      </c>
      <c r="EG3">
        <v>61.999999999899998</v>
      </c>
      <c r="EH3">
        <v>69.499999999600007</v>
      </c>
      <c r="EI3">
        <v>77.400000000099993</v>
      </c>
      <c r="EJ3">
        <v>85.999999999300002</v>
      </c>
      <c r="EK3">
        <v>95.199999999699997</v>
      </c>
      <c r="EL3">
        <v>104.1000000005</v>
      </c>
      <c r="EM3">
        <v>112.50000000110001</v>
      </c>
      <c r="EN3">
        <v>121.000000001</v>
      </c>
      <c r="EO3">
        <v>129.30000000050001</v>
      </c>
      <c r="EP3">
        <v>138.30000000050001</v>
      </c>
      <c r="EQ3">
        <v>148.00000000099999</v>
      </c>
      <c r="ER3">
        <v>156.60000000030001</v>
      </c>
      <c r="ES3">
        <v>165.1000000002</v>
      </c>
      <c r="ET3">
        <v>173.30000000039999</v>
      </c>
      <c r="EU3">
        <v>181.8000000003</v>
      </c>
      <c r="EV3">
        <v>191.30000000039999</v>
      </c>
      <c r="EW3">
        <v>200.8999999998</v>
      </c>
      <c r="EX3">
        <v>209.30000000039999</v>
      </c>
      <c r="EY3">
        <v>217.39999999950001</v>
      </c>
      <c r="EZ3">
        <v>225.89999999950001</v>
      </c>
      <c r="FA3">
        <v>234.70000000089999</v>
      </c>
      <c r="FB3">
        <v>244.20000000100001</v>
      </c>
      <c r="FC3">
        <v>253.6</v>
      </c>
      <c r="FD3">
        <v>261.89999999949998</v>
      </c>
      <c r="FE3">
        <v>270.39999999939999</v>
      </c>
      <c r="FF3">
        <v>278.40000000110001</v>
      </c>
      <c r="FG3">
        <v>286.59999999950003</v>
      </c>
      <c r="FH3">
        <v>295.90000000100002</v>
      </c>
      <c r="FI3">
        <v>304.90000000100002</v>
      </c>
      <c r="FJ3">
        <v>312.90000000079999</v>
      </c>
      <c r="FK3">
        <v>320.90000000060002</v>
      </c>
      <c r="FL3">
        <v>328.7</v>
      </c>
      <c r="FM3">
        <v>336.60000000050002</v>
      </c>
      <c r="FN3">
        <v>345.30000000090001</v>
      </c>
      <c r="FO3">
        <v>353.99999999940002</v>
      </c>
      <c r="FP3">
        <v>361.69999999949999</v>
      </c>
      <c r="FQ3">
        <v>369.20000000099998</v>
      </c>
      <c r="FR3">
        <v>376.59999999960002</v>
      </c>
      <c r="FS3">
        <v>383.60000000100001</v>
      </c>
      <c r="FT3">
        <v>390.99999999959999</v>
      </c>
      <c r="FU3">
        <v>399.19999999980001</v>
      </c>
      <c r="FV3">
        <v>407.00000000109998</v>
      </c>
      <c r="FW3">
        <v>413.70000000099998</v>
      </c>
      <c r="FX3">
        <v>420.50000000019998</v>
      </c>
      <c r="FY3">
        <v>426.99999999969998</v>
      </c>
      <c r="FZ3">
        <v>433.1000000002</v>
      </c>
      <c r="GA3">
        <v>439.39999999930001</v>
      </c>
      <c r="GB3">
        <v>445.20000000009998</v>
      </c>
      <c r="GC3">
        <v>450.80000000050001</v>
      </c>
      <c r="GD3">
        <v>456.00000000009999</v>
      </c>
      <c r="GE3">
        <v>458.70000000099998</v>
      </c>
      <c r="GF3">
        <v>459.19999999930002</v>
      </c>
      <c r="GG3">
        <v>459.19999999930002</v>
      </c>
      <c r="GH3">
        <v>459.19999999930002</v>
      </c>
      <c r="GI3">
        <v>459.19999999930002</v>
      </c>
      <c r="GJ3">
        <v>459.30000000040002</v>
      </c>
      <c r="GK3">
        <v>459.39999999970001</v>
      </c>
      <c r="GL3">
        <v>459.39999999970001</v>
      </c>
      <c r="GM3">
        <v>459.39999999970001</v>
      </c>
      <c r="GN3">
        <v>459.39999999970001</v>
      </c>
      <c r="GO3">
        <v>459.50000000080001</v>
      </c>
      <c r="GP3">
        <v>459.39999999970001</v>
      </c>
      <c r="GQ3">
        <v>459.50000000080001</v>
      </c>
      <c r="GR3">
        <v>459.50000000080001</v>
      </c>
      <c r="GS3">
        <v>459.50000000080001</v>
      </c>
      <c r="GT3">
        <v>459.50000000080001</v>
      </c>
      <c r="GU3">
        <v>459.50000000080001</v>
      </c>
      <c r="GV3">
        <v>459.50000000080001</v>
      </c>
      <c r="GW3">
        <v>1</v>
      </c>
      <c r="GX3">
        <v>102.6000000002</v>
      </c>
      <c r="GY3">
        <v>95.100000000500003</v>
      </c>
      <c r="GZ3">
        <v>95.100000000500003</v>
      </c>
      <c r="HA3">
        <v>112.50000000110001</v>
      </c>
      <c r="HB3">
        <v>99.030620240000005</v>
      </c>
      <c r="HC3">
        <v>-17.400000000599999</v>
      </c>
      <c r="HD3">
        <v>459.50000000080001</v>
      </c>
      <c r="HE3">
        <v>332.69230685479999</v>
      </c>
      <c r="HF3">
        <v>77.067562569100005</v>
      </c>
      <c r="HG3">
        <v>459.50000000080001</v>
      </c>
      <c r="HH3">
        <v>459.50000000080001</v>
      </c>
      <c r="HI3">
        <v>459.50000000080001</v>
      </c>
      <c r="HJ3">
        <v>459.50000000080001</v>
      </c>
      <c r="HK3">
        <v>103.22580645159999</v>
      </c>
      <c r="HL3">
        <v>3.7257507792000002</v>
      </c>
      <c r="HM3">
        <v>3.5371890261000001</v>
      </c>
      <c r="HN3">
        <v>3.5972722624000002</v>
      </c>
      <c r="HO3">
        <v>3.5108827548999999</v>
      </c>
      <c r="HP3">
        <v>3.7878561836000002</v>
      </c>
      <c r="HQ3">
        <v>2.9452522855000001</v>
      </c>
      <c r="HR3">
        <v>21.9630576709</v>
      </c>
      <c r="HS3">
        <v>-21.114369501500001</v>
      </c>
      <c r="HT3">
        <v>-144</v>
      </c>
      <c r="HU3">
        <v>431.72292709480001</v>
      </c>
      <c r="HV3">
        <v>91.495601172999997</v>
      </c>
      <c r="HW3">
        <v>624</v>
      </c>
      <c r="HX3">
        <v>21.9630576709</v>
      </c>
      <c r="HY3">
        <v>-21.114369501500001</v>
      </c>
      <c r="HZ3">
        <v>-144</v>
      </c>
      <c r="IA3">
        <v>431.72292709480001</v>
      </c>
      <c r="IB3">
        <v>91.495601172999997</v>
      </c>
      <c r="IC3">
        <v>624</v>
      </c>
      <c r="ID3">
        <v>27.777072906099999</v>
      </c>
      <c r="IE3">
        <v>1.9622742103999999</v>
      </c>
      <c r="IF3">
        <v>-30.4985337243</v>
      </c>
      <c r="IG3">
        <v>-208</v>
      </c>
      <c r="IH3">
        <v>455.66467899899999</v>
      </c>
      <c r="II3">
        <v>100.87976539589999</v>
      </c>
      <c r="IJ3">
        <v>688</v>
      </c>
      <c r="IK3">
        <v>409.7598694239</v>
      </c>
      <c r="IL3">
        <v>112.6099706745</v>
      </c>
      <c r="IM3">
        <v>436.54608269829998</v>
      </c>
      <c r="IN3">
        <v>121.9941348974</v>
      </c>
      <c r="IO3">
        <v>7.3000000010999999</v>
      </c>
      <c r="IP3">
        <v>6.3000000008999999</v>
      </c>
      <c r="IQ3">
        <v>9.7000000004999993</v>
      </c>
      <c r="IR3">
        <v>3.2176095226000001</v>
      </c>
      <c r="IS3">
        <v>3.2176095226000001</v>
      </c>
      <c r="IT3">
        <v>15.9000000003</v>
      </c>
      <c r="IU3">
        <v>-23.460410557199999</v>
      </c>
      <c r="IV3">
        <v>21.199999999199999</v>
      </c>
      <c r="IW3">
        <v>68.035190615800005</v>
      </c>
      <c r="IX3">
        <v>14.4</v>
      </c>
      <c r="IY3">
        <v>100.87976539589999</v>
      </c>
      <c r="IZ3">
        <v>-27.450362328200001</v>
      </c>
      <c r="JA3">
        <v>0.29501228740000002</v>
      </c>
      <c r="JB3">
        <v>-2.1062650000000001E-4</v>
      </c>
      <c r="JC3">
        <v>3.7850000000000001E-7</v>
      </c>
      <c r="JD3">
        <v>0.26840227900000002</v>
      </c>
      <c r="JE3">
        <v>0.38239716019999997</v>
      </c>
      <c r="JF3">
        <v>0.1167229558</v>
      </c>
      <c r="JG3">
        <v>98.955064864999997</v>
      </c>
      <c r="JH3">
        <v>3.7878561836000002</v>
      </c>
      <c r="JI3">
        <v>4.4657285999999997E-3</v>
      </c>
      <c r="JJ3">
        <v>-6.6089500000000005E-5</v>
      </c>
      <c r="JK3">
        <v>3.7257507792000002</v>
      </c>
      <c r="JL3">
        <v>0.96025696260000004</v>
      </c>
      <c r="JM3">
        <v>0.3351865094</v>
      </c>
      <c r="JN3" t="s">
        <v>537</v>
      </c>
      <c r="JQ3">
        <v>1</v>
      </c>
    </row>
    <row r="4" spans="1:277">
      <c r="A4" t="s">
        <v>561</v>
      </c>
      <c r="B4" t="s">
        <v>562</v>
      </c>
      <c r="C4" t="s">
        <v>211</v>
      </c>
      <c r="D4">
        <v>3</v>
      </c>
      <c r="E4" t="s">
        <v>212</v>
      </c>
      <c r="F4" t="s">
        <v>213</v>
      </c>
      <c r="G4" t="s">
        <v>536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</v>
      </c>
      <c r="R4">
        <v>0.59999999940000004</v>
      </c>
      <c r="S4">
        <v>0.59999999940000004</v>
      </c>
      <c r="T4">
        <v>0.7000000005</v>
      </c>
      <c r="U4">
        <v>0.59999999940000004</v>
      </c>
      <c r="V4">
        <v>0.7000000005</v>
      </c>
      <c r="W4">
        <v>0.79999999980000003</v>
      </c>
      <c r="X4">
        <v>1.0000000002</v>
      </c>
      <c r="Y4">
        <v>1.0000000002</v>
      </c>
      <c r="Z4">
        <v>1.0000000002</v>
      </c>
      <c r="AA4">
        <v>1.0000000002</v>
      </c>
      <c r="AB4">
        <v>1.0000000002</v>
      </c>
      <c r="AC4">
        <v>0.89999999909999995</v>
      </c>
      <c r="AD4">
        <v>1.0000000002</v>
      </c>
      <c r="AE4">
        <v>1.0999999995</v>
      </c>
      <c r="AF4">
        <v>1.1999999988000001</v>
      </c>
      <c r="AG4">
        <v>1.3999999992000001</v>
      </c>
      <c r="AH4">
        <v>1.5000000003</v>
      </c>
      <c r="AI4">
        <v>1.5999999996000001</v>
      </c>
      <c r="AJ4">
        <v>2.6999999991000001</v>
      </c>
      <c r="AK4">
        <v>6.6999999999000002</v>
      </c>
      <c r="AL4">
        <v>12.300000000300001</v>
      </c>
      <c r="AM4">
        <v>19.0000000002</v>
      </c>
      <c r="AN4">
        <v>26.0999999991</v>
      </c>
      <c r="AO4">
        <v>33.700000000000003</v>
      </c>
      <c r="AP4">
        <v>42.100000000599998</v>
      </c>
      <c r="AQ4">
        <v>50.299999999000001</v>
      </c>
      <c r="AR4">
        <v>58.199999999500001</v>
      </c>
      <c r="AS4">
        <v>66.099999999999994</v>
      </c>
      <c r="AT4">
        <v>74.199999999100001</v>
      </c>
      <c r="AU4">
        <v>82.099999999600001</v>
      </c>
      <c r="AV4">
        <v>91.000000000300005</v>
      </c>
      <c r="AW4">
        <v>100.0999999997</v>
      </c>
      <c r="AX4">
        <v>108.6999999989</v>
      </c>
      <c r="AY4">
        <v>117.1999999988</v>
      </c>
      <c r="AZ4">
        <v>125.5999999994</v>
      </c>
      <c r="BA4">
        <v>133.7999999996</v>
      </c>
      <c r="BB4">
        <v>143.0999999993</v>
      </c>
      <c r="BC4">
        <v>152.2000000004</v>
      </c>
      <c r="BD4">
        <v>160.59999999920001</v>
      </c>
      <c r="BE4">
        <v>169.09999999920001</v>
      </c>
      <c r="BF4">
        <v>177.2999999994</v>
      </c>
      <c r="BG4">
        <v>185.59999999889999</v>
      </c>
      <c r="BH4">
        <v>194.99999999970001</v>
      </c>
      <c r="BI4">
        <v>203.90000000040001</v>
      </c>
      <c r="BJ4">
        <v>212.2999999992</v>
      </c>
      <c r="BK4">
        <v>220.6999999999</v>
      </c>
      <c r="BL4">
        <v>228.90000000009999</v>
      </c>
      <c r="BM4">
        <v>237.10000000030001</v>
      </c>
      <c r="BN4">
        <v>246.19999999960001</v>
      </c>
      <c r="BO4">
        <v>255.10000000030001</v>
      </c>
      <c r="BP4">
        <v>263.30000000050001</v>
      </c>
      <c r="BQ4">
        <v>271.39999999960003</v>
      </c>
      <c r="BR4">
        <v>279.39999999939999</v>
      </c>
      <c r="BS4">
        <v>287.3</v>
      </c>
      <c r="BT4">
        <v>296.19999999890001</v>
      </c>
      <c r="BU4">
        <v>304.89999999920002</v>
      </c>
      <c r="BV4">
        <v>312.79999999969999</v>
      </c>
      <c r="BW4">
        <v>320.49999999980002</v>
      </c>
      <c r="BX4">
        <v>328.49999999959999</v>
      </c>
      <c r="BY4">
        <v>335.99999999929997</v>
      </c>
      <c r="BZ4">
        <v>343.8999999998</v>
      </c>
      <c r="CA4">
        <v>352.19999999940001</v>
      </c>
      <c r="CB4">
        <v>359.89999999949998</v>
      </c>
      <c r="CC4">
        <v>367.19999999880002</v>
      </c>
      <c r="CD4">
        <v>374.59999999920001</v>
      </c>
      <c r="CE4">
        <v>381.5999999988</v>
      </c>
      <c r="CF4">
        <v>388.6000000002</v>
      </c>
      <c r="CG4">
        <v>396.30000000029997</v>
      </c>
      <c r="CH4">
        <v>403.89999999930001</v>
      </c>
      <c r="CI4">
        <v>411.00000000009999</v>
      </c>
      <c r="CJ4">
        <v>417.7</v>
      </c>
      <c r="CK4">
        <v>424.49999999919999</v>
      </c>
      <c r="CL4">
        <v>431.39999999949998</v>
      </c>
      <c r="CM4">
        <v>437.5999999993</v>
      </c>
      <c r="CN4">
        <v>444.0999999988</v>
      </c>
      <c r="CO4">
        <v>451.49999999919999</v>
      </c>
      <c r="CP4">
        <v>458.49999999879998</v>
      </c>
      <c r="CQ4">
        <v>462.4000000003</v>
      </c>
      <c r="CR4">
        <v>462.7</v>
      </c>
      <c r="CS4">
        <v>462.7</v>
      </c>
      <c r="CT4">
        <v>462.59999999889999</v>
      </c>
      <c r="CU4">
        <v>462.59999999889999</v>
      </c>
      <c r="CV4">
        <v>462.49999999959999</v>
      </c>
      <c r="CW4">
        <v>462.49999999959999</v>
      </c>
      <c r="CX4">
        <v>462.49999999959999</v>
      </c>
      <c r="CY4">
        <v>462.7</v>
      </c>
      <c r="CZ4">
        <v>462.7</v>
      </c>
      <c r="DA4">
        <v>462.79999999929998</v>
      </c>
      <c r="DB4">
        <v>462.79999999929998</v>
      </c>
      <c r="DC4">
        <v>462.79999999929998</v>
      </c>
      <c r="DD4">
        <v>462.79999999929998</v>
      </c>
      <c r="DE4">
        <v>462.79999999929998</v>
      </c>
      <c r="DF4">
        <v>462.79999999929998</v>
      </c>
      <c r="DG4">
        <v>0.20000000039999999</v>
      </c>
      <c r="DH4">
        <v>1.2999999999</v>
      </c>
      <c r="DI4">
        <v>1.2999999999</v>
      </c>
      <c r="DJ4">
        <v>1.3999999992000001</v>
      </c>
      <c r="DK4">
        <v>1.3999999992000001</v>
      </c>
      <c r="DL4">
        <v>1.5000000003</v>
      </c>
      <c r="DM4">
        <v>1.5000000003</v>
      </c>
      <c r="DN4">
        <v>1.6999999989000001</v>
      </c>
      <c r="DO4">
        <v>1.6999999989000001</v>
      </c>
      <c r="DP4">
        <v>1.8</v>
      </c>
      <c r="DQ4">
        <v>1.8</v>
      </c>
      <c r="DR4">
        <v>1.8999999993000001</v>
      </c>
      <c r="DS4">
        <v>1.8999999993000001</v>
      </c>
      <c r="DT4">
        <v>1.8999999993000001</v>
      </c>
      <c r="DU4">
        <v>1.8999999993000001</v>
      </c>
      <c r="DV4">
        <v>2.0999999997000001</v>
      </c>
      <c r="DW4">
        <v>2.0999999997000001</v>
      </c>
      <c r="DX4">
        <v>2.8000000001999998</v>
      </c>
      <c r="DY4">
        <v>6.4000000002000004</v>
      </c>
      <c r="DZ4">
        <v>12.800000000400001</v>
      </c>
      <c r="EA4">
        <v>19.8999999993</v>
      </c>
      <c r="EB4">
        <v>27.0999999993</v>
      </c>
      <c r="EC4">
        <v>34.999999999899998</v>
      </c>
      <c r="ED4">
        <v>43.200000000099998</v>
      </c>
      <c r="EE4">
        <v>51.100000000599998</v>
      </c>
      <c r="EF4">
        <v>58.699999999600003</v>
      </c>
      <c r="EG4">
        <v>66.600000000099996</v>
      </c>
      <c r="EH4">
        <v>74.399999999499997</v>
      </c>
      <c r="EI4">
        <v>82.399999999299993</v>
      </c>
      <c r="EJ4">
        <v>91.399999999299993</v>
      </c>
      <c r="EK4">
        <v>100.0999999997</v>
      </c>
      <c r="EL4">
        <v>108.50000000030001</v>
      </c>
      <c r="EM4">
        <v>117.1999999988</v>
      </c>
      <c r="EN4">
        <v>125.399999999</v>
      </c>
      <c r="EO4">
        <v>133.8999999989</v>
      </c>
      <c r="EP4">
        <v>143.29999999969999</v>
      </c>
      <c r="EQ4">
        <v>152.0999999993</v>
      </c>
      <c r="ER4">
        <v>160.59999999920001</v>
      </c>
      <c r="ES4">
        <v>169.20000000030001</v>
      </c>
      <c r="ET4">
        <v>177.4000000005</v>
      </c>
      <c r="EU4">
        <v>186.2000000001</v>
      </c>
      <c r="EV4">
        <v>195.59999999909999</v>
      </c>
      <c r="EW4">
        <v>204.4999999998</v>
      </c>
      <c r="EX4">
        <v>212.90000000040001</v>
      </c>
      <c r="EY4">
        <v>221.49999999970001</v>
      </c>
      <c r="EZ4">
        <v>229.9000000003</v>
      </c>
      <c r="FA4">
        <v>238.6999999999</v>
      </c>
      <c r="FB4">
        <v>247.9000000003</v>
      </c>
      <c r="FC4">
        <v>256.5999999988</v>
      </c>
      <c r="FD4">
        <v>264.99999999940002</v>
      </c>
      <c r="FE4">
        <v>273.49999999929997</v>
      </c>
      <c r="FF4">
        <v>281.60000000029999</v>
      </c>
      <c r="FG4">
        <v>290.1000000002</v>
      </c>
      <c r="FH4">
        <v>299.19999999949999</v>
      </c>
      <c r="FI4">
        <v>307.60000000010001</v>
      </c>
      <c r="FJ4">
        <v>315.59999999989998</v>
      </c>
      <c r="FK4">
        <v>323.699999999</v>
      </c>
      <c r="FL4">
        <v>331.59999999950003</v>
      </c>
      <c r="FM4">
        <v>339.7000000004</v>
      </c>
      <c r="FN4">
        <v>348.3999999989</v>
      </c>
      <c r="FO4">
        <v>356.40000000060002</v>
      </c>
      <c r="FP4">
        <v>364.2</v>
      </c>
      <c r="FQ4">
        <v>371.69999999970003</v>
      </c>
      <c r="FR4">
        <v>379.10000000010001</v>
      </c>
      <c r="FS4">
        <v>386.0999999997</v>
      </c>
      <c r="FT4">
        <v>393.89999999909998</v>
      </c>
      <c r="FU4">
        <v>401.7999999996</v>
      </c>
      <c r="FV4">
        <v>408.99999999969998</v>
      </c>
      <c r="FW4">
        <v>415.79999999889998</v>
      </c>
      <c r="FX4">
        <v>422.59999999989998</v>
      </c>
      <c r="FY4">
        <v>429.50000000019998</v>
      </c>
      <c r="FZ4">
        <v>435.7</v>
      </c>
      <c r="GA4">
        <v>441.8999999998</v>
      </c>
      <c r="GB4">
        <v>448.50000000040001</v>
      </c>
      <c r="GC4">
        <v>454.49999999980002</v>
      </c>
      <c r="GD4">
        <v>459.8999999998</v>
      </c>
      <c r="GE4">
        <v>462.49999999959999</v>
      </c>
      <c r="GF4">
        <v>462.59999999889999</v>
      </c>
      <c r="GG4">
        <v>462.7</v>
      </c>
      <c r="GH4">
        <v>462.7</v>
      </c>
      <c r="GI4">
        <v>462.7</v>
      </c>
      <c r="GJ4">
        <v>462.7</v>
      </c>
      <c r="GK4">
        <v>462.7</v>
      </c>
      <c r="GL4">
        <v>462.79999999929998</v>
      </c>
      <c r="GM4">
        <v>462.79999999929998</v>
      </c>
      <c r="GN4">
        <v>462.79999999929998</v>
      </c>
      <c r="GO4">
        <v>462.79999999929998</v>
      </c>
      <c r="GP4">
        <v>462.79999999929998</v>
      </c>
      <c r="GQ4">
        <v>462.79999999929998</v>
      </c>
      <c r="GR4">
        <v>462.79999999929998</v>
      </c>
      <c r="GS4">
        <v>462.79999999929998</v>
      </c>
      <c r="GT4">
        <v>462.79999999929998</v>
      </c>
      <c r="GU4">
        <v>462.90000000039998</v>
      </c>
      <c r="GV4">
        <v>462.79999999929998</v>
      </c>
      <c r="GW4">
        <v>1</v>
      </c>
      <c r="GX4">
        <v>107</v>
      </c>
      <c r="GY4">
        <v>100.0999999997</v>
      </c>
      <c r="GZ4">
        <v>100.0999999997</v>
      </c>
      <c r="HA4">
        <v>117.1999999988</v>
      </c>
      <c r="HB4">
        <v>104.1140758339</v>
      </c>
      <c r="HC4">
        <v>-17.0999999991</v>
      </c>
      <c r="HD4">
        <v>462.79999999929998</v>
      </c>
      <c r="HE4">
        <v>330.18006913739998</v>
      </c>
      <c r="HF4">
        <v>84.180728096899998</v>
      </c>
      <c r="HG4">
        <v>462.90000000039998</v>
      </c>
      <c r="HH4">
        <v>462.90000000039998</v>
      </c>
      <c r="HI4">
        <v>462.79999999929998</v>
      </c>
      <c r="HJ4">
        <v>462.90000000039998</v>
      </c>
      <c r="HK4">
        <v>103.22580645159999</v>
      </c>
      <c r="HL4">
        <v>3.6936822595000001</v>
      </c>
      <c r="HM4">
        <v>3.5114277031999999</v>
      </c>
      <c r="HN4">
        <v>3.5683216885000002</v>
      </c>
      <c r="HO4">
        <v>3.440305151</v>
      </c>
      <c r="HP4">
        <v>3.7531334538999999</v>
      </c>
      <c r="HQ4">
        <v>2.9311418584000002</v>
      </c>
      <c r="HR4">
        <v>19.9333477371</v>
      </c>
      <c r="HS4">
        <v>-23.460410557199999</v>
      </c>
      <c r="HT4">
        <v>-160</v>
      </c>
      <c r="HU4">
        <v>434.29414497139999</v>
      </c>
      <c r="HV4">
        <v>91.495601172999997</v>
      </c>
      <c r="HW4">
        <v>624</v>
      </c>
      <c r="HX4">
        <v>19.9333477371</v>
      </c>
      <c r="HY4">
        <v>-23.460410557199999</v>
      </c>
      <c r="HZ4">
        <v>-160</v>
      </c>
      <c r="IA4">
        <v>434.29414497139999</v>
      </c>
      <c r="IB4">
        <v>91.495601172999997</v>
      </c>
      <c r="IC4">
        <v>624</v>
      </c>
      <c r="ID4">
        <v>28.605855029099999</v>
      </c>
      <c r="IE4">
        <v>1.6414821211999999</v>
      </c>
      <c r="IF4">
        <v>-32.844574780099997</v>
      </c>
      <c r="IG4">
        <v>-224</v>
      </c>
      <c r="IH4">
        <v>459.52962082729999</v>
      </c>
      <c r="II4">
        <v>100.87976539589999</v>
      </c>
      <c r="IJ4">
        <v>688</v>
      </c>
      <c r="IK4">
        <v>414.36079723429998</v>
      </c>
      <c r="IL4">
        <v>114.9560117302</v>
      </c>
      <c r="IM4">
        <v>440.57465701680002</v>
      </c>
      <c r="IN4">
        <v>124.3401759531</v>
      </c>
      <c r="IO4">
        <v>7.0999999989000004</v>
      </c>
      <c r="IP4">
        <v>7.4000000004000004</v>
      </c>
      <c r="IQ4">
        <v>9.4000000008000004</v>
      </c>
      <c r="IR4">
        <v>3.0202720418000002</v>
      </c>
      <c r="IS4">
        <v>3.0202720418000002</v>
      </c>
      <c r="IT4">
        <v>14.799999999000001</v>
      </c>
      <c r="IU4">
        <v>-25.806451612899998</v>
      </c>
      <c r="IV4">
        <v>20.400000001199999</v>
      </c>
      <c r="IW4">
        <v>65.689149560100006</v>
      </c>
      <c r="IX4">
        <v>15.800000001000001</v>
      </c>
      <c r="IY4">
        <v>100.87976539589999</v>
      </c>
      <c r="IZ4">
        <v>-29.181774862200001</v>
      </c>
      <c r="JA4">
        <v>0.29954198510000002</v>
      </c>
      <c r="JB4">
        <v>-2.170106E-4</v>
      </c>
      <c r="JC4">
        <v>3.8140000000000001E-7</v>
      </c>
      <c r="JD4">
        <v>0.27073254540000002</v>
      </c>
      <c r="JE4">
        <v>0.27850676969999999</v>
      </c>
      <c r="JF4">
        <v>9.4321202800000004E-2</v>
      </c>
      <c r="JG4">
        <v>103.9778119841</v>
      </c>
      <c r="JH4">
        <v>3.7531334538999999</v>
      </c>
      <c r="JI4">
        <v>4.3897804000000004E-3</v>
      </c>
      <c r="JJ4">
        <v>-6.47153E-5</v>
      </c>
      <c r="JK4">
        <v>3.6936822595000001</v>
      </c>
      <c r="JL4">
        <v>0.82829803540000002</v>
      </c>
      <c r="JM4">
        <v>0.27986287859999998</v>
      </c>
      <c r="JN4" t="s">
        <v>537</v>
      </c>
      <c r="JQ4">
        <v>1</v>
      </c>
    </row>
    <row r="5" spans="1:277">
      <c r="A5" t="s">
        <v>573</v>
      </c>
      <c r="B5" t="s">
        <v>574</v>
      </c>
      <c r="C5" t="s">
        <v>211</v>
      </c>
      <c r="D5">
        <v>3</v>
      </c>
      <c r="E5" t="s">
        <v>212</v>
      </c>
      <c r="F5" t="s">
        <v>213</v>
      </c>
      <c r="G5" t="s">
        <v>536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0.50000000010000001</v>
      </c>
      <c r="S5">
        <v>0.40000000079999998</v>
      </c>
      <c r="T5">
        <v>0.50000000010000001</v>
      </c>
      <c r="U5">
        <v>0.50000000010000001</v>
      </c>
      <c r="V5">
        <v>0.60000000119999997</v>
      </c>
      <c r="W5">
        <v>0.7000000005</v>
      </c>
      <c r="X5">
        <v>0.60000000119999997</v>
      </c>
      <c r="Y5">
        <v>0.7000000005</v>
      </c>
      <c r="Z5">
        <v>0.7000000005</v>
      </c>
      <c r="AA5">
        <v>0.7000000005</v>
      </c>
      <c r="AB5">
        <v>0.7000000005</v>
      </c>
      <c r="AC5">
        <v>0.80000000159999995</v>
      </c>
      <c r="AD5">
        <v>0.80000000159999995</v>
      </c>
      <c r="AE5">
        <v>0.80000000159999995</v>
      </c>
      <c r="AF5">
        <v>0.80000000159999995</v>
      </c>
      <c r="AG5">
        <v>0.90000000089999999</v>
      </c>
      <c r="AH5">
        <v>0.90000000089999999</v>
      </c>
      <c r="AI5">
        <v>0.90000000089999999</v>
      </c>
      <c r="AJ5">
        <v>1.1000000013</v>
      </c>
      <c r="AK5">
        <v>3.3000000002999998</v>
      </c>
      <c r="AL5">
        <v>9</v>
      </c>
      <c r="AM5">
        <v>16.300000001099999</v>
      </c>
      <c r="AN5">
        <v>24.400000000199999</v>
      </c>
      <c r="AO5">
        <v>31.9</v>
      </c>
      <c r="AP5">
        <v>39.1</v>
      </c>
      <c r="AQ5">
        <v>47.000000000500002</v>
      </c>
      <c r="AR5">
        <v>55.100000001399998</v>
      </c>
      <c r="AS5">
        <v>63.4000000009</v>
      </c>
      <c r="AT5">
        <v>72.200000000499998</v>
      </c>
      <c r="AU5">
        <v>80.6000000011</v>
      </c>
      <c r="AV5">
        <v>88.200000000100005</v>
      </c>
      <c r="AW5">
        <v>96.800000001200004</v>
      </c>
      <c r="AX5">
        <v>106.0000000016</v>
      </c>
      <c r="AY5">
        <v>115.0000000016</v>
      </c>
      <c r="AZ5">
        <v>124.30000000130001</v>
      </c>
      <c r="BA5">
        <v>132.9000000005</v>
      </c>
      <c r="BB5">
        <v>140.800000001</v>
      </c>
      <c r="BC5">
        <v>149.2000000017</v>
      </c>
      <c r="BD5">
        <v>158.00000000130001</v>
      </c>
      <c r="BE5">
        <v>166.80000000090001</v>
      </c>
      <c r="BF5">
        <v>176.10000000060001</v>
      </c>
      <c r="BG5">
        <v>184.90000000020001</v>
      </c>
      <c r="BH5">
        <v>192.9</v>
      </c>
      <c r="BI5">
        <v>201.30000000059999</v>
      </c>
      <c r="BJ5">
        <v>210.0000000009</v>
      </c>
      <c r="BK5">
        <v>218.80000000059999</v>
      </c>
      <c r="BL5">
        <v>228.00000000099999</v>
      </c>
      <c r="BM5">
        <v>236.5000000009</v>
      </c>
      <c r="BN5">
        <v>244.3000000003</v>
      </c>
      <c r="BO5">
        <v>252.60000000159999</v>
      </c>
      <c r="BP5">
        <v>261.10000000150001</v>
      </c>
      <c r="BQ5">
        <v>269.70000000070002</v>
      </c>
      <c r="BR5">
        <v>278.60000000150001</v>
      </c>
      <c r="BS5">
        <v>287.00000000030002</v>
      </c>
      <c r="BT5">
        <v>294.5</v>
      </c>
      <c r="BU5">
        <v>302.30000000119998</v>
      </c>
      <c r="BV5">
        <v>310.5000000014</v>
      </c>
      <c r="BW5">
        <v>318.50000000120002</v>
      </c>
      <c r="BX5">
        <v>327.00000000109998</v>
      </c>
      <c r="BY5">
        <v>335.30000000059999</v>
      </c>
      <c r="BZ5">
        <v>342.50000000070003</v>
      </c>
      <c r="CA5">
        <v>349.70000000070002</v>
      </c>
      <c r="CB5">
        <v>357</v>
      </c>
      <c r="CC5">
        <v>364.50000000149998</v>
      </c>
      <c r="CD5">
        <v>371.90000000010002</v>
      </c>
      <c r="CE5">
        <v>379.90000000169999</v>
      </c>
      <c r="CF5">
        <v>387.50000000070003</v>
      </c>
      <c r="CG5">
        <v>394.30000000170003</v>
      </c>
      <c r="CH5">
        <v>400.90000000049997</v>
      </c>
      <c r="CI5">
        <v>407.70000000160002</v>
      </c>
      <c r="CJ5">
        <v>414.70000000120001</v>
      </c>
      <c r="CK5">
        <v>421.50000000040001</v>
      </c>
      <c r="CL5">
        <v>428.8000000015</v>
      </c>
      <c r="CM5">
        <v>436.00000000149998</v>
      </c>
      <c r="CN5">
        <v>442.30000000059999</v>
      </c>
      <c r="CO5">
        <v>447.90000000100002</v>
      </c>
      <c r="CP5">
        <v>452.70000000160002</v>
      </c>
      <c r="CQ5">
        <v>454.90000000060002</v>
      </c>
      <c r="CR5">
        <v>455.10000000100001</v>
      </c>
      <c r="CS5">
        <v>455.10000000100001</v>
      </c>
      <c r="CT5">
        <v>455.20000000030001</v>
      </c>
      <c r="CU5">
        <v>455.20000000030001</v>
      </c>
      <c r="CV5">
        <v>455.20000000030001</v>
      </c>
      <c r="CW5">
        <v>455.30000000140001</v>
      </c>
      <c r="CX5">
        <v>455.30000000140001</v>
      </c>
      <c r="CY5">
        <v>455.4000000007</v>
      </c>
      <c r="CZ5">
        <v>455.4000000007</v>
      </c>
      <c r="DA5">
        <v>455.4000000007</v>
      </c>
      <c r="DB5">
        <v>455.4000000007</v>
      </c>
      <c r="DC5">
        <v>455.5</v>
      </c>
      <c r="DD5">
        <v>455.4000000007</v>
      </c>
      <c r="DE5">
        <v>455.4000000007</v>
      </c>
      <c r="DF5">
        <v>455.4000000007</v>
      </c>
      <c r="DG5">
        <v>0.60000000119999997</v>
      </c>
      <c r="DH5">
        <v>1.5000000003</v>
      </c>
      <c r="DI5">
        <v>1.5000000003</v>
      </c>
      <c r="DJ5">
        <v>1.5000000003</v>
      </c>
      <c r="DK5">
        <v>1.5000000003</v>
      </c>
      <c r="DL5">
        <v>1.5000000003</v>
      </c>
      <c r="DM5">
        <v>1.6000000014</v>
      </c>
      <c r="DN5">
        <v>1.6000000014</v>
      </c>
      <c r="DO5">
        <v>1.7000000007</v>
      </c>
      <c r="DP5">
        <v>1.7000000007</v>
      </c>
      <c r="DQ5">
        <v>1.7000000007</v>
      </c>
      <c r="DR5">
        <v>1.6000000014</v>
      </c>
      <c r="DS5">
        <v>1.7000000007</v>
      </c>
      <c r="DT5">
        <v>1.7000000007</v>
      </c>
      <c r="DU5">
        <v>1.7000000007</v>
      </c>
      <c r="DV5">
        <v>1.7000000007</v>
      </c>
      <c r="DW5">
        <v>1.8</v>
      </c>
      <c r="DX5">
        <v>1.8</v>
      </c>
      <c r="DY5">
        <v>3.4000000014</v>
      </c>
      <c r="DZ5">
        <v>9.3000000015000008</v>
      </c>
      <c r="EA5">
        <v>16.800000001200001</v>
      </c>
      <c r="EB5">
        <v>24.9000000003</v>
      </c>
      <c r="EC5">
        <v>32.4000000001</v>
      </c>
      <c r="ED5">
        <v>39.400000001499997</v>
      </c>
      <c r="EE5">
        <v>47.200000000899998</v>
      </c>
      <c r="EF5">
        <v>55.100000001399998</v>
      </c>
      <c r="EG5">
        <v>63.300000001599997</v>
      </c>
      <c r="EH5">
        <v>72.000000000100002</v>
      </c>
      <c r="EI5">
        <v>80.5</v>
      </c>
      <c r="EJ5">
        <v>88.0000000016</v>
      </c>
      <c r="EK5">
        <v>96.000000001399997</v>
      </c>
      <c r="EL5">
        <v>104.9000000003</v>
      </c>
      <c r="EM5">
        <v>114.2</v>
      </c>
      <c r="EN5">
        <v>123.7000000001</v>
      </c>
      <c r="EO5">
        <v>132.50000000150001</v>
      </c>
      <c r="EP5">
        <v>140.40000000020001</v>
      </c>
      <c r="EQ5">
        <v>148.70000000159999</v>
      </c>
      <c r="ER5">
        <v>157.50000000119999</v>
      </c>
      <c r="ES5">
        <v>166.40000000009999</v>
      </c>
      <c r="ET5">
        <v>175.60000000049999</v>
      </c>
      <c r="EU5">
        <v>184.50000000119999</v>
      </c>
      <c r="EV5">
        <v>192.50000000099999</v>
      </c>
      <c r="EW5">
        <v>201.1000000002</v>
      </c>
      <c r="EX5">
        <v>209.90000000169999</v>
      </c>
      <c r="EY5">
        <v>218.7000000013</v>
      </c>
      <c r="EZ5">
        <v>228.00000000099999</v>
      </c>
      <c r="FA5">
        <v>236.80000000059999</v>
      </c>
      <c r="FB5">
        <v>244.70000000109999</v>
      </c>
      <c r="FC5">
        <v>253.10000000170001</v>
      </c>
      <c r="FD5">
        <v>261.80000000019999</v>
      </c>
      <c r="FE5">
        <v>270.50000000049999</v>
      </c>
      <c r="FF5">
        <v>279.50000000059998</v>
      </c>
      <c r="FG5">
        <v>288.10000000159999</v>
      </c>
      <c r="FH5">
        <v>295.90000000100002</v>
      </c>
      <c r="FI5">
        <v>304.00000000009999</v>
      </c>
      <c r="FJ5">
        <v>312.30000000140001</v>
      </c>
      <c r="FK5">
        <v>320.40000000049997</v>
      </c>
      <c r="FL5">
        <v>329.10000000079998</v>
      </c>
      <c r="FM5">
        <v>337.4000000003</v>
      </c>
      <c r="FN5">
        <v>344.70000000149997</v>
      </c>
      <c r="FO5">
        <v>352.20000000120001</v>
      </c>
      <c r="FP5">
        <v>360.00000000059998</v>
      </c>
      <c r="FQ5">
        <v>367.70000000070002</v>
      </c>
      <c r="FR5">
        <v>375.70000000049998</v>
      </c>
      <c r="FS5">
        <v>383.70000000030001</v>
      </c>
      <c r="FT5">
        <v>390.800000001</v>
      </c>
      <c r="FU5">
        <v>397.6000000002</v>
      </c>
      <c r="FV5">
        <v>404.40000000129999</v>
      </c>
      <c r="FW5">
        <v>411.30000000159998</v>
      </c>
      <c r="FX5">
        <v>418.20000000009998</v>
      </c>
      <c r="FY5">
        <v>425.10000000039997</v>
      </c>
      <c r="FZ5">
        <v>432.20000000110002</v>
      </c>
      <c r="GA5">
        <v>438.30000000159998</v>
      </c>
      <c r="GB5">
        <v>443.60000000050002</v>
      </c>
      <c r="GC5">
        <v>448.7000000008</v>
      </c>
      <c r="GD5">
        <v>452.90000000020001</v>
      </c>
      <c r="GE5">
        <v>455.00000000170002</v>
      </c>
      <c r="GF5">
        <v>455.10000000100001</v>
      </c>
      <c r="GG5">
        <v>455.10000000100001</v>
      </c>
      <c r="GH5">
        <v>455.20000000030001</v>
      </c>
      <c r="GI5">
        <v>455.20000000030001</v>
      </c>
      <c r="GJ5">
        <v>455.20000000030001</v>
      </c>
      <c r="GK5">
        <v>455.20000000030001</v>
      </c>
      <c r="GL5">
        <v>455.30000000140001</v>
      </c>
      <c r="GM5">
        <v>455.20000000030001</v>
      </c>
      <c r="GN5">
        <v>455.30000000140001</v>
      </c>
      <c r="GO5">
        <v>455.30000000140001</v>
      </c>
      <c r="GP5">
        <v>455.30000000140001</v>
      </c>
      <c r="GQ5">
        <v>455.30000000140001</v>
      </c>
      <c r="GR5">
        <v>455.30000000140001</v>
      </c>
      <c r="GS5">
        <v>455.4000000007</v>
      </c>
      <c r="GT5">
        <v>455.4000000007</v>
      </c>
      <c r="GU5">
        <v>455.4000000007</v>
      </c>
      <c r="GV5">
        <v>455.4000000007</v>
      </c>
      <c r="GW5">
        <v>1</v>
      </c>
      <c r="GX5">
        <v>103.9999999994</v>
      </c>
      <c r="GY5">
        <v>96.800000001200004</v>
      </c>
      <c r="GZ5">
        <v>96.800000001200004</v>
      </c>
      <c r="HA5">
        <v>114.2</v>
      </c>
      <c r="HB5">
        <v>100.8305192676</v>
      </c>
      <c r="HC5">
        <v>-17.399999998799998</v>
      </c>
      <c r="HD5">
        <v>455.4000000007</v>
      </c>
      <c r="HE5">
        <v>322.77761554469998</v>
      </c>
      <c r="HF5">
        <v>83.669755187000007</v>
      </c>
      <c r="HG5">
        <v>455.5</v>
      </c>
      <c r="HH5">
        <v>455.4000000007</v>
      </c>
      <c r="HI5">
        <v>455.5</v>
      </c>
      <c r="HJ5">
        <v>455.4000000007</v>
      </c>
      <c r="HK5">
        <v>103.22580645159999</v>
      </c>
      <c r="HL5">
        <v>3.6949031088000002</v>
      </c>
      <c r="HM5">
        <v>3.5226234526</v>
      </c>
      <c r="HN5">
        <v>3.5695447964000002</v>
      </c>
      <c r="HO5">
        <v>3.4486361746999998</v>
      </c>
      <c r="HP5">
        <v>3.7658384801999998</v>
      </c>
      <c r="HQ5">
        <v>2.9108316200000002</v>
      </c>
      <c r="HR5">
        <v>17.1607640806</v>
      </c>
      <c r="HS5">
        <v>-23.460410557199999</v>
      </c>
      <c r="HT5">
        <v>-160</v>
      </c>
      <c r="HU5">
        <v>423.60813481219998</v>
      </c>
      <c r="HV5">
        <v>89.149560117299998</v>
      </c>
      <c r="HW5">
        <v>608</v>
      </c>
      <c r="HX5">
        <v>17.1607640806</v>
      </c>
      <c r="HY5">
        <v>-23.460410557199999</v>
      </c>
      <c r="HZ5">
        <v>-160</v>
      </c>
      <c r="IA5">
        <v>423.60813481219998</v>
      </c>
      <c r="IB5">
        <v>89.149560117299998</v>
      </c>
      <c r="IC5">
        <v>608</v>
      </c>
      <c r="ID5">
        <v>31.791865188500001</v>
      </c>
      <c r="IE5">
        <v>0.91180151590000003</v>
      </c>
      <c r="IF5">
        <v>-32.844574780099997</v>
      </c>
      <c r="IG5">
        <v>-224</v>
      </c>
      <c r="IH5">
        <v>448.33471292220003</v>
      </c>
      <c r="II5">
        <v>98.533724340199996</v>
      </c>
      <c r="IJ5">
        <v>672</v>
      </c>
      <c r="IK5">
        <v>406.4473707317</v>
      </c>
      <c r="IL5">
        <v>112.6099706745</v>
      </c>
      <c r="IM5">
        <v>433.75965528720002</v>
      </c>
      <c r="IN5">
        <v>121.9941348974</v>
      </c>
      <c r="IO5">
        <v>7.4999999997</v>
      </c>
      <c r="IP5">
        <v>6.2999999990999997</v>
      </c>
      <c r="IQ5">
        <v>9.5000000001</v>
      </c>
      <c r="IR5">
        <v>3.2226928721000001</v>
      </c>
      <c r="IS5">
        <v>3.2226928721000001</v>
      </c>
      <c r="IT5">
        <v>15.9000000003</v>
      </c>
      <c r="IU5">
        <v>-25.806451612899998</v>
      </c>
      <c r="IV5">
        <v>19.199999998799999</v>
      </c>
      <c r="IW5">
        <v>75.073313783000003</v>
      </c>
      <c r="IX5">
        <v>12.699999999299999</v>
      </c>
      <c r="IY5">
        <v>98.533724340199996</v>
      </c>
      <c r="IZ5">
        <v>-28.370641140899998</v>
      </c>
      <c r="JA5">
        <v>0.2982019715</v>
      </c>
      <c r="JB5">
        <v>-2.21148E-4</v>
      </c>
      <c r="JC5">
        <v>4.0460000000000001E-7</v>
      </c>
      <c r="JD5">
        <v>0.27064309149999999</v>
      </c>
      <c r="JE5">
        <v>0.24218809929999999</v>
      </c>
      <c r="JF5">
        <v>0.1111068124</v>
      </c>
      <c r="JG5">
        <v>101.5321960249</v>
      </c>
      <c r="JH5">
        <v>3.7658384801999998</v>
      </c>
      <c r="JI5">
        <v>4.3529314000000001E-3</v>
      </c>
      <c r="JJ5">
        <v>-6.8411500000000001E-5</v>
      </c>
      <c r="JK5">
        <v>3.6949031088000002</v>
      </c>
      <c r="JL5">
        <v>0.98202383599999998</v>
      </c>
      <c r="JM5">
        <v>0.38612562979999998</v>
      </c>
      <c r="JN5" t="s">
        <v>537</v>
      </c>
      <c r="JQ5">
        <v>1</v>
      </c>
    </row>
    <row r="6" spans="1:277">
      <c r="A6" t="s">
        <v>595</v>
      </c>
      <c r="B6" t="s">
        <v>596</v>
      </c>
      <c r="C6" t="s">
        <v>211</v>
      </c>
      <c r="D6">
        <v>3</v>
      </c>
      <c r="E6" t="s">
        <v>212</v>
      </c>
      <c r="F6" t="s">
        <v>213</v>
      </c>
      <c r="G6" t="s">
        <v>536</v>
      </c>
      <c r="H6" t="s">
        <v>215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0</v>
      </c>
      <c r="R6">
        <v>0.79999999980000003</v>
      </c>
      <c r="S6">
        <v>0.79999999980000003</v>
      </c>
      <c r="T6">
        <v>0.79999999980000003</v>
      </c>
      <c r="U6">
        <v>0.79999999980000003</v>
      </c>
      <c r="V6">
        <v>0.89999999909999995</v>
      </c>
      <c r="W6">
        <v>0.79999999980000003</v>
      </c>
      <c r="X6">
        <v>0.79999999980000003</v>
      </c>
      <c r="Y6">
        <v>0.79999999980000003</v>
      </c>
      <c r="Z6">
        <v>0.79999999980000003</v>
      </c>
      <c r="AA6">
        <v>0.79999999980000003</v>
      </c>
      <c r="AB6">
        <v>0.89999999909999995</v>
      </c>
      <c r="AC6">
        <v>0.79999999980000003</v>
      </c>
      <c r="AD6">
        <v>0.79999999980000003</v>
      </c>
      <c r="AE6">
        <v>0.79999999980000003</v>
      </c>
      <c r="AF6">
        <v>0.79999999980000003</v>
      </c>
      <c r="AG6">
        <v>0.89999999909999995</v>
      </c>
      <c r="AH6">
        <v>0.79999999980000003</v>
      </c>
      <c r="AI6">
        <v>0.79999999980000003</v>
      </c>
      <c r="AJ6">
        <v>0.89999999909999995</v>
      </c>
      <c r="AK6">
        <v>1.8999999993000001</v>
      </c>
      <c r="AL6">
        <v>5.4</v>
      </c>
      <c r="AM6">
        <v>11.699999999099999</v>
      </c>
      <c r="AN6">
        <v>19.200000000599999</v>
      </c>
      <c r="AO6">
        <v>26.8999999989</v>
      </c>
      <c r="AP6">
        <v>34.700000000199999</v>
      </c>
      <c r="AQ6">
        <v>43.099999998999998</v>
      </c>
      <c r="AR6">
        <v>51.999999999700002</v>
      </c>
      <c r="AS6">
        <v>60.6000000007</v>
      </c>
      <c r="AT6">
        <v>68.699999999799999</v>
      </c>
      <c r="AU6">
        <v>76.900000000000006</v>
      </c>
      <c r="AV6">
        <v>85.100000000199998</v>
      </c>
      <c r="AW6">
        <v>94.300000000699995</v>
      </c>
      <c r="AX6">
        <v>104.49999999950001</v>
      </c>
      <c r="AY6">
        <v>113.6999999999</v>
      </c>
      <c r="AZ6">
        <v>122.1000000005</v>
      </c>
      <c r="BA6">
        <v>130.79999999899999</v>
      </c>
      <c r="BB6">
        <v>139.4</v>
      </c>
      <c r="BC6">
        <v>148.79999999899999</v>
      </c>
      <c r="BD6">
        <v>157.99999999939999</v>
      </c>
      <c r="BE6">
        <v>166.60000000049999</v>
      </c>
      <c r="BF6">
        <v>175.1000000004</v>
      </c>
      <c r="BG6">
        <v>183.9999999993</v>
      </c>
      <c r="BH6">
        <v>192.9999999993</v>
      </c>
      <c r="BI6">
        <v>202.29999999899999</v>
      </c>
      <c r="BJ6">
        <v>211.49999999939999</v>
      </c>
      <c r="BK6">
        <v>220.10000000049999</v>
      </c>
      <c r="BL6">
        <v>228.4999999993</v>
      </c>
      <c r="BM6">
        <v>237.19999999960001</v>
      </c>
      <c r="BN6">
        <v>246.19999999960001</v>
      </c>
      <c r="BO6">
        <v>255.4</v>
      </c>
      <c r="BP6">
        <v>264.49999999929997</v>
      </c>
      <c r="BQ6">
        <v>272.99999999919999</v>
      </c>
      <c r="BR6">
        <v>281.19999999940001</v>
      </c>
      <c r="BS6">
        <v>289.69999999940001</v>
      </c>
      <c r="BT6">
        <v>298.49999999900001</v>
      </c>
      <c r="BU6">
        <v>307.39999999970001</v>
      </c>
      <c r="BV6">
        <v>316.19999999930002</v>
      </c>
      <c r="BW6">
        <v>324.30000000019999</v>
      </c>
      <c r="BX6">
        <v>332.20000000070002</v>
      </c>
      <c r="BY6">
        <v>340.29999999979998</v>
      </c>
      <c r="BZ6">
        <v>348.70000000049998</v>
      </c>
      <c r="CA6">
        <v>357.2000000004</v>
      </c>
      <c r="CB6">
        <v>365.59999999920001</v>
      </c>
      <c r="CC6">
        <v>373.2</v>
      </c>
      <c r="CD6">
        <v>380.79999999900002</v>
      </c>
      <c r="CE6">
        <v>388.4999999991</v>
      </c>
      <c r="CF6">
        <v>396.6</v>
      </c>
      <c r="CG6">
        <v>404.39999999939999</v>
      </c>
      <c r="CH6">
        <v>412.09999999960002</v>
      </c>
      <c r="CI6">
        <v>420.00000000009999</v>
      </c>
      <c r="CJ6">
        <v>427.09999999899998</v>
      </c>
      <c r="CK6">
        <v>434.49999999940002</v>
      </c>
      <c r="CL6">
        <v>441.8999999998</v>
      </c>
      <c r="CM6">
        <v>448.89999999939999</v>
      </c>
      <c r="CN6">
        <v>456.00000000009999</v>
      </c>
      <c r="CO6">
        <v>459.39999999970001</v>
      </c>
      <c r="CP6">
        <v>459.39999999970001</v>
      </c>
      <c r="CQ6">
        <v>459.49999999900001</v>
      </c>
      <c r="CR6">
        <v>459.49999999900001</v>
      </c>
      <c r="CS6">
        <v>459.60000000010001</v>
      </c>
      <c r="CT6">
        <v>459.60000000010001</v>
      </c>
      <c r="CU6">
        <v>459.69999999940001</v>
      </c>
      <c r="CV6">
        <v>459.69999999940001</v>
      </c>
      <c r="CW6">
        <v>459.69999999940001</v>
      </c>
      <c r="CX6">
        <v>459.69999999940001</v>
      </c>
      <c r="CY6">
        <v>459.80000000050001</v>
      </c>
      <c r="CZ6">
        <v>459.80000000050001</v>
      </c>
      <c r="DA6">
        <v>459.80000000050001</v>
      </c>
      <c r="DB6">
        <v>459.80000000050001</v>
      </c>
      <c r="DC6">
        <v>459.80000000050001</v>
      </c>
      <c r="DD6">
        <v>459.80000000050001</v>
      </c>
      <c r="DE6">
        <v>459.80000000050001</v>
      </c>
      <c r="DF6">
        <v>459.80000000050001</v>
      </c>
      <c r="DG6">
        <v>0.50000000010000001</v>
      </c>
      <c r="DH6">
        <v>1.5999999996000001</v>
      </c>
      <c r="DI6">
        <v>1.5999999996000001</v>
      </c>
      <c r="DJ6">
        <v>1.7000000007</v>
      </c>
      <c r="DK6">
        <v>1.7000000007</v>
      </c>
      <c r="DL6">
        <v>1.8</v>
      </c>
      <c r="DM6">
        <v>1.8</v>
      </c>
      <c r="DN6">
        <v>1.8</v>
      </c>
      <c r="DO6">
        <v>1.8</v>
      </c>
      <c r="DP6">
        <v>1.8</v>
      </c>
      <c r="DQ6">
        <v>1.8</v>
      </c>
      <c r="DR6">
        <v>1.8</v>
      </c>
      <c r="DS6">
        <v>1.8</v>
      </c>
      <c r="DT6">
        <v>1.7000000007</v>
      </c>
      <c r="DU6">
        <v>1.8</v>
      </c>
      <c r="DV6">
        <v>1.8</v>
      </c>
      <c r="DW6">
        <v>1.8</v>
      </c>
      <c r="DX6">
        <v>1.8</v>
      </c>
      <c r="DY6">
        <v>2.3999999993999999</v>
      </c>
      <c r="DZ6">
        <v>4.8999999999000003</v>
      </c>
      <c r="EA6">
        <v>10.8</v>
      </c>
      <c r="EB6">
        <v>18.299999999699999</v>
      </c>
      <c r="EC6">
        <v>26.299999999499999</v>
      </c>
      <c r="ED6">
        <v>34.099999998900003</v>
      </c>
      <c r="EE6">
        <v>42.400000000299997</v>
      </c>
      <c r="EF6">
        <v>51.299999999199997</v>
      </c>
      <c r="EG6">
        <v>59.900000000200002</v>
      </c>
      <c r="EH6">
        <v>68.100000000400001</v>
      </c>
      <c r="EI6">
        <v>76.199999999499994</v>
      </c>
      <c r="EJ6">
        <v>84.499999998999996</v>
      </c>
      <c r="EK6">
        <v>93.199999999300005</v>
      </c>
      <c r="EL6">
        <v>102.8999999999</v>
      </c>
      <c r="EM6">
        <v>112.6000000004</v>
      </c>
      <c r="EN6">
        <v>121.1000000003</v>
      </c>
      <c r="EO6">
        <v>129.89999999989999</v>
      </c>
      <c r="EP6">
        <v>138.4999999991</v>
      </c>
      <c r="EQ6">
        <v>147.69999999949999</v>
      </c>
      <c r="ER6">
        <v>156.9</v>
      </c>
      <c r="ES6">
        <v>165.80000000070001</v>
      </c>
      <c r="ET6">
        <v>174.30000000059999</v>
      </c>
      <c r="EU6">
        <v>183.1000000002</v>
      </c>
      <c r="EV6">
        <v>192.1000000002</v>
      </c>
      <c r="EW6">
        <v>201.60000000030001</v>
      </c>
      <c r="EX6">
        <v>210.69999999960001</v>
      </c>
      <c r="EY6">
        <v>219.49999999920001</v>
      </c>
      <c r="EZ6">
        <v>227.89999999989999</v>
      </c>
      <c r="FA6">
        <v>236.6000000002</v>
      </c>
      <c r="FB6">
        <v>245.4999999991</v>
      </c>
      <c r="FC6">
        <v>254.69999999949999</v>
      </c>
      <c r="FD6">
        <v>263.80000000059999</v>
      </c>
      <c r="FE6">
        <v>272.30000000050001</v>
      </c>
      <c r="FF6">
        <v>280.49999999890002</v>
      </c>
      <c r="FG6">
        <v>289.00000000070003</v>
      </c>
      <c r="FH6">
        <v>297.69999999919997</v>
      </c>
      <c r="FI6">
        <v>306.80000000029997</v>
      </c>
      <c r="FJ6">
        <v>315.59999999989998</v>
      </c>
      <c r="FK6">
        <v>323.8000000001</v>
      </c>
      <c r="FL6">
        <v>331.59999999950003</v>
      </c>
      <c r="FM6">
        <v>339.7000000004</v>
      </c>
      <c r="FN6">
        <v>348.09999999920001</v>
      </c>
      <c r="FO6">
        <v>356.49999999990001</v>
      </c>
      <c r="FP6">
        <v>364.79999999939997</v>
      </c>
      <c r="FQ6">
        <v>372.60000000060001</v>
      </c>
      <c r="FR6">
        <v>379.99999999919999</v>
      </c>
      <c r="FS6">
        <v>387.69999999930002</v>
      </c>
      <c r="FT6">
        <v>395.69999999909999</v>
      </c>
      <c r="FU6">
        <v>403.69999999890001</v>
      </c>
      <c r="FV6">
        <v>411.39999999899999</v>
      </c>
      <c r="FW6">
        <v>419.09999999920001</v>
      </c>
      <c r="FX6">
        <v>426.4000000003</v>
      </c>
      <c r="FY6">
        <v>433.1000000002</v>
      </c>
      <c r="FZ6">
        <v>440.30000000019999</v>
      </c>
      <c r="GA6">
        <v>447.20000000049998</v>
      </c>
      <c r="GB6">
        <v>454.90000000060002</v>
      </c>
      <c r="GC6">
        <v>459.60000000010001</v>
      </c>
      <c r="GD6">
        <v>459.60000000010001</v>
      </c>
      <c r="GE6">
        <v>459.69999999940001</v>
      </c>
      <c r="GF6">
        <v>459.69999999940001</v>
      </c>
      <c r="GG6">
        <v>459.69999999940001</v>
      </c>
      <c r="GH6">
        <v>459.69999999940001</v>
      </c>
      <c r="GI6">
        <v>459.69999999940001</v>
      </c>
      <c r="GJ6">
        <v>459.69999999940001</v>
      </c>
      <c r="GK6">
        <v>459.69999999940001</v>
      </c>
      <c r="GL6">
        <v>459.60000000010001</v>
      </c>
      <c r="GM6">
        <v>459.60000000010001</v>
      </c>
      <c r="GN6">
        <v>459.60000000010001</v>
      </c>
      <c r="GO6">
        <v>459.69999999940001</v>
      </c>
      <c r="GP6">
        <v>459.69999999940001</v>
      </c>
      <c r="GQ6">
        <v>459.80000000050001</v>
      </c>
      <c r="GR6">
        <v>459.69999999940001</v>
      </c>
      <c r="GS6">
        <v>459.80000000050001</v>
      </c>
      <c r="GT6">
        <v>459.80000000050001</v>
      </c>
      <c r="GU6">
        <v>459.80000000050001</v>
      </c>
      <c r="GV6">
        <v>459.80000000050001</v>
      </c>
      <c r="GW6">
        <v>1</v>
      </c>
      <c r="GX6">
        <v>102.3999999998</v>
      </c>
      <c r="GY6">
        <v>94.300000000699995</v>
      </c>
      <c r="GZ6">
        <v>94.300000000699995</v>
      </c>
      <c r="HA6">
        <v>112.6000000004</v>
      </c>
      <c r="HB6">
        <v>98.417301000999998</v>
      </c>
      <c r="HC6">
        <v>-18.299999999699999</v>
      </c>
      <c r="HD6">
        <v>459.80000000050001</v>
      </c>
      <c r="HE6">
        <v>333.73538494949997</v>
      </c>
      <c r="HF6">
        <v>78.353697259800001</v>
      </c>
      <c r="HG6">
        <v>459.80000000050001</v>
      </c>
      <c r="HH6">
        <v>459.80000000050001</v>
      </c>
      <c r="HI6">
        <v>459.80000000050001</v>
      </c>
      <c r="HJ6">
        <v>459.80000000050001</v>
      </c>
      <c r="HK6">
        <v>98.533724340199996</v>
      </c>
      <c r="HL6">
        <v>3.8102116436000002</v>
      </c>
      <c r="HM6">
        <v>3.6774557563000001</v>
      </c>
      <c r="HN6">
        <v>3.6781987515000001</v>
      </c>
      <c r="HO6">
        <v>3.6673281082</v>
      </c>
      <c r="HP6">
        <v>3.8847996327000001</v>
      </c>
      <c r="HQ6">
        <v>3.1379822898</v>
      </c>
      <c r="HR6">
        <v>20.0636037413</v>
      </c>
      <c r="HS6">
        <v>-21.114369501500001</v>
      </c>
      <c r="HT6">
        <v>-144</v>
      </c>
      <c r="HU6">
        <v>432.15268595060002</v>
      </c>
      <c r="HV6">
        <v>89.149560117299998</v>
      </c>
      <c r="HW6">
        <v>608</v>
      </c>
      <c r="HX6">
        <v>20.0636037413</v>
      </c>
      <c r="HY6">
        <v>-21.114369501500001</v>
      </c>
      <c r="HZ6">
        <v>-144</v>
      </c>
      <c r="IA6">
        <v>432.15268595060002</v>
      </c>
      <c r="IB6">
        <v>89.149560117299998</v>
      </c>
      <c r="IC6">
        <v>608</v>
      </c>
      <c r="ID6">
        <v>27.647314049999999</v>
      </c>
      <c r="IE6">
        <v>0.92522835920000002</v>
      </c>
      <c r="IF6">
        <v>-30.4985337243</v>
      </c>
      <c r="IG6">
        <v>-208</v>
      </c>
      <c r="IH6">
        <v>459.4708460201</v>
      </c>
      <c r="II6">
        <v>98.533724340199996</v>
      </c>
      <c r="IJ6">
        <v>672</v>
      </c>
      <c r="IK6">
        <v>412.08908220929999</v>
      </c>
      <c r="IL6">
        <v>110.26392961880001</v>
      </c>
      <c r="IM6">
        <v>440.94412788210002</v>
      </c>
      <c r="IN6">
        <v>119.6480938416</v>
      </c>
      <c r="IO6">
        <v>7.5000000015000001</v>
      </c>
      <c r="IP6">
        <v>7.7000000001000002</v>
      </c>
      <c r="IQ6">
        <v>10.199999998799999</v>
      </c>
      <c r="IR6">
        <v>3.0500216714000001</v>
      </c>
      <c r="IS6">
        <v>3.0500216714000001</v>
      </c>
      <c r="IT6">
        <v>14.6000000004</v>
      </c>
      <c r="IU6">
        <v>-23.460410557199999</v>
      </c>
      <c r="IV6">
        <v>18.299999999699999</v>
      </c>
      <c r="IW6">
        <v>0</v>
      </c>
      <c r="IX6">
        <v>13.0000000008</v>
      </c>
      <c r="IY6">
        <v>96.187683284499997</v>
      </c>
      <c r="IZ6">
        <v>-26.449196175200001</v>
      </c>
      <c r="JA6">
        <v>0.28001023670000003</v>
      </c>
      <c r="JB6">
        <v>-1.5669020000000001E-4</v>
      </c>
      <c r="JC6">
        <v>2.9410000000000002E-7</v>
      </c>
      <c r="JD6">
        <v>0.26245261250000002</v>
      </c>
      <c r="JE6">
        <v>0.28367385029999997</v>
      </c>
      <c r="JF6">
        <v>9.5522502100000004E-2</v>
      </c>
      <c r="JG6">
        <v>99.058591951400004</v>
      </c>
      <c r="JH6">
        <v>3.8847996327000001</v>
      </c>
      <c r="JI6">
        <v>3.3616402E-3</v>
      </c>
      <c r="JJ6">
        <v>-5.6461E-5</v>
      </c>
      <c r="JK6">
        <v>3.8102116436000002</v>
      </c>
      <c r="JL6">
        <v>1.2249502595999999</v>
      </c>
      <c r="JM6">
        <v>0.39016460559999999</v>
      </c>
      <c r="JN6" t="s">
        <v>537</v>
      </c>
      <c r="JQ6">
        <v>1</v>
      </c>
    </row>
    <row r="7" spans="1:277">
      <c r="A7" t="s">
        <v>597</v>
      </c>
      <c r="B7" t="s">
        <v>598</v>
      </c>
      <c r="C7" t="s">
        <v>211</v>
      </c>
      <c r="D7">
        <v>3</v>
      </c>
      <c r="E7" t="s">
        <v>212</v>
      </c>
      <c r="F7" t="s">
        <v>213</v>
      </c>
      <c r="G7" t="s">
        <v>536</v>
      </c>
      <c r="H7" t="s">
        <v>215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0.1000000011</v>
      </c>
      <c r="R7">
        <v>1.0000000002</v>
      </c>
      <c r="S7">
        <v>1.0000000002</v>
      </c>
      <c r="T7">
        <v>1.1000000013</v>
      </c>
      <c r="U7">
        <v>1.1000000013</v>
      </c>
      <c r="V7">
        <v>1.1000000013</v>
      </c>
      <c r="W7">
        <v>1.2000000006</v>
      </c>
      <c r="X7">
        <v>1.2000000006</v>
      </c>
      <c r="Y7">
        <v>1.2999999999</v>
      </c>
      <c r="Z7">
        <v>1.400000001</v>
      </c>
      <c r="AA7">
        <v>1.5000000003</v>
      </c>
      <c r="AB7">
        <v>1.5000000003</v>
      </c>
      <c r="AC7">
        <v>1.6000000014</v>
      </c>
      <c r="AD7">
        <v>1.6000000014</v>
      </c>
      <c r="AE7">
        <v>1.7000000007</v>
      </c>
      <c r="AF7">
        <v>1.8</v>
      </c>
      <c r="AG7">
        <v>1.8</v>
      </c>
      <c r="AH7">
        <v>1.8</v>
      </c>
      <c r="AI7">
        <v>2.0000000004</v>
      </c>
      <c r="AJ7">
        <v>3.5000000007000001</v>
      </c>
      <c r="AK7">
        <v>7.4999999997</v>
      </c>
      <c r="AL7">
        <v>13.3999999998</v>
      </c>
      <c r="AM7">
        <v>20.599999999800001</v>
      </c>
      <c r="AN7">
        <v>28.299999999899999</v>
      </c>
      <c r="AO7">
        <v>36.200000000499998</v>
      </c>
      <c r="AP7">
        <v>43.999999999899998</v>
      </c>
      <c r="AQ7">
        <v>51.6000000007</v>
      </c>
      <c r="AR7">
        <v>59.300000000799997</v>
      </c>
      <c r="AS7">
        <v>67.200000001299998</v>
      </c>
      <c r="AT7">
        <v>75.800000000500006</v>
      </c>
      <c r="AU7">
        <v>84.5000000008</v>
      </c>
      <c r="AV7">
        <v>93.300000000500006</v>
      </c>
      <c r="AW7">
        <v>101.4000000014</v>
      </c>
      <c r="AX7">
        <v>109.10000000150001</v>
      </c>
      <c r="AY7">
        <v>117.400000001</v>
      </c>
      <c r="AZ7">
        <v>126.2999999999</v>
      </c>
      <c r="BA7">
        <v>135.2999999999</v>
      </c>
      <c r="BB7">
        <v>144.1000000013</v>
      </c>
      <c r="BC7">
        <v>152.6000000013</v>
      </c>
      <c r="BD7">
        <v>160.7000000004</v>
      </c>
      <c r="BE7">
        <v>168.90000000059999</v>
      </c>
      <c r="BF7">
        <v>178.20000000030001</v>
      </c>
      <c r="BG7">
        <v>187.20000000030001</v>
      </c>
      <c r="BH7">
        <v>196.30000000140001</v>
      </c>
      <c r="BI7">
        <v>204.70000000019999</v>
      </c>
      <c r="BJ7">
        <v>212.60000000069999</v>
      </c>
      <c r="BK7">
        <v>221.50000000150001</v>
      </c>
      <c r="BL7">
        <v>230.60000000080001</v>
      </c>
      <c r="BM7">
        <v>239.40000000040001</v>
      </c>
      <c r="BN7">
        <v>248.30000000109999</v>
      </c>
      <c r="BO7">
        <v>256.60000000060001</v>
      </c>
      <c r="BP7">
        <v>264.50000000109998</v>
      </c>
      <c r="BQ7">
        <v>273.10000000029999</v>
      </c>
      <c r="BR7">
        <v>281.80000000069998</v>
      </c>
      <c r="BS7">
        <v>290.30000000059999</v>
      </c>
      <c r="BT7">
        <v>298.8999999998</v>
      </c>
      <c r="BU7">
        <v>306.90000000139997</v>
      </c>
      <c r="BV7">
        <v>314.40000000110001</v>
      </c>
      <c r="BW7">
        <v>322.29999999979998</v>
      </c>
      <c r="BX7">
        <v>330.90000000079999</v>
      </c>
      <c r="BY7">
        <v>338.90000000060002</v>
      </c>
      <c r="BZ7">
        <v>346.90000000049997</v>
      </c>
      <c r="CA7">
        <v>355.0000000014</v>
      </c>
      <c r="CB7">
        <v>362.30000000069998</v>
      </c>
      <c r="CC7">
        <v>369.50000000070003</v>
      </c>
      <c r="CD7">
        <v>377.3000000001</v>
      </c>
      <c r="CE7">
        <v>384.60000000119999</v>
      </c>
      <c r="CF7">
        <v>392.10000000090002</v>
      </c>
      <c r="CG7">
        <v>399.5000000014</v>
      </c>
      <c r="CH7">
        <v>406.80000000069998</v>
      </c>
      <c r="CI7">
        <v>413.70000000099998</v>
      </c>
      <c r="CJ7">
        <v>420.50000000019998</v>
      </c>
      <c r="CK7">
        <v>427.49999999980002</v>
      </c>
      <c r="CL7">
        <v>434.19999999970003</v>
      </c>
      <c r="CM7">
        <v>441.00000000070003</v>
      </c>
      <c r="CN7">
        <v>447.70000000060003</v>
      </c>
      <c r="CO7">
        <v>454.40000000049997</v>
      </c>
      <c r="CP7">
        <v>459.8999999998</v>
      </c>
      <c r="CQ7">
        <v>461.40000000010002</v>
      </c>
      <c r="CR7">
        <v>461.50000000130001</v>
      </c>
      <c r="CS7">
        <v>461.60000000050002</v>
      </c>
      <c r="CT7">
        <v>461.60000000050002</v>
      </c>
      <c r="CU7">
        <v>461.50000000130001</v>
      </c>
      <c r="CV7">
        <v>461.50000000130001</v>
      </c>
      <c r="CW7">
        <v>461.40000000010002</v>
      </c>
      <c r="CX7">
        <v>461.40000000010002</v>
      </c>
      <c r="CY7">
        <v>461.60000000050002</v>
      </c>
      <c r="CZ7">
        <v>461.60000000050002</v>
      </c>
      <c r="DA7">
        <v>461.60000000050002</v>
      </c>
      <c r="DB7">
        <v>461.60000000050002</v>
      </c>
      <c r="DC7">
        <v>461.60000000050002</v>
      </c>
      <c r="DD7">
        <v>461.60000000050002</v>
      </c>
      <c r="DE7">
        <v>461.60000000050002</v>
      </c>
      <c r="DF7">
        <v>461.69999999980001</v>
      </c>
      <c r="DG7">
        <v>0</v>
      </c>
      <c r="DH7">
        <v>1.5000000003</v>
      </c>
      <c r="DI7">
        <v>1.6000000014</v>
      </c>
      <c r="DJ7">
        <v>1.6000000014</v>
      </c>
      <c r="DK7">
        <v>1.7000000007</v>
      </c>
      <c r="DL7">
        <v>1.7000000007</v>
      </c>
      <c r="DM7">
        <v>1.8</v>
      </c>
      <c r="DN7">
        <v>1.8</v>
      </c>
      <c r="DO7">
        <v>1.8</v>
      </c>
      <c r="DP7">
        <v>1.9000000011</v>
      </c>
      <c r="DQ7">
        <v>2.0000000004</v>
      </c>
      <c r="DR7">
        <v>2.0000000004</v>
      </c>
      <c r="DS7">
        <v>2.0999999997000001</v>
      </c>
      <c r="DT7">
        <v>2.2000000007999998</v>
      </c>
      <c r="DU7">
        <v>2.3000000000999998</v>
      </c>
      <c r="DV7">
        <v>2.5000000005</v>
      </c>
      <c r="DW7">
        <v>2.5999999998000001</v>
      </c>
      <c r="DX7">
        <v>3.6</v>
      </c>
      <c r="DY7">
        <v>7.6000000007999997</v>
      </c>
      <c r="DZ7">
        <v>14.4</v>
      </c>
      <c r="EA7">
        <v>22.200000001199999</v>
      </c>
      <c r="EB7">
        <v>29.599999999800001</v>
      </c>
      <c r="EC7">
        <v>37.299999999999997</v>
      </c>
      <c r="ED7">
        <v>44.900000000799999</v>
      </c>
      <c r="EE7">
        <v>52.300000001199997</v>
      </c>
      <c r="EF7">
        <v>59.800000000899999</v>
      </c>
      <c r="EG7">
        <v>67.900000000000006</v>
      </c>
      <c r="EH7">
        <v>76.399999999900004</v>
      </c>
      <c r="EI7">
        <v>84.600000000099996</v>
      </c>
      <c r="EJ7">
        <v>93.200000001199996</v>
      </c>
      <c r="EK7">
        <v>101.3000000003</v>
      </c>
      <c r="EL7">
        <v>109.10000000150001</v>
      </c>
      <c r="EM7">
        <v>117.50000000030001</v>
      </c>
      <c r="EN7">
        <v>126.50000000030001</v>
      </c>
      <c r="EO7">
        <v>135.2000000006</v>
      </c>
      <c r="EP7">
        <v>144.0000000002</v>
      </c>
      <c r="EQ7">
        <v>152.50000000009999</v>
      </c>
      <c r="ER7">
        <v>160.5</v>
      </c>
      <c r="ES7">
        <v>169.20000000030001</v>
      </c>
      <c r="ET7">
        <v>178.30000000140001</v>
      </c>
      <c r="EU7">
        <v>187.10000000100001</v>
      </c>
      <c r="EV7">
        <v>196.30000000140001</v>
      </c>
      <c r="EW7">
        <v>204.70000000019999</v>
      </c>
      <c r="EX7">
        <v>212.90000000040001</v>
      </c>
      <c r="EY7">
        <v>221.7000000001</v>
      </c>
      <c r="EZ7">
        <v>230.9000000005</v>
      </c>
      <c r="FA7">
        <v>239.8000000012</v>
      </c>
      <c r="FB7">
        <v>248.7000000001</v>
      </c>
      <c r="FC7">
        <v>257.10000000069999</v>
      </c>
      <c r="FD7">
        <v>265.00000000120002</v>
      </c>
      <c r="FE7">
        <v>274.00000000130001</v>
      </c>
      <c r="FF7">
        <v>282.69999999970003</v>
      </c>
      <c r="FG7">
        <v>291.30000000080003</v>
      </c>
      <c r="FH7">
        <v>300.10000000039997</v>
      </c>
      <c r="FI7">
        <v>308.2000000013</v>
      </c>
      <c r="FJ7">
        <v>316.00000000070003</v>
      </c>
      <c r="FK7">
        <v>324.40000000129999</v>
      </c>
      <c r="FL7">
        <v>332.8000000001</v>
      </c>
      <c r="FM7">
        <v>341.00000000030002</v>
      </c>
      <c r="FN7">
        <v>349.29999999990002</v>
      </c>
      <c r="FO7">
        <v>357.1000000011</v>
      </c>
      <c r="FP7">
        <v>364.50000000149998</v>
      </c>
      <c r="FQ7">
        <v>372.60000000060001</v>
      </c>
      <c r="FR7">
        <v>380.30000000069998</v>
      </c>
      <c r="FS7">
        <v>387.80000000040002</v>
      </c>
      <c r="FT7">
        <v>395.50000000049999</v>
      </c>
      <c r="FU7">
        <v>403.20000000070002</v>
      </c>
      <c r="FV7">
        <v>410.20000000030001</v>
      </c>
      <c r="FW7">
        <v>417.1999999999</v>
      </c>
      <c r="FX7">
        <v>424.30000000059999</v>
      </c>
      <c r="FY7">
        <v>430.9000000012</v>
      </c>
      <c r="FZ7">
        <v>437.6000000011</v>
      </c>
      <c r="GA7">
        <v>444.10000000060001</v>
      </c>
      <c r="GB7">
        <v>450.39999999970001</v>
      </c>
      <c r="GC7">
        <v>456.50000000019998</v>
      </c>
      <c r="GD7">
        <v>460.50000000099999</v>
      </c>
      <c r="GE7">
        <v>461.50000000130001</v>
      </c>
      <c r="GF7">
        <v>461.50000000130001</v>
      </c>
      <c r="GG7">
        <v>461.50000000130001</v>
      </c>
      <c r="GH7">
        <v>461.50000000130001</v>
      </c>
      <c r="GI7">
        <v>461.60000000050002</v>
      </c>
      <c r="GJ7">
        <v>461.50000000130001</v>
      </c>
      <c r="GK7">
        <v>461.60000000050002</v>
      </c>
      <c r="GL7">
        <v>461.50000000130001</v>
      </c>
      <c r="GM7">
        <v>461.60000000050002</v>
      </c>
      <c r="GN7">
        <v>461.60000000050002</v>
      </c>
      <c r="GO7">
        <v>461.60000000050002</v>
      </c>
      <c r="GP7">
        <v>461.60000000050002</v>
      </c>
      <c r="GQ7">
        <v>461.69999999980001</v>
      </c>
      <c r="GR7">
        <v>461.69999999980001</v>
      </c>
      <c r="GS7">
        <v>461.69999999980001</v>
      </c>
      <c r="GT7">
        <v>461.69999999980001</v>
      </c>
      <c r="GU7">
        <v>461.69999999980001</v>
      </c>
      <c r="GV7">
        <v>461.69999999980001</v>
      </c>
      <c r="GW7">
        <v>1</v>
      </c>
      <c r="GX7">
        <v>107.5999999994</v>
      </c>
      <c r="GY7">
        <v>101.4000000014</v>
      </c>
      <c r="GZ7">
        <v>101.4000000014</v>
      </c>
      <c r="HA7">
        <v>117.50000000030001</v>
      </c>
      <c r="HB7">
        <v>105.2166450087</v>
      </c>
      <c r="HC7">
        <v>-16.0999999989</v>
      </c>
      <c r="HD7">
        <v>461.69999999980001</v>
      </c>
      <c r="HE7">
        <v>331.17409573309999</v>
      </c>
      <c r="HF7">
        <v>83.569504008199999</v>
      </c>
      <c r="HG7">
        <v>461.69999999980001</v>
      </c>
      <c r="HH7">
        <v>461.69999999980001</v>
      </c>
      <c r="HI7">
        <v>461.69999999980001</v>
      </c>
      <c r="HJ7">
        <v>461.69999999980001</v>
      </c>
      <c r="HK7">
        <v>103.22580645159999</v>
      </c>
      <c r="HL7">
        <v>3.6961240936999999</v>
      </c>
      <c r="HM7">
        <v>3.5378076762999999</v>
      </c>
      <c r="HN7">
        <v>3.5747176584</v>
      </c>
      <c r="HO7">
        <v>3.3611404551000001</v>
      </c>
      <c r="HP7">
        <v>3.7243650572</v>
      </c>
      <c r="HQ7">
        <v>2.9322926595999999</v>
      </c>
      <c r="HR7">
        <v>21.6471410005</v>
      </c>
      <c r="HS7">
        <v>-23.460410557199999</v>
      </c>
      <c r="HT7">
        <v>-160</v>
      </c>
      <c r="HU7">
        <v>436.39074074180002</v>
      </c>
      <c r="HV7">
        <v>91.495601172999997</v>
      </c>
      <c r="HW7">
        <v>624</v>
      </c>
      <c r="HX7">
        <v>21.6471410005</v>
      </c>
      <c r="HY7">
        <v>-23.460410557199999</v>
      </c>
      <c r="HZ7">
        <v>-160</v>
      </c>
      <c r="IA7">
        <v>436.39074074180002</v>
      </c>
      <c r="IB7">
        <v>91.495601172999997</v>
      </c>
      <c r="IC7">
        <v>624</v>
      </c>
      <c r="ID7">
        <v>25.309259258000001</v>
      </c>
      <c r="IE7">
        <v>2.0582196235999999</v>
      </c>
      <c r="IF7">
        <v>-32.844574780099997</v>
      </c>
      <c r="IG7">
        <v>-224</v>
      </c>
      <c r="IH7">
        <v>460.28930041260003</v>
      </c>
      <c r="II7">
        <v>100.87976539589999</v>
      </c>
      <c r="IJ7">
        <v>688</v>
      </c>
      <c r="IK7">
        <v>414.74359974129999</v>
      </c>
      <c r="IL7">
        <v>114.9560117302</v>
      </c>
      <c r="IM7">
        <v>441.74649122800002</v>
      </c>
      <c r="IN7">
        <v>124.3401759531</v>
      </c>
      <c r="IO7">
        <v>7.8000000011999999</v>
      </c>
      <c r="IP7">
        <v>6.6999999999000002</v>
      </c>
      <c r="IQ7">
        <v>9.2999999997000007</v>
      </c>
      <c r="IR7">
        <v>2.9382819340999999</v>
      </c>
      <c r="IS7">
        <v>2.9382819340999999</v>
      </c>
      <c r="IT7">
        <v>16.2</v>
      </c>
      <c r="IU7">
        <v>-25.806451612899998</v>
      </c>
      <c r="IV7">
        <v>18.700000000500001</v>
      </c>
      <c r="IW7">
        <v>60.997067448700001</v>
      </c>
      <c r="IX7">
        <v>15.4999999995</v>
      </c>
      <c r="IY7">
        <v>98.533724340199996</v>
      </c>
      <c r="IZ7">
        <v>-29.982883512699999</v>
      </c>
      <c r="JA7">
        <v>0.30694652239999998</v>
      </c>
      <c r="JB7">
        <v>-2.4455709999999999E-4</v>
      </c>
      <c r="JC7">
        <v>4.08E-7</v>
      </c>
      <c r="JD7">
        <v>0.27055368670000002</v>
      </c>
      <c r="JE7">
        <v>0.19331654300000001</v>
      </c>
      <c r="JF7">
        <v>7.2079738500000004E-2</v>
      </c>
      <c r="JG7">
        <v>105.06358247359999</v>
      </c>
      <c r="JH7">
        <v>3.7243650572</v>
      </c>
      <c r="JI7">
        <v>5.2780209000000003E-3</v>
      </c>
      <c r="JJ7">
        <v>-6.9995999999999999E-5</v>
      </c>
      <c r="JK7">
        <v>3.6961240936999999</v>
      </c>
      <c r="JL7">
        <v>0.57574046830000003</v>
      </c>
      <c r="JM7">
        <v>0.22488678970000001</v>
      </c>
      <c r="JN7" t="s">
        <v>537</v>
      </c>
      <c r="JQ7">
        <v>1</v>
      </c>
    </row>
    <row r="8" spans="1:277">
      <c r="A8" t="s">
        <v>609</v>
      </c>
      <c r="B8" t="s">
        <v>610</v>
      </c>
      <c r="C8" t="s">
        <v>211</v>
      </c>
      <c r="D8">
        <v>3</v>
      </c>
      <c r="E8" t="s">
        <v>212</v>
      </c>
      <c r="F8" t="s">
        <v>213</v>
      </c>
      <c r="G8" t="s">
        <v>536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0</v>
      </c>
      <c r="R8">
        <v>0.29999999970000002</v>
      </c>
      <c r="S8">
        <v>0.29999999970000002</v>
      </c>
      <c r="T8">
        <v>0.29999999970000002</v>
      </c>
      <c r="U8">
        <v>0.29999999970000002</v>
      </c>
      <c r="V8">
        <v>0.29999999970000002</v>
      </c>
      <c r="W8">
        <v>0.40000000079999998</v>
      </c>
      <c r="X8">
        <v>0.40000000079999998</v>
      </c>
      <c r="Y8">
        <v>0.40000000079999998</v>
      </c>
      <c r="Z8">
        <v>0.40000000079999998</v>
      </c>
      <c r="AA8">
        <v>0.40000000079999998</v>
      </c>
      <c r="AB8">
        <v>0.50000000010000001</v>
      </c>
      <c r="AC8">
        <v>0.50000000010000001</v>
      </c>
      <c r="AD8">
        <v>0.60000000119999997</v>
      </c>
      <c r="AE8">
        <v>0.50000000010000001</v>
      </c>
      <c r="AF8">
        <v>0.60000000119999997</v>
      </c>
      <c r="AG8">
        <v>0.7000000005</v>
      </c>
      <c r="AH8">
        <v>0.79999999980000003</v>
      </c>
      <c r="AI8">
        <v>0.90000000089999999</v>
      </c>
      <c r="AJ8">
        <v>3.5000000007000001</v>
      </c>
      <c r="AK8">
        <v>8.6000000009999997</v>
      </c>
      <c r="AL8">
        <v>15.1000000005</v>
      </c>
      <c r="AM8">
        <v>22.200000001199999</v>
      </c>
      <c r="AN8">
        <v>30.000000000699998</v>
      </c>
      <c r="AO8">
        <v>37.900000001199999</v>
      </c>
      <c r="AP8">
        <v>45.900000001000002</v>
      </c>
      <c r="AQ8">
        <v>53.900000000799999</v>
      </c>
      <c r="AR8">
        <v>61.700000000199999</v>
      </c>
      <c r="AS8">
        <v>69.500000001399997</v>
      </c>
      <c r="AT8">
        <v>77.699999999799999</v>
      </c>
      <c r="AU8">
        <v>85.9</v>
      </c>
      <c r="AV8">
        <v>94.600000000400001</v>
      </c>
      <c r="AW8">
        <v>103.4</v>
      </c>
      <c r="AX8">
        <v>111.7000000013</v>
      </c>
      <c r="AY8">
        <v>120.1000000001</v>
      </c>
      <c r="AZ8">
        <v>128.6</v>
      </c>
      <c r="BA8">
        <v>137.09999999990001</v>
      </c>
      <c r="BB8">
        <v>145.90000000129999</v>
      </c>
      <c r="BC8">
        <v>154.9000000014</v>
      </c>
      <c r="BD8">
        <v>163.50000000060001</v>
      </c>
      <c r="BE8">
        <v>171.9000000012</v>
      </c>
      <c r="BF8">
        <v>180.3</v>
      </c>
      <c r="BG8">
        <v>189.00000000029999</v>
      </c>
      <c r="BH8">
        <v>198.10000000139999</v>
      </c>
      <c r="BI8">
        <v>207.10000000139999</v>
      </c>
      <c r="BJ8">
        <v>215.5000000002</v>
      </c>
      <c r="BK8">
        <v>223.70000000050001</v>
      </c>
      <c r="BL8">
        <v>232.3000000015</v>
      </c>
      <c r="BM8">
        <v>240.9000000007</v>
      </c>
      <c r="BN8">
        <v>249.80000000140001</v>
      </c>
      <c r="BO8">
        <v>258.9000000007</v>
      </c>
      <c r="BP8">
        <v>267.30000000130002</v>
      </c>
      <c r="BQ8">
        <v>275.10000000069999</v>
      </c>
      <c r="BR8">
        <v>283.1999999999</v>
      </c>
      <c r="BS8">
        <v>291.60000000050002</v>
      </c>
      <c r="BT8">
        <v>300.00000000109998</v>
      </c>
      <c r="BU8">
        <v>308.89999999999998</v>
      </c>
      <c r="BV8">
        <v>317.0000000009</v>
      </c>
      <c r="BW8">
        <v>324.50000000059998</v>
      </c>
      <c r="BX8">
        <v>332.10000000140002</v>
      </c>
      <c r="BY8">
        <v>340.00000000009999</v>
      </c>
      <c r="BZ8">
        <v>347.80000000140001</v>
      </c>
      <c r="CA8">
        <v>355.90000000049997</v>
      </c>
      <c r="CB8">
        <v>364.10000000069999</v>
      </c>
      <c r="CC8">
        <v>371.4</v>
      </c>
      <c r="CD8">
        <v>378.40000000139997</v>
      </c>
      <c r="CE8">
        <v>385.40000000100002</v>
      </c>
      <c r="CF8">
        <v>392.9000000007</v>
      </c>
      <c r="CG8">
        <v>400.2</v>
      </c>
      <c r="CH8">
        <v>407.69999999970003</v>
      </c>
      <c r="CI8">
        <v>415.50000000099999</v>
      </c>
      <c r="CJ8">
        <v>422.09999999979999</v>
      </c>
      <c r="CK8">
        <v>428.7000000004</v>
      </c>
      <c r="CL8">
        <v>435.10000000060001</v>
      </c>
      <c r="CM8">
        <v>442.0000000009</v>
      </c>
      <c r="CN8">
        <v>449.50000000059998</v>
      </c>
      <c r="CO8">
        <v>456.40000000089998</v>
      </c>
      <c r="CP8">
        <v>462.10000000060001</v>
      </c>
      <c r="CQ8">
        <v>464.20000000030001</v>
      </c>
      <c r="CR8">
        <v>464.3000000015</v>
      </c>
      <c r="CS8">
        <v>464.40000000079999</v>
      </c>
      <c r="CT8">
        <v>464.40000000079999</v>
      </c>
      <c r="CU8">
        <v>464.40000000079999</v>
      </c>
      <c r="CV8">
        <v>464.40000000079999</v>
      </c>
      <c r="CW8">
        <v>464.40000000079999</v>
      </c>
      <c r="CX8">
        <v>464.40000000079999</v>
      </c>
      <c r="CY8">
        <v>464.40000000079999</v>
      </c>
      <c r="CZ8">
        <v>464.40000000079999</v>
      </c>
      <c r="DA8">
        <v>464.5</v>
      </c>
      <c r="DB8">
        <v>464.5</v>
      </c>
      <c r="DC8">
        <v>464.5</v>
      </c>
      <c r="DD8">
        <v>464.5</v>
      </c>
      <c r="DE8">
        <v>464.5</v>
      </c>
      <c r="DF8">
        <v>464.5</v>
      </c>
      <c r="DG8">
        <v>0.50000000010000001</v>
      </c>
      <c r="DH8">
        <v>1.0000000002</v>
      </c>
      <c r="DI8">
        <v>0.90000000089999999</v>
      </c>
      <c r="DJ8">
        <v>0.90000000089999999</v>
      </c>
      <c r="DK8">
        <v>1.0000000002</v>
      </c>
      <c r="DL8">
        <v>1.0000000002</v>
      </c>
      <c r="DM8">
        <v>1.1000000013</v>
      </c>
      <c r="DN8">
        <v>1.2000000006</v>
      </c>
      <c r="DO8">
        <v>1.2000000006</v>
      </c>
      <c r="DP8">
        <v>1.2000000006</v>
      </c>
      <c r="DQ8">
        <v>1.2999999999</v>
      </c>
      <c r="DR8">
        <v>1.2999999999</v>
      </c>
      <c r="DS8">
        <v>1.400000001</v>
      </c>
      <c r="DT8">
        <v>1.5000000003</v>
      </c>
      <c r="DU8">
        <v>1.5000000003</v>
      </c>
      <c r="DV8">
        <v>1.6000000014</v>
      </c>
      <c r="DW8">
        <v>1.7000000007</v>
      </c>
      <c r="DX8">
        <v>3.4000000014</v>
      </c>
      <c r="DY8">
        <v>9.2000000003999993</v>
      </c>
      <c r="DZ8">
        <v>16.1000000007</v>
      </c>
      <c r="EA8">
        <v>23.200000001500001</v>
      </c>
      <c r="EB8">
        <v>30.8999999997</v>
      </c>
      <c r="EC8">
        <v>38.700000000999999</v>
      </c>
      <c r="ED8">
        <v>46.5000000004</v>
      </c>
      <c r="EE8">
        <v>54.4000000009</v>
      </c>
      <c r="EF8">
        <v>61.999999999899998</v>
      </c>
      <c r="EG8">
        <v>69.800000001100003</v>
      </c>
      <c r="EH8">
        <v>77.900000000199995</v>
      </c>
      <c r="EI8">
        <v>86.000000001100005</v>
      </c>
      <c r="EJ8">
        <v>94.500000001100005</v>
      </c>
      <c r="EK8">
        <v>103.3000000007</v>
      </c>
      <c r="EL8">
        <v>111.3999999998</v>
      </c>
      <c r="EM8">
        <v>119.8000000004</v>
      </c>
      <c r="EN8">
        <v>128.20000000100001</v>
      </c>
      <c r="EO8">
        <v>136.80000000019999</v>
      </c>
      <c r="EP8">
        <v>145.70000000089999</v>
      </c>
      <c r="EQ8">
        <v>154.70000000100001</v>
      </c>
      <c r="ER8">
        <v>163.09999999979999</v>
      </c>
      <c r="ES8">
        <v>171.60000000150001</v>
      </c>
      <c r="ET8">
        <v>180.20000000069999</v>
      </c>
      <c r="EU8">
        <v>188.7999999999</v>
      </c>
      <c r="EV8">
        <v>197.900000001</v>
      </c>
      <c r="EW8">
        <v>207.20000000069999</v>
      </c>
      <c r="EX8">
        <v>215.5000000002</v>
      </c>
      <c r="EY8">
        <v>223.79999999980001</v>
      </c>
      <c r="EZ8">
        <v>232.60000000119999</v>
      </c>
      <c r="FA8">
        <v>241.3000000015</v>
      </c>
      <c r="FB8">
        <v>250.29999999969999</v>
      </c>
      <c r="FC8">
        <v>259.40000000079999</v>
      </c>
      <c r="FD8">
        <v>267.80000000140001</v>
      </c>
      <c r="FE8">
        <v>275.80000000130002</v>
      </c>
      <c r="FF8">
        <v>284.30000000119998</v>
      </c>
      <c r="FG8">
        <v>292.80000000109999</v>
      </c>
      <c r="FH8">
        <v>301.60000000069999</v>
      </c>
      <c r="FI8">
        <v>310.5000000014</v>
      </c>
      <c r="FJ8">
        <v>318.60000000050002</v>
      </c>
      <c r="FK8">
        <v>326.2000000013</v>
      </c>
      <c r="FL8">
        <v>334.39999999970001</v>
      </c>
      <c r="FM8">
        <v>342.59999999989998</v>
      </c>
      <c r="FN8">
        <v>350.80000000019999</v>
      </c>
      <c r="FO8">
        <v>359.4000000012</v>
      </c>
      <c r="FP8">
        <v>367.40000000100002</v>
      </c>
      <c r="FQ8">
        <v>374.70000000030001</v>
      </c>
      <c r="FR8">
        <v>381.9000000003</v>
      </c>
      <c r="FS8">
        <v>389.50000000109998</v>
      </c>
      <c r="FT8">
        <v>397.00000000080001</v>
      </c>
      <c r="FU8">
        <v>404.80000000029997</v>
      </c>
      <c r="FV8">
        <v>412.60000000150001</v>
      </c>
      <c r="FW8">
        <v>419.4000000007</v>
      </c>
      <c r="FX8">
        <v>425.90000000020001</v>
      </c>
      <c r="FY8">
        <v>432.30000000040002</v>
      </c>
      <c r="FZ8">
        <v>439.00000000030002</v>
      </c>
      <c r="GA8">
        <v>445.49999999980002</v>
      </c>
      <c r="GB8">
        <v>452.00000000109998</v>
      </c>
      <c r="GC8">
        <v>458.30000000019999</v>
      </c>
      <c r="GD8">
        <v>462.50000000149998</v>
      </c>
      <c r="GE8">
        <v>464.20000000030001</v>
      </c>
      <c r="GF8">
        <v>464.20000000030001</v>
      </c>
      <c r="GG8">
        <v>464.3000000015</v>
      </c>
      <c r="GH8">
        <v>464.3000000015</v>
      </c>
      <c r="GI8">
        <v>464.40000000079999</v>
      </c>
      <c r="GJ8">
        <v>464.5</v>
      </c>
      <c r="GK8">
        <v>464.5</v>
      </c>
      <c r="GL8">
        <v>464.40000000079999</v>
      </c>
      <c r="GM8">
        <v>464.40000000079999</v>
      </c>
      <c r="GN8">
        <v>464.3000000015</v>
      </c>
      <c r="GO8">
        <v>464.3000000015</v>
      </c>
      <c r="GP8">
        <v>464.3000000015</v>
      </c>
      <c r="GQ8">
        <v>464.40000000079999</v>
      </c>
      <c r="GR8">
        <v>464.40000000079999</v>
      </c>
      <c r="GS8">
        <v>464.40000000079999</v>
      </c>
      <c r="GT8">
        <v>464.40000000079999</v>
      </c>
      <c r="GU8">
        <v>464.5</v>
      </c>
      <c r="GV8">
        <v>464.40000000079999</v>
      </c>
      <c r="GW8">
        <v>1</v>
      </c>
      <c r="GX8">
        <v>110.8000000004</v>
      </c>
      <c r="GY8">
        <v>103.4</v>
      </c>
      <c r="GZ8">
        <v>103.4</v>
      </c>
      <c r="HA8">
        <v>119.8000000004</v>
      </c>
      <c r="HB8">
        <v>107.34023681390001</v>
      </c>
      <c r="HC8">
        <v>-16.400000000399999</v>
      </c>
      <c r="HD8">
        <v>464.40001076499999</v>
      </c>
      <c r="HE8">
        <v>330.42455328329999</v>
      </c>
      <c r="HF8">
        <v>91.457890204099996</v>
      </c>
      <c r="HG8">
        <v>464.5</v>
      </c>
      <c r="HH8">
        <v>464.5</v>
      </c>
      <c r="HI8">
        <v>464.5</v>
      </c>
      <c r="HJ8">
        <v>464.5</v>
      </c>
      <c r="HK8">
        <v>103.22580645159999</v>
      </c>
      <c r="HL8">
        <v>3.6905216335</v>
      </c>
      <c r="HM8">
        <v>3.5290628735</v>
      </c>
      <c r="HN8">
        <v>3.5644563376999998</v>
      </c>
      <c r="HO8">
        <v>3.3308369419999999</v>
      </c>
      <c r="HP8">
        <v>3.7292959839000002</v>
      </c>
      <c r="HQ8">
        <v>2.9239711805000002</v>
      </c>
      <c r="HR8">
        <v>15.882346609800001</v>
      </c>
      <c r="HS8">
        <v>-25.806451612899998</v>
      </c>
      <c r="HT8">
        <v>-176</v>
      </c>
      <c r="HU8">
        <v>437.76479009709999</v>
      </c>
      <c r="HV8">
        <v>91.495601172999997</v>
      </c>
      <c r="HW8">
        <v>624</v>
      </c>
      <c r="HX8">
        <v>15.882346609800001</v>
      </c>
      <c r="HY8">
        <v>-25.806451612899998</v>
      </c>
      <c r="HZ8">
        <v>-176</v>
      </c>
      <c r="IA8">
        <v>437.76479009709999</v>
      </c>
      <c r="IB8">
        <v>91.495601172999997</v>
      </c>
      <c r="IC8">
        <v>624</v>
      </c>
      <c r="ID8">
        <v>26.735209902899999</v>
      </c>
      <c r="IE8">
        <v>0.8117545746</v>
      </c>
      <c r="IF8">
        <v>-35.190615835800003</v>
      </c>
      <c r="IG8">
        <v>-240</v>
      </c>
      <c r="IH8">
        <v>462.26210979690001</v>
      </c>
      <c r="II8">
        <v>100.87976539589999</v>
      </c>
      <c r="IJ8">
        <v>688</v>
      </c>
      <c r="IK8">
        <v>421.8824434874</v>
      </c>
      <c r="IL8">
        <v>117.3020527859</v>
      </c>
      <c r="IM8">
        <v>447.47193756770002</v>
      </c>
      <c r="IN8">
        <v>126.6862170088</v>
      </c>
      <c r="IO8">
        <v>7.1000000006999997</v>
      </c>
      <c r="IP8">
        <v>7.4999999997</v>
      </c>
      <c r="IQ8">
        <v>9.2999999997000007</v>
      </c>
      <c r="IR8">
        <v>2.6495364320000001</v>
      </c>
      <c r="IS8">
        <v>2.6495364320000001</v>
      </c>
      <c r="IT8">
        <v>15.799999999200001</v>
      </c>
      <c r="IU8">
        <v>-25.806451612899998</v>
      </c>
      <c r="IV8">
        <v>19.700000000700001</v>
      </c>
      <c r="IW8">
        <v>82.1114369501</v>
      </c>
      <c r="IX8">
        <v>16.299999999299999</v>
      </c>
      <c r="IY8">
        <v>98.533724340199996</v>
      </c>
      <c r="IZ8">
        <v>-30.525925389499999</v>
      </c>
      <c r="JA8">
        <v>0.30636072079999999</v>
      </c>
      <c r="JB8">
        <v>-2.4093810000000001E-4</v>
      </c>
      <c r="JC8">
        <v>4.0320000000000001E-7</v>
      </c>
      <c r="JD8">
        <v>0.2709644054</v>
      </c>
      <c r="JE8">
        <v>0.25787519990000002</v>
      </c>
      <c r="JF8">
        <v>8.39430325E-2</v>
      </c>
      <c r="JG8">
        <v>107.19330410800001</v>
      </c>
      <c r="JH8">
        <v>3.7292959839000002</v>
      </c>
      <c r="JI8">
        <v>5.0535157000000004E-3</v>
      </c>
      <c r="JJ8">
        <v>-6.8887900000000002E-5</v>
      </c>
      <c r="JK8">
        <v>3.6905216335</v>
      </c>
      <c r="JL8">
        <v>0.63533972240000003</v>
      </c>
      <c r="JM8">
        <v>0.22634056699999999</v>
      </c>
      <c r="JN8" t="s">
        <v>537</v>
      </c>
      <c r="JQ8">
        <v>1</v>
      </c>
    </row>
    <row r="9" spans="1:277">
      <c r="A9" t="s">
        <v>631</v>
      </c>
      <c r="B9" t="s">
        <v>632</v>
      </c>
      <c r="C9" t="s">
        <v>211</v>
      </c>
      <c r="D9">
        <v>3</v>
      </c>
      <c r="E9" t="s">
        <v>212</v>
      </c>
      <c r="F9" t="s">
        <v>213</v>
      </c>
      <c r="G9" t="s">
        <v>536</v>
      </c>
      <c r="H9" t="s">
        <v>215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0</v>
      </c>
      <c r="R9">
        <v>0.69999999869999996</v>
      </c>
      <c r="S9">
        <v>0.69999999869999996</v>
      </c>
      <c r="T9">
        <v>0.79999999980000003</v>
      </c>
      <c r="U9">
        <v>0.79999999980000003</v>
      </c>
      <c r="V9">
        <v>0.79999999980000003</v>
      </c>
      <c r="W9">
        <v>0.89999999909999995</v>
      </c>
      <c r="X9">
        <v>0.99999999839999998</v>
      </c>
      <c r="Y9">
        <v>0.99999999839999998</v>
      </c>
      <c r="Z9">
        <v>1.0999999995</v>
      </c>
      <c r="AA9">
        <v>1.0999999995</v>
      </c>
      <c r="AB9">
        <v>1.0999999995</v>
      </c>
      <c r="AC9">
        <v>1.1999999988000001</v>
      </c>
      <c r="AD9">
        <v>1.2999999999</v>
      </c>
      <c r="AE9">
        <v>1.2999999999</v>
      </c>
      <c r="AF9">
        <v>1.3999999992000001</v>
      </c>
      <c r="AG9">
        <v>1.4999999985000001</v>
      </c>
      <c r="AH9">
        <v>1.6999999989000001</v>
      </c>
      <c r="AI9">
        <v>1.8</v>
      </c>
      <c r="AJ9">
        <v>2.2999999983000001</v>
      </c>
      <c r="AK9">
        <v>4.7999999987999997</v>
      </c>
      <c r="AL9">
        <v>9.6999999986999992</v>
      </c>
      <c r="AM9">
        <v>16.399999998599998</v>
      </c>
      <c r="AN9">
        <v>24.499999999500002</v>
      </c>
      <c r="AO9">
        <v>32.099999998500003</v>
      </c>
      <c r="AP9">
        <v>39.599999998199998</v>
      </c>
      <c r="AQ9">
        <v>47.4999999988</v>
      </c>
      <c r="AR9">
        <v>55.3</v>
      </c>
      <c r="AS9">
        <v>63.299999999800001</v>
      </c>
      <c r="AT9">
        <v>72.399999999100004</v>
      </c>
      <c r="AU9">
        <v>80.699999998600006</v>
      </c>
      <c r="AV9">
        <v>88.899999998799998</v>
      </c>
      <c r="AW9">
        <v>97.599999999100007</v>
      </c>
      <c r="AX9">
        <v>106.6999999985</v>
      </c>
      <c r="AY9">
        <v>116.0999999993</v>
      </c>
      <c r="AZ9">
        <v>125.19999999860001</v>
      </c>
      <c r="BA9">
        <v>133.7999999996</v>
      </c>
      <c r="BB9">
        <v>142.09999999909999</v>
      </c>
      <c r="BC9">
        <v>150.6999999983</v>
      </c>
      <c r="BD9">
        <v>159.19999999820001</v>
      </c>
      <c r="BE9">
        <v>168.1999999983</v>
      </c>
      <c r="BF9">
        <v>177.3999999987</v>
      </c>
      <c r="BG9">
        <v>185.99999999970001</v>
      </c>
      <c r="BH9">
        <v>194.59999999889999</v>
      </c>
      <c r="BI9">
        <v>203.1999999999</v>
      </c>
      <c r="BJ9">
        <v>211.69999999980001</v>
      </c>
      <c r="BK9">
        <v>220.79999999910001</v>
      </c>
      <c r="BL9">
        <v>229.89999999849999</v>
      </c>
      <c r="BM9">
        <v>238.5999999988</v>
      </c>
      <c r="BN9">
        <v>246.99999999939999</v>
      </c>
      <c r="BO9">
        <v>255.6999999997</v>
      </c>
      <c r="BP9">
        <v>264.59999999860003</v>
      </c>
      <c r="BQ9">
        <v>273.19999999959998</v>
      </c>
      <c r="BR9">
        <v>281.69999999949999</v>
      </c>
      <c r="BS9">
        <v>290.09999999830001</v>
      </c>
      <c r="BT9">
        <v>298.39999999970001</v>
      </c>
      <c r="BU9">
        <v>306.59999999989998</v>
      </c>
      <c r="BV9">
        <v>315.19999999909999</v>
      </c>
      <c r="BW9">
        <v>323.5999999997</v>
      </c>
      <c r="BX9">
        <v>331.69999999880002</v>
      </c>
      <c r="BY9">
        <v>339.5999999993</v>
      </c>
      <c r="BZ9">
        <v>347.39999999870003</v>
      </c>
      <c r="CA9">
        <v>355.09999999889999</v>
      </c>
      <c r="CB9">
        <v>363.19999999980001</v>
      </c>
      <c r="CC9">
        <v>370.89999999989999</v>
      </c>
      <c r="CD9">
        <v>378.49999999890002</v>
      </c>
      <c r="CE9">
        <v>385.9999999986</v>
      </c>
      <c r="CF9">
        <v>393.39999999899999</v>
      </c>
      <c r="CG9">
        <v>400.59999999899998</v>
      </c>
      <c r="CH9">
        <v>407.69999999970003</v>
      </c>
      <c r="CI9">
        <v>415.09999999830001</v>
      </c>
      <c r="CJ9">
        <v>422.19999999909999</v>
      </c>
      <c r="CK9">
        <v>429.29999999979998</v>
      </c>
      <c r="CL9">
        <v>435.89999999859998</v>
      </c>
      <c r="CM9">
        <v>442.49999999919999</v>
      </c>
      <c r="CN9">
        <v>448.89999999939999</v>
      </c>
      <c r="CO9">
        <v>453.99999999969998</v>
      </c>
      <c r="CP9">
        <v>457.3</v>
      </c>
      <c r="CQ9">
        <v>458.09999999979999</v>
      </c>
      <c r="CR9">
        <v>458.19999999909999</v>
      </c>
      <c r="CS9">
        <v>458.19999999909999</v>
      </c>
      <c r="CT9">
        <v>458.29999999839998</v>
      </c>
      <c r="CU9">
        <v>458.29999999839998</v>
      </c>
      <c r="CV9">
        <v>458.29999999839998</v>
      </c>
      <c r="CW9">
        <v>458.29999999839998</v>
      </c>
      <c r="CX9">
        <v>458.29999999839998</v>
      </c>
      <c r="CY9">
        <v>458.29999999839998</v>
      </c>
      <c r="CZ9">
        <v>458.39999999949998</v>
      </c>
      <c r="DA9">
        <v>458.29999999839998</v>
      </c>
      <c r="DB9">
        <v>458.29999999839998</v>
      </c>
      <c r="DC9">
        <v>458.29999999839998</v>
      </c>
      <c r="DD9">
        <v>458.29999999839998</v>
      </c>
      <c r="DE9">
        <v>458.29999999839998</v>
      </c>
      <c r="DF9">
        <v>458.39999999949998</v>
      </c>
      <c r="DG9">
        <v>0.59999999940000004</v>
      </c>
      <c r="DH9">
        <v>1.6999999989000001</v>
      </c>
      <c r="DI9">
        <v>1.8</v>
      </c>
      <c r="DJ9">
        <v>1.8</v>
      </c>
      <c r="DK9">
        <v>1.8</v>
      </c>
      <c r="DL9">
        <v>1.8999999993000001</v>
      </c>
      <c r="DM9">
        <v>1.8999999993000001</v>
      </c>
      <c r="DN9">
        <v>1.9999999986000001</v>
      </c>
      <c r="DO9">
        <v>1.9999999986000001</v>
      </c>
      <c r="DP9">
        <v>1.9999999986000001</v>
      </c>
      <c r="DQ9">
        <v>2.0999999997000001</v>
      </c>
      <c r="DR9">
        <v>2.1999999990000001</v>
      </c>
      <c r="DS9">
        <v>2.1999999990000001</v>
      </c>
      <c r="DT9">
        <v>2.2999999983000001</v>
      </c>
      <c r="DU9">
        <v>2.2999999983000001</v>
      </c>
      <c r="DV9">
        <v>2.3999999993999999</v>
      </c>
      <c r="DW9">
        <v>2.4999999986999999</v>
      </c>
      <c r="DX9">
        <v>2.6999999991000001</v>
      </c>
      <c r="DY9">
        <v>4.7999999987999997</v>
      </c>
      <c r="DZ9">
        <v>9.8999999991000003</v>
      </c>
      <c r="EA9">
        <v>17.399999998799998</v>
      </c>
      <c r="EB9">
        <v>24.9999999996</v>
      </c>
      <c r="EC9">
        <v>32.599999998599998</v>
      </c>
      <c r="ED9">
        <v>39.999999999099998</v>
      </c>
      <c r="EE9">
        <v>47.299999998399997</v>
      </c>
      <c r="EF9">
        <v>55.099999999600001</v>
      </c>
      <c r="EG9">
        <v>63.899999999199999</v>
      </c>
      <c r="EH9">
        <v>72.5999999995</v>
      </c>
      <c r="EI9">
        <v>80.699999998600006</v>
      </c>
      <c r="EJ9">
        <v>88.899999998799998</v>
      </c>
      <c r="EK9">
        <v>97.099999999000005</v>
      </c>
      <c r="EL9">
        <v>105.39999999859999</v>
      </c>
      <c r="EM9">
        <v>115.3999999988</v>
      </c>
      <c r="EN9">
        <v>125</v>
      </c>
      <c r="EO9">
        <v>133.49999999990001</v>
      </c>
      <c r="EP9">
        <v>141.8999999987</v>
      </c>
      <c r="EQ9">
        <v>150.39999999860001</v>
      </c>
      <c r="ER9">
        <v>158.99999999970001</v>
      </c>
      <c r="ES9">
        <v>168.2999999994</v>
      </c>
      <c r="ET9">
        <v>177.099999999</v>
      </c>
      <c r="EU9">
        <v>185.7</v>
      </c>
      <c r="EV9">
        <v>194.39999999849999</v>
      </c>
      <c r="EW9">
        <v>203.0999999988</v>
      </c>
      <c r="EX9">
        <v>212.0999999988</v>
      </c>
      <c r="EY9">
        <v>220.99999999950001</v>
      </c>
      <c r="EZ9">
        <v>229.6999999999</v>
      </c>
      <c r="FA9">
        <v>238.39999999840001</v>
      </c>
      <c r="FB9">
        <v>246.89999999829999</v>
      </c>
      <c r="FC9">
        <v>255.4999999993</v>
      </c>
      <c r="FD9">
        <v>264.39999999999998</v>
      </c>
      <c r="FE9">
        <v>273.09999999849998</v>
      </c>
      <c r="FF9">
        <v>281.59999999839999</v>
      </c>
      <c r="FG9">
        <v>289.9999999991</v>
      </c>
      <c r="FH9">
        <v>298.39999999970001</v>
      </c>
      <c r="FI9">
        <v>306.69999999919997</v>
      </c>
      <c r="FJ9">
        <v>315.29999999839998</v>
      </c>
      <c r="FK9">
        <v>323.5999999997</v>
      </c>
      <c r="FL9">
        <v>331.79999999990002</v>
      </c>
      <c r="FM9">
        <v>339.69999999859999</v>
      </c>
      <c r="FN9">
        <v>347.59999999910002</v>
      </c>
      <c r="FO9">
        <v>355.39999999859998</v>
      </c>
      <c r="FP9">
        <v>363.5999999988</v>
      </c>
      <c r="FQ9">
        <v>371.49999999929997</v>
      </c>
      <c r="FR9">
        <v>379.09999999830001</v>
      </c>
      <c r="FS9">
        <v>386.49999999869999</v>
      </c>
      <c r="FT9">
        <v>393.89999999909998</v>
      </c>
      <c r="FU9">
        <v>401.29999999950002</v>
      </c>
      <c r="FV9">
        <v>408.49999999950001</v>
      </c>
      <c r="FW9">
        <v>415.9</v>
      </c>
      <c r="FX9">
        <v>422.99999999890002</v>
      </c>
      <c r="FY9">
        <v>429.89999999920002</v>
      </c>
      <c r="FZ9">
        <v>436.49999999980002</v>
      </c>
      <c r="GA9">
        <v>442.9</v>
      </c>
      <c r="GB9">
        <v>448.699999999</v>
      </c>
      <c r="GC9">
        <v>453.39999999849999</v>
      </c>
      <c r="GD9">
        <v>456.89999999920002</v>
      </c>
      <c r="GE9">
        <v>458.09999999979999</v>
      </c>
      <c r="GF9">
        <v>458.19999999909999</v>
      </c>
      <c r="GG9">
        <v>458.19999999909999</v>
      </c>
      <c r="GH9">
        <v>458.29999999839998</v>
      </c>
      <c r="GI9">
        <v>458.29999999839998</v>
      </c>
      <c r="GJ9">
        <v>458.29999999839998</v>
      </c>
      <c r="GK9">
        <v>458.29999999839998</v>
      </c>
      <c r="GL9">
        <v>458.29999999839998</v>
      </c>
      <c r="GM9">
        <v>458.29999999839998</v>
      </c>
      <c r="GN9">
        <v>458.29999999839998</v>
      </c>
      <c r="GO9">
        <v>458.29999999839998</v>
      </c>
      <c r="GP9">
        <v>458.29999999839998</v>
      </c>
      <c r="GQ9">
        <v>458.29999999839998</v>
      </c>
      <c r="GR9">
        <v>458.29999999839998</v>
      </c>
      <c r="GS9">
        <v>458.29999999839998</v>
      </c>
      <c r="GT9">
        <v>458.29999999839998</v>
      </c>
      <c r="GU9">
        <v>458.29999999839998</v>
      </c>
      <c r="GV9">
        <v>458.29999999839998</v>
      </c>
      <c r="GW9">
        <v>1</v>
      </c>
      <c r="GX9">
        <v>104.1000000005</v>
      </c>
      <c r="GY9">
        <v>97.599999999100007</v>
      </c>
      <c r="GZ9">
        <v>97.599999999100007</v>
      </c>
      <c r="HA9">
        <v>115.3999999988</v>
      </c>
      <c r="HB9">
        <v>101.73592232910001</v>
      </c>
      <c r="HC9">
        <v>-17.799999999600001</v>
      </c>
      <c r="HD9">
        <v>458.29999999839998</v>
      </c>
      <c r="HE9">
        <v>327.00649067310002</v>
      </c>
      <c r="HF9">
        <v>84.4699901826</v>
      </c>
      <c r="HG9">
        <v>458.39999999949998</v>
      </c>
      <c r="HH9">
        <v>458.29999999839998</v>
      </c>
      <c r="HI9">
        <v>458.39999999949998</v>
      </c>
      <c r="HJ9">
        <v>458.29999999839998</v>
      </c>
      <c r="HK9">
        <v>103.22580645159999</v>
      </c>
      <c r="HL9">
        <v>3.7385650601</v>
      </c>
      <c r="HM9">
        <v>3.5997707982999998</v>
      </c>
      <c r="HN9">
        <v>3.6041269796000002</v>
      </c>
      <c r="HO9">
        <v>3.4787553537</v>
      </c>
      <c r="HP9">
        <v>3.8017440798000002</v>
      </c>
      <c r="HQ9">
        <v>2.9673468679999999</v>
      </c>
      <c r="HR9">
        <v>17.265932146499999</v>
      </c>
      <c r="HS9">
        <v>-23.460410557199999</v>
      </c>
      <c r="HT9">
        <v>-160</v>
      </c>
      <c r="HU9">
        <v>428.7424130023</v>
      </c>
      <c r="HV9">
        <v>89.149560117299998</v>
      </c>
      <c r="HW9">
        <v>608</v>
      </c>
      <c r="HX9">
        <v>17.265932146499999</v>
      </c>
      <c r="HY9">
        <v>-23.460410557199999</v>
      </c>
      <c r="HZ9">
        <v>-160</v>
      </c>
      <c r="IA9">
        <v>428.7424130023</v>
      </c>
      <c r="IB9">
        <v>89.149560117299998</v>
      </c>
      <c r="IC9">
        <v>608</v>
      </c>
      <c r="ID9">
        <v>29.5575869961</v>
      </c>
      <c r="IE9">
        <v>1.8215992146</v>
      </c>
      <c r="IF9">
        <v>-32.844574780099997</v>
      </c>
      <c r="IG9">
        <v>-224</v>
      </c>
      <c r="IH9">
        <v>453.15267808300001</v>
      </c>
      <c r="II9">
        <v>98.533724340199996</v>
      </c>
      <c r="IJ9">
        <v>672</v>
      </c>
      <c r="IK9">
        <v>411.47648085579999</v>
      </c>
      <c r="IL9">
        <v>112.6099706745</v>
      </c>
      <c r="IM9">
        <v>437.1346678315</v>
      </c>
      <c r="IN9">
        <v>121.9941348974</v>
      </c>
      <c r="IO9">
        <v>8.1000000008999997</v>
      </c>
      <c r="IP9">
        <v>6.6000000005999997</v>
      </c>
      <c r="IQ9">
        <v>10.0000000002</v>
      </c>
      <c r="IR9">
        <v>3.1730510877000002</v>
      </c>
      <c r="IS9">
        <v>3.1730510877000002</v>
      </c>
      <c r="IT9">
        <v>16.2</v>
      </c>
      <c r="IU9">
        <v>-23.460410557199999</v>
      </c>
      <c r="IV9">
        <v>18.300000001499999</v>
      </c>
      <c r="IW9">
        <v>2.3460410557000002</v>
      </c>
      <c r="IX9">
        <v>12.800000000400001</v>
      </c>
      <c r="IY9">
        <v>96.187683284499997</v>
      </c>
      <c r="IZ9">
        <v>-28.317009232699998</v>
      </c>
      <c r="JA9">
        <v>0.29514784560000001</v>
      </c>
      <c r="JB9">
        <v>-2.145293E-4</v>
      </c>
      <c r="JC9">
        <v>3.847E-7</v>
      </c>
      <c r="JD9">
        <v>0.26748230509999998</v>
      </c>
      <c r="JE9">
        <v>0.26793815180000002</v>
      </c>
      <c r="JF9">
        <v>0.1041913392</v>
      </c>
      <c r="JG9">
        <v>102.3125647764</v>
      </c>
      <c r="JH9">
        <v>3.8017440798000002</v>
      </c>
      <c r="JI9">
        <v>4.4746435000000001E-3</v>
      </c>
      <c r="JJ9">
        <v>-6.8457300000000006E-5</v>
      </c>
      <c r="JK9">
        <v>3.7385650601</v>
      </c>
      <c r="JL9">
        <v>1.0537126723000001</v>
      </c>
      <c r="JM9">
        <v>0.40571876870000001</v>
      </c>
      <c r="JN9" t="s">
        <v>537</v>
      </c>
      <c r="JQ9">
        <v>1</v>
      </c>
    </row>
    <row r="10" spans="1:277">
      <c r="A10" t="s">
        <v>633</v>
      </c>
      <c r="B10" t="s">
        <v>634</v>
      </c>
      <c r="C10" t="s">
        <v>211</v>
      </c>
      <c r="D10">
        <v>3</v>
      </c>
      <c r="E10" t="s">
        <v>212</v>
      </c>
      <c r="F10" t="s">
        <v>213</v>
      </c>
      <c r="G10" t="s">
        <v>536</v>
      </c>
      <c r="H10" t="s">
        <v>215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0</v>
      </c>
      <c r="R10">
        <v>0.19999999860000001</v>
      </c>
      <c r="S10">
        <v>0.19999999860000001</v>
      </c>
      <c r="T10">
        <v>0.19999999860000001</v>
      </c>
      <c r="U10">
        <v>0.29999999970000002</v>
      </c>
      <c r="V10">
        <v>0.29999999970000002</v>
      </c>
      <c r="W10">
        <v>0.29999999970000002</v>
      </c>
      <c r="X10">
        <v>0.39999999899999999</v>
      </c>
      <c r="Y10">
        <v>0.39999999899999999</v>
      </c>
      <c r="Z10">
        <v>0.39999999899999999</v>
      </c>
      <c r="AA10">
        <v>0.29999999970000002</v>
      </c>
      <c r="AB10">
        <v>0.29999999970000002</v>
      </c>
      <c r="AC10">
        <v>0.29999999970000002</v>
      </c>
      <c r="AD10">
        <v>0.29999999970000002</v>
      </c>
      <c r="AE10">
        <v>0.29999999970000002</v>
      </c>
      <c r="AF10">
        <v>0.29999999970000002</v>
      </c>
      <c r="AG10">
        <v>0.29999999970000002</v>
      </c>
      <c r="AH10">
        <v>0.39999999899999999</v>
      </c>
      <c r="AI10">
        <v>0.39999999899999999</v>
      </c>
      <c r="AJ10">
        <v>0.39999999899999999</v>
      </c>
      <c r="AK10">
        <v>0.89999999909999995</v>
      </c>
      <c r="AL10">
        <v>4.1999999994000001</v>
      </c>
      <c r="AM10">
        <v>11.5999999998</v>
      </c>
      <c r="AN10">
        <v>19.199999998799999</v>
      </c>
      <c r="AO10">
        <v>27.299999999699999</v>
      </c>
      <c r="AP10">
        <v>35.8999999989</v>
      </c>
      <c r="AQ10">
        <v>44.299999999599997</v>
      </c>
      <c r="AR10">
        <v>52.099999998999998</v>
      </c>
      <c r="AS10">
        <v>60.299999999199997</v>
      </c>
      <c r="AT10">
        <v>68.499999999400004</v>
      </c>
      <c r="AU10">
        <v>76.699999999599996</v>
      </c>
      <c r="AV10">
        <v>85.9</v>
      </c>
      <c r="AW10">
        <v>94.799999998900006</v>
      </c>
      <c r="AX10">
        <v>103.29999999890001</v>
      </c>
      <c r="AY10">
        <v>111.9999999992</v>
      </c>
      <c r="AZ10">
        <v>120.3999999998</v>
      </c>
      <c r="BA10">
        <v>129.19999999940001</v>
      </c>
      <c r="BB10">
        <v>138.4999999991</v>
      </c>
      <c r="BC10">
        <v>147.4999999991</v>
      </c>
      <c r="BD10">
        <v>155.89999999969999</v>
      </c>
      <c r="BE10">
        <v>164.60000000010001</v>
      </c>
      <c r="BF10">
        <v>173.19999999929999</v>
      </c>
      <c r="BG10">
        <v>182.29999999859999</v>
      </c>
      <c r="BH10">
        <v>191.7999999987</v>
      </c>
      <c r="BI10">
        <v>200.59999999830001</v>
      </c>
      <c r="BJ10">
        <v>208.99999999889999</v>
      </c>
      <c r="BK10">
        <v>217.6999999992</v>
      </c>
      <c r="BL10">
        <v>226.29999999840001</v>
      </c>
      <c r="BM10">
        <v>235.49999999889999</v>
      </c>
      <c r="BN10">
        <v>244.89999999969999</v>
      </c>
      <c r="BO10">
        <v>253.49999999889999</v>
      </c>
      <c r="BP10">
        <v>261.99999999879998</v>
      </c>
      <c r="BQ10">
        <v>270.59999999979999</v>
      </c>
      <c r="BR10">
        <v>279.2999999983</v>
      </c>
      <c r="BS10">
        <v>288.19999999909999</v>
      </c>
      <c r="BT10">
        <v>297.19999999909999</v>
      </c>
      <c r="BU10">
        <v>305.3</v>
      </c>
      <c r="BV10">
        <v>313.49999999840003</v>
      </c>
      <c r="BW10">
        <v>321.99999999829998</v>
      </c>
      <c r="BX10">
        <v>330.3999999989</v>
      </c>
      <c r="BY10">
        <v>338.89999999880001</v>
      </c>
      <c r="BZ10">
        <v>347.29999999939997</v>
      </c>
      <c r="CA10">
        <v>355.09999999889999</v>
      </c>
      <c r="CB10">
        <v>362.89999999830002</v>
      </c>
      <c r="CC10">
        <v>370.99999999919999</v>
      </c>
      <c r="CD10">
        <v>378.99999999900001</v>
      </c>
      <c r="CE10">
        <v>387.09999999989998</v>
      </c>
      <c r="CF10">
        <v>395.199999999</v>
      </c>
      <c r="CG10">
        <v>402.49999999829998</v>
      </c>
      <c r="CH10">
        <v>409.69999999829997</v>
      </c>
      <c r="CI10">
        <v>417.79999999929998</v>
      </c>
      <c r="CJ10">
        <v>425.59999999870001</v>
      </c>
      <c r="CK10">
        <v>433.19999999949999</v>
      </c>
      <c r="CL10">
        <v>440.29999999839998</v>
      </c>
      <c r="CM10">
        <v>446.69999999859999</v>
      </c>
      <c r="CN10">
        <v>453.1999999999</v>
      </c>
      <c r="CO10">
        <v>457.5999999997</v>
      </c>
      <c r="CP10">
        <v>458.49999999879998</v>
      </c>
      <c r="CQ10">
        <v>458.59999999989998</v>
      </c>
      <c r="CR10">
        <v>458.59999999989998</v>
      </c>
      <c r="CS10">
        <v>458.59999999989998</v>
      </c>
      <c r="CT10">
        <v>458.59999999989998</v>
      </c>
      <c r="CU10">
        <v>458.69999999919997</v>
      </c>
      <c r="CV10">
        <v>458.59999999989998</v>
      </c>
      <c r="CW10">
        <v>458.59999999989998</v>
      </c>
      <c r="CX10">
        <v>458.59999999989998</v>
      </c>
      <c r="CY10">
        <v>458.59999999989998</v>
      </c>
      <c r="CZ10">
        <v>458.59999999989998</v>
      </c>
      <c r="DA10">
        <v>458.69999999919997</v>
      </c>
      <c r="DB10">
        <v>458.59999999989998</v>
      </c>
      <c r="DC10">
        <v>458.69999999919997</v>
      </c>
      <c r="DD10">
        <v>458.59999999989998</v>
      </c>
      <c r="DE10">
        <v>458.59999999989998</v>
      </c>
      <c r="DF10">
        <v>458.59999999989998</v>
      </c>
      <c r="DG10">
        <v>0.49999999830000003</v>
      </c>
      <c r="DH10">
        <v>0.99999999839999998</v>
      </c>
      <c r="DI10">
        <v>0.89999999909999995</v>
      </c>
      <c r="DJ10">
        <v>0.99999999839999998</v>
      </c>
      <c r="DK10">
        <v>0.99999999839999998</v>
      </c>
      <c r="DL10">
        <v>0.99999999839999998</v>
      </c>
      <c r="DM10">
        <v>0.99999999839999998</v>
      </c>
      <c r="DN10">
        <v>0.99999999839999998</v>
      </c>
      <c r="DO10">
        <v>0.99999999839999998</v>
      </c>
      <c r="DP10">
        <v>0.99999999839999998</v>
      </c>
      <c r="DQ10">
        <v>1.0999999995</v>
      </c>
      <c r="DR10">
        <v>1.0999999995</v>
      </c>
      <c r="DS10">
        <v>1.1999999988000001</v>
      </c>
      <c r="DT10">
        <v>1.1999999988000001</v>
      </c>
      <c r="DU10">
        <v>1.2999999999</v>
      </c>
      <c r="DV10">
        <v>1.2999999999</v>
      </c>
      <c r="DW10">
        <v>1.2999999999</v>
      </c>
      <c r="DX10">
        <v>1.2999999999</v>
      </c>
      <c r="DY10">
        <v>1.2999999999</v>
      </c>
      <c r="DZ10">
        <v>4.0999999983000004</v>
      </c>
      <c r="EA10">
        <v>10.9999999986</v>
      </c>
      <c r="EB10">
        <v>18.699999998700001</v>
      </c>
      <c r="EC10">
        <v>27</v>
      </c>
      <c r="ED10">
        <v>35.699999998499997</v>
      </c>
      <c r="EE10">
        <v>43.899999998799998</v>
      </c>
      <c r="EF10">
        <v>51.599999998900003</v>
      </c>
      <c r="EG10">
        <v>59.699999999799999</v>
      </c>
      <c r="EH10">
        <v>67.699999999599996</v>
      </c>
      <c r="EI10">
        <v>76.099999998399994</v>
      </c>
      <c r="EJ10">
        <v>85.099999998399994</v>
      </c>
      <c r="EK10">
        <v>93.899999999800002</v>
      </c>
      <c r="EL10">
        <v>102.2999999986</v>
      </c>
      <c r="EM10">
        <v>110.999999999</v>
      </c>
      <c r="EN10">
        <v>119.7999999986</v>
      </c>
      <c r="EO10">
        <v>128.6</v>
      </c>
      <c r="EP10">
        <v>137.99999999900001</v>
      </c>
      <c r="EQ10">
        <v>146.89999999969999</v>
      </c>
      <c r="ER10">
        <v>155.2999999985</v>
      </c>
      <c r="ES10">
        <v>163.99999999889999</v>
      </c>
      <c r="ET10">
        <v>172.49999999880001</v>
      </c>
      <c r="EU10">
        <v>181.49999999880001</v>
      </c>
      <c r="EV10">
        <v>190.99999999889999</v>
      </c>
      <c r="EW10">
        <v>199.8999999996</v>
      </c>
      <c r="EX10">
        <v>208.39999999950001</v>
      </c>
      <c r="EY10">
        <v>217.09999999979999</v>
      </c>
      <c r="EZ10">
        <v>225.7999999983</v>
      </c>
      <c r="FA10">
        <v>235.09999999990001</v>
      </c>
      <c r="FB10">
        <v>244.2999999985</v>
      </c>
      <c r="FC10">
        <v>252.89999999950001</v>
      </c>
      <c r="FD10">
        <v>261.2999999983</v>
      </c>
      <c r="FE10">
        <v>269.9999999986</v>
      </c>
      <c r="FF10">
        <v>278.59999999960002</v>
      </c>
      <c r="FG10">
        <v>287.39999999930001</v>
      </c>
      <c r="FH10">
        <v>296.3</v>
      </c>
      <c r="FI10">
        <v>304.59999999950003</v>
      </c>
      <c r="FJ10">
        <v>312.89999999899999</v>
      </c>
      <c r="FK10">
        <v>321.1999999985</v>
      </c>
      <c r="FL10">
        <v>329.59999999910002</v>
      </c>
      <c r="FM10">
        <v>338.19999999829997</v>
      </c>
      <c r="FN10">
        <v>346.59999999889999</v>
      </c>
      <c r="FO10">
        <v>354.39999999830002</v>
      </c>
      <c r="FP10">
        <v>362.19999999959998</v>
      </c>
      <c r="FQ10">
        <v>370.2999999987</v>
      </c>
      <c r="FR10">
        <v>378.19999999919997</v>
      </c>
      <c r="FS10">
        <v>386.199999999</v>
      </c>
      <c r="FT10">
        <v>394.39999999920002</v>
      </c>
      <c r="FU10">
        <v>401.7999999996</v>
      </c>
      <c r="FV10">
        <v>408.7999999992</v>
      </c>
      <c r="FW10">
        <v>416.59999999870001</v>
      </c>
      <c r="FX10">
        <v>424.39999999989999</v>
      </c>
      <c r="FY10">
        <v>431.79999999850003</v>
      </c>
      <c r="FZ10">
        <v>438.69999999880002</v>
      </c>
      <c r="GA10">
        <v>445.09999999899998</v>
      </c>
      <c r="GB10">
        <v>453.0999999988</v>
      </c>
      <c r="GC10">
        <v>458.49999999879998</v>
      </c>
      <c r="GD10">
        <v>458.49999999879998</v>
      </c>
      <c r="GE10">
        <v>458.59999999989998</v>
      </c>
      <c r="GF10">
        <v>458.59999999989998</v>
      </c>
      <c r="GG10">
        <v>458.59999999989998</v>
      </c>
      <c r="GH10">
        <v>458.59999999989998</v>
      </c>
      <c r="GI10">
        <v>458.59999999989998</v>
      </c>
      <c r="GJ10">
        <v>458.59999999989998</v>
      </c>
      <c r="GK10">
        <v>458.59999999989998</v>
      </c>
      <c r="GL10">
        <v>458.59999999989998</v>
      </c>
      <c r="GM10">
        <v>458.59999999989998</v>
      </c>
      <c r="GN10">
        <v>458.59999999989998</v>
      </c>
      <c r="GO10">
        <v>458.59999999989998</v>
      </c>
      <c r="GP10">
        <v>458.59999999989998</v>
      </c>
      <c r="GQ10">
        <v>458.59999999989998</v>
      </c>
      <c r="GR10">
        <v>458.59999999989998</v>
      </c>
      <c r="GS10">
        <v>458.59999999989998</v>
      </c>
      <c r="GT10">
        <v>458.59999999989998</v>
      </c>
      <c r="GU10">
        <v>458.59999999989998</v>
      </c>
      <c r="GV10">
        <v>458.59999999989998</v>
      </c>
      <c r="GW10">
        <v>1</v>
      </c>
      <c r="GX10">
        <v>101.8999999997</v>
      </c>
      <c r="GY10">
        <v>94.799999998900006</v>
      </c>
      <c r="GZ10">
        <v>94.799999998900006</v>
      </c>
      <c r="HA10">
        <v>110.999999999</v>
      </c>
      <c r="HB10">
        <v>98.434536137600006</v>
      </c>
      <c r="HC10">
        <v>-16.2</v>
      </c>
      <c r="HD10">
        <v>458.59999999989998</v>
      </c>
      <c r="HE10">
        <v>332.33221410620001</v>
      </c>
      <c r="HF10">
        <v>78.2470184238</v>
      </c>
      <c r="HG10">
        <v>458.69999999919997</v>
      </c>
      <c r="HH10">
        <v>458.59999999989998</v>
      </c>
      <c r="HI10">
        <v>458.69999999919997</v>
      </c>
      <c r="HJ10">
        <v>458.59999999989998</v>
      </c>
      <c r="HK10">
        <v>98.533724340199996</v>
      </c>
      <c r="HL10">
        <v>3.7877660100999999</v>
      </c>
      <c r="HM10">
        <v>3.6579802761</v>
      </c>
      <c r="HN10">
        <v>3.6544761224000002</v>
      </c>
      <c r="HO10">
        <v>3.561946378</v>
      </c>
      <c r="HP10">
        <v>3.8213564992000002</v>
      </c>
      <c r="HQ10">
        <v>3.1475084108</v>
      </c>
      <c r="HR10">
        <v>20.187517713799998</v>
      </c>
      <c r="HS10">
        <v>-21.114369501500001</v>
      </c>
      <c r="HT10">
        <v>-144</v>
      </c>
      <c r="HU10">
        <v>430.7667502438</v>
      </c>
      <c r="HV10">
        <v>89.149560117299998</v>
      </c>
      <c r="HW10">
        <v>608</v>
      </c>
      <c r="HX10">
        <v>20.187517713799998</v>
      </c>
      <c r="HY10">
        <v>-21.114369501500001</v>
      </c>
      <c r="HZ10">
        <v>-144</v>
      </c>
      <c r="IA10">
        <v>430.7667502438</v>
      </c>
      <c r="IB10">
        <v>89.149560117299998</v>
      </c>
      <c r="IC10">
        <v>608</v>
      </c>
      <c r="ID10">
        <v>27.833249756099999</v>
      </c>
      <c r="IE10">
        <v>0.4181510946</v>
      </c>
      <c r="IF10">
        <v>-30.4985337243</v>
      </c>
      <c r="IG10">
        <v>-208</v>
      </c>
      <c r="IH10">
        <v>458.3443475405</v>
      </c>
      <c r="II10">
        <v>98.533724340199996</v>
      </c>
      <c r="IJ10">
        <v>672</v>
      </c>
      <c r="IK10">
        <v>410.57923253000001</v>
      </c>
      <c r="IL10">
        <v>110.26392961880001</v>
      </c>
      <c r="IM10">
        <v>440.03207238599998</v>
      </c>
      <c r="IN10">
        <v>119.6480938416</v>
      </c>
      <c r="IO10">
        <v>7.7000000001000002</v>
      </c>
      <c r="IP10">
        <v>7.9999999998</v>
      </c>
      <c r="IQ10">
        <v>9.5000000001</v>
      </c>
      <c r="IR10">
        <v>2.5219111168000001</v>
      </c>
      <c r="IS10">
        <v>2.5219111168000001</v>
      </c>
      <c r="IT10">
        <v>15.4000000002</v>
      </c>
      <c r="IU10">
        <v>-23.460410557199999</v>
      </c>
      <c r="IV10">
        <v>18</v>
      </c>
      <c r="IW10">
        <v>35.190615835800003</v>
      </c>
      <c r="IX10">
        <v>12.800000000400001</v>
      </c>
      <c r="IY10">
        <v>96.187683284499997</v>
      </c>
      <c r="IZ10">
        <v>-26.875933048099999</v>
      </c>
      <c r="JA10">
        <v>0.28806582629999999</v>
      </c>
      <c r="JB10">
        <v>-1.7865390000000001E-4</v>
      </c>
      <c r="JC10">
        <v>3.1440000000000001E-7</v>
      </c>
      <c r="JD10">
        <v>0.26400786040000002</v>
      </c>
      <c r="JE10">
        <v>0.14787047179999999</v>
      </c>
      <c r="JF10">
        <v>5.4218712600000003E-2</v>
      </c>
      <c r="JG10">
        <v>98.356367321099995</v>
      </c>
      <c r="JH10">
        <v>3.8213564992000002</v>
      </c>
      <c r="JI10">
        <v>4.2429631000000002E-3</v>
      </c>
      <c r="JJ10">
        <v>-5.9991100000000002E-5</v>
      </c>
      <c r="JK10">
        <v>3.7877660100999999</v>
      </c>
      <c r="JL10">
        <v>0.62699117260000004</v>
      </c>
      <c r="JM10">
        <v>0.23243452789999999</v>
      </c>
      <c r="JN10" t="s">
        <v>537</v>
      </c>
      <c r="JQ10">
        <v>1</v>
      </c>
    </row>
    <row r="11" spans="1:277">
      <c r="A11" t="s">
        <v>655</v>
      </c>
      <c r="B11" t="s">
        <v>656</v>
      </c>
      <c r="C11" t="s">
        <v>211</v>
      </c>
      <c r="D11">
        <v>3</v>
      </c>
      <c r="E11" t="s">
        <v>212</v>
      </c>
      <c r="F11" t="s">
        <v>213</v>
      </c>
      <c r="G11" t="s">
        <v>536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</v>
      </c>
      <c r="R11">
        <v>1.0000000002</v>
      </c>
      <c r="S11">
        <v>1.0000000002</v>
      </c>
      <c r="T11">
        <v>1.2000000006</v>
      </c>
      <c r="U11">
        <v>1.2000000006</v>
      </c>
      <c r="V11">
        <v>1.3000000017</v>
      </c>
      <c r="W11">
        <v>1.1000000013</v>
      </c>
      <c r="X11">
        <v>1.2000000006</v>
      </c>
      <c r="Y11">
        <v>1.5000000003</v>
      </c>
      <c r="Z11">
        <v>1.5000000003</v>
      </c>
      <c r="AA11">
        <v>1.5000000003</v>
      </c>
      <c r="AB11">
        <v>1.6000000014</v>
      </c>
      <c r="AC11">
        <v>1.8</v>
      </c>
      <c r="AD11">
        <v>1.8</v>
      </c>
      <c r="AE11">
        <v>1.8</v>
      </c>
      <c r="AF11">
        <v>1.9000000011</v>
      </c>
      <c r="AG11">
        <v>2.1000000015000002</v>
      </c>
      <c r="AH11">
        <v>2.2000000007999998</v>
      </c>
      <c r="AI11">
        <v>2.4000000012</v>
      </c>
      <c r="AJ11">
        <v>4.0000000008000001</v>
      </c>
      <c r="AK11">
        <v>8.6000000009999997</v>
      </c>
      <c r="AL11">
        <v>14.700000001499999</v>
      </c>
      <c r="AM11">
        <v>22.1000000001</v>
      </c>
      <c r="AN11">
        <v>30.100000001800002</v>
      </c>
      <c r="AO11">
        <v>38.200000000899998</v>
      </c>
      <c r="AP11">
        <v>46.000000000299998</v>
      </c>
      <c r="AQ11">
        <v>53.6000000011</v>
      </c>
      <c r="AR11">
        <v>61.900000000600002</v>
      </c>
      <c r="AS11">
        <v>70.100000000799994</v>
      </c>
      <c r="AT11">
        <v>78.800000001100003</v>
      </c>
      <c r="AU11">
        <v>87.600000000700007</v>
      </c>
      <c r="AV11">
        <v>96.100000000700007</v>
      </c>
      <c r="AW11">
        <v>104.2000000016</v>
      </c>
      <c r="AX11">
        <v>112.8000000008</v>
      </c>
      <c r="AY11">
        <v>121.4</v>
      </c>
      <c r="AZ11">
        <v>130.8000000008</v>
      </c>
      <c r="BA11">
        <v>139.7000000015</v>
      </c>
      <c r="BB11">
        <v>148.30000000070001</v>
      </c>
      <c r="BC11">
        <v>156.60000000030001</v>
      </c>
      <c r="BD11">
        <v>165.50000000099999</v>
      </c>
      <c r="BE11">
        <v>174.30000000059999</v>
      </c>
      <c r="BF11">
        <v>183.40000000169999</v>
      </c>
      <c r="BG11">
        <v>192.60000000030001</v>
      </c>
      <c r="BH11">
        <v>201.2000000013</v>
      </c>
      <c r="BI11">
        <v>209.80000000050001</v>
      </c>
      <c r="BJ11">
        <v>218.5000000009</v>
      </c>
      <c r="BK11">
        <v>227.6000000002</v>
      </c>
      <c r="BL11">
        <v>236.90000000169999</v>
      </c>
      <c r="BM11">
        <v>245.90000000169999</v>
      </c>
      <c r="BN11">
        <v>254.20000000120001</v>
      </c>
      <c r="BO11">
        <v>262.80000000040002</v>
      </c>
      <c r="BP11">
        <v>271.50000000070003</v>
      </c>
      <c r="BQ11">
        <v>280.30000000040002</v>
      </c>
      <c r="BR11">
        <v>289.40000000150002</v>
      </c>
      <c r="BS11">
        <v>298.30000000040002</v>
      </c>
      <c r="BT11">
        <v>306.30000000019999</v>
      </c>
      <c r="BU11">
        <v>314.40000000110001</v>
      </c>
      <c r="BV11">
        <v>322.80000000170003</v>
      </c>
      <c r="BW11">
        <v>331.30000000159998</v>
      </c>
      <c r="BX11">
        <v>339.90000000089998</v>
      </c>
      <c r="BY11">
        <v>348.2000000004</v>
      </c>
      <c r="BZ11">
        <v>355.80000000119998</v>
      </c>
      <c r="CA11">
        <v>363.50000000130001</v>
      </c>
      <c r="CB11">
        <v>371.50000000109998</v>
      </c>
      <c r="CC11">
        <v>379.40000000160001</v>
      </c>
      <c r="CD11">
        <v>387.20000000099998</v>
      </c>
      <c r="CE11">
        <v>395.10000000150001</v>
      </c>
      <c r="CF11">
        <v>402.60000000129997</v>
      </c>
      <c r="CG11">
        <v>409.50000000159997</v>
      </c>
      <c r="CH11">
        <v>416.80000000090001</v>
      </c>
      <c r="CI11">
        <v>424.1000000002</v>
      </c>
      <c r="CJ11">
        <v>431.60000000169998</v>
      </c>
      <c r="CK11">
        <v>438.70000000060003</v>
      </c>
      <c r="CL11">
        <v>445.80000000130002</v>
      </c>
      <c r="CM11">
        <v>453.00000000130001</v>
      </c>
      <c r="CN11">
        <v>460.20000000139999</v>
      </c>
      <c r="CO11">
        <v>464.5</v>
      </c>
      <c r="CP11">
        <v>465.20000000060003</v>
      </c>
      <c r="CQ11">
        <v>465.30000000170003</v>
      </c>
      <c r="CR11">
        <v>465.40000000100002</v>
      </c>
      <c r="CS11">
        <v>465.40000000100002</v>
      </c>
      <c r="CT11">
        <v>465.40000000100002</v>
      </c>
      <c r="CU11">
        <v>465.40000000100002</v>
      </c>
      <c r="CV11">
        <v>465.40000000100002</v>
      </c>
      <c r="CW11">
        <v>465.50000000019998</v>
      </c>
      <c r="CX11">
        <v>465.60000000140002</v>
      </c>
      <c r="CY11">
        <v>465.50000000019998</v>
      </c>
      <c r="CZ11">
        <v>465.40000000100002</v>
      </c>
      <c r="DA11">
        <v>465.40000000100002</v>
      </c>
      <c r="DB11">
        <v>465.20000000060003</v>
      </c>
      <c r="DC11">
        <v>465.20000000060003</v>
      </c>
      <c r="DD11">
        <v>465.30000000170003</v>
      </c>
      <c r="DE11">
        <v>465.50000000019998</v>
      </c>
      <c r="DF11">
        <v>465.50000000019998</v>
      </c>
      <c r="DG11">
        <v>0.20000000039999999</v>
      </c>
      <c r="DH11">
        <v>1.7000000007</v>
      </c>
      <c r="DI11">
        <v>1.7000000007</v>
      </c>
      <c r="DJ11">
        <v>1.8</v>
      </c>
      <c r="DK11">
        <v>1.9000000011</v>
      </c>
      <c r="DL11">
        <v>2.0000000004</v>
      </c>
      <c r="DM11">
        <v>2.0000000004</v>
      </c>
      <c r="DN11">
        <v>2.1000000015000002</v>
      </c>
      <c r="DO11">
        <v>2.1000000015000002</v>
      </c>
      <c r="DP11">
        <v>2.2000000007999998</v>
      </c>
      <c r="DQ11">
        <v>2.3000000000999998</v>
      </c>
      <c r="DR11">
        <v>2.4000000012</v>
      </c>
      <c r="DS11">
        <v>2.5000000005</v>
      </c>
      <c r="DT11">
        <v>2.7000000008999998</v>
      </c>
      <c r="DU11">
        <v>2.8000000001999998</v>
      </c>
      <c r="DV11">
        <v>2.8000000001999998</v>
      </c>
      <c r="DW11">
        <v>3.0000000006</v>
      </c>
      <c r="DX11">
        <v>3.8000000003999999</v>
      </c>
      <c r="DY11">
        <v>7.9000000005000004</v>
      </c>
      <c r="DZ11">
        <v>14.700000001499999</v>
      </c>
      <c r="EA11">
        <v>22.200000001199999</v>
      </c>
      <c r="EB11">
        <v>30.300000000400001</v>
      </c>
      <c r="EC11">
        <v>38.4000000013</v>
      </c>
      <c r="ED11">
        <v>46.200000000700001</v>
      </c>
      <c r="EE11">
        <v>53.700000000400003</v>
      </c>
      <c r="EF11">
        <v>61.800000001299999</v>
      </c>
      <c r="EG11">
        <v>69.800000001100003</v>
      </c>
      <c r="EH11">
        <v>78.500000001399997</v>
      </c>
      <c r="EI11">
        <v>87.200000001800007</v>
      </c>
      <c r="EJ11">
        <v>95.600000000600005</v>
      </c>
      <c r="EK11">
        <v>103.6000000004</v>
      </c>
      <c r="EL11">
        <v>112.2000000014</v>
      </c>
      <c r="EM11">
        <v>120.6000000002</v>
      </c>
      <c r="EN11">
        <v>129.90000000169999</v>
      </c>
      <c r="EO11">
        <v>139.10000000030001</v>
      </c>
      <c r="EP11">
        <v>147.70000000140001</v>
      </c>
      <c r="EQ11">
        <v>156.1000000002</v>
      </c>
      <c r="ER11">
        <v>164.90000000160001</v>
      </c>
      <c r="ES11">
        <v>173.90000000160001</v>
      </c>
      <c r="ET11">
        <v>183.1000000002</v>
      </c>
      <c r="EU11">
        <v>192.2000000013</v>
      </c>
      <c r="EV11">
        <v>200.90000000160001</v>
      </c>
      <c r="EW11">
        <v>209.50000000079999</v>
      </c>
      <c r="EX11">
        <v>218.40000000160001</v>
      </c>
      <c r="EY11">
        <v>227.30000000050001</v>
      </c>
      <c r="EZ11">
        <v>236.7000000013</v>
      </c>
      <c r="FA11">
        <v>245.90000000169999</v>
      </c>
      <c r="FB11">
        <v>254.20000000120001</v>
      </c>
      <c r="FC11">
        <v>262.70000000110002</v>
      </c>
      <c r="FD11">
        <v>271.40000000139997</v>
      </c>
      <c r="FE11">
        <v>280.10000000180003</v>
      </c>
      <c r="FF11">
        <v>289.30000000040002</v>
      </c>
      <c r="FG11">
        <v>297.90000000139997</v>
      </c>
      <c r="FH11">
        <v>306.20000000089999</v>
      </c>
      <c r="FI11">
        <v>314.50000000040001</v>
      </c>
      <c r="FJ11">
        <v>322.90000000100002</v>
      </c>
      <c r="FK11">
        <v>331.30000000159998</v>
      </c>
      <c r="FL11">
        <v>340.10000000129997</v>
      </c>
      <c r="FM11">
        <v>348.60000000119999</v>
      </c>
      <c r="FN11">
        <v>356.30000000130002</v>
      </c>
      <c r="FO11">
        <v>364.10000000069999</v>
      </c>
      <c r="FP11">
        <v>372.10000000050002</v>
      </c>
      <c r="FQ11">
        <v>380.10000000029999</v>
      </c>
      <c r="FR11">
        <v>388.20000000120001</v>
      </c>
      <c r="FS11">
        <v>396.10000000180003</v>
      </c>
      <c r="FT11">
        <v>403.50000000030002</v>
      </c>
      <c r="FU11">
        <v>410.5000000018</v>
      </c>
      <c r="FV11">
        <v>417.80000000109999</v>
      </c>
      <c r="FW11">
        <v>424.90000000179998</v>
      </c>
      <c r="FX11">
        <v>432.10000000180003</v>
      </c>
      <c r="FY11">
        <v>439.40000000110001</v>
      </c>
      <c r="FZ11">
        <v>446.4000000007</v>
      </c>
      <c r="GA11">
        <v>453.10000000060001</v>
      </c>
      <c r="GB11">
        <v>459.50000000080001</v>
      </c>
      <c r="GC11">
        <v>464.0000000018</v>
      </c>
      <c r="GD11">
        <v>465.20000000060003</v>
      </c>
      <c r="GE11">
        <v>465.20000000060003</v>
      </c>
      <c r="GF11">
        <v>465.20000000060003</v>
      </c>
      <c r="GG11">
        <v>465.20000000060003</v>
      </c>
      <c r="GH11">
        <v>465.30000000170003</v>
      </c>
      <c r="GI11">
        <v>465.30000000170003</v>
      </c>
      <c r="GJ11">
        <v>465.40000000100002</v>
      </c>
      <c r="GK11">
        <v>465.40000000100002</v>
      </c>
      <c r="GL11">
        <v>465.40000000100002</v>
      </c>
      <c r="GM11">
        <v>465.50000000019998</v>
      </c>
      <c r="GN11">
        <v>465.60000000140002</v>
      </c>
      <c r="GO11">
        <v>465.60000000140002</v>
      </c>
      <c r="GP11">
        <v>465.50000000019998</v>
      </c>
      <c r="GQ11">
        <v>465.40000000100002</v>
      </c>
      <c r="GR11">
        <v>465.40000000100002</v>
      </c>
      <c r="GS11">
        <v>465.40000000100002</v>
      </c>
      <c r="GT11">
        <v>465.40000000100002</v>
      </c>
      <c r="GU11">
        <v>465.40000000100002</v>
      </c>
      <c r="GV11">
        <v>465.50000000019998</v>
      </c>
      <c r="GW11">
        <v>1</v>
      </c>
      <c r="GX11">
        <v>111.30000000050001</v>
      </c>
      <c r="GY11">
        <v>104.2000000016</v>
      </c>
      <c r="GZ11">
        <v>104.2000000016</v>
      </c>
      <c r="HA11">
        <v>120.6000000002</v>
      </c>
      <c r="HB11">
        <v>108.1591065305</v>
      </c>
      <c r="HC11">
        <v>-16.399999998599998</v>
      </c>
      <c r="HD11">
        <v>465.50000000019998</v>
      </c>
      <c r="HE11">
        <v>330.12855455300001</v>
      </c>
      <c r="HF11">
        <v>85.000096650499998</v>
      </c>
      <c r="HG11">
        <v>465.60000000140002</v>
      </c>
      <c r="HH11">
        <v>465.60000000140002</v>
      </c>
      <c r="HI11">
        <v>465.60000000140002</v>
      </c>
      <c r="HJ11">
        <v>465.60000000140002</v>
      </c>
      <c r="HK11">
        <v>100.87976539589999</v>
      </c>
      <c r="HL11">
        <v>3.7709540733</v>
      </c>
      <c r="HM11">
        <v>3.6293393778</v>
      </c>
      <c r="HN11">
        <v>3.6396079525</v>
      </c>
      <c r="HO11">
        <v>3.4394168647000001</v>
      </c>
      <c r="HP11">
        <v>3.8060466921999998</v>
      </c>
      <c r="HQ11">
        <v>3.0054217937000001</v>
      </c>
      <c r="HR11">
        <v>23.159009879999999</v>
      </c>
      <c r="HS11">
        <v>-23.460410557199999</v>
      </c>
      <c r="HT11">
        <v>-160</v>
      </c>
      <c r="HU11">
        <v>438.28766108349998</v>
      </c>
      <c r="HV11">
        <v>89.149560117299998</v>
      </c>
      <c r="HW11">
        <v>608</v>
      </c>
      <c r="HX11">
        <v>23.159009879999999</v>
      </c>
      <c r="HY11">
        <v>-23.460410557199999</v>
      </c>
      <c r="HZ11">
        <v>-160</v>
      </c>
      <c r="IA11">
        <v>438.28766108349998</v>
      </c>
      <c r="IB11">
        <v>89.149560117299998</v>
      </c>
      <c r="IC11">
        <v>608</v>
      </c>
      <c r="ID11">
        <v>27.3123389179</v>
      </c>
      <c r="IE11">
        <v>2.4608354822999998</v>
      </c>
      <c r="IF11">
        <v>-32.844574780099997</v>
      </c>
      <c r="IG11">
        <v>-224</v>
      </c>
      <c r="IH11">
        <v>463.83225945189997</v>
      </c>
      <c r="II11">
        <v>98.533724340199996</v>
      </c>
      <c r="IJ11">
        <v>672</v>
      </c>
      <c r="IK11">
        <v>415.1286512035</v>
      </c>
      <c r="IL11">
        <v>112.6099706745</v>
      </c>
      <c r="IM11">
        <v>443.44089347030001</v>
      </c>
      <c r="IN11">
        <v>121.9941348974</v>
      </c>
      <c r="IO11">
        <v>7.4999999997</v>
      </c>
      <c r="IP11">
        <v>7.2</v>
      </c>
      <c r="IQ11">
        <v>9.4000000008000004</v>
      </c>
      <c r="IR11">
        <v>2.7002981793999998</v>
      </c>
      <c r="IS11">
        <v>2.7002981793999998</v>
      </c>
      <c r="IT11">
        <v>15.5999999988</v>
      </c>
      <c r="IU11">
        <v>-25.806451612899998</v>
      </c>
      <c r="IV11">
        <v>18.300000001499999</v>
      </c>
      <c r="IW11">
        <v>32.844574780099997</v>
      </c>
      <c r="IX11">
        <v>13.699999999499999</v>
      </c>
      <c r="IY11">
        <v>96.187683284499997</v>
      </c>
      <c r="IZ11">
        <v>-30.299840293900001</v>
      </c>
      <c r="JA11">
        <v>0.30059858480000001</v>
      </c>
      <c r="JB11">
        <v>-2.3597900000000001E-4</v>
      </c>
      <c r="JC11">
        <v>3.9149999999999998E-7</v>
      </c>
      <c r="JD11">
        <v>0.26518487909999999</v>
      </c>
      <c r="JE11">
        <v>0.17257486429999999</v>
      </c>
      <c r="JF11">
        <v>6.8284176500000002E-2</v>
      </c>
      <c r="JG11">
        <v>108.50676265209999</v>
      </c>
      <c r="JH11">
        <v>3.8060466921999998</v>
      </c>
      <c r="JI11">
        <v>5.2504346000000002E-3</v>
      </c>
      <c r="JJ11">
        <v>-7.2842200000000005E-5</v>
      </c>
      <c r="JK11">
        <v>3.7709540733</v>
      </c>
      <c r="JL11">
        <v>0.4286210245</v>
      </c>
      <c r="JM11">
        <v>0.2052759817</v>
      </c>
      <c r="JN11" t="s">
        <v>537</v>
      </c>
      <c r="JQ11">
        <v>1</v>
      </c>
    </row>
    <row r="12" spans="1:277">
      <c r="A12" t="s">
        <v>657</v>
      </c>
      <c r="B12" t="s">
        <v>658</v>
      </c>
      <c r="C12" t="s">
        <v>211</v>
      </c>
      <c r="D12">
        <v>3</v>
      </c>
      <c r="E12" t="s">
        <v>212</v>
      </c>
      <c r="F12" t="s">
        <v>213</v>
      </c>
      <c r="G12" t="s">
        <v>536</v>
      </c>
      <c r="H12" t="s">
        <v>215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0</v>
      </c>
      <c r="R12">
        <v>9.9999999300000003E-2</v>
      </c>
      <c r="S12">
        <v>9.9999999300000003E-2</v>
      </c>
      <c r="T12">
        <v>9.9999999300000003E-2</v>
      </c>
      <c r="U12">
        <v>0.20000000039999999</v>
      </c>
      <c r="V12">
        <v>0.20000000039999999</v>
      </c>
      <c r="W12">
        <v>0.20000000039999999</v>
      </c>
      <c r="X12">
        <v>0.20000000039999999</v>
      </c>
      <c r="Y12">
        <v>0.29999999970000002</v>
      </c>
      <c r="Z12">
        <v>0.40000000079999998</v>
      </c>
      <c r="AA12">
        <v>0.40000000079999998</v>
      </c>
      <c r="AB12">
        <v>0.40000000079999998</v>
      </c>
      <c r="AC12">
        <v>0.40000000079999998</v>
      </c>
      <c r="AD12">
        <v>0.29999999970000002</v>
      </c>
      <c r="AE12">
        <v>0.40000000079999998</v>
      </c>
      <c r="AF12">
        <v>0.40000000079999998</v>
      </c>
      <c r="AG12">
        <v>0.50000000010000001</v>
      </c>
      <c r="AH12">
        <v>0.50000000010000001</v>
      </c>
      <c r="AI12">
        <v>0.59999999940000004</v>
      </c>
      <c r="AJ12">
        <v>0.7000000005</v>
      </c>
      <c r="AK12">
        <v>2.2000000007999998</v>
      </c>
      <c r="AL12">
        <v>6.4000000002000004</v>
      </c>
      <c r="AM12">
        <v>13.3999999998</v>
      </c>
      <c r="AN12">
        <v>21.0000000006</v>
      </c>
      <c r="AO12">
        <v>28.8</v>
      </c>
      <c r="AP12">
        <v>36.500000000199996</v>
      </c>
      <c r="AQ12">
        <v>44.299999999599997</v>
      </c>
      <c r="AR12">
        <v>52.299999999400001</v>
      </c>
      <c r="AS12">
        <v>60.799999999299999</v>
      </c>
      <c r="AT12">
        <v>69.499999999600007</v>
      </c>
      <c r="AU12">
        <v>77.900000000199995</v>
      </c>
      <c r="AV12">
        <v>86.300000000799997</v>
      </c>
      <c r="AW12">
        <v>94.800000000799997</v>
      </c>
      <c r="AX12">
        <v>103.4</v>
      </c>
      <c r="AY12">
        <v>112.4999999993</v>
      </c>
      <c r="AZ12">
        <v>121.4999999993</v>
      </c>
      <c r="BA12">
        <v>130.10000000030001</v>
      </c>
      <c r="BB12">
        <v>138.69999999949999</v>
      </c>
      <c r="BC12">
        <v>147.19999999940001</v>
      </c>
      <c r="BD12">
        <v>155.89999999969999</v>
      </c>
      <c r="BE12">
        <v>165.19999999949999</v>
      </c>
      <c r="BF12">
        <v>174.1000000002</v>
      </c>
      <c r="BG12">
        <v>182.80000000050001</v>
      </c>
      <c r="BH12">
        <v>191.60000000010001</v>
      </c>
      <c r="BI12">
        <v>200.0000000007</v>
      </c>
      <c r="BJ12">
        <v>208.8000000003</v>
      </c>
      <c r="BK12">
        <v>218.19999999929999</v>
      </c>
      <c r="BL12">
        <v>227.19999999940001</v>
      </c>
      <c r="BM12">
        <v>235.5000000007</v>
      </c>
      <c r="BN12">
        <v>244.00000000060001</v>
      </c>
      <c r="BO12">
        <v>252.39999999939999</v>
      </c>
      <c r="BP12">
        <v>261.0999999997</v>
      </c>
      <c r="BQ12">
        <v>270.0999999997</v>
      </c>
      <c r="BR12">
        <v>278.7000000008</v>
      </c>
      <c r="BS12">
        <v>286.89999999920002</v>
      </c>
      <c r="BT12">
        <v>295.09999999939998</v>
      </c>
      <c r="BU12">
        <v>303.09999999920001</v>
      </c>
      <c r="BV12">
        <v>311.49999999980002</v>
      </c>
      <c r="BW12">
        <v>319.99999999969998</v>
      </c>
      <c r="BX12">
        <v>328.1999999999</v>
      </c>
      <c r="BY12">
        <v>336.19999999970003</v>
      </c>
      <c r="BZ12">
        <v>343.80000000059999</v>
      </c>
      <c r="CA12">
        <v>351.50000000070003</v>
      </c>
      <c r="CB12">
        <v>359.3000000001</v>
      </c>
      <c r="CC12">
        <v>367.29999999990002</v>
      </c>
      <c r="CD12">
        <v>374.9000000007</v>
      </c>
      <c r="CE12">
        <v>382.60000000079998</v>
      </c>
      <c r="CF12">
        <v>390.19999999980001</v>
      </c>
      <c r="CG12">
        <v>397.19999999940001</v>
      </c>
      <c r="CH12">
        <v>404.20000000089999</v>
      </c>
      <c r="CI12">
        <v>411.50000000019998</v>
      </c>
      <c r="CJ12">
        <v>418.59999999910002</v>
      </c>
      <c r="CK12">
        <v>425.90000000020001</v>
      </c>
      <c r="CL12">
        <v>432.69999999940001</v>
      </c>
      <c r="CM12">
        <v>439.5999999997</v>
      </c>
      <c r="CN12">
        <v>446.4000000007</v>
      </c>
      <c r="CO12">
        <v>451.69999999959998</v>
      </c>
      <c r="CP12">
        <v>454.10000000079998</v>
      </c>
      <c r="CQ12">
        <v>454.70000000020002</v>
      </c>
      <c r="CR12">
        <v>454.79999999950002</v>
      </c>
      <c r="CS12">
        <v>454.79999999950002</v>
      </c>
      <c r="CT12">
        <v>454.90000000060002</v>
      </c>
      <c r="CU12">
        <v>454.99999999990001</v>
      </c>
      <c r="CV12">
        <v>454.99999999990001</v>
      </c>
      <c r="CW12">
        <v>454.99999999990001</v>
      </c>
      <c r="CX12">
        <v>455.09999999920001</v>
      </c>
      <c r="CY12">
        <v>455.09999999920001</v>
      </c>
      <c r="CZ12">
        <v>455.09999999920001</v>
      </c>
      <c r="DA12">
        <v>455.09999999920001</v>
      </c>
      <c r="DB12">
        <v>455.20000000030001</v>
      </c>
      <c r="DC12">
        <v>455.09999999920001</v>
      </c>
      <c r="DD12">
        <v>455.09999999920001</v>
      </c>
      <c r="DE12">
        <v>455.09999999920001</v>
      </c>
      <c r="DF12">
        <v>455.20000000030001</v>
      </c>
      <c r="DG12">
        <v>0.50000000010000001</v>
      </c>
      <c r="DH12">
        <v>0.89999999909999995</v>
      </c>
      <c r="DI12">
        <v>0.89999999909999995</v>
      </c>
      <c r="DJ12">
        <v>0.79999999980000003</v>
      </c>
      <c r="DK12">
        <v>0.79999999980000003</v>
      </c>
      <c r="DL12">
        <v>0.79999999980000003</v>
      </c>
      <c r="DM12">
        <v>0.89999999909999995</v>
      </c>
      <c r="DN12">
        <v>0.89999999909999995</v>
      </c>
      <c r="DO12">
        <v>0.89999999909999995</v>
      </c>
      <c r="DP12">
        <v>1.0000000002</v>
      </c>
      <c r="DQ12">
        <v>1.0000000002</v>
      </c>
      <c r="DR12">
        <v>1.0999999995</v>
      </c>
      <c r="DS12">
        <v>1.0999999995</v>
      </c>
      <c r="DT12">
        <v>1.2000000006</v>
      </c>
      <c r="DU12">
        <v>1.2000000006</v>
      </c>
      <c r="DV12">
        <v>1.2999999999</v>
      </c>
      <c r="DW12">
        <v>1.2999999999</v>
      </c>
      <c r="DX12">
        <v>1.3999999992000001</v>
      </c>
      <c r="DY12">
        <v>2.5000000005</v>
      </c>
      <c r="DZ12">
        <v>6.9000000003000004</v>
      </c>
      <c r="EA12">
        <v>14.199999999599999</v>
      </c>
      <c r="EB12">
        <v>21.699999999300001</v>
      </c>
      <c r="EC12">
        <v>29.399999999399999</v>
      </c>
      <c r="ED12">
        <v>37.099999999600001</v>
      </c>
      <c r="EE12">
        <v>44.700000000400003</v>
      </c>
      <c r="EF12">
        <v>52.499999999800004</v>
      </c>
      <c r="EG12">
        <v>60.999999999700002</v>
      </c>
      <c r="EH12">
        <v>69.600000000700007</v>
      </c>
      <c r="EI12">
        <v>77.699999999799999</v>
      </c>
      <c r="EJ12">
        <v>85.999999999300002</v>
      </c>
      <c r="EK12">
        <v>94.4</v>
      </c>
      <c r="EL12">
        <v>102.80000000059999</v>
      </c>
      <c r="EM12">
        <v>111.9999999992</v>
      </c>
      <c r="EN12">
        <v>121.1000000003</v>
      </c>
      <c r="EO12">
        <v>129.69999999949999</v>
      </c>
      <c r="EP12">
        <v>138.4999999991</v>
      </c>
      <c r="EQ12">
        <v>147.10000000010001</v>
      </c>
      <c r="ER12">
        <v>155.69999999929999</v>
      </c>
      <c r="ES12">
        <v>164.8999999998</v>
      </c>
      <c r="ET12">
        <v>174.1000000002</v>
      </c>
      <c r="EU12">
        <v>182.80000000050001</v>
      </c>
      <c r="EV12">
        <v>191.60000000010001</v>
      </c>
      <c r="EW12">
        <v>200.30000000039999</v>
      </c>
      <c r="EX12">
        <v>209.0000000007</v>
      </c>
      <c r="EY12">
        <v>218.39999999969999</v>
      </c>
      <c r="EZ12">
        <v>227.6000000002</v>
      </c>
      <c r="FA12">
        <v>236.30000000050001</v>
      </c>
      <c r="FB12">
        <v>245.00000000079999</v>
      </c>
      <c r="FC12">
        <v>253.5000000007</v>
      </c>
      <c r="FD12">
        <v>262.50000000070003</v>
      </c>
      <c r="FE12">
        <v>271.69999999930002</v>
      </c>
      <c r="FF12">
        <v>280.39999999960003</v>
      </c>
      <c r="FG12">
        <v>288.89999999960003</v>
      </c>
      <c r="FH12">
        <v>297.30000000019999</v>
      </c>
      <c r="FI12">
        <v>305.7000000008</v>
      </c>
      <c r="FJ12">
        <v>314.3</v>
      </c>
      <c r="FK12">
        <v>323.00000000030002</v>
      </c>
      <c r="FL12">
        <v>331.59999999950003</v>
      </c>
      <c r="FM12">
        <v>339.79999999969999</v>
      </c>
      <c r="FN12">
        <v>347.59999999910002</v>
      </c>
      <c r="FO12">
        <v>355.29999999929998</v>
      </c>
      <c r="FP12">
        <v>363.29999999910001</v>
      </c>
      <c r="FQ12">
        <v>371.69999999970003</v>
      </c>
      <c r="FR12">
        <v>379.4999999991</v>
      </c>
      <c r="FS12">
        <v>387.19999999919997</v>
      </c>
      <c r="FT12">
        <v>394.39999999920002</v>
      </c>
      <c r="FU12">
        <v>401.59999999920001</v>
      </c>
      <c r="FV12">
        <v>408.7</v>
      </c>
      <c r="FW12">
        <v>416.19999999970003</v>
      </c>
      <c r="FX12">
        <v>423.30000000040002</v>
      </c>
      <c r="FY12">
        <v>430.20000000070002</v>
      </c>
      <c r="FZ12">
        <v>436.90000000060002</v>
      </c>
      <c r="GA12">
        <v>443.19999999970003</v>
      </c>
      <c r="GB12">
        <v>448.5999999997</v>
      </c>
      <c r="GC12">
        <v>452.49999999940002</v>
      </c>
      <c r="GD12">
        <v>454.40000000049997</v>
      </c>
      <c r="GE12">
        <v>454.90000000060002</v>
      </c>
      <c r="GF12">
        <v>454.90000000060002</v>
      </c>
      <c r="GG12">
        <v>454.99999999990001</v>
      </c>
      <c r="GH12">
        <v>454.99999999990001</v>
      </c>
      <c r="GI12">
        <v>454.99999999990001</v>
      </c>
      <c r="GJ12">
        <v>455.09999999920001</v>
      </c>
      <c r="GK12">
        <v>455.09999999920001</v>
      </c>
      <c r="GL12">
        <v>455.09999999920001</v>
      </c>
      <c r="GM12">
        <v>455.09999999920001</v>
      </c>
      <c r="GN12">
        <v>455.09999999920001</v>
      </c>
      <c r="GO12">
        <v>455.09999999920001</v>
      </c>
      <c r="GP12">
        <v>455.09999999920001</v>
      </c>
      <c r="GQ12">
        <v>455.09999999920001</v>
      </c>
      <c r="GR12">
        <v>455.09999999920001</v>
      </c>
      <c r="GS12">
        <v>455.09999999920001</v>
      </c>
      <c r="GT12">
        <v>455.09999999920001</v>
      </c>
      <c r="GU12">
        <v>455.20000000030001</v>
      </c>
      <c r="GV12">
        <v>455.09999999920001</v>
      </c>
      <c r="GW12">
        <v>1</v>
      </c>
      <c r="GX12">
        <v>101.6</v>
      </c>
      <c r="GY12">
        <v>94.800000000799997</v>
      </c>
      <c r="GZ12">
        <v>94.800000000799997</v>
      </c>
      <c r="HA12">
        <v>111.9999999992</v>
      </c>
      <c r="HB12">
        <v>98.707459079800003</v>
      </c>
      <c r="HC12">
        <v>-17.199999998399999</v>
      </c>
      <c r="HD12">
        <v>455.09999999920001</v>
      </c>
      <c r="HE12">
        <v>330.08331319370001</v>
      </c>
      <c r="HF12">
        <v>84.555179611699998</v>
      </c>
      <c r="HG12">
        <v>455.20000000030001</v>
      </c>
      <c r="HH12">
        <v>455.20000000030001</v>
      </c>
      <c r="HI12">
        <v>455.20000000030001</v>
      </c>
      <c r="HJ12">
        <v>455.20000000030001</v>
      </c>
      <c r="HK12">
        <v>100.87976539589999</v>
      </c>
      <c r="HL12">
        <v>3.7721455990999999</v>
      </c>
      <c r="HM12">
        <v>3.5953189675999999</v>
      </c>
      <c r="HN12">
        <v>3.6539933291</v>
      </c>
      <c r="HO12">
        <v>3.4315834514999999</v>
      </c>
      <c r="HP12">
        <v>3.8026681762000001</v>
      </c>
      <c r="HQ12">
        <v>3.0123036548000002</v>
      </c>
      <c r="HR12">
        <v>14.1522794681</v>
      </c>
      <c r="HS12">
        <v>-23.460410557199999</v>
      </c>
      <c r="HT12">
        <v>-160</v>
      </c>
      <c r="HU12">
        <v>428.7907722736</v>
      </c>
      <c r="HV12">
        <v>89.149560117299998</v>
      </c>
      <c r="HW12">
        <v>608</v>
      </c>
      <c r="HX12">
        <v>14.1522794681</v>
      </c>
      <c r="HY12">
        <v>-23.460410557199999</v>
      </c>
      <c r="HZ12">
        <v>-160</v>
      </c>
      <c r="IA12">
        <v>428.7907722736</v>
      </c>
      <c r="IB12">
        <v>89.149560117299998</v>
      </c>
      <c r="IC12">
        <v>608</v>
      </c>
      <c r="ID12">
        <v>26.409227726800001</v>
      </c>
      <c r="IE12">
        <v>0.60647039380000001</v>
      </c>
      <c r="IF12">
        <v>-32.844574780099997</v>
      </c>
      <c r="IG12">
        <v>-224</v>
      </c>
      <c r="IH12">
        <v>452.2420850263</v>
      </c>
      <c r="II12">
        <v>98.533724340199996</v>
      </c>
      <c r="IJ12">
        <v>672</v>
      </c>
      <c r="IK12">
        <v>414.63849280549999</v>
      </c>
      <c r="IL12">
        <v>112.6099706745</v>
      </c>
      <c r="IM12">
        <v>440.00081291779998</v>
      </c>
      <c r="IN12">
        <v>121.9941348974</v>
      </c>
      <c r="IO12">
        <v>7.6000000007999997</v>
      </c>
      <c r="IP12">
        <v>6.9000000003000004</v>
      </c>
      <c r="IQ12">
        <v>9.3999999990000003</v>
      </c>
      <c r="IR12">
        <v>2.6573789366999998</v>
      </c>
      <c r="IS12">
        <v>2.6573789366999998</v>
      </c>
      <c r="IT12">
        <v>15.9999999996</v>
      </c>
      <c r="IU12">
        <v>-23.460410557199999</v>
      </c>
      <c r="IV12">
        <v>20.199999998999999</v>
      </c>
      <c r="IW12">
        <v>70.381231671600005</v>
      </c>
      <c r="IX12">
        <v>15.9000000003</v>
      </c>
      <c r="IY12">
        <v>96.187683284499997</v>
      </c>
      <c r="IZ12">
        <v>-27.4778771386</v>
      </c>
      <c r="JA12">
        <v>0.2967309474</v>
      </c>
      <c r="JB12">
        <v>-2.2621060000000001E-4</v>
      </c>
      <c r="JC12">
        <v>3.9169999999999999E-7</v>
      </c>
      <c r="JD12">
        <v>0.26510111390000002</v>
      </c>
      <c r="JE12">
        <v>0.15609615439999999</v>
      </c>
      <c r="JF12">
        <v>7.3452815699999993E-2</v>
      </c>
      <c r="JG12">
        <v>98.909408902099997</v>
      </c>
      <c r="JH12">
        <v>3.8026681762000001</v>
      </c>
      <c r="JI12">
        <v>5.3375881999999999E-3</v>
      </c>
      <c r="JJ12">
        <v>-7.3063699999999996E-5</v>
      </c>
      <c r="JK12">
        <v>3.7721455990999999</v>
      </c>
      <c r="JL12">
        <v>0.57384061180000001</v>
      </c>
      <c r="JM12">
        <v>0.2293282096</v>
      </c>
      <c r="JN12" t="s">
        <v>537</v>
      </c>
      <c r="JQ12">
        <v>1</v>
      </c>
    </row>
    <row r="13" spans="1:277">
      <c r="A13" t="s">
        <v>669</v>
      </c>
      <c r="B13" t="s">
        <v>670</v>
      </c>
      <c r="C13" t="s">
        <v>211</v>
      </c>
      <c r="D13">
        <v>3</v>
      </c>
      <c r="E13" t="s">
        <v>212</v>
      </c>
      <c r="F13" t="s">
        <v>213</v>
      </c>
      <c r="G13" t="s">
        <v>536</v>
      </c>
      <c r="H13" t="s">
        <v>215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0</v>
      </c>
      <c r="R13">
        <v>0.29999999970000002</v>
      </c>
      <c r="S13">
        <v>0.39999999899999999</v>
      </c>
      <c r="T13">
        <v>0.39999999899999999</v>
      </c>
      <c r="U13">
        <v>0.50000000010000001</v>
      </c>
      <c r="V13">
        <v>0.50000000010000001</v>
      </c>
      <c r="W13">
        <v>0.59999999940000004</v>
      </c>
      <c r="X13">
        <v>0.59999999940000004</v>
      </c>
      <c r="Y13">
        <v>0.59999999940000004</v>
      </c>
      <c r="Z13">
        <v>0.59999999940000004</v>
      </c>
      <c r="AA13">
        <v>0.69999999869999996</v>
      </c>
      <c r="AB13">
        <v>0.69999999869999996</v>
      </c>
      <c r="AC13">
        <v>0.69999999869999996</v>
      </c>
      <c r="AD13">
        <v>0.69999999869999996</v>
      </c>
      <c r="AE13">
        <v>0.79999999980000003</v>
      </c>
      <c r="AF13">
        <v>0.89999999909999995</v>
      </c>
      <c r="AG13">
        <v>0.89999999909999995</v>
      </c>
      <c r="AH13">
        <v>1.0000000002</v>
      </c>
      <c r="AI13">
        <v>1.0999999995</v>
      </c>
      <c r="AJ13">
        <v>2.3000000000999998</v>
      </c>
      <c r="AK13">
        <v>6.1999999998000002</v>
      </c>
      <c r="AL13">
        <v>12.4999999989</v>
      </c>
      <c r="AM13">
        <v>19.8</v>
      </c>
      <c r="AN13">
        <v>27.500000000099998</v>
      </c>
      <c r="AO13">
        <v>35.599999999200001</v>
      </c>
      <c r="AP13">
        <v>43.799999999500002</v>
      </c>
      <c r="AQ13">
        <v>51.899999998600002</v>
      </c>
      <c r="AR13">
        <v>59.799999999100002</v>
      </c>
      <c r="AS13">
        <v>67.799999998900006</v>
      </c>
      <c r="AT13">
        <v>75.999999999099998</v>
      </c>
      <c r="AU13">
        <v>84.600000000099996</v>
      </c>
      <c r="AV13">
        <v>93.3999999997</v>
      </c>
      <c r="AW13">
        <v>102.2999999986</v>
      </c>
      <c r="AX13">
        <v>111.19999999940001</v>
      </c>
      <c r="AY13">
        <v>119.999999999</v>
      </c>
      <c r="AZ13">
        <v>128.69999999929999</v>
      </c>
      <c r="BA13">
        <v>137.49999999889999</v>
      </c>
      <c r="BB13">
        <v>146.3999999996</v>
      </c>
      <c r="BC13">
        <v>154.99999999880001</v>
      </c>
      <c r="BD13">
        <v>163.19999999909999</v>
      </c>
      <c r="BE13">
        <v>171.89999999939999</v>
      </c>
      <c r="BF13">
        <v>180.99999999869999</v>
      </c>
      <c r="BG13">
        <v>189.89999999939999</v>
      </c>
      <c r="BH13">
        <v>198.89999999939999</v>
      </c>
      <c r="BI13">
        <v>207.39999999930001</v>
      </c>
      <c r="BJ13">
        <v>215.5000000002</v>
      </c>
      <c r="BK13">
        <v>224.39999999919999</v>
      </c>
      <c r="BL13">
        <v>233.2999999999</v>
      </c>
      <c r="BM13">
        <v>242.1999999988</v>
      </c>
      <c r="BN13">
        <v>251.0000000002</v>
      </c>
      <c r="BO13">
        <v>259.39999999899999</v>
      </c>
      <c r="BP13">
        <v>267.39999999880001</v>
      </c>
      <c r="BQ13">
        <v>276.09999999910002</v>
      </c>
      <c r="BR13">
        <v>284.89999999870003</v>
      </c>
      <c r="BS13">
        <v>293.49999999980002</v>
      </c>
      <c r="BT13">
        <v>302.09999999899998</v>
      </c>
      <c r="BU13">
        <v>310.1999999999</v>
      </c>
      <c r="BV13">
        <v>318.09999999860003</v>
      </c>
      <c r="BW13">
        <v>326.49999999919999</v>
      </c>
      <c r="BX13">
        <v>334.8999999998</v>
      </c>
      <c r="BY13">
        <v>343.1</v>
      </c>
      <c r="BZ13">
        <v>351.30000000029997</v>
      </c>
      <c r="CA13">
        <v>358.9999999986</v>
      </c>
      <c r="CB13">
        <v>366.39999999899999</v>
      </c>
      <c r="CC13">
        <v>374.20000000020002</v>
      </c>
      <c r="CD13">
        <v>381.99999999959999</v>
      </c>
      <c r="CE13">
        <v>389.59999999860003</v>
      </c>
      <c r="CF13">
        <v>397.2999999987</v>
      </c>
      <c r="CG13">
        <v>404.80000000029997</v>
      </c>
      <c r="CH13">
        <v>411.69999999869998</v>
      </c>
      <c r="CI13">
        <v>418.59999999910002</v>
      </c>
      <c r="CJ13">
        <v>425.90000000020001</v>
      </c>
      <c r="CK13">
        <v>433.19999999949999</v>
      </c>
      <c r="CL13">
        <v>439.99999999869999</v>
      </c>
      <c r="CM13">
        <v>446.5999999993</v>
      </c>
      <c r="CN13">
        <v>452.40000000010002</v>
      </c>
      <c r="CO13">
        <v>457.09999999960002</v>
      </c>
      <c r="CP13">
        <v>459.1</v>
      </c>
      <c r="CQ13">
        <v>459.19999999930002</v>
      </c>
      <c r="CR13">
        <v>459.19999999930002</v>
      </c>
      <c r="CS13">
        <v>459.19999999930002</v>
      </c>
      <c r="CT13">
        <v>459.19999999930002</v>
      </c>
      <c r="CU13">
        <v>459.19999999930002</v>
      </c>
      <c r="CV13">
        <v>459.29999999860001</v>
      </c>
      <c r="CW13">
        <v>459.39999999970001</v>
      </c>
      <c r="CX13">
        <v>459.29999999860001</v>
      </c>
      <c r="CY13">
        <v>459.39999999970001</v>
      </c>
      <c r="CZ13">
        <v>459.39999999970001</v>
      </c>
      <c r="DA13">
        <v>459.49999999900001</v>
      </c>
      <c r="DB13">
        <v>459.39999999970001</v>
      </c>
      <c r="DC13">
        <v>459.49999999900001</v>
      </c>
      <c r="DD13">
        <v>459.49999999900001</v>
      </c>
      <c r="DE13">
        <v>459.49999999900001</v>
      </c>
      <c r="DF13">
        <v>459.49999999900001</v>
      </c>
      <c r="DG13">
        <v>0.50000000010000001</v>
      </c>
      <c r="DH13">
        <v>1.2999999999</v>
      </c>
      <c r="DI13">
        <v>1.2999999999</v>
      </c>
      <c r="DJ13">
        <v>1.3999999992000001</v>
      </c>
      <c r="DK13">
        <v>1.3999999992000001</v>
      </c>
      <c r="DL13">
        <v>1.4999999985000001</v>
      </c>
      <c r="DM13">
        <v>1.4999999985000001</v>
      </c>
      <c r="DN13">
        <v>1.5999999996000001</v>
      </c>
      <c r="DO13">
        <v>1.5999999996000001</v>
      </c>
      <c r="DP13">
        <v>1.5999999996000001</v>
      </c>
      <c r="DQ13">
        <v>1.5999999996000001</v>
      </c>
      <c r="DR13">
        <v>1.8</v>
      </c>
      <c r="DS13">
        <v>1.6999999989000001</v>
      </c>
      <c r="DT13">
        <v>1.8</v>
      </c>
      <c r="DU13">
        <v>1.8</v>
      </c>
      <c r="DV13">
        <v>1.8999999993000001</v>
      </c>
      <c r="DW13">
        <v>1.8999999993000001</v>
      </c>
      <c r="DX13">
        <v>2.1999999990000001</v>
      </c>
      <c r="DY13">
        <v>5.0999999985000004</v>
      </c>
      <c r="DZ13">
        <v>11.8999999995</v>
      </c>
      <c r="EA13">
        <v>19.299999999899999</v>
      </c>
      <c r="EB13">
        <v>27</v>
      </c>
      <c r="EC13">
        <v>34.999999999899998</v>
      </c>
      <c r="ED13">
        <v>43.099999998999998</v>
      </c>
      <c r="EE13">
        <v>51.199999999900001</v>
      </c>
      <c r="EF13">
        <v>59.099999998599998</v>
      </c>
      <c r="EG13">
        <v>66.999999999099998</v>
      </c>
      <c r="EH13">
        <v>75.199999999300005</v>
      </c>
      <c r="EI13">
        <v>83.599999999900007</v>
      </c>
      <c r="EJ13">
        <v>92.300000000300003</v>
      </c>
      <c r="EK13">
        <v>100.99999999870001</v>
      </c>
      <c r="EL13">
        <v>109.5999999998</v>
      </c>
      <c r="EM13">
        <v>118.49999999870001</v>
      </c>
      <c r="EN13">
        <v>127.39999999939999</v>
      </c>
      <c r="EO13">
        <v>136.3000000001</v>
      </c>
      <c r="EP13">
        <v>145.199999999</v>
      </c>
      <c r="EQ13">
        <v>153.89999999930001</v>
      </c>
      <c r="ER13">
        <v>162.09999999959999</v>
      </c>
      <c r="ES13">
        <v>171.09999999959999</v>
      </c>
      <c r="ET13">
        <v>179.89999999919999</v>
      </c>
      <c r="EU13">
        <v>188.7999999999</v>
      </c>
      <c r="EV13">
        <v>197.89999999919999</v>
      </c>
      <c r="EW13">
        <v>206.5999999995</v>
      </c>
      <c r="EX13">
        <v>214.69999999859999</v>
      </c>
      <c r="EY13">
        <v>223.3999999989</v>
      </c>
      <c r="EZ13">
        <v>232.50000000009999</v>
      </c>
      <c r="FA13">
        <v>241.39999999899999</v>
      </c>
      <c r="FB13">
        <v>250.19999999859999</v>
      </c>
      <c r="FC13">
        <v>258.59999999920001</v>
      </c>
      <c r="FD13">
        <v>266.59999999899998</v>
      </c>
      <c r="FE13">
        <v>275.2</v>
      </c>
      <c r="FF13">
        <v>284.20000000009998</v>
      </c>
      <c r="FG13">
        <v>292.99999999969998</v>
      </c>
      <c r="FH13">
        <v>301.59999999889999</v>
      </c>
      <c r="FI13">
        <v>309.69999999980001</v>
      </c>
      <c r="FJ13">
        <v>317.49999999919999</v>
      </c>
      <c r="FK13">
        <v>325.7999999987</v>
      </c>
      <c r="FL13">
        <v>334.29999999860001</v>
      </c>
      <c r="FM13">
        <v>342.59999999989998</v>
      </c>
      <c r="FN13">
        <v>350.80000000019999</v>
      </c>
      <c r="FO13">
        <v>358.50000000030002</v>
      </c>
      <c r="FP13">
        <v>365.8999999989</v>
      </c>
      <c r="FQ13">
        <v>373.59999999899998</v>
      </c>
      <c r="FR13">
        <v>381.49999999950001</v>
      </c>
      <c r="FS13">
        <v>389.09999999849998</v>
      </c>
      <c r="FT13">
        <v>396.79999999860001</v>
      </c>
      <c r="FU13">
        <v>403.9999999986</v>
      </c>
      <c r="FV13">
        <v>411.00000000009999</v>
      </c>
      <c r="FW13">
        <v>417.99999999969998</v>
      </c>
      <c r="FX13">
        <v>425.19999999970003</v>
      </c>
      <c r="FY13">
        <v>432.39999999970001</v>
      </c>
      <c r="FZ13">
        <v>439.09999999960002</v>
      </c>
      <c r="GA13">
        <v>445.20000000009998</v>
      </c>
      <c r="GB13">
        <v>450.69999999940001</v>
      </c>
      <c r="GC13">
        <v>455.69999999859999</v>
      </c>
      <c r="GD13">
        <v>458.49999999879998</v>
      </c>
      <c r="GE13">
        <v>458.89999999960003</v>
      </c>
      <c r="GF13">
        <v>458.89999999960003</v>
      </c>
      <c r="GG13">
        <v>458.99999999890002</v>
      </c>
      <c r="GH13">
        <v>458.99999999890002</v>
      </c>
      <c r="GI13">
        <v>459.1</v>
      </c>
      <c r="GJ13">
        <v>458.99999999890002</v>
      </c>
      <c r="GK13">
        <v>459.1</v>
      </c>
      <c r="GL13">
        <v>458.99999999890002</v>
      </c>
      <c r="GM13">
        <v>458.99999999890002</v>
      </c>
      <c r="GN13">
        <v>458.99999999890002</v>
      </c>
      <c r="GO13">
        <v>459.1</v>
      </c>
      <c r="GP13">
        <v>459.19999999930002</v>
      </c>
      <c r="GQ13">
        <v>459.19999999930002</v>
      </c>
      <c r="GR13">
        <v>459.19999999930002</v>
      </c>
      <c r="GS13">
        <v>459.29999999860001</v>
      </c>
      <c r="GT13">
        <v>459.39999999970001</v>
      </c>
      <c r="GU13">
        <v>459.49999999900001</v>
      </c>
      <c r="GV13">
        <v>459.49999999900001</v>
      </c>
      <c r="GW13">
        <v>1</v>
      </c>
      <c r="GX13">
        <v>109.00000000039999</v>
      </c>
      <c r="GY13">
        <v>102.2999999986</v>
      </c>
      <c r="GZ13">
        <v>102.2999999986</v>
      </c>
      <c r="HA13">
        <v>118.49999999870001</v>
      </c>
      <c r="HB13">
        <v>106.1922306841</v>
      </c>
      <c r="HC13">
        <v>-16.2</v>
      </c>
      <c r="HD13">
        <v>459.49999999900001</v>
      </c>
      <c r="HE13">
        <v>325.18665941339998</v>
      </c>
      <c r="HF13">
        <v>85.485854187900003</v>
      </c>
      <c r="HG13">
        <v>459.49999999900001</v>
      </c>
      <c r="HH13">
        <v>459.49999999900001</v>
      </c>
      <c r="HI13">
        <v>459.49999999900001</v>
      </c>
      <c r="HJ13">
        <v>459.49999999900001</v>
      </c>
      <c r="HK13">
        <v>103.22580645159999</v>
      </c>
      <c r="HL13">
        <v>3.7239444175999998</v>
      </c>
      <c r="HM13">
        <v>3.5947224773999999</v>
      </c>
      <c r="HN13">
        <v>3.5983523529000001</v>
      </c>
      <c r="HO13">
        <v>3.5102354150999999</v>
      </c>
      <c r="HP13">
        <v>3.7978446262999999</v>
      </c>
      <c r="HQ13">
        <v>2.9842684843999998</v>
      </c>
      <c r="HR13">
        <v>20.706376496200001</v>
      </c>
      <c r="HS13">
        <v>-23.460410557199999</v>
      </c>
      <c r="HT13">
        <v>-160</v>
      </c>
      <c r="HU13">
        <v>431.37889009759999</v>
      </c>
      <c r="HV13">
        <v>89.149560117299998</v>
      </c>
      <c r="HW13">
        <v>608</v>
      </c>
      <c r="HX13">
        <v>20.706376496200001</v>
      </c>
      <c r="HY13">
        <v>-23.460410557199999</v>
      </c>
      <c r="HZ13">
        <v>-160</v>
      </c>
      <c r="IA13">
        <v>431.37889009759999</v>
      </c>
      <c r="IB13">
        <v>89.149560117299998</v>
      </c>
      <c r="IC13">
        <v>608</v>
      </c>
      <c r="ID13">
        <v>28.121109901400001</v>
      </c>
      <c r="IE13">
        <v>1.1269858536999999</v>
      </c>
      <c r="IF13">
        <v>-32.844574780099997</v>
      </c>
      <c r="IG13">
        <v>-224</v>
      </c>
      <c r="IH13">
        <v>455.53463547199999</v>
      </c>
      <c r="II13">
        <v>98.533724340199996</v>
      </c>
      <c r="IJ13">
        <v>672</v>
      </c>
      <c r="IK13">
        <v>410.6725136014</v>
      </c>
      <c r="IL13">
        <v>112.6099706745</v>
      </c>
      <c r="IM13">
        <v>438.1063656151</v>
      </c>
      <c r="IN13">
        <v>121.9941348974</v>
      </c>
      <c r="IO13">
        <v>7.4000000004000004</v>
      </c>
      <c r="IP13">
        <v>6.6000000005999997</v>
      </c>
      <c r="IQ13">
        <v>9.1000000010999997</v>
      </c>
      <c r="IR13">
        <v>2.9921726253999998</v>
      </c>
      <c r="IS13">
        <v>2.9921726253999998</v>
      </c>
      <c r="IT13">
        <v>14.5000000011</v>
      </c>
      <c r="IU13">
        <v>-25.806451612899998</v>
      </c>
      <c r="IV13">
        <v>16.9999999998</v>
      </c>
      <c r="IW13">
        <v>30.4985337243</v>
      </c>
      <c r="IX13">
        <v>10.700000000699999</v>
      </c>
      <c r="IY13">
        <v>96.187683284499997</v>
      </c>
      <c r="IZ13">
        <v>-29.374299525400001</v>
      </c>
      <c r="JA13">
        <v>0.29397194560000001</v>
      </c>
      <c r="JB13">
        <v>-2.010429E-4</v>
      </c>
      <c r="JC13">
        <v>3.6189999999999998E-7</v>
      </c>
      <c r="JD13">
        <v>0.26853247200000002</v>
      </c>
      <c r="JE13">
        <v>0.19269318099999999</v>
      </c>
      <c r="JF13">
        <v>8.6399536999999998E-2</v>
      </c>
      <c r="JG13">
        <v>106.32827630990001</v>
      </c>
      <c r="JH13">
        <v>3.7978446262999999</v>
      </c>
      <c r="JI13">
        <v>3.9020347000000002E-3</v>
      </c>
      <c r="JJ13">
        <v>-6.3301999999999998E-5</v>
      </c>
      <c r="JK13">
        <v>3.7239444175999998</v>
      </c>
      <c r="JL13">
        <v>0.8288537064</v>
      </c>
      <c r="JM13">
        <v>0.29270975630000001</v>
      </c>
      <c r="JN13" t="s">
        <v>537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65.519124210699999</v>
      </c>
      <c r="D16" s="9">
        <f>AVERAGE(C18:C20)</f>
        <v>72.170998533599999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68.130973409800006</v>
      </c>
      <c r="D17" s="9">
        <f>AVERAGE(C21:C23)</f>
        <v>73.490286763233328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70.894138881700002</v>
      </c>
      <c r="D18" s="11">
        <f>AVERAGE(C24:C26)</f>
        <v>73.860241542133338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71.176101553899997</v>
      </c>
      <c r="D19" s="6">
        <f>AVERAGE('Summary(3pcs)'!E34:E35)</f>
        <v>163.62785770823791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74.442755165199998</v>
      </c>
      <c r="D20" s="9">
        <f>AVERAGE('Summary(3pcs)'!E36:E38)</f>
        <v>159.29164593480456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66.064844322300004</v>
      </c>
      <c r="D21" s="9">
        <f>AVERAGE('Summary(3pcs)'!E39:E41)</f>
        <v>163.04078234153792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78.252919055600003</v>
      </c>
      <c r="D22" s="11">
        <f>AVERAGE('Summary(3pcs)'!E42:E44)</f>
        <v>160.08544504747124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76.153096911800006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73.692255038400006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72.022234792399999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75.866234795599993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-5.2963874710000001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-5.7932893577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5.4903890361999999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2.5928292118999998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-3.0268720930000002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2.9370890675000001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1.7068615008000001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1.4332914328999999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-0.75161464515000009</v>
      </c>
      <c r="C39" s="5">
        <f>'Summary(3pcs)'!M34</f>
        <v>-5.2963874710000001</v>
      </c>
      <c r="D39" s="11">
        <f t="shared" si="0"/>
        <v>0.58262395280000001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-5.7932893577</v>
      </c>
      <c r="D40" s="6">
        <f t="shared" si="0"/>
        <v>1.0312132285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5.4903890361999999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2.5928292118999998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0.76259247704999999</v>
      </c>
      <c r="C43" s="8">
        <f>'Summary(3pcs)'!M39</f>
        <v>-3.0268720930000002</v>
      </c>
      <c r="D43" s="6">
        <f t="shared" ref="D43:D54" si="2">C55</f>
        <v>-0.9044558545000001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2.9370890675000001</v>
      </c>
      <c r="D44" s="9">
        <f t="shared" si="2"/>
        <v>-1.0478684491000001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1.7068615008000001</v>
      </c>
      <c r="D45" s="11">
        <f t="shared" si="2"/>
        <v>-2.7141661654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1.4332914328999999</v>
      </c>
      <c r="D46" s="6">
        <f t="shared" si="2"/>
        <v>2.0274251812999999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0.58262395280000001</v>
      </c>
      <c r="D47" s="9">
        <f t="shared" si="2"/>
        <v>-4.6486789616999999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1.0312132285</v>
      </c>
      <c r="D48" s="11">
        <f t="shared" si="2"/>
        <v>8.9321977258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6.1848416109999995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-4.2961387609999999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-0.31999992779999964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3.2638920003000003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-0.65976632192500007</v>
      </c>
      <c r="C55" s="5">
        <f>'Summary(3pcs)'!N34</f>
        <v>-0.9044558545000001</v>
      </c>
      <c r="D55" s="6">
        <f>AVERAGE(D31:D33)</f>
        <v>-1.8664292641666667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-1.0478684491000001</v>
      </c>
      <c r="D56" s="9">
        <f>AVERAGE(D34:D36)</f>
        <v>0.83434872879999988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-2.7141661654</v>
      </c>
      <c r="D57" s="9">
        <f>AVERAGE(D37:D39)</f>
        <v>1.2409256288333335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2.0274251812999999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1.5430554035249999</v>
      </c>
      <c r="C59" s="8">
        <f>'Summary(3pcs)'!N39</f>
        <v>-4.6486789616999999</v>
      </c>
      <c r="D59" s="9">
        <f>AVERAGE(D43:D45)</f>
        <v>-1.5554968230000001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8.9321977258</v>
      </c>
      <c r="D60" s="9">
        <f>AVERAGE(D46:D48)</f>
        <v>2.1036479818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6.1848416109999995</v>
      </c>
      <c r="D61" s="9">
        <f>AVERAGE(D49:D51)</f>
        <v>0.52290097406666669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-4.2961387609999999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-0.31999992779999964</v>
      </c>
      <c r="D63" s="6">
        <f>AVERAGE(C71:C73)</f>
        <v>-1.5573561390333335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3.2638920003000003</v>
      </c>
      <c r="D64" s="9">
        <f>AVERAGE(C74:C76)</f>
        <v>-1.3761209646999999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-4.1120454470333332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-3.9193025827666665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-0.34923597176666671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3.4509671528999992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1.9937440554333332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2.6917934218999999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-5.1206791996999996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-0.93774271010000021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1.3863534926999996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2.427945137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-8.2975900172999992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1.7412819861999997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0.61800098420000005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-12.6140856743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-0.34005165099999957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2.1946363449000001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-7.8759684562999999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-6.0765756368999995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-4.6496324538999998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-3.6779178380999999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7.2798423766999996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5.9167194365999993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-1.0159835815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5.4521656035999992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2.9221343994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1.2309322357000001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1.8281655311999998</v>
      </c>
    </row>
    <row r="96" spans="1:7">
      <c r="A96" s="1" t="s">
        <v>87</v>
      </c>
      <c r="C96" s="5">
        <f>'Summary(3pcs)'!W43</f>
        <v>7.1980171203999994</v>
      </c>
    </row>
    <row r="97" spans="1:3">
      <c r="A97" s="1" t="s">
        <v>87</v>
      </c>
      <c r="C97" s="8">
        <f>'Summary(3pcs)'!W44</f>
        <v>2.9692120551999999</v>
      </c>
    </row>
    <row r="98" spans="1:3" ht="17.25" thickBot="1">
      <c r="A98" s="1" t="s">
        <v>87</v>
      </c>
      <c r="C98" s="10">
        <f>'Summary(3pcs)'!W45</f>
        <v>-2.0918489098999999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