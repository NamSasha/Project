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<sst xmlns="http://schemas.openxmlformats.org/spreadsheetml/2006/main" count="1419" uniqueCount="671">
  <si>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</si>
  <si>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</si>
  <si>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</si>
  <si>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</si>
  <si>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</si>
  <si>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</si>
  <si>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</si>
  <si>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</si>
  <si>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</si>
  <si>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</si>
  <si>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</si>
  <si>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</si>
  <si>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</si>
  <si>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</si>
  <si>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</si>
  <si>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</si>
  <si>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</si>
  <si>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</si>
  <si>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</si>
  <si>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</si>
  <si>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</si>
  <si>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</si>
  <si>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</si>
  <si>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</si>
  <si>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</si>
  <si>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</si>
  <si>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</si>
  <si>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</si>
  <si>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</si>
  <si>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</si>
  <si>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</si>
  <si>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</si>
  <si>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</si>
  <si>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</si>
  <si>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</si>
  <si>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</si>
  <si>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</si>
  <si>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</si>
  <si>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</si>
  <si>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</si>
  <si>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</si>
  <si>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</si>
  <si>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</si>
  <si>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</si>
  <si>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</si>
  <si>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</si>
  <si>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</si>
  <si>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</si>
  <si>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</si>
  <si>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</si>
  <si>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</si>
  <si>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</si>
  <si>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</si>
  <si>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</si>
  <si>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</si>
  <si>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</si>
  <si>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</si>
  <si>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</si>
  <si>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</si>
  <si>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</si>
  <si>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</si>
  <si>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</si>
  <si>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</si>
  <si>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</si>
  <si>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</si>
  <si>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</si>
  <si>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</si>
  <si>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</si>
  <si>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</si>
  <si>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</si>
  <si>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</si>
  <si>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</si>
  <si>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</si>
  <si>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</si>
  <si>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</si>
  <si>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</si>
  <si>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</si>
  <si>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</si>
  <si>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</si>
  <si>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</si>
  <si>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</si>
  <si>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</si>
  <si>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</si>
  <si>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</si>
  <si>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</si>
  <si>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</si>
  <si>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</si>
  <si>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</si>
  <si>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</si>
  <si>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</si>
  <si>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</si>
  <si>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</si>
  <si>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</si>
  <si>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</si>
  <si>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</si>
  <si>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</si>
  <si>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</si>
  <si>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</si>
  <si>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</si>
  <si>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</si>
  <si>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</si>
  <si>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</si>
  <si>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</si>
  <si>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</si>
  <si>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</si>
  <si>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</si>
  <si>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</si>
  <si>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</si>
  <si>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</si>
  <si>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</si>
  <si>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</si>
  <si>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</si>
  <si>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</si>
  <si>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</si>
  <si>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</si>
  <si>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</si>
  <si>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</si>
  <si>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</si>
  <si>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</si>
  <si>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</si>
  <si>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</si>
  <si>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</si>
  <si>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</si>
  <si>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</si>
  <si>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</si>
  <si>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</si>
  <si>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</si>
  <si>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</si>
  <si>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</si>
  <si>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</si>
  <si>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</si>
  <si>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</si>
  <si>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</si>
  <si>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</si>
  <si>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</si>
  <si>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</si>
  <si>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</si>
  <si>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</si>
  <si>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</si>
  <si>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</si>
  <si>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</si>
  <si>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</si>
  <si>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</si>
  <si>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</si>
  <si>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</si>
  <si>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</si>
  <si>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</si>
  <si>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</si>
  <si>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</si>
  <si>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</si>
  <si>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</si>
  <si>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</si>
  <si>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</si>
  <si>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</si>
  <si>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</si>
  <si>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</si>
  <si>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</si>
  <si>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</si>
  <si>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</si>
  <si>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</si>
  <si>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</si>
  <si>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</si>
  <si>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</si>
  <si>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</si>
  <si>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</si>
  <si>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</si>
  <si>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</si>
  <si>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</si>
  <si>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</si>
  <si>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</si>
  <si>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</si>
  <si>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</si>
  <si>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</si>
  <si>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D:\EVMS\TP\LOG\VSY832XN9P17_2022092310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</si>
  <si>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</si>
  <si>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</si>
  <si>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</si>
  <si>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</si>
  <si>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</si>
  <si>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</si>
  <si>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</si>
  <si>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</si>
  <si>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</si>
  <si>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</si>
  <si>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</si>
  <si>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</si>
  <si>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</si>
  <si>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</si>
  <si>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</si>
  <si>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</si>
  <si>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</si>
  <si>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</si>
  <si>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</si>
  <si>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</si>
  <si>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</si>
  <si>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</si>
  <si>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</si>
  <si>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</si>
  <si>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</si>
  <si>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</si>
  <si>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</si>
  <si>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</si>
  <si>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</si>
  <si>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</si>
  <si>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</si>
  <si>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</si>
  <si>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</si>
  <si>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</si>
  <si>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</si>
  <si>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</si>
  <si>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T220923101829983VCMLEBC050</t>
  </si>
  <si>
    <t>'2022-09-23 10:18:38:960</t>
  </si>
  <si>
    <t>VCMLEBC050A</t>
  </si>
  <si>
    <t>DB_C1001</t>
  </si>
  <si>
    <t>210615ADOE</t>
  </si>
  <si>
    <t>R13A_OC_MFG_C10_21091603_b1779c9</t>
  </si>
  <si>
    <t>VSY832XN9P17</t>
  </si>
  <si>
    <t>22cd05170857</t>
  </si>
  <si>
    <t>0x52801362a5cddd08</t>
  </si>
  <si>
    <t>MF9C3469A64184B6B640068012</t>
  </si>
  <si>
    <t>MF2C3772B84L13A7A647</t>
  </si>
  <si>
    <t>DNA22246111890G10A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</si>
  <si>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</si>
  <si>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</si>
  <si>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</si>
  <si>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</si>
  <si>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</si>
  <si>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</si>
  <si>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</si>
  <si>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</si>
  <si>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</si>
  <si>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</si>
  <si>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</si>
  <si>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</si>
  <si>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</si>
  <si>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</si>
  <si>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</si>
  <si>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</si>
  <si>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</si>
  <si>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</si>
  <si>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</si>
  <si>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</si>
  <si>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</si>
  <si>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</si>
  <si>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</si>
  <si>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</si>
  <si>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</si>
  <si>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</si>
  <si>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</si>
  <si>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</si>
  <si>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</si>
  <si>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</si>
  <si>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</si>
  <si>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</si>
  <si>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</si>
  <si>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</si>
  <si>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</si>
  <si>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</si>
  <si>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</si>
  <si>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T220923101856439VCMLEBC050</t>
  </si>
  <si>
    <t>'2022-09-23 10:19:24:943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</si>
  <si>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</si>
  <si>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</si>
  <si>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</si>
  <si>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</si>
  <si>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</si>
  <si>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</si>
  <si>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</si>
  <si>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</si>
  <si>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</si>
  <si>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</si>
  <si>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</si>
  <si>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</si>
  <si>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</si>
  <si>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</si>
  <si>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</si>
  <si>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</si>
  <si>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10:19:14:914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</si>
  <si>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</si>
  <si>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</si>
  <si>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</si>
  <si>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</si>
  <si>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</si>
  <si>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</si>
  <si>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</si>
  <si>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</si>
  <si>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</si>
  <si>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</si>
  <si>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</si>
  <si>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</si>
  <si>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</si>
  <si>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</si>
  <si>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</si>
  <si>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</si>
  <si>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</si>
  <si>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</si>
  <si>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</si>
  <si>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</si>
  <si>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</si>
  <si>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</si>
  <si>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</si>
  <si>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</si>
  <si>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</si>
  <si>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</si>
  <si>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</si>
  <si>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</si>
  <si>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</si>
  <si>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</si>
  <si>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</si>
  <si>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</si>
  <si>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</si>
  <si>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</si>
  <si>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</si>
  <si>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</si>
  <si>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</si>
  <si>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</si>
  <si>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</si>
  <si>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</si>
  <si>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</si>
  <si>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</si>
  <si>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</si>
  <si>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</si>
  <si>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</si>
  <si>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</si>
  <si>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</si>
  <si>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</si>
  <si>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</si>
  <si>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</si>
  <si>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</si>
  <si>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</si>
  <si>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</si>
  <si>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</si>
  <si>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</si>
  <si>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</si>
  <si>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</si>
  <si>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</si>
  <si>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</si>
  <si>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</si>
  <si>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</si>
  <si>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</si>
  <si>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</si>
  <si>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</si>
  <si>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</si>
  <si>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</si>
  <si>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</si>
  <si>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</si>
  <si>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</si>
  <si>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</si>
  <si>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</si>
  <si>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</si>
  <si>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</si>
  <si>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</si>
  <si>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</si>
  <si>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</si>
  <si>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</si>
  <si>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</si>
  <si>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</si>
  <si>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</si>
  <si>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</si>
  <si>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</si>
  <si>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</si>
  <si>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</si>
  <si>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</si>
  <si>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</si>
  <si>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</si>
  <si>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</si>
  <si>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</si>
  <si>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</si>
  <si>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</si>
  <si>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</si>
  <si>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</si>
  <si>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</si>
  <si>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</si>
  <si>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</si>
  <si>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</si>
  <si>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</si>
  <si>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</si>
  <si>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</si>
  <si>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</si>
  <si>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</si>
  <si>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</si>
  <si>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</si>
  <si>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</si>
  <si>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</si>
  <si>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</si>
  <si>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</si>
  <si>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</si>
  <si>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</si>
  <si>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</si>
  <si>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</si>
  <si>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</si>
  <si>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</si>
  <si>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</si>
  <si>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</si>
  <si>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</si>
  <si>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</si>
  <si>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</si>
  <si>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</si>
  <si>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</si>
  <si>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</si>
  <si>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</si>
  <si>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</si>
  <si>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</si>
  <si>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</si>
  <si>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</si>
  <si>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</si>
  <si>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</si>
  <si>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</si>
  <si>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</si>
  <si>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</si>
  <si>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</si>
  <si>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</si>
  <si>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</si>
  <si>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</si>
  <si>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</si>
  <si>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</si>
  <si>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</si>
  <si>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</si>
  <si>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</si>
  <si>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</si>
  <si>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</si>
  <si>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</si>
  <si>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</si>
  <si>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</si>
  <si>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</si>
  <si>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</si>
  <si>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</si>
  <si>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</si>
  <si>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</si>
  <si>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</si>
  <si>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</si>
  <si>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</si>
  <si>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</si>
  <si>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</si>
  <si>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</si>
  <si>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</si>
  <si>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</si>
  <si>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</si>
  <si>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</si>
  <si>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</si>
  <si>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</si>
  <si>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</si>
  <si>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</si>
  <si>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</si>
  <si>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</si>
  <si>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</si>
  <si>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</si>
  <si>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</si>
  <si>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</si>
  <si>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</si>
  <si>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</si>
  <si>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</si>
  <si>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</si>
  <si>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</si>
  <si>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</si>
  <si>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</si>
  <si>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</si>
  <si>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</si>
  <si>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</si>
  <si>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</si>
  <si>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</si>
  <si>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</si>
  <si>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</si>
  <si>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</si>
  <si>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</si>
  <si>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</si>
  <si>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</si>
  <si>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</si>
  <si>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</si>
  <si>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</si>
  <si>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</si>
  <si>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</si>
  <si>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</si>
  <si>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</si>
  <si>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</si>
  <si>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</si>
  <si>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</si>
  <si>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</si>
  <si>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</si>
  <si>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</si>
  <si>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</si>
  <si>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</si>
  <si>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</si>
  <si>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</si>
  <si>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</si>
  <si>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</si>
  <si>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</si>
  <si>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</si>
  <si>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</si>
  <si>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</si>
  <si>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</si>
  <si>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</si>
  <si>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</si>
  <si>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</si>
  <si>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</si>
  <si>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</si>
  <si>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</si>
  <si>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</si>
  <si>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</si>
  <si>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</si>
  <si>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</si>
  <si>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</si>
  <si>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</si>
  <si>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</si>
  <si>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</si>
  <si>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</si>
  <si>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</si>
  <si>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</si>
  <si>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</si>
  <si>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</si>
  <si>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</si>
  <si>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</si>
  <si>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</si>
  <si>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</si>
  <si>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</si>
  <si>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</si>
  <si>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</si>
  <si>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</si>
  <si>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</si>
  <si>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</si>
  <si>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</si>
  <si>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</si>
  <si>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</si>
  <si>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</si>
  <si>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</si>
  <si>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</si>
  <si>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</si>
  <si>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</si>
  <si>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</si>
  <si>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</si>
  <si>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</si>
  <si>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</si>
  <si>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</si>
  <si>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</si>
  <si>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</si>
  <si>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T220923101841614VCMLEBC050</t>
  </si>
  <si>
    <t>'2022-09-23 10:18:54:148</t>
  </si>
  <si>
    <t>R13A_IPQC_MFG_Laser_C10_21090805_b1779c9</t>
  </si>
  <si>
    <t>v9p4</t>
  </si>
  <si>
    <t>T220923101937003VCMLEBC050</t>
  </si>
  <si>
    <t>'2022-09-23 10:19:45:887</t>
  </si>
  <si>
    <t>22cd05170879</t>
  </si>
  <si>
    <t>0x52801162a6a92001</t>
  </si>
  <si>
    <t>MF9C3469A68V84B6B241005011</t>
  </si>
  <si>
    <t>MF2C3772BA6P13A7A655</t>
  </si>
  <si>
    <t>DNA22307050890G08A</t>
  </si>
  <si>
    <t>T220923102044332VCMLEBC050</t>
  </si>
  <si>
    <t>'2022-09-23 10:20:53:204</t>
  </si>
  <si>
    <t>22cd05170902</t>
  </si>
  <si>
    <t>0x52801362a5cde506</t>
  </si>
  <si>
    <t>MF9C3469A63N84B6B432034117</t>
  </si>
  <si>
    <t>MF2C3772BA6E13A7A650</t>
  </si>
  <si>
    <t>DNA22307050890H08A</t>
  </si>
  <si>
    <t>T220923102003322VCMLEBC050</t>
  </si>
  <si>
    <t>'2022-09-23 10:20:31:866</t>
  </si>
  <si>
    <t>T220923102110649VCMLEBC050</t>
  </si>
  <si>
    <t>'2022-09-23 10:21:38:790</t>
  </si>
  <si>
    <t>'2022-09-23 10:20:21:842</t>
  </si>
  <si>
    <t>'2022-09-23 10:21:28:759</t>
  </si>
  <si>
    <t>T220923101948493VCMLEBC050</t>
  </si>
  <si>
    <t>'2022-09-23 10:20:01:023</t>
  </si>
  <si>
    <t>T220923102055810VCMLEBC050</t>
  </si>
  <si>
    <t>'2022-09-23 10:21:08:341</t>
  </si>
  <si>
    <t>T220923102150725VCMLEBC050</t>
  </si>
  <si>
    <t>'2022-09-23 10:21:59:568</t>
  </si>
  <si>
    <t>22cd05170525</t>
  </si>
  <si>
    <t>0x52801162a6f70b01</t>
  </si>
  <si>
    <t>MF9C3469A6B784B6B431022121</t>
  </si>
  <si>
    <t>MF2C3772B8C813A7A656</t>
  </si>
  <si>
    <t>DNA22305052380I04A</t>
  </si>
  <si>
    <t>T220923102257143VCMLEBC050</t>
  </si>
  <si>
    <t>'2022-09-23 10:23:05:996</t>
  </si>
  <si>
    <t>22cd05170755</t>
  </si>
  <si>
    <t>0x52801162a10a4107</t>
  </si>
  <si>
    <t>MF9C3469A64484B6B238031104</t>
  </si>
  <si>
    <t>MF2C3772BA6N13A7A655</t>
  </si>
  <si>
    <t>DNA22307050890H05A</t>
  </si>
  <si>
    <t>T220923102403121VCMLEBC050</t>
  </si>
  <si>
    <t>'2022-09-23 10:24:12:003</t>
  </si>
  <si>
    <t>22cd05170609</t>
  </si>
  <si>
    <t>0x52801162a6f98907</t>
  </si>
  <si>
    <t>MFAC373AA4VUB4B6B236027016</t>
  </si>
  <si>
    <t>MF2C3772BAC413A7A650</t>
  </si>
  <si>
    <t>DNA22307065360D11A</t>
  </si>
  <si>
    <t>T220923102217024VCMLEBC050</t>
  </si>
  <si>
    <t>'2022-09-23 10:22:45:069</t>
  </si>
  <si>
    <t>T220923102323478VCMLEBC050</t>
  </si>
  <si>
    <t>'2022-09-23 10:23:51:603</t>
  </si>
  <si>
    <t>'2022-09-23 10:22:35:046</t>
  </si>
  <si>
    <t>'2022-09-23 10:23:41:575</t>
  </si>
  <si>
    <t>T220923102429498VCMLEBC050</t>
  </si>
  <si>
    <t>'2022-09-23 10:24:47:633</t>
  </si>
  <si>
    <t>T220923102202181VCMLEBC050</t>
  </si>
  <si>
    <t>'2022-09-23 10:22:14:714</t>
  </si>
  <si>
    <t>T220923102308643VCMLEBC050</t>
  </si>
  <si>
    <t>'2022-09-23 10:23:21:180</t>
  </si>
  <si>
    <t>T220923102414666VCMLEBC050</t>
  </si>
  <si>
    <t>'2022-09-23 10:24:27:196</t>
  </si>
  <si>
    <t>'2022-09-23 10:24:57:660</t>
  </si>
  <si>
    <t>T220923102509711VCMLEBC050</t>
  </si>
  <si>
    <t>'2022-09-23 10:25:18:602</t>
  </si>
  <si>
    <t>22cd05170760</t>
  </si>
  <si>
    <t>0x52801162a10a8d08</t>
  </si>
  <si>
    <t>MF9C3469A6B984B6B636045102</t>
  </si>
  <si>
    <t>MF2C3772BA6Y13A7A654</t>
  </si>
  <si>
    <t>DNA22313074650E10A</t>
  </si>
  <si>
    <t>T220923102625768VCMLEBC050</t>
  </si>
  <si>
    <t>'2022-09-23 10:26:34:730</t>
  </si>
  <si>
    <t>22cd05170639</t>
  </si>
  <si>
    <t>0x52801362a5c86205</t>
  </si>
  <si>
    <t>MF9C3469A65984B6B435140127</t>
  </si>
  <si>
    <t>MF2C3772B84N13A7A644</t>
  </si>
  <si>
    <t>DNA22246110870F03A</t>
  </si>
  <si>
    <t>T220923102759780VCMLEBC050</t>
  </si>
  <si>
    <t>'2022-09-23 10:28:08:666</t>
  </si>
  <si>
    <t>22cd05170805</t>
  </si>
  <si>
    <t>0x52801162a109f101</t>
  </si>
  <si>
    <t>MF9C3469A69M84B6B933050006</t>
  </si>
  <si>
    <t>MF2C3772BA7113A7A677</t>
  </si>
  <si>
    <t>DNA22307050850F10A</t>
  </si>
  <si>
    <t>T220923102536096VCMLEBC050</t>
  </si>
  <si>
    <t>'2022-09-23 10:26:04:351</t>
  </si>
  <si>
    <t>T220923102652188VCMLEBC050</t>
  </si>
  <si>
    <t>'2022-09-23 10:27:20:785</t>
  </si>
  <si>
    <t>'2022-09-23 10:25:54:324</t>
  </si>
  <si>
    <t>'2022-09-23 10:27:10:760</t>
  </si>
  <si>
    <t>T220923102521259VCMLEBC050</t>
  </si>
  <si>
    <t>'2022-09-23 10:25:33:789</t>
  </si>
  <si>
    <t>T220923102637363VCMLEBC050</t>
  </si>
  <si>
    <t>'2022-09-23 10:26:49:894</t>
  </si>
  <si>
    <t>T220923102826117VCMLEBC050</t>
  </si>
  <si>
    <t>'2022-09-23 10:28:54:862</t>
  </si>
  <si>
    <t>'2022-09-23 10:28:44:838</t>
  </si>
  <si>
    <t>T220923102811272VCMLEBC050</t>
  </si>
  <si>
    <t>'2022-09-23 10:28:23:804</t>
  </si>
  <si>
    <t>T220923102907536VCMLEBC050</t>
  </si>
  <si>
    <t>'2022-09-23 10:29:16:458</t>
  </si>
  <si>
    <t>22cd05170727</t>
  </si>
  <si>
    <t>0x52801162a10a7304</t>
  </si>
  <si>
    <t>MF9C3469A69084B6B334007010</t>
  </si>
  <si>
    <t>MF2C3772B84M13A7A644</t>
  </si>
  <si>
    <t>DNA22313074120G11A</t>
  </si>
  <si>
    <t>T220923102919091VCMLEBC050</t>
  </si>
  <si>
    <t>'2022-09-23 10:29:31:623</t>
  </si>
  <si>
    <t>T220923102933928VCMLEBC050</t>
  </si>
  <si>
    <t>'2022-09-23 10:30:02:013</t>
  </si>
  <si>
    <t>'2022-09-23 10:29:51:987</t>
  </si>
  <si>
    <t>T220923103016241VCMLEBC050</t>
  </si>
  <si>
    <t>'2022-09-23 10:30:25:181</t>
  </si>
  <si>
    <t>22cd05170642</t>
  </si>
  <si>
    <t>0x52801162a6f99005</t>
  </si>
  <si>
    <t>MF9C3469A64384B6B238064107</t>
  </si>
  <si>
    <t>MF2C3772BA6J13A7A650</t>
  </si>
  <si>
    <t>DNA22307050890G10A</t>
  </si>
  <si>
    <t>T220923103042959VCMLEBC050</t>
  </si>
  <si>
    <t>'2022-09-23 10:31:01:152</t>
  </si>
  <si>
    <t>T220923103028105VCMLEBC050</t>
  </si>
  <si>
    <t>'2022-09-23 10:30:40:639</t>
  </si>
  <si>
    <t>'2022-09-23 10:31:11:175</t>
  </si>
  <si>
    <t>T220923103123872VCMLEBC050</t>
  </si>
  <si>
    <t>'2022-09-23 10:31:32:721</t>
  </si>
  <si>
    <t>22cd05170859</t>
  </si>
  <si>
    <t>0x52801362a5c48c02</t>
  </si>
  <si>
    <t>MFAC373AA4VPB4B6B238059104</t>
  </si>
  <si>
    <t>MF2C3772BACH13A7A660</t>
  </si>
  <si>
    <t>DNA22307065320G02A</t>
  </si>
  <si>
    <t>T220923103135432VCMLEBC050</t>
  </si>
  <si>
    <t>'2022-09-23 10:31:47:964</t>
  </si>
  <si>
    <t>T220923103150269VCMLEBC050</t>
  </si>
  <si>
    <t>'2022-09-23 10:32:08:398</t>
  </si>
  <si>
    <t>'2022-09-23 10:32:18:424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</si>
</sst>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0.90265081219999999</c:v>
                </c:pt>
                <c:pt idx="1">
                  <c:v>-0.56137078839999999</c:v>
                </c:pt>
                <c:pt idx="2">
                  <c:v>2.9866050814</c:v>
                </c:pt>
                <c:pt idx="3">
                  <c:v>-12.564730817499999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-1.7694698834000002</c:v>
                </c:pt>
                <c:pt idx="1">
                  <c:v>5.2946548858</c:v>
                </c:pt>
                <c:pt idx="2">
                  <c:v>6.0596853843999998</c:v>
                </c:pt>
                <c:pt idx="3">
                  <c:v>12.0541902324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1.1092950350666666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3.1949567955999996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9904"/>
        <c:axId val="60381440"/>
      </c:scatterChart>
      <c:valAx>
        <c:axId val="60379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81440"/>
        <c:crosses val="autoZero"/>
        <c:crossBetween val="midCat"/>
        <c:majorUnit val="10"/>
      </c:valAx>
      <c:valAx>
        <c:axId val="60381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79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-4.8172934295000003</c:v>
                </c:pt>
                <c:pt idx="1">
                  <c:v>-10.2484977518</c:v>
                </c:pt>
                <c:pt idx="2">
                  <c:v>-6.2298989522000001</c:v>
                </c:pt>
                <c:pt idx="3">
                  <c:v>1.0775347388000001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8.2928859595999995</c:v>
                </c:pt>
                <c:pt idx="1">
                  <c:v>-0.72093740289999975</c:v>
                </c:pt>
                <c:pt idx="2">
                  <c:v>5.9994030264999996</c:v>
                </c:pt>
                <c:pt idx="3">
                  <c:v>1.7556689849999998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-9.2101739996000003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6.5420462630333338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1488"/>
        <c:axId val="61161472"/>
      </c:scatterChart>
      <c:valAx>
        <c:axId val="611514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61472"/>
        <c:crosses val="autoZero"/>
        <c:crossBetween val="midCat"/>
        <c:majorUnit val="10"/>
      </c:valAx>
      <c:valAx>
        <c:axId val="611614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5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-6.2543181644999999</c:v>
                </c:pt>
                <c:pt idx="1">
                  <c:v>-1.9286445219999999</c:v>
                </c:pt>
                <c:pt idx="2">
                  <c:v>-3.2599498049000002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2.5259732364</c:v>
                </c:pt>
                <c:pt idx="1">
                  <c:v>6.9251619585000004</c:v>
                </c:pt>
                <c:pt idx="2">
                  <c:v>8.4735407145000003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-3.8022274593000005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3.4270150826333334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90144"/>
        <c:axId val="61191680"/>
      </c:scatterChart>
      <c:valAx>
        <c:axId val="611901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91680"/>
        <c:crosses val="autoZero"/>
        <c:crossBetween val="midCat"/>
        <c:majorUnit val="10"/>
      </c:valAx>
      <c:valAx>
        <c:axId val="61191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9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-5.4378079124000003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8.2641714453999988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-3.5421340797666669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7.8876247061333329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44928"/>
        <c:axId val="61246464"/>
      </c:scatterChart>
      <c:valAx>
        <c:axId val="612449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46464"/>
        <c:crosses val="autoZero"/>
        <c:crossBetween val="midCat"/>
        <c:majorUnit val="10"/>
      </c:valAx>
      <c:valAx>
        <c:axId val="612464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4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82.121986300499998</c:v>
                </c:pt>
                <c:pt idx="1">
                  <c:v>89.343204700900003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88.341301137499997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97408"/>
        <c:axId val="61298944"/>
      </c:scatterChart>
      <c:valAx>
        <c:axId val="612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298944"/>
        <c:crosses val="autoZero"/>
        <c:crossBetween val="midCat"/>
      </c:valAx>
      <c:valAx>
        <c:axId val="612989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297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93.558712411100004</c:v>
                </c:pt>
                <c:pt idx="1">
                  <c:v>88.211745958799995</c:v>
                </c:pt>
                <c:pt idx="2">
                  <c:v>84.692595787399995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84.857332965366652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6192"/>
        <c:axId val="61337984"/>
      </c:scatterChart>
      <c:valAx>
        <c:axId val="6133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37984"/>
        <c:crosses val="autoZero"/>
        <c:crossBetween val="midCat"/>
      </c:valAx>
      <c:valAx>
        <c:axId val="613379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36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81.667657149899995</c:v>
                </c:pt>
                <c:pt idx="1">
                  <c:v>80.249642198900005</c:v>
                </c:pt>
                <c:pt idx="2">
                  <c:v>101.1372430242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86.801127904066675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91232"/>
        <c:axId val="61392768"/>
      </c:scatterChart>
      <c:valAx>
        <c:axId val="61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92768"/>
        <c:crosses val="autoZero"/>
        <c:crossBetween val="midCat"/>
      </c:valAx>
      <c:valAx>
        <c:axId val="6139276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9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79.016498489100002</c:v>
                </c:pt>
                <c:pt idx="1">
                  <c:v>88.568065097000002</c:v>
                </c:pt>
                <c:pt idx="2">
                  <c:v>84.822849751199996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86.680996689899999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89568"/>
        <c:axId val="124591104"/>
      </c:scatterChart>
      <c:valAx>
        <c:axId val="12458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91104"/>
        <c:crosses val="autoZero"/>
        <c:crossBetween val="midCat"/>
      </c:valAx>
      <c:valAx>
        <c:axId val="12459110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8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3.2722644806000005</c:v>
                </c:pt>
                <c:pt idx="1">
                  <c:v>5.0037136078</c:v>
                </c:pt>
                <c:pt idx="2">
                  <c:v>5.2074995040999994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-9.2479252814999988</c:v>
                </c:pt>
                <c:pt idx="1">
                  <c:v>-3.0692135095999999</c:v>
                </c:pt>
                <c:pt idx="2">
                  <c:v>3.0505175591000002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4.494492530833333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-3.0888737439999994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26272"/>
        <c:axId val="124732160"/>
      </c:scatterChart>
      <c:valAx>
        <c:axId val="1247262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732160"/>
        <c:crosses val="autoZero"/>
        <c:crossBetween val="midCat"/>
        <c:majorUnit val="10"/>
      </c:valAx>
      <c:valAx>
        <c:axId val="1247321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72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7.3169240951999992</c:v>
                </c:pt>
                <c:pt idx="1">
                  <c:v>9.724290847799999</c:v>
                </c:pt>
                <c:pt idx="2">
                  <c:v>-5.4286618232999997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-3.8607915639999999</c:v>
                </c:pt>
                <c:pt idx="1">
                  <c:v>-3.1987159252000001</c:v>
                </c:pt>
                <c:pt idx="2">
                  <c:v>-6.3452637196000001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3.8708510398999998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-4.4682570695999999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73120"/>
        <c:axId val="124774656"/>
      </c:scatterChart>
      <c:valAx>
        <c:axId val="1247731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774656"/>
        <c:crosses val="autoZero"/>
        <c:crossBetween val="midCat"/>
        <c:majorUnit val="10"/>
      </c:valAx>
      <c:valAx>
        <c:axId val="124774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77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1.4030170441000003</c:v>
                </c:pt>
                <c:pt idx="1">
                  <c:v>0.97509574890000028</c:v>
                </c:pt>
                <c:pt idx="2">
                  <c:v>-5.5803666114999997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-9.8206901550000012</c:v>
                </c:pt>
                <c:pt idx="1">
                  <c:v>3.5713806151999998</c:v>
                </c:pt>
                <c:pt idx="2">
                  <c:v>-5.0740699768000006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-1.0674179394999996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-3.7744598388666675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13696"/>
        <c:axId val="124815232"/>
      </c:scatterChart>
      <c:valAx>
        <c:axId val="1248136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815232"/>
        <c:crosses val="autoZero"/>
        <c:crossBetween val="midCat"/>
        <c:majorUnit val="10"/>
      </c:valAx>
      <c:valAx>
        <c:axId val="1248152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813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-0.81544399259999967</c:v>
                </c:pt>
                <c:pt idx="1">
                  <c:v>-6.4733781815000002</c:v>
                </c:pt>
                <c:pt idx="2">
                  <c:v>-0.39929819109999976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-6.0828857422000002</c:v>
                </c:pt>
                <c:pt idx="1">
                  <c:v>-9.6688547134</c:v>
                </c:pt>
                <c:pt idx="2">
                  <c:v>-2.4925360680000002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-2.5627067883999999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-6.0814255078666664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42208"/>
        <c:axId val="124943744"/>
      </c:scatterChart>
      <c:valAx>
        <c:axId val="1249422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943744"/>
        <c:crosses val="autoZero"/>
        <c:crossBetween val="midCat"/>
        <c:majorUnit val="10"/>
      </c:valAx>
      <c:valAx>
        <c:axId val="1249437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942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D:\EVMS\TP\LOG\VSY832XN9P17_2022092310_D50_ON_OC.csv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D:\EVMS\TP\LOG\VSY832XN9P17_2022092310_FPDC_INFD_normal.csv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D:\EVMS\TP\LOG\VSY832XN9P17_2022092310_INFDMargin_IPQC.csv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D:\EVMS\TP\LOG\VSY832XN9P17_2022092310_VCM_MEASURE.csv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R54" sqref="R54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22cd05170857</v>
      </c>
      <c r="C34" s="44">
        <f>IPQC!S2+VLOOKUP($R$31,$AD$38:$AK$42,6,FALSE)+VLOOKUP('File location'!$B$1,'Tester offset'!$A$2:$D$4,2,FALSE)</f>
        <v>82.121986300499998</v>
      </c>
      <c r="D34" s="44">
        <f>IPQC!Z2+VLOOKUP($R$31,$AD$38:$AK$42,6,FALSE)</f>
        <v>65.977795845999992</v>
      </c>
      <c r="E34" s="44">
        <f>VCM!HU2-'Summary(3pcs)'!C34-'Summary(3pcs)'!$D$32</f>
        <v>156.74472300643794</v>
      </c>
      <c r="F34" s="90">
        <f>AVERAGEIF($A$34:$A$45,1,$C$34:$C$45)</f>
        <v>88.341301137499997</v>
      </c>
      <c r="G34" s="91">
        <f>AVERAGEIF($A$34:$A$45,1,$D$34:$D$45)</f>
        <v>71.3832747549</v>
      </c>
      <c r="H34" s="91">
        <f>AVERAGEIF($A$34:$A$45,1,$E$34:$E$45)</f>
        <v>147.44869474313791</v>
      </c>
      <c r="I34" s="91">
        <f>85-F34</f>
        <v>-3.3413011374999968</v>
      </c>
      <c r="J34"/>
      <c r="K34" s="79">
        <f>T34</f>
        <v>1</v>
      </c>
      <c r="L34" s="80" t="str">
        <f>OC!J2</f>
        <v>22cd05170857</v>
      </c>
      <c r="M34" s="44">
        <f>OC!S2+VLOOKUP($R$31,$AD$38:$AK$42,4,FALSE)</f>
        <v>0.90265081219999999</v>
      </c>
      <c r="N34" s="44">
        <f>OC!T2+VLOOKUP($R$31,$AD$38:$AK$42,5,FALSE)</f>
        <v>-1.7694698834000002</v>
      </c>
      <c r="O34" s="92">
        <f>AVERAGEIF($K$34:$K$45,1,$M$34:$M$45)</f>
        <v>1.1092950350666666</v>
      </c>
      <c r="P34" s="92">
        <f>AVERAGEIF($K$34:$K$45,1,$N$34:$N$45)</f>
        <v>3.1949567955999996</v>
      </c>
      <c r="Q34" s="90">
        <f>P34*0.001</f>
        <v>3.1949567955999996E-3</v>
      </c>
      <c r="R34" s="90">
        <f>O34*0.001</f>
        <v>1.1092950350666665E-3</v>
      </c>
      <c r="T34" s="79">
        <v>1</v>
      </c>
      <c r="U34" s="80" t="str">
        <f>FPDC!J2</f>
        <v>22cd05170857</v>
      </c>
      <c r="V34" s="75">
        <f>FPDC!R2+VLOOKUP($R$31,$AD$38:$AK$42,2,FALSE)+VLOOKUP($R$31,$AD$38:$AK$42,7,FALSE)+VLOOKUP('File location'!$B$1,'Tester offset'!$A$2:$D$4,3,FALSE)</f>
        <v>-0.81544399259999967</v>
      </c>
      <c r="W34" s="76">
        <f>FPDC!S2+VLOOKUP($R$31,$AD$38:$AK$42,3,FALSE)+VLOOKUP($R$31,$AD$38:$AK$42,8,FALSE)+VLOOKUP('File location'!$B$1,'Tester offset'!$A$2:$D$4,4,FALSE)</f>
        <v>-6.0828857422000002</v>
      </c>
      <c r="X34" s="92">
        <f>AVERAGEIF($T$34:$T$45,1,$V$34:$V$45)</f>
        <v>-2.5627067883999999</v>
      </c>
      <c r="Y34" s="92">
        <f>AVERAGEIF($T$34:$T$45,1,$W$34:$W$45)</f>
        <v>-6.0814255078666664</v>
      </c>
      <c r="Z34" s="90">
        <f>(X34*-0.01)/4</f>
        <v>6.4067669709999995E-3</v>
      </c>
      <c r="AA34" s="90">
        <f>(Y34*-0.01)/4</f>
        <v>1.5203563769666667E-2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22cd05170879</v>
      </c>
      <c r="C35" s="44">
        <f>IPQC!S3+VLOOKUP($R$31,$AD$38:$AK$42,6,FALSE)+VLOOKUP('File location'!$B$1,'Tester offset'!$A$2:$D$4,2,FALSE)</f>
        <v>89.343204700900003</v>
      </c>
      <c r="D35" s="44">
        <f>IPQC!Z3+VLOOKUP($R$31,$AD$38:$AK$42,6,FALSE)</f>
        <v>69.823529491199992</v>
      </c>
      <c r="E35" s="44">
        <f>VCM!HU3-'Summary(3pcs)'!C35-'Summary(3pcs)'!$D$32</f>
        <v>148.05660619113792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22cd05170879</v>
      </c>
      <c r="M35" s="44">
        <f>OC!S3+VLOOKUP($R$31,$AD$38:$AK$42,4,FALSE)</f>
        <v>-0.56137078839999999</v>
      </c>
      <c r="N35" s="44">
        <f>OC!T3+VLOOKUP($R$31,$AD$38:$AK$42,5,FALSE)</f>
        <v>5.2946548858</v>
      </c>
      <c r="O35" s="92"/>
      <c r="P35" s="92"/>
      <c r="Q35" s="90"/>
      <c r="R35" s="90"/>
      <c r="T35" s="79">
        <v>1</v>
      </c>
      <c r="U35" s="80" t="str">
        <f>FPDC!J3</f>
        <v>22cd05170879</v>
      </c>
      <c r="V35" s="75">
        <f>FPDC!R3+VLOOKUP($R$31,$AD$38:$AK$42,2,FALSE)+VLOOKUP($R$31,$AD$38:$AK$42,7,FALSE)+VLOOKUP('File location'!$B$1,'Tester offset'!$A$2:$D$4,3,FALSE)</f>
        <v>-6.4733781815000002</v>
      </c>
      <c r="W35" s="76">
        <f>FPDC!S3+VLOOKUP($R$31,$AD$38:$AK$42,3,FALSE)+VLOOKUP($R$31,$AD$38:$AK$42,8,FALSE)+VLOOKUP('File location'!$B$1,'Tester offset'!$A$2:$D$4,4,FALSE)</f>
        <v>-9.6688547134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22cd05170902</v>
      </c>
      <c r="C36" s="44">
        <f>IPQC!S4+VLOOKUP($R$31,$AD$38:$AK$42,6,FALSE)+VLOOKUP('File location'!$B$1,'Tester offset'!$A$2:$D$4,2,FALSE)</f>
        <v>93.558712411100004</v>
      </c>
      <c r="D36" s="44">
        <f>IPQC!Z4+VLOOKUP($R$31,$AD$38:$AK$42,6,FALSE)</f>
        <v>78.348498927500003</v>
      </c>
      <c r="E36" s="44">
        <f>VCM!HU4-'Summary(3pcs)'!C36-'Summary(3pcs)'!$D$32</f>
        <v>137.54475503183789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22cd05170902</v>
      </c>
      <c r="M36" s="44">
        <f>OC!S4+VLOOKUP($R$31,$AD$38:$AK$42,4,FALSE)</f>
        <v>2.9866050814</v>
      </c>
      <c r="N36" s="44">
        <f>OC!T4+VLOOKUP($R$31,$AD$38:$AK$42,5,FALSE)</f>
        <v>6.0596853843999998</v>
      </c>
      <c r="O36" s="92"/>
      <c r="P36" s="92"/>
      <c r="Q36" s="90"/>
      <c r="R36" s="90"/>
      <c r="T36" s="79">
        <v>1</v>
      </c>
      <c r="U36" s="80" t="str">
        <f>FPDC!J4</f>
        <v>22cd05170902</v>
      </c>
      <c r="V36" s="75">
        <f>FPDC!R4+VLOOKUP($R$31,$AD$38:$AK$42,2,FALSE)+VLOOKUP($R$31,$AD$38:$AK$42,7,FALSE)+VLOOKUP('File location'!$B$1,'Tester offset'!$A$2:$D$4,3,FALSE)</f>
        <v>-0.39929819109999976</v>
      </c>
      <c r="W36" s="76">
        <f>FPDC!S4+VLOOKUP($R$31,$AD$38:$AK$42,3,FALSE)+VLOOKUP($R$31,$AD$38:$AK$42,8,FALSE)+VLOOKUP('File location'!$B$1,'Tester offset'!$A$2:$D$4,4,FALSE)</f>
        <v>-2.4925360680000002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22cd05170525</v>
      </c>
      <c r="C37" s="44">
        <f>IPQC!S5+VLOOKUP($R$31,$AD$38:$AK$42,6,FALSE)+VLOOKUP('File location'!$B$1,'Tester offset'!$A$2:$D$4,2,FALSE)</f>
        <v>88.211745958799995</v>
      </c>
      <c r="D37" s="44">
        <f>IPQC!Z5+VLOOKUP($R$31,$AD$38:$AK$42,6,FALSE)</f>
        <v>72.884775238399996</v>
      </c>
      <c r="E37" s="44">
        <f>VCM!HU5-'Summary(3pcs)'!C37-'Summary(3pcs)'!$D$32</f>
        <v>147.9406439463379</v>
      </c>
      <c r="F37" s="90">
        <f>AVERAGEIF($A$34:$A$45,2,$C$34:$C$45)</f>
        <v>84.857332965366652</v>
      </c>
      <c r="G37" s="91">
        <f>AVERAGEIF($A$34:$A$45,2,$D$34:$D$45)</f>
        <v>67.862588579866667</v>
      </c>
      <c r="H37" s="91">
        <f>AVERAGEIF($A$34:$A$45,2,$E$34:$E$45)</f>
        <v>142.26582667037124</v>
      </c>
      <c r="I37" s="91">
        <f>85-F37</f>
        <v>0.14266703463334807</v>
      </c>
      <c r="J37"/>
      <c r="K37" s="79">
        <f t="shared" si="1"/>
        <v>2</v>
      </c>
      <c r="L37" s="80" t="str">
        <f>OC!J5</f>
        <v>22cd05170525</v>
      </c>
      <c r="M37" s="44">
        <f>OC!S5+VLOOKUP($R$31,$AD$38:$AK$42,4,FALSE)</f>
        <v>-12.564730817499999</v>
      </c>
      <c r="N37" s="44">
        <f>OC!T5+VLOOKUP($R$31,$AD$38:$AK$42,5,FALSE)</f>
        <v>12.0541902324</v>
      </c>
      <c r="O37" s="92">
        <f>AVERAGEIF($K$34:$K$45,2,$M$34:$M$45)</f>
        <v>-9.2101739996000003</v>
      </c>
      <c r="P37" s="92">
        <f>AVERAGEIF($K$34:$K$45,2,$N$34:$N$45)</f>
        <v>6.5420462630333338</v>
      </c>
      <c r="Q37" s="90">
        <f>P37*0.001</f>
        <v>6.542046263033334E-3</v>
      </c>
      <c r="R37" s="90">
        <f>O37*0.001</f>
        <v>-9.2101739996000003E-3</v>
      </c>
      <c r="T37" s="79">
        <v>2</v>
      </c>
      <c r="U37" s="80" t="str">
        <f>FPDC!J5</f>
        <v>22cd05170525</v>
      </c>
      <c r="V37" s="75">
        <f>FPDC!R5+VLOOKUP($R$31,$AD$38:$AK$42,2,FALSE)+VLOOKUP($R$31,$AD$38:$AK$42,7,FALSE)+VLOOKUP('File location'!$B$1,'Tester offset'!$A$2:$D$4,3,FALSE)</f>
        <v>3.2722644806000005</v>
      </c>
      <c r="W37" s="76">
        <f>FPDC!S5+VLOOKUP($R$31,$AD$38:$AK$42,3,FALSE)+VLOOKUP($R$31,$AD$38:$AK$42,8,FALSE)+VLOOKUP('File location'!$B$1,'Tester offset'!$A$2:$D$4,4,FALSE)</f>
        <v>-9.2479252814999988</v>
      </c>
      <c r="X37" s="92">
        <f>AVERAGEIF($T$34:$T$45,2,$V$34:$V$45)</f>
        <v>4.494492530833333</v>
      </c>
      <c r="Y37" s="92">
        <f>AVERAGEIF($T$34:$T$45,2,$W$34:$W$45)</f>
        <v>-3.0888737439999994</v>
      </c>
      <c r="Z37" s="90">
        <f>(X37*-0.01)/4</f>
        <v>-1.1236231327083332E-2</v>
      </c>
      <c r="AA37" s="90">
        <f>(Y37*-0.01)/4</f>
        <v>7.7221843599999986E-3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22cd05170755</v>
      </c>
      <c r="C38" s="44">
        <f>IPQC!S6+VLOOKUP($R$31,$AD$38:$AK$42,6,FALSE)+VLOOKUP('File location'!$B$1,'Tester offset'!$A$2:$D$4,2,FALSE)</f>
        <v>84.692595787399995</v>
      </c>
      <c r="D38" s="44">
        <f>IPQC!Z6+VLOOKUP($R$31,$AD$38:$AK$42,6,FALSE)</f>
        <v>64.905516379299996</v>
      </c>
      <c r="E38" s="44">
        <f>VCM!HU6-'Summary(3pcs)'!C38-'Summary(3pcs)'!$D$32</f>
        <v>139.97047179433787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22cd05170755</v>
      </c>
      <c r="M38" s="44">
        <f>OC!S6+VLOOKUP($R$31,$AD$38:$AK$42,4,FALSE)</f>
        <v>-4.8172934295000003</v>
      </c>
      <c r="N38" s="44">
        <f>OC!T6+VLOOKUP($R$31,$AD$38:$AK$42,5,FALSE)</f>
        <v>8.2928859595999995</v>
      </c>
      <c r="O38" s="92"/>
      <c r="P38" s="92"/>
      <c r="Q38" s="90"/>
      <c r="R38" s="90"/>
      <c r="T38" s="79">
        <v>2</v>
      </c>
      <c r="U38" s="80" t="str">
        <f>FPDC!J6</f>
        <v>22cd05170755</v>
      </c>
      <c r="V38" s="75">
        <f>FPDC!R6+VLOOKUP($R$31,$AD$38:$AK$42,2,FALSE)+VLOOKUP($R$31,$AD$38:$AK$42,7,FALSE)+VLOOKUP('File location'!$B$1,'Tester offset'!$A$2:$D$4,3,FALSE)</f>
        <v>5.0037136078</v>
      </c>
      <c r="W38" s="76">
        <f>FPDC!S6+VLOOKUP($R$31,$AD$38:$AK$42,3,FALSE)+VLOOKUP($R$31,$AD$38:$AK$42,8,FALSE)+VLOOKUP('File location'!$B$1,'Tester offset'!$A$2:$D$4,4,FALSE)</f>
        <v>-3.0692135095999999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22cd05170609</v>
      </c>
      <c r="C39" s="44">
        <f>IPQC!S7+VLOOKUP($R$31,$AD$38:$AK$42,6,FALSE)+VLOOKUP('File location'!$B$1,'Tester offset'!$A$2:$D$4,2,FALSE)</f>
        <v>81.667657149899995</v>
      </c>
      <c r="D39" s="44">
        <f>IPQC!Z7+VLOOKUP($R$31,$AD$38:$AK$42,6,FALSE)</f>
        <v>65.797474121899995</v>
      </c>
      <c r="E39" s="44">
        <f>VCM!HU7-'Summary(3pcs)'!C39-'Summary(3pcs)'!$D$32</f>
        <v>138.88636427043792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22cd05170609</v>
      </c>
      <c r="M39" s="44">
        <f>OC!S7+VLOOKUP($R$31,$AD$38:$AK$42,4,FALSE)</f>
        <v>-10.2484977518</v>
      </c>
      <c r="N39" s="44">
        <f>OC!T7+VLOOKUP($R$31,$AD$38:$AK$42,5,FALSE)</f>
        <v>-0.72093740289999975</v>
      </c>
      <c r="O39" s="92"/>
      <c r="P39" s="92"/>
      <c r="Q39" s="90"/>
      <c r="R39" s="90"/>
      <c r="T39" s="79">
        <v>2</v>
      </c>
      <c r="U39" s="80" t="str">
        <f>FPDC!J7</f>
        <v>22cd05170609</v>
      </c>
      <c r="V39" s="75">
        <f>FPDC!R7+VLOOKUP($R$31,$AD$38:$AK$42,2,FALSE)+VLOOKUP($R$31,$AD$38:$AK$42,7,FALSE)+VLOOKUP('File location'!$B$1,'Tester offset'!$A$2:$D$4,3,FALSE)</f>
        <v>5.2074995040999994</v>
      </c>
      <c r="W39" s="76">
        <f>FPDC!S7+VLOOKUP($R$31,$AD$38:$AK$42,3,FALSE)+VLOOKUP($R$31,$AD$38:$AK$42,8,FALSE)+VLOOKUP('File location'!$B$1,'Tester offset'!$A$2:$D$4,4,FALSE)</f>
        <v>3.0505175591000002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22cd05170760</v>
      </c>
      <c r="C40" s="44">
        <f>IPQC!S8+VLOOKUP($R$31,$AD$38:$AK$42,6,FALSE)+VLOOKUP('File location'!$B$1,'Tester offset'!$A$2:$D$4,2,FALSE)</f>
        <v>80.249642198900005</v>
      </c>
      <c r="D40" s="44">
        <f>IPQC!Z8+VLOOKUP($R$31,$AD$38:$AK$42,6,FALSE)</f>
        <v>60.749373832700002</v>
      </c>
      <c r="E40" s="44">
        <f>VCM!HU8-'Summary(3pcs)'!C40-'Summary(3pcs)'!$D$32</f>
        <v>150.89814117513788</v>
      </c>
      <c r="F40" s="90">
        <f>AVERAGEIF($A$34:$A$45,3,$C$34:$C$45)</f>
        <v>86.801127904066675</v>
      </c>
      <c r="G40" s="91">
        <f>AVERAGEIF($A$34:$A$45,3,$D$34:$D$45)</f>
        <v>66.508702862699991</v>
      </c>
      <c r="H40" s="91">
        <f>AVERAGEIF($A$34:$A$45,3,$E$34:$E$45)</f>
        <v>144.78644887610457</v>
      </c>
      <c r="I40" s="91">
        <f>85-F40</f>
        <v>-1.801127904066675</v>
      </c>
      <c r="J40"/>
      <c r="K40" s="79">
        <f t="shared" si="1"/>
        <v>3</v>
      </c>
      <c r="L40" s="80" t="str">
        <f>OC!J8</f>
        <v>22cd05170760</v>
      </c>
      <c r="M40" s="44">
        <f>OC!S8+VLOOKUP($R$31,$AD$38:$AK$42,4,FALSE)</f>
        <v>-6.2298989522000001</v>
      </c>
      <c r="N40" s="44">
        <f>OC!T8+VLOOKUP($R$31,$AD$38:$AK$42,5,FALSE)</f>
        <v>5.9994030264999996</v>
      </c>
      <c r="O40" s="92">
        <f>AVERAGEIF($K$34:$K$45,3,$M$34:$M$45)</f>
        <v>-3.8022274593000005</v>
      </c>
      <c r="P40" s="92">
        <f>AVERAGEIF($K$34:$K$45,3,$N$34:$N$45)</f>
        <v>3.4270150826333334</v>
      </c>
      <c r="Q40" s="90">
        <f>P40*0.001</f>
        <v>3.4270150826333336E-3</v>
      </c>
      <c r="R40" s="90">
        <f>O40*0.001</f>
        <v>-3.8022274593000004E-3</v>
      </c>
      <c r="T40" s="79">
        <v>3</v>
      </c>
      <c r="U40" s="80" t="str">
        <f>FPDC!J8</f>
        <v>22cd05170760</v>
      </c>
      <c r="V40" s="75">
        <f>FPDC!R8+VLOOKUP($R$31,$AD$38:$AK$42,2,FALSE)+VLOOKUP($R$31,$AD$38:$AK$42,7,FALSE)+VLOOKUP('File location'!$B$1,'Tester offset'!$A$2:$D$4,3,FALSE)</f>
        <v>7.3169240951999992</v>
      </c>
      <c r="W40" s="76">
        <f>FPDC!S8+VLOOKUP($R$31,$AD$38:$AK$42,3,FALSE)+VLOOKUP($R$31,$AD$38:$AK$42,8,FALSE)+VLOOKUP('File location'!$B$1,'Tester offset'!$A$2:$D$4,4,FALSE)</f>
        <v>-3.8607915639999999</v>
      </c>
      <c r="X40" s="92">
        <f>AVERAGEIF($T$34:$T$45,3,$V$34:$V$45)</f>
        <v>3.8708510398999998</v>
      </c>
      <c r="Y40" s="92">
        <f>AVERAGEIF($T$34:$T$45,3,$W$34:$W$45)</f>
        <v>-4.4682570695999999</v>
      </c>
      <c r="Z40" s="90">
        <f>(X40*-0.01)/4</f>
        <v>-9.6771275997500003E-3</v>
      </c>
      <c r="AA40" s="90">
        <f>(Y40*-0.01)/4</f>
        <v>1.1170642674E-2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22cd05170639</v>
      </c>
      <c r="C41" s="44">
        <f>IPQC!S9+VLOOKUP($R$31,$AD$38:$AK$42,6,FALSE)+VLOOKUP('File location'!$B$1,'Tester offset'!$A$2:$D$4,2,FALSE)</f>
        <v>101.1372430242</v>
      </c>
      <c r="D41" s="44">
        <f>IPQC!Z9+VLOOKUP($R$31,$AD$38:$AK$42,6,FALSE)</f>
        <v>74.942118383299999</v>
      </c>
      <c r="E41" s="44">
        <f>VCM!HU9-'Summary(3pcs)'!C41-'Summary(3pcs)'!$D$32</f>
        <v>132.12414509793791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22cd05170639</v>
      </c>
      <c r="M41" s="44">
        <f>OC!S9+VLOOKUP($R$31,$AD$38:$AK$42,4,FALSE)</f>
        <v>1.0775347388000001</v>
      </c>
      <c r="N41" s="44">
        <f>OC!T9+VLOOKUP($R$31,$AD$38:$AK$42,5,FALSE)</f>
        <v>1.7556689849999998</v>
      </c>
      <c r="O41" s="92"/>
      <c r="P41" s="92"/>
      <c r="Q41" s="90"/>
      <c r="R41" s="90"/>
      <c r="T41" s="79">
        <v>3</v>
      </c>
      <c r="U41" s="80" t="str">
        <f>FPDC!J9</f>
        <v>22cd05170639</v>
      </c>
      <c r="V41" s="75">
        <f>FPDC!R9+VLOOKUP($R$31,$AD$38:$AK$42,2,FALSE)+VLOOKUP($R$31,$AD$38:$AK$42,7,FALSE)+VLOOKUP('File location'!$B$1,'Tester offset'!$A$2:$D$4,3,FALSE)</f>
        <v>9.724290847799999</v>
      </c>
      <c r="W41" s="76">
        <f>FPDC!S9+VLOOKUP($R$31,$AD$38:$AK$42,3,FALSE)+VLOOKUP($R$31,$AD$38:$AK$42,8,FALSE)+VLOOKUP('File location'!$B$1,'Tester offset'!$A$2:$D$4,4,FALSE)</f>
        <v>-3.1987159252000001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22cd05170805</v>
      </c>
      <c r="C42" s="44">
        <f>IPQC!S10+VLOOKUP($R$31,$AD$38:$AK$42,6,FALSE)+VLOOKUP('File location'!$B$1,'Tester offset'!$A$2:$D$4,2,FALSE)</f>
        <v>79.016498489100002</v>
      </c>
      <c r="D42" s="44">
        <f>IPQC!Z10+VLOOKUP($R$31,$AD$38:$AK$42,6,FALSE)</f>
        <v>63.834616372100001</v>
      </c>
      <c r="E42" s="44">
        <f>VCM!HU10-'Summary(3pcs)'!C42-'Summary(3pcs)'!$D$32</f>
        <v>151.3370603552379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22cd05170805</v>
      </c>
      <c r="M42" s="44">
        <f>OC!S10+VLOOKUP($R$31,$AD$38:$AK$42,4,FALSE)</f>
        <v>-6.2543181644999999</v>
      </c>
      <c r="N42" s="44">
        <f>OC!T10+VLOOKUP($R$31,$AD$38:$AK$42,5,FALSE)</f>
        <v>2.5259732364</v>
      </c>
      <c r="O42" s="92"/>
      <c r="P42" s="92"/>
      <c r="Q42" s="90"/>
      <c r="R42" s="90"/>
      <c r="T42" s="79">
        <v>3</v>
      </c>
      <c r="U42" s="80" t="str">
        <f>FPDC!J10</f>
        <v>22cd05170805</v>
      </c>
      <c r="V42" s="75">
        <f>FPDC!R10+VLOOKUP($R$31,$AD$38:$AK$42,2,FALSE)+VLOOKUP($R$31,$AD$38:$AK$42,7,FALSE)+VLOOKUP('File location'!$B$1,'Tester offset'!$A$2:$D$4,3,FALSE)</f>
        <v>-5.4286618232999997</v>
      </c>
      <c r="W42" s="76">
        <f>FPDC!S10+VLOOKUP($R$31,$AD$38:$AK$42,3,FALSE)+VLOOKUP($R$31,$AD$38:$AK$42,8,FALSE)+VLOOKUP('File location'!$B$1,'Tester offset'!$A$2:$D$4,4,FALSE)</f>
        <v>-6.3452637196000001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22cd05170727</v>
      </c>
      <c r="C43" s="44">
        <f>IPQC!S11+VLOOKUP($R$31,$AD$38:$AK$42,6,FALSE)+VLOOKUP('File location'!$B$1,'Tester offset'!$A$2:$D$4,2,FALSE)</f>
        <v>88.568065097000002</v>
      </c>
      <c r="D43" s="44">
        <f>IPQC!Z11+VLOOKUP($R$31,$AD$38:$AK$42,6,FALSE)</f>
        <v>66.262398872399999</v>
      </c>
      <c r="E43" s="44">
        <f>VCM!HU11-'Summary(3pcs)'!C43-'Summary(3pcs)'!$D$32</f>
        <v>141.80501346493793</v>
      </c>
      <c r="F43" s="90">
        <f>AVERAGEIF($A$34:$A$45,4,$C$34:$C$45)</f>
        <v>86.680996689899999</v>
      </c>
      <c r="G43" s="91">
        <f>AVERAGEIF($A$34:$A$45,4,$D$34:$D$45)</f>
        <v>66.844705156833328</v>
      </c>
      <c r="H43" s="91">
        <f>AVERAGEIF($A$34:$A$45,4,$E$34:$E$45)</f>
        <v>137.43745998060459</v>
      </c>
      <c r="I43" s="91">
        <f>85-F43</f>
        <v>-1.6809966898999988</v>
      </c>
      <c r="J43"/>
      <c r="K43" s="79">
        <f t="shared" si="1"/>
        <v>4</v>
      </c>
      <c r="L43" s="80" t="str">
        <f>OC!J11</f>
        <v>22cd05170727</v>
      </c>
      <c r="M43" s="44">
        <f>OC!S11+VLOOKUP($R$31,$AD$38:$AK$42,4,FALSE)</f>
        <v>-1.9286445219999999</v>
      </c>
      <c r="N43" s="44">
        <f>OC!T11+VLOOKUP($R$31,$AD$38:$AK$42,5,FALSE)</f>
        <v>6.9251619585000004</v>
      </c>
      <c r="O43" s="92">
        <f>AVERAGEIF($K$34:$K$45,4,$M$34:$M$45)</f>
        <v>-3.5421340797666669</v>
      </c>
      <c r="P43" s="92">
        <f>AVERAGEIF($K$34:$K$45,4,$N$34:$N$45)</f>
        <v>7.8876247061333329</v>
      </c>
      <c r="Q43" s="90">
        <f>P43*0.001</f>
        <v>7.8876247061333334E-3</v>
      </c>
      <c r="R43" s="90">
        <f>O43*0.001</f>
        <v>-3.542134079766667E-3</v>
      </c>
      <c r="T43" s="79">
        <v>4</v>
      </c>
      <c r="U43" s="80" t="str">
        <f>FPDC!J11</f>
        <v>22cd05170727</v>
      </c>
      <c r="V43" s="75">
        <f>FPDC!R11+VLOOKUP($R$31,$AD$38:$AK$42,2,FALSE)+VLOOKUP($R$31,$AD$38:$AK$42,7,FALSE)+VLOOKUP('File location'!$B$1,'Tester offset'!$A$2:$D$4,3,FALSE)</f>
        <v>1.4030170441000003</v>
      </c>
      <c r="W43" s="76">
        <f>FPDC!S11+VLOOKUP($R$31,$AD$38:$AK$42,3,FALSE)+VLOOKUP($R$31,$AD$38:$AK$42,8,FALSE)+VLOOKUP('File location'!$B$1,'Tester offset'!$A$2:$D$4,4,FALSE)</f>
        <v>-9.8206901550000012</v>
      </c>
      <c r="X43" s="92">
        <f>AVERAGEIF($T$34:$T$45,4,$V$34:$V$45)</f>
        <v>-1.0674179394999996</v>
      </c>
      <c r="Y43" s="92">
        <f>AVERAGEIF($T$34:$T$45,4,$W$34:$W$45)</f>
        <v>-3.7744598388666675</v>
      </c>
      <c r="Z43" s="90">
        <f>(X43*-0.01)/4</f>
        <v>2.6685448487499992E-3</v>
      </c>
      <c r="AA43" s="90">
        <f>(Y43*-0.01)/4</f>
        <v>9.4361495971666681E-3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22cd05170642</v>
      </c>
      <c r="C44" s="44">
        <f>IPQC!S12+VLOOKUP($R$31,$AD$38:$AK$42,6,FALSE)+VLOOKUP('File location'!$B$1,'Tester offset'!$A$2:$D$4,2,FALSE)</f>
        <v>84.822849751199996</v>
      </c>
      <c r="D44" s="44">
        <f>IPQC!Z12+VLOOKUP($R$31,$AD$38:$AK$42,6,FALSE)</f>
        <v>65.194516418000006</v>
      </c>
      <c r="E44" s="44">
        <f>VCM!HU12-'Summary(3pcs)'!C44-'Summary(3pcs)'!$D$32</f>
        <v>131.1064770910379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22cd05170642</v>
      </c>
      <c r="M44" s="44">
        <f>OC!S12+VLOOKUP($R$31,$AD$38:$AK$42,4,FALSE)</f>
        <v>-3.2599498049000002</v>
      </c>
      <c r="N44" s="44">
        <f>OC!T12+VLOOKUP($R$31,$AD$38:$AK$42,5,FALSE)</f>
        <v>8.4735407145000003</v>
      </c>
      <c r="O44" s="92"/>
      <c r="P44" s="92"/>
      <c r="Q44" s="90"/>
      <c r="R44" s="90"/>
      <c r="T44" s="79">
        <v>4</v>
      </c>
      <c r="U44" s="80" t="str">
        <f>FPDC!J12</f>
        <v>22cd05170642</v>
      </c>
      <c r="V44" s="75">
        <f>FPDC!R12+VLOOKUP($R$31,$AD$38:$AK$42,2,FALSE)+VLOOKUP($R$31,$AD$38:$AK$42,7,FALSE)+VLOOKUP('File location'!$B$1,'Tester offset'!$A$2:$D$4,3,FALSE)</f>
        <v>0.97509574890000028</v>
      </c>
      <c r="W44" s="76">
        <f>FPDC!S12+VLOOKUP($R$31,$AD$38:$AK$42,3,FALSE)+VLOOKUP($R$31,$AD$38:$AK$42,8,FALSE)+VLOOKUP('File location'!$B$1,'Tester offset'!$A$2:$D$4,4,FALSE)</f>
        <v>3.5713806151999998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22cd05170859</v>
      </c>
      <c r="C45" s="44">
        <f>IPQC!S13+VLOOKUP($R$31,$AD$38:$AK$42,6,FALSE)+VLOOKUP('File location'!$B$1,'Tester offset'!$A$2:$D$4,2,FALSE)</f>
        <v>86.652075221499999</v>
      </c>
      <c r="D45" s="44">
        <f>IPQC!Z13+VLOOKUP($R$31,$AD$38:$AK$42,6,FALSE)</f>
        <v>69.077200180099993</v>
      </c>
      <c r="E45" s="44">
        <f>VCM!HU13-'Summary(3pcs)'!C45-'Summary(3pcs)'!$D$32</f>
        <v>139.4008893858379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22cd05170859</v>
      </c>
      <c r="M45" s="44">
        <f>OC!S13+VLOOKUP($R$31,$AD$38:$AK$42,4,FALSE)</f>
        <v>-5.4378079124000003</v>
      </c>
      <c r="N45" s="44">
        <f>OC!T13+VLOOKUP($R$31,$AD$38:$AK$42,5,FALSE)</f>
        <v>8.2641714453999988</v>
      </c>
      <c r="O45" s="92"/>
      <c r="P45" s="92"/>
      <c r="Q45" s="90"/>
      <c r="R45" s="90"/>
      <c r="T45" s="79">
        <v>4</v>
      </c>
      <c r="U45" s="80" t="str">
        <f>FPDC!J13</f>
        <v>22cd05170859</v>
      </c>
      <c r="V45" s="75">
        <f>FPDC!R13+VLOOKUP($R$31,$AD$38:$AK$42,2,FALSE)+VLOOKUP($R$31,$AD$38:$AK$42,7,FALSE)+VLOOKUP('File location'!$B$1,'Tester offset'!$A$2:$D$4,3,FALSE)</f>
        <v>-5.5803666114999997</v>
      </c>
      <c r="W45" s="76">
        <f>FPDC!S13+VLOOKUP($R$31,$AD$38:$AK$42,3,FALSE)+VLOOKUP($R$31,$AD$38:$AK$42,8,FALSE)+VLOOKUP('File location'!$B$1,'Tester offset'!$A$2:$D$4,4,FALSE)</f>
        <v>-5.0740699768000006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82.121986300499998</v>
      </c>
      <c r="L54" s="49">
        <f t="shared" ref="L54:L65" si="4">D34</f>
        <v>65.977795845999992</v>
      </c>
      <c r="M54" s="49">
        <f t="shared" ref="M54:M65" si="5">E34</f>
        <v>156.74472300643794</v>
      </c>
      <c r="N54" s="49">
        <f t="shared" ref="N54:O65" si="6">M34</f>
        <v>0.90265081219999999</v>
      </c>
      <c r="O54" s="49">
        <f t="shared" si="6"/>
        <v>-1.7694698834000002</v>
      </c>
      <c r="P54" s="49">
        <f t="shared" ref="P54:P65" si="7">V34</f>
        <v>-0.81544399259999967</v>
      </c>
      <c r="Q54" s="50">
        <f t="shared" ref="Q54:Q65" si="8">W34</f>
        <v>-6.0828857422000002</v>
      </c>
    </row>
    <row r="55" spans="6:27" ht="19.5">
      <c r="I55" s="47">
        <f t="shared" si="2"/>
        <v>1</v>
      </c>
      <c r="J55" s="46"/>
      <c r="K55" s="51">
        <f t="shared" si="3"/>
        <v>89.343204700900003</v>
      </c>
      <c r="L55" s="52">
        <f t="shared" si="4"/>
        <v>69.823529491199992</v>
      </c>
      <c r="M55" s="52">
        <f t="shared" si="5"/>
        <v>148.05660619113792</v>
      </c>
      <c r="N55" s="52">
        <f t="shared" si="6"/>
        <v>-0.56137078839999999</v>
      </c>
      <c r="O55" s="52">
        <f t="shared" si="6"/>
        <v>5.2946548858</v>
      </c>
      <c r="P55" s="52">
        <f t="shared" si="7"/>
        <v>-6.4733781815000002</v>
      </c>
      <c r="Q55" s="53">
        <f t="shared" si="8"/>
        <v>-9.6688547134</v>
      </c>
    </row>
    <row r="56" spans="6:27" ht="19.5">
      <c r="I56" s="47">
        <f t="shared" si="2"/>
        <v>1</v>
      </c>
      <c r="J56" s="46"/>
      <c r="K56" s="54">
        <f t="shared" si="3"/>
        <v>93.558712411100004</v>
      </c>
      <c r="L56" s="55">
        <f t="shared" si="4"/>
        <v>78.348498927500003</v>
      </c>
      <c r="M56" s="55">
        <f t="shared" si="5"/>
        <v>137.54475503183789</v>
      </c>
      <c r="N56" s="55">
        <f t="shared" si="6"/>
        <v>2.9866050814</v>
      </c>
      <c r="O56" s="55">
        <f t="shared" si="6"/>
        <v>6.0596853843999998</v>
      </c>
      <c r="P56" s="55">
        <f t="shared" si="7"/>
        <v>-0.39929819109999976</v>
      </c>
      <c r="Q56" s="56">
        <f t="shared" si="8"/>
        <v>-2.4925360680000002</v>
      </c>
    </row>
    <row r="57" spans="6:27" ht="19.5">
      <c r="I57" s="47">
        <f t="shared" si="2"/>
        <v>2</v>
      </c>
      <c r="J57" s="46"/>
      <c r="K57" s="57">
        <f t="shared" si="3"/>
        <v>88.211745958799995</v>
      </c>
      <c r="L57" s="58">
        <f t="shared" si="4"/>
        <v>72.884775238399996</v>
      </c>
      <c r="M57" s="58">
        <f t="shared" si="5"/>
        <v>147.9406439463379</v>
      </c>
      <c r="N57" s="58">
        <f t="shared" si="6"/>
        <v>-12.564730817499999</v>
      </c>
      <c r="O57" s="58">
        <f t="shared" si="6"/>
        <v>12.0541902324</v>
      </c>
      <c r="P57" s="58">
        <f t="shared" si="7"/>
        <v>3.2722644806000005</v>
      </c>
      <c r="Q57" s="59">
        <f t="shared" si="8"/>
        <v>-9.2479252814999988</v>
      </c>
    </row>
    <row r="58" spans="6:27" ht="19.5">
      <c r="I58" s="47">
        <f t="shared" si="2"/>
        <v>2</v>
      </c>
      <c r="J58" s="46"/>
      <c r="K58" s="57">
        <f t="shared" si="3"/>
        <v>84.692595787399995</v>
      </c>
      <c r="L58" s="58">
        <f t="shared" si="4"/>
        <v>64.905516379299996</v>
      </c>
      <c r="M58" s="58">
        <f t="shared" si="5"/>
        <v>139.97047179433787</v>
      </c>
      <c r="N58" s="58">
        <f t="shared" si="6"/>
        <v>-4.8172934295000003</v>
      </c>
      <c r="O58" s="58">
        <f t="shared" si="6"/>
        <v>8.2928859595999995</v>
      </c>
      <c r="P58" s="58">
        <f t="shared" si="7"/>
        <v>5.0037136078</v>
      </c>
      <c r="Q58" s="59">
        <f t="shared" si="8"/>
        <v>-3.0692135095999999</v>
      </c>
    </row>
    <row r="59" spans="6:27" ht="19.5">
      <c r="I59" s="47">
        <f t="shared" si="2"/>
        <v>2</v>
      </c>
      <c r="J59" s="46"/>
      <c r="K59" s="57">
        <f t="shared" si="3"/>
        <v>81.667657149899995</v>
      </c>
      <c r="L59" s="58">
        <f t="shared" si="4"/>
        <v>65.797474121899995</v>
      </c>
      <c r="M59" s="58">
        <f t="shared" si="5"/>
        <v>138.88636427043792</v>
      </c>
      <c r="N59" s="58">
        <f t="shared" si="6"/>
        <v>-10.2484977518</v>
      </c>
      <c r="O59" s="58">
        <f t="shared" si="6"/>
        <v>-0.72093740289999975</v>
      </c>
      <c r="P59" s="58">
        <f t="shared" si="7"/>
        <v>5.2074995040999994</v>
      </c>
      <c r="Q59" s="59">
        <f t="shared" si="8"/>
        <v>3.0505175591000002</v>
      </c>
    </row>
    <row r="60" spans="6:27" ht="19.5">
      <c r="I60" s="47">
        <f t="shared" si="2"/>
        <v>3</v>
      </c>
      <c r="J60" s="46"/>
      <c r="K60" s="60">
        <f t="shared" si="3"/>
        <v>80.249642198900005</v>
      </c>
      <c r="L60" s="61">
        <f t="shared" si="4"/>
        <v>60.749373832700002</v>
      </c>
      <c r="M60" s="61">
        <f t="shared" si="5"/>
        <v>150.89814117513788</v>
      </c>
      <c r="N60" s="61">
        <f t="shared" si="6"/>
        <v>-6.2298989522000001</v>
      </c>
      <c r="O60" s="61">
        <f t="shared" si="6"/>
        <v>5.9994030264999996</v>
      </c>
      <c r="P60" s="61">
        <f t="shared" si="7"/>
        <v>7.3169240951999992</v>
      </c>
      <c r="Q60" s="62">
        <f t="shared" si="8"/>
        <v>-3.8607915639999999</v>
      </c>
    </row>
    <row r="61" spans="6:27" ht="19.5">
      <c r="I61" s="47">
        <f t="shared" si="2"/>
        <v>3</v>
      </c>
      <c r="J61" s="46"/>
      <c r="K61" s="63">
        <f t="shared" si="3"/>
        <v>101.1372430242</v>
      </c>
      <c r="L61" s="64">
        <f t="shared" si="4"/>
        <v>74.942118383299999</v>
      </c>
      <c r="M61" s="64">
        <f t="shared" si="5"/>
        <v>132.12414509793791</v>
      </c>
      <c r="N61" s="64">
        <f t="shared" si="6"/>
        <v>1.0775347388000001</v>
      </c>
      <c r="O61" s="64">
        <f t="shared" si="6"/>
        <v>1.7556689849999998</v>
      </c>
      <c r="P61" s="64">
        <f t="shared" si="7"/>
        <v>9.724290847799999</v>
      </c>
      <c r="Q61" s="65">
        <f t="shared" si="8"/>
        <v>-3.1987159252000001</v>
      </c>
    </row>
    <row r="62" spans="6:27" ht="19.5">
      <c r="I62" s="47">
        <f t="shared" si="2"/>
        <v>3</v>
      </c>
      <c r="J62" s="46"/>
      <c r="K62" s="66">
        <f t="shared" si="3"/>
        <v>79.016498489100002</v>
      </c>
      <c r="L62" s="67">
        <f t="shared" si="4"/>
        <v>63.834616372100001</v>
      </c>
      <c r="M62" s="67">
        <f t="shared" si="5"/>
        <v>151.3370603552379</v>
      </c>
      <c r="N62" s="67">
        <f t="shared" si="6"/>
        <v>-6.2543181644999999</v>
      </c>
      <c r="O62" s="67">
        <f t="shared" si="6"/>
        <v>2.5259732364</v>
      </c>
      <c r="P62" s="67">
        <f t="shared" si="7"/>
        <v>-5.4286618232999997</v>
      </c>
      <c r="Q62" s="68">
        <f t="shared" si="8"/>
        <v>-6.3452637196000001</v>
      </c>
    </row>
    <row r="63" spans="6:27" ht="19.5">
      <c r="I63" s="47">
        <f t="shared" si="2"/>
        <v>4</v>
      </c>
      <c r="J63" s="46"/>
      <c r="K63" s="57">
        <f t="shared" si="3"/>
        <v>88.568065097000002</v>
      </c>
      <c r="L63" s="58">
        <f t="shared" si="4"/>
        <v>66.262398872399999</v>
      </c>
      <c r="M63" s="58">
        <f t="shared" si="5"/>
        <v>141.80501346493793</v>
      </c>
      <c r="N63" s="58">
        <f t="shared" si="6"/>
        <v>-1.9286445219999999</v>
      </c>
      <c r="O63" s="58">
        <f t="shared" si="6"/>
        <v>6.9251619585000004</v>
      </c>
      <c r="P63" s="58">
        <f t="shared" si="7"/>
        <v>1.4030170441000003</v>
      </c>
      <c r="Q63" s="59">
        <f t="shared" si="8"/>
        <v>-9.8206901550000012</v>
      </c>
    </row>
    <row r="64" spans="6:27" ht="19.5">
      <c r="I64" s="47">
        <f t="shared" si="2"/>
        <v>4</v>
      </c>
      <c r="J64" s="46"/>
      <c r="K64" s="57">
        <f t="shared" si="3"/>
        <v>84.822849751199996</v>
      </c>
      <c r="L64" s="58">
        <f t="shared" si="4"/>
        <v>65.194516418000006</v>
      </c>
      <c r="M64" s="58">
        <f t="shared" si="5"/>
        <v>131.1064770910379</v>
      </c>
      <c r="N64" s="58">
        <f t="shared" si="6"/>
        <v>-3.2599498049000002</v>
      </c>
      <c r="O64" s="58">
        <f t="shared" si="6"/>
        <v>8.4735407145000003</v>
      </c>
      <c r="P64" s="58">
        <f t="shared" si="7"/>
        <v>0.97509574890000028</v>
      </c>
      <c r="Q64" s="59">
        <f t="shared" si="8"/>
        <v>3.5713806151999998</v>
      </c>
    </row>
    <row r="65" spans="9:17" ht="20.25" thickBot="1">
      <c r="I65" s="47">
        <f t="shared" si="2"/>
        <v>4</v>
      </c>
      <c r="J65" s="46"/>
      <c r="K65" s="69">
        <f t="shared" si="3"/>
        <v>86.652075221499999</v>
      </c>
      <c r="L65" s="70">
        <f t="shared" si="4"/>
        <v>69.077200180099993</v>
      </c>
      <c r="M65" s="70">
        <f t="shared" si="5"/>
        <v>139.4008893858379</v>
      </c>
      <c r="N65" s="70">
        <f t="shared" si="6"/>
        <v>-5.4378079124000003</v>
      </c>
      <c r="O65" s="70">
        <f t="shared" si="6"/>
        <v>8.2641714453999988</v>
      </c>
      <c r="P65" s="70">
        <f t="shared" si="7"/>
        <v>-5.5803666114999997</v>
      </c>
      <c r="Q65" s="71">
        <f t="shared" si="8"/>
        <v>-5.0740699768000006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2113.4026508122001</v>
      </c>
      <c r="R2">
        <v>1518.2694698834</v>
      </c>
      <c r="S2">
        <v>0.90265081219999999</v>
      </c>
      <c r="T2">
        <v>-5.7694698834000002</v>
      </c>
      <c r="U2">
        <v>5.8396542042000004</v>
      </c>
      <c r="V2">
        <v>718.8057</v>
      </c>
      <c r="W2">
        <v>385.84980000000002</v>
      </c>
      <c r="X2">
        <v>393.66910000000001</v>
      </c>
      <c r="Y2">
        <v>387.55340000000001</v>
      </c>
      <c r="Z2">
        <v>387.95389999999998</v>
      </c>
      <c r="AA2">
        <v>553.78112499999997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2111.9386292116001</v>
      </c>
      <c r="R3">
        <v>1511.2053451142001</v>
      </c>
      <c r="S3">
        <v>-0.56137078839999999</v>
      </c>
      <c r="T3">
        <v>1.2946548858</v>
      </c>
      <c r="U3">
        <v>1.4111231113</v>
      </c>
      <c r="V3">
        <v>733.12900000000002</v>
      </c>
      <c r="W3">
        <v>392.75009999999997</v>
      </c>
      <c r="X3">
        <v>399.10480000000001</v>
      </c>
      <c r="Y3">
        <v>393.8861</v>
      </c>
      <c r="Z3">
        <v>395.58640000000003</v>
      </c>
      <c r="AA3">
        <v>564.23042499999997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546</v>
      </c>
      <c r="B4" t="s">
        <v>547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2115.4866050813998</v>
      </c>
      <c r="R4">
        <v>1510.4403146156001</v>
      </c>
      <c r="S4">
        <v>2.9866050814</v>
      </c>
      <c r="T4">
        <v>2.0596853843999998</v>
      </c>
      <c r="U4">
        <v>3.627962761</v>
      </c>
      <c r="V4">
        <v>731.03570000000002</v>
      </c>
      <c r="W4">
        <v>392.28429999999997</v>
      </c>
      <c r="X4">
        <v>399.9187</v>
      </c>
      <c r="Y4">
        <v>391.79860000000002</v>
      </c>
      <c r="Z4">
        <v>396.03590000000003</v>
      </c>
      <c r="AA4">
        <v>563.0225375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2099.9352691825002</v>
      </c>
      <c r="R5">
        <v>1504.4458097675999</v>
      </c>
      <c r="S5">
        <v>-12.564730817499999</v>
      </c>
      <c r="T5">
        <v>8.0541902323999999</v>
      </c>
      <c r="U5">
        <v>14.9245583123</v>
      </c>
      <c r="V5">
        <v>722.15639999999996</v>
      </c>
      <c r="W5">
        <v>393.12369999999999</v>
      </c>
      <c r="X5">
        <v>392.22399999999999</v>
      </c>
      <c r="Y5">
        <v>393.32960000000003</v>
      </c>
      <c r="Z5">
        <v>388.08260000000001</v>
      </c>
      <c r="AA5">
        <v>556.92318750000004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570</v>
      </c>
      <c r="B6" t="s">
        <v>571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2107.6827065705002</v>
      </c>
      <c r="R6">
        <v>1508.2071140404</v>
      </c>
      <c r="S6">
        <v>-4.8172934295000003</v>
      </c>
      <c r="T6">
        <v>4.2928859596000004</v>
      </c>
      <c r="U6">
        <v>6.4525332891999998</v>
      </c>
      <c r="V6">
        <v>735.57529999999997</v>
      </c>
      <c r="W6">
        <v>395.24290000000002</v>
      </c>
      <c r="X6">
        <v>400.76589999999999</v>
      </c>
      <c r="Y6">
        <v>394.03269999999998</v>
      </c>
      <c r="Z6">
        <v>394.34370000000001</v>
      </c>
      <c r="AA6">
        <v>565.83579999999995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577</v>
      </c>
      <c r="B7" t="s">
        <v>578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2102.2515022481998</v>
      </c>
      <c r="R7">
        <v>1517.2209374029001</v>
      </c>
      <c r="S7">
        <v>-10.2484977518</v>
      </c>
      <c r="T7">
        <v>-4.7209374028999997</v>
      </c>
      <c r="U7">
        <v>11.2835701855</v>
      </c>
      <c r="V7">
        <v>728.00519999999995</v>
      </c>
      <c r="W7">
        <v>394.5668</v>
      </c>
      <c r="X7">
        <v>399.31650000000002</v>
      </c>
      <c r="Y7">
        <v>396.45639999999997</v>
      </c>
      <c r="Z7">
        <v>392.72309999999999</v>
      </c>
      <c r="AA7">
        <v>561.88544999999999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599</v>
      </c>
      <c r="B8" t="s">
        <v>600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2106.2701010477999</v>
      </c>
      <c r="R8">
        <v>1510.5005969735</v>
      </c>
      <c r="S8">
        <v>-6.2298989522000001</v>
      </c>
      <c r="T8">
        <v>1.9994030265</v>
      </c>
      <c r="U8">
        <v>6.5428780683000003</v>
      </c>
      <c r="V8">
        <v>730.14570000000003</v>
      </c>
      <c r="W8">
        <v>393.28579999999999</v>
      </c>
      <c r="X8">
        <v>397.81229999999999</v>
      </c>
      <c r="Y8">
        <v>395.0838</v>
      </c>
      <c r="Z8">
        <v>392.67450000000002</v>
      </c>
      <c r="AA8">
        <v>562.42989999999998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606</v>
      </c>
      <c r="B9" t="s">
        <v>607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2113.5775347387998</v>
      </c>
      <c r="R9">
        <v>1514.7443310149999</v>
      </c>
      <c r="S9">
        <v>1.0775347388000001</v>
      </c>
      <c r="T9">
        <v>-2.2443310150000002</v>
      </c>
      <c r="U9">
        <v>2.4895989271999999</v>
      </c>
      <c r="V9">
        <v>739.32420000000002</v>
      </c>
      <c r="W9">
        <v>398.93529999999998</v>
      </c>
      <c r="X9">
        <v>403.65949999999998</v>
      </c>
      <c r="Y9">
        <v>398.9049</v>
      </c>
      <c r="Z9">
        <v>400.33819999999997</v>
      </c>
      <c r="AA9">
        <v>569.89183749999995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613</v>
      </c>
      <c r="B10" t="s">
        <v>614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615</v>
      </c>
      <c r="K10" t="s">
        <v>616</v>
      </c>
      <c r="L10" t="s">
        <v>617</v>
      </c>
      <c r="M10" t="s">
        <v>618</v>
      </c>
      <c r="N10" t="s">
        <v>619</v>
      </c>
      <c r="O10">
        <v>0</v>
      </c>
      <c r="P10">
        <v>0</v>
      </c>
      <c r="Q10">
        <v>2106.2456818354999</v>
      </c>
      <c r="R10">
        <v>1513.9740267636</v>
      </c>
      <c r="S10">
        <v>-6.2543181644999999</v>
      </c>
      <c r="T10">
        <v>-1.4740267636</v>
      </c>
      <c r="U10">
        <v>6.4256712180999997</v>
      </c>
      <c r="V10">
        <v>730.29769999999996</v>
      </c>
      <c r="W10">
        <v>392.16430000000003</v>
      </c>
      <c r="X10">
        <v>400.13069999999999</v>
      </c>
      <c r="Y10">
        <v>393.7312</v>
      </c>
      <c r="Z10">
        <v>393.3399</v>
      </c>
      <c r="AA10">
        <v>562.56961249999995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635</v>
      </c>
      <c r="B11" t="s">
        <v>636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2110.571355478</v>
      </c>
      <c r="R11">
        <v>1509.5748380415</v>
      </c>
      <c r="S11">
        <v>-1.9286445219999999</v>
      </c>
      <c r="T11">
        <v>2.9251619584999999</v>
      </c>
      <c r="U11">
        <v>3.5037468767000002</v>
      </c>
      <c r="V11">
        <v>736.8021</v>
      </c>
      <c r="W11">
        <v>397.53410000000002</v>
      </c>
      <c r="X11">
        <v>399.84960000000001</v>
      </c>
      <c r="Y11">
        <v>395.5378</v>
      </c>
      <c r="Z11">
        <v>397.64710000000002</v>
      </c>
      <c r="AA11">
        <v>567.22212500000001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2109.2400501951001</v>
      </c>
      <c r="R12">
        <v>1508.0264592855001</v>
      </c>
      <c r="S12">
        <v>-3.2599498049000002</v>
      </c>
      <c r="T12">
        <v>4.4735407145000003</v>
      </c>
      <c r="U12">
        <v>5.5353264813000003</v>
      </c>
      <c r="V12">
        <v>730.67470000000003</v>
      </c>
      <c r="W12">
        <v>395.91079999999999</v>
      </c>
      <c r="X12">
        <v>397.93549999999999</v>
      </c>
      <c r="Y12">
        <v>395.60680000000002</v>
      </c>
      <c r="Z12">
        <v>394.26749999999998</v>
      </c>
      <c r="AA12">
        <v>563.30242499999997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2107.0621920876001</v>
      </c>
      <c r="R13">
        <v>1508.2358285545999</v>
      </c>
      <c r="S13">
        <v>-5.4378079124000003</v>
      </c>
      <c r="T13">
        <v>4.2641714453999997</v>
      </c>
      <c r="U13">
        <v>6.9103482551999997</v>
      </c>
      <c r="V13">
        <v>739.21770000000004</v>
      </c>
      <c r="W13">
        <v>397.33479999999997</v>
      </c>
      <c r="X13">
        <v>402.34469999999999</v>
      </c>
      <c r="Y13">
        <v>399.41759999999999</v>
      </c>
      <c r="Z13">
        <v>395.97579999999999</v>
      </c>
      <c r="AA13">
        <v>568.99296249999998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1.16825E-5</v>
      </c>
      <c r="R2">
        <v>6.1845560074000003</v>
      </c>
      <c r="S2">
        <v>-3.0828857421999998</v>
      </c>
      <c r="T2">
        <v>4.9710173607000003</v>
      </c>
      <c r="U2">
        <v>7.9199647902999999</v>
      </c>
      <c r="V2">
        <v>-4.6663441658</v>
      </c>
      <c r="W2">
        <v>-0.47758072610000002</v>
      </c>
      <c r="X2">
        <v>4.0279521942000001</v>
      </c>
      <c r="Y2">
        <v>-1.6688556671000001</v>
      </c>
      <c r="Z2">
        <v>-1.1331412792</v>
      </c>
      <c r="AA2">
        <v>0.47617864609999999</v>
      </c>
      <c r="AB2">
        <v>-1.9999158382</v>
      </c>
      <c r="AC2">
        <v>1.7203003168</v>
      </c>
      <c r="AD2">
        <v>-0.30258011820000003</v>
      </c>
      <c r="AE2">
        <v>-1.3799222708000001</v>
      </c>
      <c r="AF2">
        <v>0.69293808940000001</v>
      </c>
      <c r="AG2">
        <v>0.82140487429999998</v>
      </c>
      <c r="AH2">
        <v>-0.49537348749999999</v>
      </c>
      <c r="AI2">
        <v>-0.21399128440000001</v>
      </c>
      <c r="AJ2">
        <v>0.37289777400000002</v>
      </c>
      <c r="AK2">
        <v>1.7796779999999999E-4</v>
      </c>
      <c r="AL2">
        <v>4.3034914899999999E-2</v>
      </c>
      <c r="AM2">
        <v>0.14963780339999999</v>
      </c>
      <c r="AN2">
        <v>0.1273848414</v>
      </c>
      <c r="AO2">
        <v>0.24291059370000001</v>
      </c>
      <c r="AP2">
        <v>0.24291059370000001</v>
      </c>
      <c r="AQ2">
        <v>6.9103485808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553</v>
      </c>
      <c r="B3" t="s">
        <v>554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-2.3365000000000001E-5</v>
      </c>
      <c r="R3">
        <v>0.52662181850000001</v>
      </c>
      <c r="S3">
        <v>-6.6688547134</v>
      </c>
      <c r="T3">
        <v>5.8017916678999999</v>
      </c>
      <c r="U3">
        <v>6.2398867607000001</v>
      </c>
      <c r="V3">
        <v>-7.9620361327999998</v>
      </c>
      <c r="W3">
        <v>-0.99092400069999997</v>
      </c>
      <c r="X3">
        <v>3.4026947020999998</v>
      </c>
      <c r="Y3">
        <v>-1.1737957000999999</v>
      </c>
      <c r="Z3">
        <v>0.3856619</v>
      </c>
      <c r="AA3">
        <v>0.19683527949999999</v>
      </c>
      <c r="AB3">
        <v>-2.5052099228000002</v>
      </c>
      <c r="AC3">
        <v>2.1610121727</v>
      </c>
      <c r="AD3">
        <v>0.32322821019999998</v>
      </c>
      <c r="AE3">
        <v>-0.91684484479999995</v>
      </c>
      <c r="AF3">
        <v>0.23877203459999999</v>
      </c>
      <c r="AG3">
        <v>-0.6176124811</v>
      </c>
      <c r="AH3">
        <v>-0.3946024776</v>
      </c>
      <c r="AI3">
        <v>-0.3605297804</v>
      </c>
      <c r="AJ3">
        <v>-0.19001984599999999</v>
      </c>
      <c r="AK3">
        <v>1.643317E-4</v>
      </c>
      <c r="AL3">
        <v>4.21044603E-2</v>
      </c>
      <c r="AM3">
        <v>0.1265841872</v>
      </c>
      <c r="AN3">
        <v>0.212531358</v>
      </c>
      <c r="AO3">
        <v>0.22416323420000001</v>
      </c>
      <c r="AP3">
        <v>0.22416323420000001</v>
      </c>
      <c r="AQ3">
        <v>6.6896153647999999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555</v>
      </c>
      <c r="B4" t="s">
        <v>556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1.7881000000000001E-6</v>
      </c>
      <c r="R4">
        <v>6.6007018089000002</v>
      </c>
      <c r="S4">
        <v>0.50746393199999995</v>
      </c>
      <c r="T4">
        <v>6.3712406157999997</v>
      </c>
      <c r="U4">
        <v>9.0348148346000006</v>
      </c>
      <c r="V4">
        <v>-5.6647710800000004</v>
      </c>
      <c r="W4">
        <v>-1.8922872543</v>
      </c>
      <c r="X4">
        <v>3.0084741116</v>
      </c>
      <c r="Y4">
        <v>-2.2799797058000002</v>
      </c>
      <c r="Z4">
        <v>0.30344426629999999</v>
      </c>
      <c r="AA4">
        <v>1.0888526439999999</v>
      </c>
      <c r="AB4">
        <v>-2.4316058158999998</v>
      </c>
      <c r="AC4">
        <v>1.1555730103999999</v>
      </c>
      <c r="AD4">
        <v>0.47039207820000001</v>
      </c>
      <c r="AE4">
        <v>-1.2607479095</v>
      </c>
      <c r="AF4">
        <v>0.3422572613</v>
      </c>
      <c r="AG4">
        <v>0.38950097560000002</v>
      </c>
      <c r="AH4">
        <v>-0.52051138880000003</v>
      </c>
      <c r="AI4">
        <v>3.0529500000000002E-4</v>
      </c>
      <c r="AJ4">
        <v>-0.4934411943</v>
      </c>
      <c r="AK4">
        <v>1.545951E-4</v>
      </c>
      <c r="AL4">
        <v>4.0671348599999997E-2</v>
      </c>
      <c r="AM4">
        <v>0.14624366159999999</v>
      </c>
      <c r="AN4">
        <v>7.5230002399999996E-2</v>
      </c>
      <c r="AO4">
        <v>0.26438042519999999</v>
      </c>
      <c r="AP4">
        <v>0.26438042519999999</v>
      </c>
      <c r="AQ4">
        <v>6.6201800588999999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584</v>
      </c>
      <c r="B5" t="s">
        <v>585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10.272264480600001</v>
      </c>
      <c r="S5">
        <v>-6.2479252814999997</v>
      </c>
      <c r="T5">
        <v>5.4882121086</v>
      </c>
      <c r="U5">
        <v>5.3803782463000003</v>
      </c>
      <c r="V5">
        <v>-10.510147094700001</v>
      </c>
      <c r="W5">
        <v>-4.3621382713000001</v>
      </c>
      <c r="X5">
        <v>6.6528863907</v>
      </c>
      <c r="Y5">
        <v>-1.9603279829</v>
      </c>
      <c r="Z5">
        <v>5.3075909599999999E-2</v>
      </c>
      <c r="AA5">
        <v>1.4986162186</v>
      </c>
      <c r="AB5">
        <v>-1.6991168261</v>
      </c>
      <c r="AC5">
        <v>3.3313431740000001</v>
      </c>
      <c r="AD5">
        <v>1.1258742809</v>
      </c>
      <c r="AE5">
        <v>-1.9655354023</v>
      </c>
      <c r="AF5">
        <v>0.79667627809999997</v>
      </c>
      <c r="AG5">
        <v>0.3386187255</v>
      </c>
      <c r="AH5">
        <v>-3.8094162899999999E-2</v>
      </c>
      <c r="AI5">
        <v>0.18031513690000001</v>
      </c>
      <c r="AJ5">
        <v>-0.73558843139999996</v>
      </c>
      <c r="AK5">
        <v>2.3723329999999999E-4</v>
      </c>
      <c r="AL5">
        <v>5.0420544999999997E-2</v>
      </c>
      <c r="AM5">
        <v>0.27704030280000003</v>
      </c>
      <c r="AN5">
        <v>0.24770152570000001</v>
      </c>
      <c r="AO5">
        <v>0.311276108</v>
      </c>
      <c r="AP5">
        <v>0.311276108</v>
      </c>
      <c r="AQ5">
        <v>12.0231438436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586</v>
      </c>
      <c r="B6" t="s">
        <v>587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-1.35899E-5</v>
      </c>
      <c r="R6">
        <v>12.0037136078</v>
      </c>
      <c r="S6">
        <v>-6.9213509600000001E-2</v>
      </c>
      <c r="T6">
        <v>8.0102777481</v>
      </c>
      <c r="U6">
        <v>11.9676961899</v>
      </c>
      <c r="V6">
        <v>-5.6030235290999997</v>
      </c>
      <c r="W6">
        <v>-3.1892590523000002</v>
      </c>
      <c r="X6">
        <v>2.3766050339000002</v>
      </c>
      <c r="Y6">
        <v>-1.6143934727</v>
      </c>
      <c r="Z6">
        <v>-1.3885520697</v>
      </c>
      <c r="AA6">
        <v>0.78637009859999996</v>
      </c>
      <c r="AB6">
        <v>-3.1737136841</v>
      </c>
      <c r="AC6">
        <v>1.5886574983999999</v>
      </c>
      <c r="AD6">
        <v>0.71664470430000005</v>
      </c>
      <c r="AE6">
        <v>-0.52831315990000005</v>
      </c>
      <c r="AF6">
        <v>0.2399265766</v>
      </c>
      <c r="AG6">
        <v>0.17391973729999999</v>
      </c>
      <c r="AH6">
        <v>-0.1016013175</v>
      </c>
      <c r="AI6">
        <v>4.2775511699999998E-2</v>
      </c>
      <c r="AJ6">
        <v>-3.5185188100000001E-2</v>
      </c>
      <c r="AK6">
        <v>2.0924069999999999E-4</v>
      </c>
      <c r="AL6">
        <v>4.8555538099999997E-2</v>
      </c>
      <c r="AM6">
        <v>0.2239941359</v>
      </c>
      <c r="AN6">
        <v>9.1691985700000006E-2</v>
      </c>
      <c r="AO6">
        <v>0.34380811449999998</v>
      </c>
      <c r="AP6">
        <v>0.34380811449999998</v>
      </c>
      <c r="AQ6">
        <v>12.003913149000001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590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1.1444099999999999E-5</v>
      </c>
      <c r="R7">
        <v>12.207499504099999</v>
      </c>
      <c r="S7">
        <v>6.0505175591000002</v>
      </c>
      <c r="T7">
        <v>7.2378029822999999</v>
      </c>
      <c r="U7">
        <v>5.6981401442999999</v>
      </c>
      <c r="V7">
        <v>-0.45432567600000001</v>
      </c>
      <c r="W7">
        <v>-3.7416956424999999</v>
      </c>
      <c r="X7">
        <v>1.9783262014</v>
      </c>
      <c r="Y7">
        <v>-2.0435528755000001</v>
      </c>
      <c r="Z7">
        <v>-0.76789373159999996</v>
      </c>
      <c r="AA7">
        <v>0.48636892440000001</v>
      </c>
      <c r="AB7">
        <v>-2.0390319824000001</v>
      </c>
      <c r="AC7">
        <v>0.89711844919999995</v>
      </c>
      <c r="AD7">
        <v>0.97782528400000002</v>
      </c>
      <c r="AE7">
        <v>-0.54482412339999997</v>
      </c>
      <c r="AF7">
        <v>0.59389328959999999</v>
      </c>
      <c r="AG7">
        <v>-0.73747736220000004</v>
      </c>
      <c r="AH7">
        <v>0.21469426159999999</v>
      </c>
      <c r="AI7">
        <v>-9.3745350800000002E-2</v>
      </c>
      <c r="AJ7">
        <v>-0.13278701900000001</v>
      </c>
      <c r="AK7">
        <v>2.7579239999999999E-4</v>
      </c>
      <c r="AL7">
        <v>5.5536508599999999E-2</v>
      </c>
      <c r="AM7">
        <v>0.19516503809999999</v>
      </c>
      <c r="AN7">
        <v>8.0991238399999999E-2</v>
      </c>
      <c r="AO7">
        <v>0.26179122919999998</v>
      </c>
      <c r="AP7">
        <v>0.26179122919999998</v>
      </c>
      <c r="AQ7">
        <v>13.6246763952</v>
      </c>
      <c r="AR7" t="s">
        <v>262</v>
      </c>
      <c r="AS7" t="s">
        <v>263</v>
      </c>
      <c r="AT7">
        <v>3</v>
      </c>
      <c r="AU7">
        <v>2.9</v>
      </c>
      <c r="AX7">
        <v>1</v>
      </c>
    </row>
    <row r="8" spans="1:50">
      <c r="A8" t="s">
        <v>620</v>
      </c>
      <c r="B8" t="s">
        <v>621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-1.5735599999999999E-5</v>
      </c>
      <c r="R8">
        <v>14.316924095199999</v>
      </c>
      <c r="S8">
        <v>-0.86079156400000001</v>
      </c>
      <c r="T8">
        <v>7.8893318175999996</v>
      </c>
      <c r="U8">
        <v>7.9406113625000003</v>
      </c>
      <c r="V8">
        <v>-3.2074649333999998</v>
      </c>
      <c r="W8">
        <v>-1.5465443134000001</v>
      </c>
      <c r="X8">
        <v>4.5427260398999998</v>
      </c>
      <c r="Y8">
        <v>-2.9908261298999999</v>
      </c>
      <c r="Z8">
        <v>-1.4075729847</v>
      </c>
      <c r="AA8">
        <v>0.97608453039999998</v>
      </c>
      <c r="AB8">
        <v>-2.2275974751000001</v>
      </c>
      <c r="AC8">
        <v>1.1322267055999999</v>
      </c>
      <c r="AD8">
        <v>-0.43401068450000002</v>
      </c>
      <c r="AE8">
        <v>-1.6270046234</v>
      </c>
      <c r="AF8">
        <v>1.0090655088</v>
      </c>
      <c r="AG8">
        <v>0.104940176</v>
      </c>
      <c r="AH8">
        <v>-0.60440576079999997</v>
      </c>
      <c r="AI8">
        <v>0.1218504906</v>
      </c>
      <c r="AJ8">
        <v>0.10704618690000001</v>
      </c>
      <c r="AK8">
        <v>2.161935E-4</v>
      </c>
      <c r="AL8">
        <v>5.0018843299999997E-2</v>
      </c>
      <c r="AM8">
        <v>0.22099773589999999</v>
      </c>
      <c r="AN8">
        <v>7.9698115599999994E-2</v>
      </c>
      <c r="AO8">
        <v>0.30763366819999999</v>
      </c>
      <c r="AP8">
        <v>0.30763366819999999</v>
      </c>
      <c r="AQ8">
        <v>14.342777892100001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622</v>
      </c>
      <c r="B9" t="s">
        <v>623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2.3839999999999999E-7</v>
      </c>
      <c r="R9">
        <v>16.724290847799999</v>
      </c>
      <c r="S9">
        <v>-0.1987159252</v>
      </c>
      <c r="T9">
        <v>7.8372488022000004</v>
      </c>
      <c r="U9">
        <v>7.8613123894000001</v>
      </c>
      <c r="V9">
        <v>-4.6448812484999999</v>
      </c>
      <c r="W9">
        <v>-3.9333276749000001</v>
      </c>
      <c r="X9">
        <v>2.9989402294</v>
      </c>
      <c r="Y9">
        <v>-3.0671825409000002</v>
      </c>
      <c r="Z9">
        <v>-0.79898548130000002</v>
      </c>
      <c r="AA9">
        <v>0.84892976279999999</v>
      </c>
      <c r="AB9">
        <v>-2.2679495810999999</v>
      </c>
      <c r="AC9">
        <v>1.898635745</v>
      </c>
      <c r="AD9">
        <v>0.72667765620000002</v>
      </c>
      <c r="AE9">
        <v>-0.76946353909999998</v>
      </c>
      <c r="AF9">
        <v>1.1296679973999999</v>
      </c>
      <c r="AG9">
        <v>-0.39685004950000002</v>
      </c>
      <c r="AH9">
        <v>0.2067652941</v>
      </c>
      <c r="AI9">
        <v>-0.1333118677</v>
      </c>
      <c r="AJ9">
        <v>-0.24994784589999999</v>
      </c>
      <c r="AK9">
        <v>1.6049909999999999E-4</v>
      </c>
      <c r="AL9">
        <v>4.15052697E-2</v>
      </c>
      <c r="AM9">
        <v>0.26742875579999997</v>
      </c>
      <c r="AN9">
        <v>8.4719777100000004E-2</v>
      </c>
      <c r="AO9">
        <v>0.32526516909999997</v>
      </c>
      <c r="AP9">
        <v>0.32526516909999997</v>
      </c>
      <c r="AQ9">
        <v>16.725471365000001</v>
      </c>
      <c r="AR9" t="s">
        <v>262</v>
      </c>
      <c r="AS9" t="s">
        <v>263</v>
      </c>
      <c r="AT9">
        <v>3</v>
      </c>
      <c r="AU9">
        <v>2.9</v>
      </c>
      <c r="AX9">
        <v>1</v>
      </c>
    </row>
    <row r="10" spans="1:50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615</v>
      </c>
      <c r="K10" t="s">
        <v>616</v>
      </c>
      <c r="L10" t="s">
        <v>617</v>
      </c>
      <c r="M10" t="s">
        <v>618</v>
      </c>
      <c r="N10" t="s">
        <v>619</v>
      </c>
      <c r="O10">
        <v>0</v>
      </c>
      <c r="P10">
        <v>0</v>
      </c>
      <c r="Q10">
        <v>8.5830999999999992E-6</v>
      </c>
      <c r="R10">
        <v>1.5713381767000001</v>
      </c>
      <c r="S10">
        <v>-3.3452637196000001</v>
      </c>
      <c r="T10">
        <v>5.8819870949000004</v>
      </c>
      <c r="U10">
        <v>9.6752529143999997</v>
      </c>
      <c r="V10">
        <v>-6.8147897720000001</v>
      </c>
      <c r="W10">
        <v>-0.25272005800000003</v>
      </c>
      <c r="X10">
        <v>2.8516113758000001</v>
      </c>
      <c r="Y10">
        <v>-1.8499206305</v>
      </c>
      <c r="Z10">
        <v>0.15964317319999999</v>
      </c>
      <c r="AA10">
        <v>-2.8202534000000001E-3</v>
      </c>
      <c r="AB10">
        <v>-2.6521656512999998</v>
      </c>
      <c r="AC10">
        <v>1.8781182766</v>
      </c>
      <c r="AD10">
        <v>-0.21190610530000001</v>
      </c>
      <c r="AE10">
        <v>-0.40634131429999998</v>
      </c>
      <c r="AF10">
        <v>9.0234629799999994E-2</v>
      </c>
      <c r="AG10">
        <v>0.50468921659999999</v>
      </c>
      <c r="AH10">
        <v>-0.91069144010000003</v>
      </c>
      <c r="AI10">
        <v>0.17591774460000001</v>
      </c>
      <c r="AJ10">
        <v>-0.18367838859999999</v>
      </c>
      <c r="AK10">
        <v>2.077716E-4</v>
      </c>
      <c r="AL10">
        <v>4.7084085599999999E-2</v>
      </c>
      <c r="AM10">
        <v>0.117148608</v>
      </c>
      <c r="AN10">
        <v>0.1556931734</v>
      </c>
      <c r="AO10">
        <v>0.2535347939</v>
      </c>
      <c r="AP10">
        <v>0.2535347939</v>
      </c>
      <c r="AQ10">
        <v>3.6959292496999998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  <row r="11" spans="1:50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4.8875999999999996E-6</v>
      </c>
      <c r="R11">
        <v>8.4030170441000003</v>
      </c>
      <c r="S11">
        <v>-6.8206901550000003</v>
      </c>
      <c r="T11">
        <v>4.6513695717000001</v>
      </c>
      <c r="U11">
        <v>7.4368009567</v>
      </c>
      <c r="V11">
        <v>-3.2234430313</v>
      </c>
      <c r="W11">
        <v>-0.67164683339999998</v>
      </c>
      <c r="X11">
        <v>3.4098942280000002</v>
      </c>
      <c r="Y11">
        <v>-0.95356446500000003</v>
      </c>
      <c r="Z11">
        <v>-0.10083484650000001</v>
      </c>
      <c r="AA11">
        <v>-0.49629780649999999</v>
      </c>
      <c r="AB11">
        <v>-1.8384108543</v>
      </c>
      <c r="AC11">
        <v>1.0935864448999999</v>
      </c>
      <c r="AD11">
        <v>-0.1397763491</v>
      </c>
      <c r="AE11">
        <v>-0.28633868689999997</v>
      </c>
      <c r="AF11">
        <v>-0.1975538731</v>
      </c>
      <c r="AG11">
        <v>0.34791728849999998</v>
      </c>
      <c r="AH11">
        <v>-0.1487615108</v>
      </c>
      <c r="AI11">
        <v>4.0699482000000002E-2</v>
      </c>
      <c r="AJ11">
        <v>0.43099492789999999</v>
      </c>
      <c r="AK11">
        <v>2.21005E-4</v>
      </c>
      <c r="AL11">
        <v>4.9808211599999999E-2</v>
      </c>
      <c r="AM11">
        <v>0.1322792917</v>
      </c>
      <c r="AN11">
        <v>0.15654315050000001</v>
      </c>
      <c r="AO11">
        <v>0.2751069069</v>
      </c>
      <c r="AP11">
        <v>0.2751069069</v>
      </c>
      <c r="AQ11">
        <v>10.822777353099999</v>
      </c>
      <c r="AR11" t="s">
        <v>262</v>
      </c>
      <c r="AS11" t="s">
        <v>263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-1.9908E-5</v>
      </c>
      <c r="R12">
        <v>7.9750957489000003</v>
      </c>
      <c r="S12">
        <v>6.5713806151999998</v>
      </c>
      <c r="T12">
        <v>5.3808512687999999</v>
      </c>
      <c r="U12">
        <v>6.6568937302000002</v>
      </c>
      <c r="V12">
        <v>-4.4744858742</v>
      </c>
      <c r="W12">
        <v>-2.0880343913999999</v>
      </c>
      <c r="X12">
        <v>3.7159790993000001</v>
      </c>
      <c r="Y12">
        <v>-2.1519052982</v>
      </c>
      <c r="Z12">
        <v>0.31068611149999997</v>
      </c>
      <c r="AA12">
        <v>1.7419662476</v>
      </c>
      <c r="AB12">
        <v>-1.8108621836000001</v>
      </c>
      <c r="AC12">
        <v>1.5507569313</v>
      </c>
      <c r="AD12">
        <v>0.54149955510000003</v>
      </c>
      <c r="AE12">
        <v>-1.7015991210999999</v>
      </c>
      <c r="AF12">
        <v>1.1316144466</v>
      </c>
      <c r="AG12">
        <v>-5.6654423500000002E-2</v>
      </c>
      <c r="AH12">
        <v>-5.9473991400000002E-2</v>
      </c>
      <c r="AI12">
        <v>-2.0226001699999999E-2</v>
      </c>
      <c r="AJ12">
        <v>-6.62130415E-2</v>
      </c>
      <c r="AK12">
        <v>2.2544740000000001E-4</v>
      </c>
      <c r="AL12">
        <v>4.9148678799999998E-2</v>
      </c>
      <c r="AM12">
        <v>0.15114155409999999</v>
      </c>
      <c r="AN12">
        <v>0.1405536979</v>
      </c>
      <c r="AO12">
        <v>0.2254866958</v>
      </c>
      <c r="AP12">
        <v>0.2254866958</v>
      </c>
      <c r="AQ12">
        <v>10.333692244</v>
      </c>
      <c r="AR12" t="s">
        <v>262</v>
      </c>
      <c r="AS12" t="s">
        <v>263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3.1590000000000002E-6</v>
      </c>
      <c r="R13">
        <v>1.4196333885000001</v>
      </c>
      <c r="S13">
        <v>-2.0740699768000002</v>
      </c>
      <c r="T13">
        <v>5.8205699921000003</v>
      </c>
      <c r="U13">
        <v>5.0691537857000002</v>
      </c>
      <c r="V13">
        <v>-6.7342739104999998</v>
      </c>
      <c r="W13">
        <v>-0.95509535069999996</v>
      </c>
      <c r="X13">
        <v>2.5252788066999998</v>
      </c>
      <c r="Y13">
        <v>-1.9431776999999999</v>
      </c>
      <c r="Z13">
        <v>-2.1815047264</v>
      </c>
      <c r="AA13">
        <v>0.75716936589999995</v>
      </c>
      <c r="AB13">
        <v>-1.9660104513000001</v>
      </c>
      <c r="AC13">
        <v>1.8024456500999999</v>
      </c>
      <c r="AD13">
        <v>0.79494929309999995</v>
      </c>
      <c r="AE13">
        <v>-0.26168650389999998</v>
      </c>
      <c r="AF13">
        <v>0.51623040440000001</v>
      </c>
      <c r="AG13">
        <v>8.0653428999999999E-2</v>
      </c>
      <c r="AH13">
        <v>-0.11279945080000001</v>
      </c>
      <c r="AI13">
        <v>1.066565752</v>
      </c>
      <c r="AJ13">
        <v>-0.16945096849999999</v>
      </c>
      <c r="AK13">
        <v>2.5631759999999998E-4</v>
      </c>
      <c r="AL13">
        <v>5.3103774800000003E-2</v>
      </c>
      <c r="AM13">
        <v>0.137896359</v>
      </c>
      <c r="AN13">
        <v>0.13924175499999999</v>
      </c>
      <c r="AO13">
        <v>0.15877546370000001</v>
      </c>
      <c r="AP13">
        <v>0.15877546370000001</v>
      </c>
      <c r="AQ13">
        <v>2.5133891911999999</v>
      </c>
      <c r="AR13" t="s">
        <v>262</v>
      </c>
      <c r="AS13" t="s">
        <v>263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76.121986300499998</v>
      </c>
      <c r="T2">
        <v>106.1772148605</v>
      </c>
      <c r="U2">
        <v>3.6922008009999998</v>
      </c>
      <c r="V2">
        <v>3.2458082999999999E-3</v>
      </c>
      <c r="W2">
        <v>-7.7889300000000007E-5</v>
      </c>
      <c r="X2">
        <v>3.4689010715999999</v>
      </c>
      <c r="Y2">
        <v>75.718139288100005</v>
      </c>
      <c r="Z2">
        <v>59.977795845999999</v>
      </c>
      <c r="AA2">
        <v>342.24782859650003</v>
      </c>
      <c r="AB2">
        <v>363.7836336826</v>
      </c>
      <c r="AC2">
        <v>1</v>
      </c>
      <c r="AF2">
        <v>1</v>
      </c>
    </row>
    <row r="3" spans="1:32">
      <c r="A3" t="s">
        <v>553</v>
      </c>
      <c r="B3" t="s">
        <v>557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-7.0381231672000002</v>
      </c>
      <c r="R3">
        <v>-48</v>
      </c>
      <c r="S3">
        <v>83.343204700900003</v>
      </c>
      <c r="T3">
        <v>108.89040163670001</v>
      </c>
      <c r="U3">
        <v>3.6525878655000001</v>
      </c>
      <c r="V3">
        <v>2.7213710000000002E-3</v>
      </c>
      <c r="W3">
        <v>-7.2748800000000004E-5</v>
      </c>
      <c r="X3">
        <v>3.4229197868000001</v>
      </c>
      <c r="Y3">
        <v>83.223728342800001</v>
      </c>
      <c r="Z3">
        <v>63.823529491199999</v>
      </c>
      <c r="AA3">
        <v>333.55971178120001</v>
      </c>
      <c r="AB3">
        <v>355.31649481260001</v>
      </c>
      <c r="AC3">
        <v>1</v>
      </c>
      <c r="AF3">
        <v>1</v>
      </c>
    </row>
    <row r="4" spans="1:32">
      <c r="A4" t="s">
        <v>555</v>
      </c>
      <c r="B4" t="s">
        <v>558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-8.2111436950000005</v>
      </c>
      <c r="R4">
        <v>-56</v>
      </c>
      <c r="S4">
        <v>87.558712411100004</v>
      </c>
      <c r="T4">
        <v>116.4614990426</v>
      </c>
      <c r="U4">
        <v>3.5537624114000002</v>
      </c>
      <c r="V4">
        <v>3.4631088000000002E-3</v>
      </c>
      <c r="W4">
        <v>-7.9792100000000005E-5</v>
      </c>
      <c r="X4">
        <v>3.3574536447000001</v>
      </c>
      <c r="Y4">
        <v>87.451701175899998</v>
      </c>
      <c r="Z4">
        <v>72.348498927500003</v>
      </c>
      <c r="AA4">
        <v>323.0478606218</v>
      </c>
      <c r="AB4">
        <v>344.56336623999999</v>
      </c>
      <c r="AC4">
        <v>1</v>
      </c>
      <c r="AF4">
        <v>1</v>
      </c>
    </row>
    <row r="5" spans="1:32">
      <c r="A5" t="s">
        <v>584</v>
      </c>
      <c r="B5" t="s">
        <v>588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-8.2111436950000005</v>
      </c>
      <c r="R5">
        <v>-56</v>
      </c>
      <c r="S5">
        <v>82.211745958799995</v>
      </c>
      <c r="T5">
        <v>111.8411487171</v>
      </c>
      <c r="U5">
        <v>3.6484152562999999</v>
      </c>
      <c r="V5">
        <v>4.1636175000000003E-3</v>
      </c>
      <c r="W5">
        <v>-8.5864299999999997E-5</v>
      </c>
      <c r="X5">
        <v>3.4622469754999998</v>
      </c>
      <c r="Y5">
        <v>82.207241454400005</v>
      </c>
      <c r="Z5">
        <v>66.884775238399996</v>
      </c>
      <c r="AA5">
        <v>333.44374953639999</v>
      </c>
      <c r="AB5">
        <v>355.8707653015</v>
      </c>
      <c r="AC5">
        <v>1</v>
      </c>
      <c r="AF5">
        <v>1</v>
      </c>
    </row>
    <row r="6" spans="1:32">
      <c r="A6" t="s">
        <v>586</v>
      </c>
      <c r="B6" t="s">
        <v>589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-8.2111436950000005</v>
      </c>
      <c r="R6">
        <v>-56</v>
      </c>
      <c r="S6">
        <v>78.692595787399995</v>
      </c>
      <c r="T6">
        <v>108.01977941219999</v>
      </c>
      <c r="U6">
        <v>3.5994603803</v>
      </c>
      <c r="V6">
        <v>2.7749646999999998E-3</v>
      </c>
      <c r="W6">
        <v>-7.4792700000000006E-5</v>
      </c>
      <c r="X6">
        <v>3.3792318313999998</v>
      </c>
      <c r="Y6">
        <v>78.6678201032</v>
      </c>
      <c r="Z6">
        <v>58.905516379300003</v>
      </c>
      <c r="AA6">
        <v>325.47357738440002</v>
      </c>
      <c r="AB6">
        <v>346.9228820056</v>
      </c>
      <c r="AC6">
        <v>1</v>
      </c>
      <c r="AF6">
        <v>1</v>
      </c>
    </row>
    <row r="7" spans="1:32">
      <c r="A7" t="s">
        <v>590</v>
      </c>
      <c r="B7" t="s">
        <v>591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-8.2111436950000005</v>
      </c>
      <c r="R7">
        <v>-56</v>
      </c>
      <c r="S7">
        <v>75.667657149899995</v>
      </c>
      <c r="T7">
        <v>105.2897257516</v>
      </c>
      <c r="U7">
        <v>3.6400633250999999</v>
      </c>
      <c r="V7">
        <v>3.2983410000000002E-3</v>
      </c>
      <c r="W7">
        <v>-8.0616400000000003E-5</v>
      </c>
      <c r="X7">
        <v>3.4401604295000001</v>
      </c>
      <c r="Y7">
        <v>75.657673788899999</v>
      </c>
      <c r="Z7">
        <v>59.797474121900002</v>
      </c>
      <c r="AA7">
        <v>324.38946986050001</v>
      </c>
      <c r="AB7">
        <v>346.36536559000001</v>
      </c>
      <c r="AC7">
        <v>1</v>
      </c>
      <c r="AF7">
        <v>1</v>
      </c>
    </row>
    <row r="8" spans="1:32">
      <c r="A8" t="s">
        <v>620</v>
      </c>
      <c r="B8" t="s">
        <v>624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-9.3841642229000009</v>
      </c>
      <c r="R8">
        <v>-64</v>
      </c>
      <c r="S8">
        <v>74.249642198900005</v>
      </c>
      <c r="T8">
        <v>107.59428868240001</v>
      </c>
      <c r="U8">
        <v>3.5871090380999999</v>
      </c>
      <c r="V8">
        <v>2.9184125000000002E-3</v>
      </c>
      <c r="W8">
        <v>-7.3053599999999995E-5</v>
      </c>
      <c r="X8">
        <v>3.3691085895000001</v>
      </c>
      <c r="Y8">
        <v>74.235150417599996</v>
      </c>
      <c r="Z8">
        <v>54.749373832700002</v>
      </c>
      <c r="AA8">
        <v>336.40124676520003</v>
      </c>
      <c r="AB8">
        <v>358.9565637737</v>
      </c>
      <c r="AC8">
        <v>1</v>
      </c>
      <c r="AF8">
        <v>1</v>
      </c>
    </row>
    <row r="9" spans="1:32">
      <c r="A9" t="s">
        <v>622</v>
      </c>
      <c r="B9" t="s">
        <v>625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-7.0381231672000002</v>
      </c>
      <c r="R9">
        <v>-48</v>
      </c>
      <c r="S9">
        <v>95.137243024200004</v>
      </c>
      <c r="T9">
        <v>119.7220285148</v>
      </c>
      <c r="U9">
        <v>3.519904613</v>
      </c>
      <c r="V9">
        <v>3.2833544999999998E-3</v>
      </c>
      <c r="W9">
        <v>-7.4849600000000002E-5</v>
      </c>
      <c r="X9">
        <v>3.3356915152000002</v>
      </c>
      <c r="Y9">
        <v>86.432411785599996</v>
      </c>
      <c r="Z9">
        <v>68.942118383299999</v>
      </c>
      <c r="AA9">
        <v>317.627250688</v>
      </c>
      <c r="AB9">
        <v>339.62470270659998</v>
      </c>
      <c r="AC9">
        <v>1</v>
      </c>
      <c r="AF9">
        <v>1</v>
      </c>
    </row>
    <row r="10" spans="1:32">
      <c r="A10" t="s">
        <v>630</v>
      </c>
      <c r="B10" t="s">
        <v>632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615</v>
      </c>
      <c r="K10" t="s">
        <v>616</v>
      </c>
      <c r="L10" t="s">
        <v>617</v>
      </c>
      <c r="M10" t="s">
        <v>618</v>
      </c>
      <c r="N10" t="s">
        <v>619</v>
      </c>
      <c r="O10">
        <v>0</v>
      </c>
      <c r="P10">
        <v>0</v>
      </c>
      <c r="Q10">
        <v>-10.557184750699999</v>
      </c>
      <c r="R10">
        <v>-72</v>
      </c>
      <c r="S10">
        <v>73.016498489100002</v>
      </c>
      <c r="T10">
        <v>110.51826876680001</v>
      </c>
      <c r="U10">
        <v>3.5998419439</v>
      </c>
      <c r="V10">
        <v>3.6582564000000001E-3</v>
      </c>
      <c r="W10">
        <v>-8.0481899999999999E-5</v>
      </c>
      <c r="X10">
        <v>3.4098647844999999</v>
      </c>
      <c r="Y10">
        <v>72.213183017099993</v>
      </c>
      <c r="Z10">
        <v>57.834616372100001</v>
      </c>
      <c r="AA10">
        <v>336.84016594529999</v>
      </c>
      <c r="AB10">
        <v>359.48993151780002</v>
      </c>
      <c r="AC10">
        <v>1</v>
      </c>
      <c r="AF10">
        <v>1</v>
      </c>
    </row>
    <row r="11" spans="1:32">
      <c r="A11" t="s">
        <v>644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-8.2111436950000005</v>
      </c>
      <c r="R11">
        <v>-56</v>
      </c>
      <c r="S11">
        <v>82.568065097000002</v>
      </c>
      <c r="T11">
        <v>112.617381028</v>
      </c>
      <c r="U11">
        <v>3.6880061401000002</v>
      </c>
      <c r="V11">
        <v>2.8223570000000002E-3</v>
      </c>
      <c r="W11">
        <v>-7.7925399999999998E-5</v>
      </c>
      <c r="X11">
        <v>3.4715996561</v>
      </c>
      <c r="Y11">
        <v>81.823277579899994</v>
      </c>
      <c r="Z11">
        <v>60.262398872399999</v>
      </c>
      <c r="AA11">
        <v>327.30811905489998</v>
      </c>
      <c r="AB11">
        <v>349.39686407520003</v>
      </c>
      <c r="AC11">
        <v>1</v>
      </c>
      <c r="AF11">
        <v>1</v>
      </c>
    </row>
    <row r="12" spans="1:32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-8.2111436950000005</v>
      </c>
      <c r="R12">
        <v>-56</v>
      </c>
      <c r="S12">
        <v>78.822849751199996</v>
      </c>
      <c r="T12">
        <v>108.17644990239999</v>
      </c>
      <c r="U12">
        <v>3.6100224062000001</v>
      </c>
      <c r="V12">
        <v>3.6026249999999999E-3</v>
      </c>
      <c r="W12">
        <v>-8.2932899999999993E-5</v>
      </c>
      <c r="X12">
        <v>3.4341168045999999</v>
      </c>
      <c r="Y12">
        <v>78.794696598100003</v>
      </c>
      <c r="Z12">
        <v>59.194516417999999</v>
      </c>
      <c r="AA12">
        <v>316.60958268109999</v>
      </c>
      <c r="AB12">
        <v>338.8141434922</v>
      </c>
      <c r="AC12">
        <v>1</v>
      </c>
      <c r="AF12">
        <v>1</v>
      </c>
    </row>
    <row r="13" spans="1:32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-7.0381231672000002</v>
      </c>
      <c r="R13">
        <v>-48</v>
      </c>
      <c r="S13">
        <v>80.652075221499999</v>
      </c>
      <c r="T13">
        <v>106.04260693179999</v>
      </c>
      <c r="U13">
        <v>3.6334102650000002</v>
      </c>
      <c r="V13">
        <v>3.1187229999999999E-3</v>
      </c>
      <c r="W13">
        <v>-7.8508400000000002E-5</v>
      </c>
      <c r="X13">
        <v>3.4157661114</v>
      </c>
      <c r="Y13">
        <v>79.450075889199994</v>
      </c>
      <c r="Z13">
        <v>63.0772001801</v>
      </c>
      <c r="AA13">
        <v>324.90399497589999</v>
      </c>
      <c r="AB13">
        <v>347.64472584420002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4.3999999998000003</v>
      </c>
      <c r="R2">
        <v>4.5000000009000001</v>
      </c>
      <c r="S2">
        <v>4.6000000001999997</v>
      </c>
      <c r="T2">
        <v>4.6000000001999997</v>
      </c>
      <c r="U2">
        <v>4.7000000013000003</v>
      </c>
      <c r="V2">
        <v>4.7000000013000003</v>
      </c>
      <c r="W2">
        <v>4.7000000013000003</v>
      </c>
      <c r="X2">
        <v>4.7000000013000003</v>
      </c>
      <c r="Y2">
        <v>4.7000000013000003</v>
      </c>
      <c r="Z2">
        <v>4.7000000013000003</v>
      </c>
      <c r="AA2">
        <v>4.5000000009000001</v>
      </c>
      <c r="AB2">
        <v>4.3999999998000003</v>
      </c>
      <c r="AC2">
        <v>4.0000000008000001</v>
      </c>
      <c r="AD2">
        <v>3.3000000002999998</v>
      </c>
      <c r="AE2">
        <v>3.0000000006</v>
      </c>
      <c r="AF2">
        <v>1.8</v>
      </c>
      <c r="AG2">
        <v>1.1000000013</v>
      </c>
      <c r="AH2">
        <v>0.40000000079999998</v>
      </c>
      <c r="AI2">
        <v>0</v>
      </c>
      <c r="AJ2">
        <v>2.5999999998000001</v>
      </c>
      <c r="AK2">
        <v>8.7999999996000007</v>
      </c>
      <c r="AL2">
        <v>15.4999999995</v>
      </c>
      <c r="AM2">
        <v>22.200000001199999</v>
      </c>
      <c r="AN2">
        <v>29.599999999800001</v>
      </c>
      <c r="AO2">
        <v>36.900000001000002</v>
      </c>
      <c r="AP2">
        <v>44.700000000400003</v>
      </c>
      <c r="AQ2">
        <v>52.800000001299999</v>
      </c>
      <c r="AR2">
        <v>60.999999999700002</v>
      </c>
      <c r="AS2">
        <v>68.600000000500003</v>
      </c>
      <c r="AT2">
        <v>76.500000001000004</v>
      </c>
      <c r="AU2">
        <v>84.300000000400004</v>
      </c>
      <c r="AV2">
        <v>92.700000001099994</v>
      </c>
      <c r="AW2">
        <v>101.3000000003</v>
      </c>
      <c r="AX2">
        <v>111.0000000008</v>
      </c>
      <c r="AY2">
        <v>119.5000000007</v>
      </c>
      <c r="AZ2">
        <v>127.7000000009</v>
      </c>
      <c r="BA2">
        <v>136.00000000040001</v>
      </c>
      <c r="BB2">
        <v>144.2999999999</v>
      </c>
      <c r="BC2">
        <v>153.0999999995</v>
      </c>
      <c r="BD2">
        <v>162.09999999959999</v>
      </c>
      <c r="BE2">
        <v>170.5000000002</v>
      </c>
      <c r="BF2">
        <v>178.5</v>
      </c>
      <c r="BG2">
        <v>186.90000000059999</v>
      </c>
      <c r="BH2">
        <v>195.3000000012</v>
      </c>
      <c r="BI2">
        <v>203.90000000040001</v>
      </c>
      <c r="BJ2">
        <v>212.8000000012</v>
      </c>
      <c r="BK2">
        <v>220.9000000003</v>
      </c>
      <c r="BL2">
        <v>229.10000000049999</v>
      </c>
      <c r="BM2">
        <v>237.00000000099999</v>
      </c>
      <c r="BN2">
        <v>245.10000000010001</v>
      </c>
      <c r="BO2">
        <v>253.3999999996</v>
      </c>
      <c r="BP2">
        <v>261.89999999949998</v>
      </c>
      <c r="BQ2">
        <v>269.8</v>
      </c>
      <c r="BR2">
        <v>277.50000000009999</v>
      </c>
      <c r="BS2">
        <v>285.10000000100001</v>
      </c>
      <c r="BT2">
        <v>292.7</v>
      </c>
      <c r="BU2">
        <v>300.30000000080003</v>
      </c>
      <c r="BV2">
        <v>308.0000000009</v>
      </c>
      <c r="BW2">
        <v>315.80000000029997</v>
      </c>
      <c r="BX2">
        <v>323.09999999960002</v>
      </c>
      <c r="BY2">
        <v>329.99999999990001</v>
      </c>
      <c r="BZ2">
        <v>336.69999999980001</v>
      </c>
      <c r="CA2">
        <v>343.6000000002</v>
      </c>
      <c r="CB2">
        <v>350.50000000049999</v>
      </c>
      <c r="CC2">
        <v>357.29999999969999</v>
      </c>
      <c r="CD2">
        <v>364.2</v>
      </c>
      <c r="CE2">
        <v>370.89999999989999</v>
      </c>
      <c r="CF2">
        <v>377.00000000040001</v>
      </c>
      <c r="CG2">
        <v>383.20000000020002</v>
      </c>
      <c r="CH2">
        <v>389.19999999959998</v>
      </c>
      <c r="CI2">
        <v>395.2000000008</v>
      </c>
      <c r="CJ2">
        <v>401.29999999950002</v>
      </c>
      <c r="CK2">
        <v>407.40000000010002</v>
      </c>
      <c r="CL2">
        <v>413.40000000129999</v>
      </c>
      <c r="CM2">
        <v>419.2999999996</v>
      </c>
      <c r="CN2">
        <v>424.80000000069998</v>
      </c>
      <c r="CO2">
        <v>430.20000000070002</v>
      </c>
      <c r="CP2">
        <v>435.60000000069999</v>
      </c>
      <c r="CQ2">
        <v>440.70000000099998</v>
      </c>
      <c r="CR2">
        <v>445.79999999950002</v>
      </c>
      <c r="CS2">
        <v>448.20000000070002</v>
      </c>
      <c r="CT2">
        <v>448.3</v>
      </c>
      <c r="CU2">
        <v>448.3</v>
      </c>
      <c r="CV2">
        <v>448.40000000110001</v>
      </c>
      <c r="CW2">
        <v>448.50000000040001</v>
      </c>
      <c r="CX2">
        <v>448.50000000040001</v>
      </c>
      <c r="CY2">
        <v>448.50000000040001</v>
      </c>
      <c r="CZ2">
        <v>448.50000000040001</v>
      </c>
      <c r="DA2">
        <v>448.50000000040001</v>
      </c>
      <c r="DB2">
        <v>448.40000000110001</v>
      </c>
      <c r="DC2">
        <v>448.40000000110001</v>
      </c>
      <c r="DD2">
        <v>448.40000000110001</v>
      </c>
      <c r="DE2">
        <v>448.40000000110001</v>
      </c>
      <c r="DF2">
        <v>448.40000000110001</v>
      </c>
      <c r="DG2">
        <v>5.6000000003999997</v>
      </c>
      <c r="DH2">
        <v>5.9000000001000004</v>
      </c>
      <c r="DI2">
        <v>5.9000000001000004</v>
      </c>
      <c r="DJ2">
        <v>5.9000000001000004</v>
      </c>
      <c r="DK2">
        <v>5.9000000001000004</v>
      </c>
      <c r="DL2">
        <v>5.9000000001000004</v>
      </c>
      <c r="DM2">
        <v>5.9000000001000004</v>
      </c>
      <c r="DN2">
        <v>5.8000000007999999</v>
      </c>
      <c r="DO2">
        <v>5.8000000007999999</v>
      </c>
      <c r="DP2">
        <v>5.6000000003999997</v>
      </c>
      <c r="DQ2">
        <v>5.3000000006999999</v>
      </c>
      <c r="DR2">
        <v>4.8000000005999999</v>
      </c>
      <c r="DS2">
        <v>4.1000000000999997</v>
      </c>
      <c r="DT2">
        <v>3.3999999995999999</v>
      </c>
      <c r="DU2">
        <v>2.5999999998000001</v>
      </c>
      <c r="DV2">
        <v>1.7000000007</v>
      </c>
      <c r="DW2">
        <v>0.79999999980000003</v>
      </c>
      <c r="DX2">
        <v>1.9000000011</v>
      </c>
      <c r="DY2">
        <v>7.4999999997</v>
      </c>
      <c r="DZ2">
        <v>14.5000000011</v>
      </c>
      <c r="EA2">
        <v>21.300000000299999</v>
      </c>
      <c r="EB2">
        <v>28.599999999600001</v>
      </c>
      <c r="EC2">
        <v>36.000000000100002</v>
      </c>
      <c r="ED2">
        <v>43.700000000199999</v>
      </c>
      <c r="EE2">
        <v>51.6000000007</v>
      </c>
      <c r="EF2">
        <v>59.800000000899999</v>
      </c>
      <c r="EG2">
        <v>67.399999999900004</v>
      </c>
      <c r="EH2">
        <v>75.200000001099994</v>
      </c>
      <c r="EI2">
        <v>83.200000000900005</v>
      </c>
      <c r="EJ2">
        <v>91.200000000800003</v>
      </c>
      <c r="EK2">
        <v>99.700000000700001</v>
      </c>
      <c r="EL2">
        <v>108.8</v>
      </c>
      <c r="EM2">
        <v>117.9000000011</v>
      </c>
      <c r="EN2">
        <v>126.2000000006</v>
      </c>
      <c r="EO2">
        <v>134.60000000119999</v>
      </c>
      <c r="EP2">
        <v>143</v>
      </c>
      <c r="EQ2">
        <v>151.70000000030001</v>
      </c>
      <c r="ER2">
        <v>160.6000000011</v>
      </c>
      <c r="ES2">
        <v>169.20000000030001</v>
      </c>
      <c r="ET2">
        <v>177.3000000012</v>
      </c>
      <c r="EU2">
        <v>185.7</v>
      </c>
      <c r="EV2">
        <v>194.1999999999</v>
      </c>
      <c r="EW2">
        <v>202.80000000090001</v>
      </c>
      <c r="EX2">
        <v>211.50000000130001</v>
      </c>
      <c r="EY2">
        <v>220.00000000119999</v>
      </c>
      <c r="EZ2">
        <v>228.00000000099999</v>
      </c>
      <c r="FA2">
        <v>236.20000000120001</v>
      </c>
      <c r="FB2">
        <v>244.3000000003</v>
      </c>
      <c r="FC2">
        <v>252.50000000049999</v>
      </c>
      <c r="FD2">
        <v>261.00000000040001</v>
      </c>
      <c r="FE2">
        <v>269.00000000019998</v>
      </c>
      <c r="FF2">
        <v>276.70000000030001</v>
      </c>
      <c r="FG2">
        <v>284.40000000049997</v>
      </c>
      <c r="FH2">
        <v>292.00000000130001</v>
      </c>
      <c r="FI2">
        <v>299.69999999959998</v>
      </c>
      <c r="FJ2">
        <v>307.39999999970001</v>
      </c>
      <c r="FK2">
        <v>315.20000000089999</v>
      </c>
      <c r="FL2">
        <v>322.59999999950003</v>
      </c>
      <c r="FM2">
        <v>329.60000000090002</v>
      </c>
      <c r="FN2">
        <v>336.50000000130001</v>
      </c>
      <c r="FO2">
        <v>343.39999999970001</v>
      </c>
      <c r="FP2">
        <v>350.3000000001</v>
      </c>
      <c r="FQ2">
        <v>357.2000000004</v>
      </c>
      <c r="FR2">
        <v>364.2</v>
      </c>
      <c r="FS2">
        <v>370.80000000059999</v>
      </c>
      <c r="FT2">
        <v>377.0999999997</v>
      </c>
      <c r="FU2">
        <v>383.29999999950002</v>
      </c>
      <c r="FV2">
        <v>389.4</v>
      </c>
      <c r="FW2">
        <v>395.4000000012</v>
      </c>
      <c r="FX2">
        <v>401.49999999990001</v>
      </c>
      <c r="FY2">
        <v>407.40000000010002</v>
      </c>
      <c r="FZ2">
        <v>413.50000000059998</v>
      </c>
      <c r="GA2">
        <v>419.2999999996</v>
      </c>
      <c r="GB2">
        <v>424.69999999959998</v>
      </c>
      <c r="GC2">
        <v>430.00000000030002</v>
      </c>
      <c r="GD2">
        <v>435.300000001</v>
      </c>
      <c r="GE2">
        <v>440.20000000089999</v>
      </c>
      <c r="GF2">
        <v>444.80000000109999</v>
      </c>
      <c r="GG2">
        <v>447.70000000060003</v>
      </c>
      <c r="GH2">
        <v>448.20000000070002</v>
      </c>
      <c r="GI2">
        <v>448.20000000070002</v>
      </c>
      <c r="GJ2">
        <v>448.20000000070002</v>
      </c>
      <c r="GK2">
        <v>448.3</v>
      </c>
      <c r="GL2">
        <v>448.20000000070002</v>
      </c>
      <c r="GM2">
        <v>448.20000000070002</v>
      </c>
      <c r="GN2">
        <v>448.3</v>
      </c>
      <c r="GO2">
        <v>448.3</v>
      </c>
      <c r="GP2">
        <v>448.3</v>
      </c>
      <c r="GQ2">
        <v>448.3</v>
      </c>
      <c r="GR2">
        <v>448.3</v>
      </c>
      <c r="GS2">
        <v>448.40000000110001</v>
      </c>
      <c r="GT2">
        <v>448.40000000110001</v>
      </c>
      <c r="GU2">
        <v>448.40000000110001</v>
      </c>
      <c r="GV2">
        <v>448.40000000110001</v>
      </c>
      <c r="GW2">
        <v>1</v>
      </c>
      <c r="GX2">
        <v>104.49999999950001</v>
      </c>
      <c r="GY2">
        <v>101.3000000003</v>
      </c>
      <c r="GZ2">
        <v>101.3000000003</v>
      </c>
      <c r="HA2">
        <v>117.9000000011</v>
      </c>
      <c r="HB2">
        <v>105.357448707</v>
      </c>
      <c r="HC2">
        <v>-16.600000000800001</v>
      </c>
      <c r="HD2">
        <v>448.40000000110001</v>
      </c>
      <c r="HE2">
        <v>313.01236619000002</v>
      </c>
      <c r="HF2">
        <v>89.213258252499998</v>
      </c>
      <c r="HG2">
        <v>448.50000000040001</v>
      </c>
      <c r="HH2">
        <v>448.40000000110001</v>
      </c>
      <c r="HI2">
        <v>448.50000000040001</v>
      </c>
      <c r="HJ2">
        <v>448.40000000110001</v>
      </c>
      <c r="HK2">
        <v>107.91788856300001</v>
      </c>
      <c r="HL2">
        <v>3.4689010715999999</v>
      </c>
      <c r="HM2">
        <v>3.3478277778000001</v>
      </c>
      <c r="HN2">
        <v>3.3736488410000001</v>
      </c>
      <c r="HO2">
        <v>3.3690586113999998</v>
      </c>
      <c r="HP2">
        <v>3.6922008009999998</v>
      </c>
      <c r="HQ2">
        <v>2.2436446111000001</v>
      </c>
      <c r="HR2">
        <v>16.144190454499999</v>
      </c>
      <c r="HS2">
        <v>-25.806451612899998</v>
      </c>
      <c r="HT2">
        <v>-176</v>
      </c>
      <c r="HU2">
        <v>418.36981489700003</v>
      </c>
      <c r="HV2">
        <v>93.841642228699996</v>
      </c>
      <c r="HW2">
        <v>640</v>
      </c>
      <c r="HX2">
        <v>16.144190454499999</v>
      </c>
      <c r="HY2">
        <v>-25.806451612899998</v>
      </c>
      <c r="HZ2">
        <v>-176</v>
      </c>
      <c r="IA2">
        <v>418.36981489700003</v>
      </c>
      <c r="IB2">
        <v>93.841642228699996</v>
      </c>
      <c r="IC2">
        <v>640</v>
      </c>
      <c r="ID2">
        <v>30.030185104099999</v>
      </c>
      <c r="IE2">
        <v>0.40384701239999998</v>
      </c>
      <c r="IF2">
        <v>-35.190615835800003</v>
      </c>
      <c r="IG2">
        <v>-240</v>
      </c>
      <c r="IH2">
        <v>439.9056199831</v>
      </c>
      <c r="II2">
        <v>103.22580645159999</v>
      </c>
      <c r="IJ2">
        <v>704</v>
      </c>
      <c r="IK2">
        <v>402.22562444250002</v>
      </c>
      <c r="IL2">
        <v>119.6480938416</v>
      </c>
      <c r="IM2">
        <v>426.60635593260002</v>
      </c>
      <c r="IN2">
        <v>129.03225806450001</v>
      </c>
      <c r="IO2">
        <v>7.0000000014000001</v>
      </c>
      <c r="IP2">
        <v>5.4</v>
      </c>
      <c r="IQ2">
        <v>9.7000000004999993</v>
      </c>
      <c r="IR2">
        <v>6.616745023</v>
      </c>
      <c r="IS2">
        <v>6.616745023</v>
      </c>
      <c r="IT2">
        <v>12.5000000007</v>
      </c>
      <c r="IU2">
        <v>-28.152492668600001</v>
      </c>
      <c r="IV2">
        <v>16.600000000800001</v>
      </c>
      <c r="IW2">
        <v>0</v>
      </c>
      <c r="IX2">
        <v>10.5000000003</v>
      </c>
      <c r="IY2">
        <v>100.87976539589999</v>
      </c>
      <c r="IZ2">
        <v>-30.601895321099999</v>
      </c>
      <c r="JA2">
        <v>0.31724199930000002</v>
      </c>
      <c r="JB2">
        <v>-3.290015E-4</v>
      </c>
      <c r="JC2">
        <v>6.7290000000000005E-7</v>
      </c>
      <c r="JD2">
        <v>0.2882757333</v>
      </c>
      <c r="JE2">
        <v>0.24325365930000001</v>
      </c>
      <c r="JF2">
        <v>9.9959362900000001E-2</v>
      </c>
      <c r="JG2">
        <v>106.1772148605</v>
      </c>
      <c r="JH2">
        <v>3.6922008009999998</v>
      </c>
      <c r="JI2">
        <v>3.2458082999999999E-3</v>
      </c>
      <c r="JJ2">
        <v>-7.7889300000000007E-5</v>
      </c>
      <c r="JK2">
        <v>3.4689010715999999</v>
      </c>
      <c r="JL2">
        <v>1.7493189764999999</v>
      </c>
      <c r="JM2">
        <v>0.60563588680000002</v>
      </c>
      <c r="JN2" t="s">
        <v>538</v>
      </c>
      <c r="JQ2">
        <v>1</v>
      </c>
    </row>
    <row r="3" spans="1:277">
      <c r="A3" t="s">
        <v>559</v>
      </c>
      <c r="B3" t="s">
        <v>560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9.9999999300000003E-2</v>
      </c>
      <c r="R3">
        <v>0</v>
      </c>
      <c r="S3">
        <v>0</v>
      </c>
      <c r="T3">
        <v>9.9999999300000003E-2</v>
      </c>
      <c r="U3">
        <v>9.9999999300000003E-2</v>
      </c>
      <c r="V3">
        <v>0</v>
      </c>
      <c r="W3">
        <v>0</v>
      </c>
      <c r="X3">
        <v>0</v>
      </c>
      <c r="Y3">
        <v>0</v>
      </c>
      <c r="Z3">
        <v>9.9999999300000003E-2</v>
      </c>
      <c r="AA3">
        <v>9.9999999300000003E-2</v>
      </c>
      <c r="AB3">
        <v>9.9999999300000003E-2</v>
      </c>
      <c r="AC3">
        <v>9.9999999300000003E-2</v>
      </c>
      <c r="AD3">
        <v>0</v>
      </c>
      <c r="AE3">
        <v>9.9999999300000003E-2</v>
      </c>
      <c r="AF3">
        <v>9.9999999300000003E-2</v>
      </c>
      <c r="AG3">
        <v>9.9999999300000003E-2</v>
      </c>
      <c r="AH3">
        <v>9.9999999300000003E-2</v>
      </c>
      <c r="AI3">
        <v>1.0000000002</v>
      </c>
      <c r="AJ3">
        <v>5.1000000002999997</v>
      </c>
      <c r="AK3">
        <v>11.8999999995</v>
      </c>
      <c r="AL3">
        <v>18.799999999800001</v>
      </c>
      <c r="AM3">
        <v>25.399999998599998</v>
      </c>
      <c r="AN3">
        <v>32.699999999699997</v>
      </c>
      <c r="AO3">
        <v>40.199999999500001</v>
      </c>
      <c r="AP3">
        <v>47.800000000300003</v>
      </c>
      <c r="AQ3">
        <v>55.800000000099999</v>
      </c>
      <c r="AR3">
        <v>64.000000000300005</v>
      </c>
      <c r="AS3">
        <v>71.699999998600006</v>
      </c>
      <c r="AT3">
        <v>79.299999999400001</v>
      </c>
      <c r="AU3">
        <v>87.299999999199997</v>
      </c>
      <c r="AV3">
        <v>95.400000000199995</v>
      </c>
      <c r="AW3">
        <v>104.0999999987</v>
      </c>
      <c r="AX3">
        <v>113.5999999988</v>
      </c>
      <c r="AY3">
        <v>122.1999999998</v>
      </c>
      <c r="AZ3">
        <v>130.19999999960001</v>
      </c>
      <c r="BA3">
        <v>138.3999999998</v>
      </c>
      <c r="BB3">
        <v>146.69999999929999</v>
      </c>
      <c r="BC3">
        <v>155.1999999992</v>
      </c>
      <c r="BD3">
        <v>164.1</v>
      </c>
      <c r="BE3">
        <v>172.39999999950001</v>
      </c>
      <c r="BF3">
        <v>180.39999999930001</v>
      </c>
      <c r="BG3">
        <v>188.6999999988</v>
      </c>
      <c r="BH3">
        <v>197.00000000009999</v>
      </c>
      <c r="BI3">
        <v>205.2999999996</v>
      </c>
      <c r="BJ3">
        <v>213.89999999880001</v>
      </c>
      <c r="BK3">
        <v>222.20000000019999</v>
      </c>
      <c r="BL3">
        <v>229.99999999959999</v>
      </c>
      <c r="BM3">
        <v>237.99999999939999</v>
      </c>
      <c r="BN3">
        <v>245.99999999920001</v>
      </c>
      <c r="BO3">
        <v>253.99999999900001</v>
      </c>
      <c r="BP3">
        <v>262.39999999960003</v>
      </c>
      <c r="BQ3">
        <v>270.49999999869999</v>
      </c>
      <c r="BR3">
        <v>277.89999999909998</v>
      </c>
      <c r="BS3">
        <v>285.2999999996</v>
      </c>
      <c r="BT3">
        <v>292.89999999859998</v>
      </c>
      <c r="BU3">
        <v>300.19999999970003</v>
      </c>
      <c r="BV3">
        <v>307.49999999900001</v>
      </c>
      <c r="BW3">
        <v>315.19999999909999</v>
      </c>
      <c r="BX3">
        <v>322.50000000019998</v>
      </c>
      <c r="BY3">
        <v>329.20000000009998</v>
      </c>
      <c r="BZ3">
        <v>335.99999999929997</v>
      </c>
      <c r="CA3">
        <v>342.89999999960003</v>
      </c>
      <c r="CB3">
        <v>349.50000000030002</v>
      </c>
      <c r="CC3">
        <v>356.09999999910002</v>
      </c>
      <c r="CD3">
        <v>362.90000000010002</v>
      </c>
      <c r="CE3">
        <v>369.69999999930002</v>
      </c>
      <c r="CF3">
        <v>376.00000000019998</v>
      </c>
      <c r="CG3">
        <v>381.9000000003</v>
      </c>
      <c r="CH3">
        <v>387.99999999900001</v>
      </c>
      <c r="CI3">
        <v>394.00000000019998</v>
      </c>
      <c r="CJ3">
        <v>399.89999999849999</v>
      </c>
      <c r="CK3">
        <v>405.79999999860001</v>
      </c>
      <c r="CL3">
        <v>411.50000000019998</v>
      </c>
      <c r="CM3">
        <v>417.4000000003</v>
      </c>
      <c r="CN3">
        <v>423.29999999860001</v>
      </c>
      <c r="CO3">
        <v>428.5</v>
      </c>
      <c r="CP3">
        <v>433.60000000029999</v>
      </c>
      <c r="CQ3">
        <v>439.00000000030002</v>
      </c>
      <c r="CR3">
        <v>444.4000000003</v>
      </c>
      <c r="CS3">
        <v>448.99999999869999</v>
      </c>
      <c r="CT3">
        <v>451.59999999849998</v>
      </c>
      <c r="CU3">
        <v>452.29999999900002</v>
      </c>
      <c r="CV3">
        <v>452.40000000010002</v>
      </c>
      <c r="CW3">
        <v>452.49999999940002</v>
      </c>
      <c r="CX3">
        <v>452.69999999980001</v>
      </c>
      <c r="CY3">
        <v>452.69999999980001</v>
      </c>
      <c r="CZ3">
        <v>452.59999999870001</v>
      </c>
      <c r="DA3">
        <v>452.59999999870001</v>
      </c>
      <c r="DB3">
        <v>452.59999999870001</v>
      </c>
      <c r="DC3">
        <v>452.69999999980001</v>
      </c>
      <c r="DD3">
        <v>452.59999999870001</v>
      </c>
      <c r="DE3">
        <v>452.59999999870001</v>
      </c>
      <c r="DF3">
        <v>452.59999999870001</v>
      </c>
      <c r="DG3">
        <v>1.0000000002</v>
      </c>
      <c r="DH3">
        <v>1.0999999995</v>
      </c>
      <c r="DI3">
        <v>1.0000000002</v>
      </c>
      <c r="DJ3">
        <v>1.0000000002</v>
      </c>
      <c r="DK3">
        <v>1.0000000002</v>
      </c>
      <c r="DL3">
        <v>1.0000000002</v>
      </c>
      <c r="DM3">
        <v>1.0000000002</v>
      </c>
      <c r="DN3">
        <v>1.0000000002</v>
      </c>
      <c r="DO3">
        <v>1.0000000002</v>
      </c>
      <c r="DP3">
        <v>1.0000000002</v>
      </c>
      <c r="DQ3">
        <v>1.0999999995</v>
      </c>
      <c r="DR3">
        <v>1.0000000002</v>
      </c>
      <c r="DS3">
        <v>1.0999999995</v>
      </c>
      <c r="DT3">
        <v>1.0999999995</v>
      </c>
      <c r="DU3">
        <v>1.0999999995</v>
      </c>
      <c r="DV3">
        <v>1.1999999988000001</v>
      </c>
      <c r="DW3">
        <v>1.5000000003</v>
      </c>
      <c r="DX3">
        <v>4.1999999994000001</v>
      </c>
      <c r="DY3">
        <v>10.5999999996</v>
      </c>
      <c r="DZ3">
        <v>17.699999998500001</v>
      </c>
      <c r="EA3">
        <v>24.599999998800001</v>
      </c>
      <c r="EB3">
        <v>31.699999999500001</v>
      </c>
      <c r="EC3">
        <v>39.199999999299997</v>
      </c>
      <c r="ED3">
        <v>46.699999998999999</v>
      </c>
      <c r="EE3">
        <v>54.5999999995</v>
      </c>
      <c r="EF3">
        <v>62.599999999300003</v>
      </c>
      <c r="EG3">
        <v>70.499999999799996</v>
      </c>
      <c r="EH3">
        <v>78.099999998800001</v>
      </c>
      <c r="EI3">
        <v>85.999999999300002</v>
      </c>
      <c r="EJ3">
        <v>93.899999999800002</v>
      </c>
      <c r="EK3">
        <v>102.2999999986</v>
      </c>
      <c r="EL3">
        <v>111.1000000001</v>
      </c>
      <c r="EM3">
        <v>120.2999999987</v>
      </c>
      <c r="EN3">
        <v>128.6</v>
      </c>
      <c r="EO3">
        <v>136.89999999950001</v>
      </c>
      <c r="EP3">
        <v>145.199999999</v>
      </c>
      <c r="EQ3">
        <v>153.59999999959999</v>
      </c>
      <c r="ER3">
        <v>162.39999999930001</v>
      </c>
      <c r="ES3">
        <v>171.00000000029999</v>
      </c>
      <c r="ET3">
        <v>179.00000000009999</v>
      </c>
      <c r="EU3">
        <v>187.20000000030001</v>
      </c>
      <c r="EV3">
        <v>195.70000000019999</v>
      </c>
      <c r="EW3">
        <v>204.099999999</v>
      </c>
      <c r="EX3">
        <v>212.7</v>
      </c>
      <c r="EY3">
        <v>221.2</v>
      </c>
      <c r="EZ3">
        <v>229.19999999980001</v>
      </c>
      <c r="FA3">
        <v>237.10000000030001</v>
      </c>
      <c r="FB3">
        <v>245.19999999940001</v>
      </c>
      <c r="FC3">
        <v>253.09999999990001</v>
      </c>
      <c r="FD3">
        <v>261.49999999869999</v>
      </c>
      <c r="FE3">
        <v>269.8</v>
      </c>
      <c r="FF3">
        <v>277.39999999899999</v>
      </c>
      <c r="FG3">
        <v>284.70000000020002</v>
      </c>
      <c r="FH3">
        <v>292.1999999999</v>
      </c>
      <c r="FI3">
        <v>299.69999999959998</v>
      </c>
      <c r="FJ3">
        <v>307.10000000000002</v>
      </c>
      <c r="FK3">
        <v>314.8000000001</v>
      </c>
      <c r="FL3">
        <v>322.29999999979998</v>
      </c>
      <c r="FM3">
        <v>329.20000000009998</v>
      </c>
      <c r="FN3">
        <v>335.9</v>
      </c>
      <c r="FO3">
        <v>342.89999999960003</v>
      </c>
      <c r="FP3">
        <v>349.59999999960002</v>
      </c>
      <c r="FQ3">
        <v>356.29999999950002</v>
      </c>
      <c r="FR3">
        <v>363.09999999870001</v>
      </c>
      <c r="FS3">
        <v>369.99999999900001</v>
      </c>
      <c r="FT3">
        <v>376.29999999990002</v>
      </c>
      <c r="FU3">
        <v>382.29999999929998</v>
      </c>
      <c r="FV3">
        <v>388.3999999998</v>
      </c>
      <c r="FW3">
        <v>394.59999999960002</v>
      </c>
      <c r="FX3">
        <v>400.49999999969998</v>
      </c>
      <c r="FY3">
        <v>406.19999999940001</v>
      </c>
      <c r="FZ3">
        <v>412.09999999960002</v>
      </c>
      <c r="GA3">
        <v>417.99999999969998</v>
      </c>
      <c r="GB3">
        <v>423.60000000010001</v>
      </c>
      <c r="GC3">
        <v>428.89999999899999</v>
      </c>
      <c r="GD3">
        <v>433.9</v>
      </c>
      <c r="GE3">
        <v>439.09999999960002</v>
      </c>
      <c r="GF3">
        <v>444.1999999999</v>
      </c>
      <c r="GG3">
        <v>448.39999999930001</v>
      </c>
      <c r="GH3">
        <v>451.29999999879999</v>
      </c>
      <c r="GI3">
        <v>452.40000000010002</v>
      </c>
      <c r="GJ3">
        <v>452.40000000010002</v>
      </c>
      <c r="GK3">
        <v>452.40000000010002</v>
      </c>
      <c r="GL3">
        <v>452.40000000010002</v>
      </c>
      <c r="GM3">
        <v>452.40000000010002</v>
      </c>
      <c r="GN3">
        <v>452.40000000010002</v>
      </c>
      <c r="GO3">
        <v>452.40000000010002</v>
      </c>
      <c r="GP3">
        <v>452.49999999940002</v>
      </c>
      <c r="GQ3">
        <v>452.49999999940002</v>
      </c>
      <c r="GR3">
        <v>452.49999999940002</v>
      </c>
      <c r="GS3">
        <v>452.49999999940002</v>
      </c>
      <c r="GT3">
        <v>452.59999999870001</v>
      </c>
      <c r="GU3">
        <v>452.59999999870001</v>
      </c>
      <c r="GV3">
        <v>452.59999999870001</v>
      </c>
      <c r="GW3">
        <v>1</v>
      </c>
      <c r="GX3">
        <v>111.5000000009</v>
      </c>
      <c r="GY3">
        <v>104.0999999987</v>
      </c>
      <c r="GZ3">
        <v>104.0999999987</v>
      </c>
      <c r="HA3">
        <v>120.2999999987</v>
      </c>
      <c r="HB3">
        <v>108.1159964635</v>
      </c>
      <c r="HC3">
        <v>-16.2</v>
      </c>
      <c r="HD3">
        <v>452.59999999870001</v>
      </c>
      <c r="HE3">
        <v>308.78692001859997</v>
      </c>
      <c r="HF3">
        <v>88.596321253799999</v>
      </c>
      <c r="HG3">
        <v>452.69999999980001</v>
      </c>
      <c r="HH3">
        <v>452.59999999870001</v>
      </c>
      <c r="HI3">
        <v>452.69999999980001</v>
      </c>
      <c r="HJ3">
        <v>452.59999999870001</v>
      </c>
      <c r="HK3">
        <v>112.6099706745</v>
      </c>
      <c r="HL3">
        <v>3.4229197868000001</v>
      </c>
      <c r="HM3">
        <v>3.3166284974</v>
      </c>
      <c r="HN3">
        <v>3.3343734478</v>
      </c>
      <c r="HO3">
        <v>3.3667838703999999</v>
      </c>
      <c r="HP3">
        <v>3.6525878655000001</v>
      </c>
      <c r="HQ3">
        <v>2.2414113259000001</v>
      </c>
      <c r="HR3">
        <v>19.519675209700001</v>
      </c>
      <c r="HS3">
        <v>-25.806451612899998</v>
      </c>
      <c r="HT3">
        <v>-176</v>
      </c>
      <c r="HU3">
        <v>416.90291648210001</v>
      </c>
      <c r="HV3">
        <v>93.841642228699996</v>
      </c>
      <c r="HW3">
        <v>640</v>
      </c>
      <c r="HX3">
        <v>19.519675209700001</v>
      </c>
      <c r="HY3">
        <v>-25.806451612899998</v>
      </c>
      <c r="HZ3">
        <v>-176</v>
      </c>
      <c r="IA3">
        <v>416.90291648210001</v>
      </c>
      <c r="IB3">
        <v>93.841642228699996</v>
      </c>
      <c r="IC3">
        <v>640</v>
      </c>
      <c r="ID3">
        <v>35.697083516600003</v>
      </c>
      <c r="IE3">
        <v>0.1194763581</v>
      </c>
      <c r="IF3">
        <v>-35.190615835800003</v>
      </c>
      <c r="IG3">
        <v>-240</v>
      </c>
      <c r="IH3">
        <v>438.65969951350002</v>
      </c>
      <c r="II3">
        <v>103.22580645159999</v>
      </c>
      <c r="IJ3">
        <v>704</v>
      </c>
      <c r="IK3">
        <v>397.38324127240003</v>
      </c>
      <c r="IL3">
        <v>119.6480938416</v>
      </c>
      <c r="IM3">
        <v>422.7343459997</v>
      </c>
      <c r="IN3">
        <v>129.03225806450001</v>
      </c>
      <c r="IO3">
        <v>7.0999999989000004</v>
      </c>
      <c r="IP3">
        <v>5.8999999983000002</v>
      </c>
      <c r="IQ3">
        <v>9.5000000001</v>
      </c>
      <c r="IR3">
        <v>6.5490839155999998</v>
      </c>
      <c r="IS3">
        <v>6.5490839155999998</v>
      </c>
      <c r="IT3">
        <v>12.699999999299999</v>
      </c>
      <c r="IU3">
        <v>-28.152492668600001</v>
      </c>
      <c r="IV3">
        <v>16.2</v>
      </c>
      <c r="IW3">
        <v>0</v>
      </c>
      <c r="IX3">
        <v>11.4999999987</v>
      </c>
      <c r="IY3">
        <v>98.533724340199996</v>
      </c>
      <c r="IZ3">
        <v>-31.657010762799999</v>
      </c>
      <c r="JA3">
        <v>0.31959407499999998</v>
      </c>
      <c r="JB3">
        <v>-3.2334429999999998E-4</v>
      </c>
      <c r="JC3">
        <v>6.6840000000000003E-7</v>
      </c>
      <c r="JD3">
        <v>0.29214824249999999</v>
      </c>
      <c r="JE3">
        <v>0.26958425339999997</v>
      </c>
      <c r="JF3">
        <v>9.7842381000000006E-2</v>
      </c>
      <c r="JG3">
        <v>108.89040163670001</v>
      </c>
      <c r="JH3">
        <v>3.6525878655000001</v>
      </c>
      <c r="JI3">
        <v>2.7213710000000002E-3</v>
      </c>
      <c r="JJ3">
        <v>-7.2748800000000004E-5</v>
      </c>
      <c r="JK3">
        <v>3.4229197868000001</v>
      </c>
      <c r="JL3">
        <v>1.8269567751</v>
      </c>
      <c r="JM3">
        <v>0.6141661061</v>
      </c>
      <c r="JN3" t="s">
        <v>538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0.89999999909999995</v>
      </c>
      <c r="R4">
        <v>0.50000000010000001</v>
      </c>
      <c r="S4">
        <v>0.50000000010000001</v>
      </c>
      <c r="T4">
        <v>0.39999999899999999</v>
      </c>
      <c r="U4">
        <v>0.39999999899999999</v>
      </c>
      <c r="V4">
        <v>0.29999999970000002</v>
      </c>
      <c r="W4">
        <v>0.20000000039999999</v>
      </c>
      <c r="X4">
        <v>0.20000000039999999</v>
      </c>
      <c r="Y4">
        <v>9.9999999300000003E-2</v>
      </c>
      <c r="Z4">
        <v>9.9999999300000003E-2</v>
      </c>
      <c r="AA4">
        <v>9.9999999300000003E-2</v>
      </c>
      <c r="AB4">
        <v>9.9999999300000003E-2</v>
      </c>
      <c r="AC4">
        <v>9.9999999300000003E-2</v>
      </c>
      <c r="AD4">
        <v>9.9999999300000003E-2</v>
      </c>
      <c r="AE4">
        <v>0</v>
      </c>
      <c r="AF4">
        <v>9.9999999300000003E-2</v>
      </c>
      <c r="AG4">
        <v>0.39999999899999999</v>
      </c>
      <c r="AH4">
        <v>2.8999999994999999</v>
      </c>
      <c r="AI4">
        <v>8.2999999995000007</v>
      </c>
      <c r="AJ4">
        <v>14.6000000004</v>
      </c>
      <c r="AK4">
        <v>21.300000000299999</v>
      </c>
      <c r="AL4">
        <v>28.0999999995</v>
      </c>
      <c r="AM4">
        <v>34.599999998999998</v>
      </c>
      <c r="AN4">
        <v>41.499999999400004</v>
      </c>
      <c r="AO4">
        <v>49.100000000199998</v>
      </c>
      <c r="AP4">
        <v>56.699999999200003</v>
      </c>
      <c r="AQ4">
        <v>64.500000000399993</v>
      </c>
      <c r="AR4">
        <v>72.299999999799994</v>
      </c>
      <c r="AS4">
        <v>79.900000000600002</v>
      </c>
      <c r="AT4">
        <v>87.100000000600005</v>
      </c>
      <c r="AU4">
        <v>94.799999998900006</v>
      </c>
      <c r="AV4">
        <v>103.1000000003</v>
      </c>
      <c r="AW4">
        <v>111.6000000002</v>
      </c>
      <c r="AX4">
        <v>120.8999999999</v>
      </c>
      <c r="AY4">
        <v>129.4999999991</v>
      </c>
      <c r="AZ4">
        <v>137.00000000060001</v>
      </c>
      <c r="BA4">
        <v>144.80000000000001</v>
      </c>
      <c r="BB4">
        <v>153.0999999995</v>
      </c>
      <c r="BC4">
        <v>161.5000000002</v>
      </c>
      <c r="BD4">
        <v>170.00000000009999</v>
      </c>
      <c r="BE4">
        <v>178.5</v>
      </c>
      <c r="BF4">
        <v>186.2999999994</v>
      </c>
      <c r="BG4">
        <v>193.99999999950001</v>
      </c>
      <c r="BH4">
        <v>202.1999999997</v>
      </c>
      <c r="BI4">
        <v>210.30000000059999</v>
      </c>
      <c r="BJ4">
        <v>218.49999999900001</v>
      </c>
      <c r="BK4">
        <v>226.80000000039999</v>
      </c>
      <c r="BL4">
        <v>234.69999999909999</v>
      </c>
      <c r="BM4">
        <v>241.70000000050001</v>
      </c>
      <c r="BN4">
        <v>249.49999999990001</v>
      </c>
      <c r="BO4">
        <v>257.49999999969998</v>
      </c>
      <c r="BP4">
        <v>265.29999999910001</v>
      </c>
      <c r="BQ4">
        <v>273.10000000029999</v>
      </c>
      <c r="BR4">
        <v>280.69999999930002</v>
      </c>
      <c r="BS4">
        <v>287.89999999939999</v>
      </c>
      <c r="BT4">
        <v>294.5999999993</v>
      </c>
      <c r="BU4">
        <v>301.99999999969998</v>
      </c>
      <c r="BV4">
        <v>309.19999999970003</v>
      </c>
      <c r="BW4">
        <v>316.30000000040002</v>
      </c>
      <c r="BX4">
        <v>323.50000000040001</v>
      </c>
      <c r="BY4">
        <v>330.7000000004</v>
      </c>
      <c r="BZ4">
        <v>337.1999999999</v>
      </c>
      <c r="CA4">
        <v>343.19999999930002</v>
      </c>
      <c r="CB4">
        <v>349.59999999960002</v>
      </c>
      <c r="CC4">
        <v>356.09999999910002</v>
      </c>
      <c r="CD4">
        <v>362.49999999929997</v>
      </c>
      <c r="CE4">
        <v>368.80000000019999</v>
      </c>
      <c r="CF4">
        <v>375</v>
      </c>
      <c r="CG4">
        <v>381.19999999980001</v>
      </c>
      <c r="CH4">
        <v>386.89999999949998</v>
      </c>
      <c r="CI4">
        <v>392.20000000020002</v>
      </c>
      <c r="CJ4">
        <v>397.6000000002</v>
      </c>
      <c r="CK4">
        <v>403.29999999990002</v>
      </c>
      <c r="CL4">
        <v>408.7</v>
      </c>
      <c r="CM4">
        <v>414.00000000070003</v>
      </c>
      <c r="CN4">
        <v>419.20000000030001</v>
      </c>
      <c r="CO4">
        <v>424.49999999919999</v>
      </c>
      <c r="CP4">
        <v>430.09999999960002</v>
      </c>
      <c r="CQ4">
        <v>435.2999999992</v>
      </c>
      <c r="CR4">
        <v>440.09999999979999</v>
      </c>
      <c r="CS4">
        <v>443.29999999900002</v>
      </c>
      <c r="CT4">
        <v>444.60000000069999</v>
      </c>
      <c r="CU4">
        <v>444.90000000039998</v>
      </c>
      <c r="CV4">
        <v>444.99999999969998</v>
      </c>
      <c r="CW4">
        <v>444.99999999969998</v>
      </c>
      <c r="CX4">
        <v>444.99999999969998</v>
      </c>
      <c r="CY4">
        <v>445.09999999899998</v>
      </c>
      <c r="CZ4">
        <v>445.09999999899998</v>
      </c>
      <c r="DA4">
        <v>445.09999999899998</v>
      </c>
      <c r="DB4">
        <v>444.99999999969998</v>
      </c>
      <c r="DC4">
        <v>444.99999999969998</v>
      </c>
      <c r="DD4">
        <v>444.99999999969998</v>
      </c>
      <c r="DE4">
        <v>444.99999999969998</v>
      </c>
      <c r="DF4">
        <v>444.99999999969998</v>
      </c>
      <c r="DG4">
        <v>1.8</v>
      </c>
      <c r="DH4">
        <v>1.5999999996000001</v>
      </c>
      <c r="DI4">
        <v>1.5000000003</v>
      </c>
      <c r="DJ4">
        <v>1.5999999996000001</v>
      </c>
      <c r="DK4">
        <v>1.5000000003</v>
      </c>
      <c r="DL4">
        <v>1.5000000003</v>
      </c>
      <c r="DM4">
        <v>1.3999999992000001</v>
      </c>
      <c r="DN4">
        <v>1.2999999999</v>
      </c>
      <c r="DO4">
        <v>1.2000000006</v>
      </c>
      <c r="DP4">
        <v>1.0999999995</v>
      </c>
      <c r="DQ4">
        <v>1.0000000002</v>
      </c>
      <c r="DR4">
        <v>1.0999999995</v>
      </c>
      <c r="DS4">
        <v>1.0999999995</v>
      </c>
      <c r="DT4">
        <v>1.2000000006</v>
      </c>
      <c r="DU4">
        <v>1.2000000006</v>
      </c>
      <c r="DV4">
        <v>2.5000000005</v>
      </c>
      <c r="DW4">
        <v>7.2</v>
      </c>
      <c r="DX4">
        <v>13.6000000002</v>
      </c>
      <c r="DY4">
        <v>20.599999999800001</v>
      </c>
      <c r="DZ4">
        <v>27.500000000099998</v>
      </c>
      <c r="EA4">
        <v>34.099999998900003</v>
      </c>
      <c r="EB4">
        <v>40.800000000700003</v>
      </c>
      <c r="EC4">
        <v>48.3999999997</v>
      </c>
      <c r="ED4">
        <v>56.000000000500002</v>
      </c>
      <c r="EE4">
        <v>63.5999999995</v>
      </c>
      <c r="EF4">
        <v>71.299999999600004</v>
      </c>
      <c r="EG4">
        <v>78.900000000399999</v>
      </c>
      <c r="EH4">
        <v>86.199999999699997</v>
      </c>
      <c r="EI4">
        <v>93.600000000199998</v>
      </c>
      <c r="EJ4">
        <v>101.8000000004</v>
      </c>
      <c r="EK4">
        <v>109.8999999995</v>
      </c>
      <c r="EL4">
        <v>118.8000000002</v>
      </c>
      <c r="EM4">
        <v>127.8000000002</v>
      </c>
      <c r="EN4">
        <v>135.89999999930001</v>
      </c>
      <c r="EO4">
        <v>143.59999999940001</v>
      </c>
      <c r="EP4">
        <v>151.8999999989</v>
      </c>
      <c r="EQ4">
        <v>160.4000000007</v>
      </c>
      <c r="ER4">
        <v>168.90000000059999</v>
      </c>
      <c r="ES4">
        <v>177.4000000005</v>
      </c>
      <c r="ET4">
        <v>185.4000000003</v>
      </c>
      <c r="EU4">
        <v>193.1000000004</v>
      </c>
      <c r="EV4">
        <v>201.39999999989999</v>
      </c>
      <c r="EW4">
        <v>209.69999999940001</v>
      </c>
      <c r="EX4">
        <v>217.8999999996</v>
      </c>
      <c r="EY4">
        <v>226.1999999992</v>
      </c>
      <c r="EZ4">
        <v>234.199999999</v>
      </c>
      <c r="FA4">
        <v>241.70000000050001</v>
      </c>
      <c r="FB4">
        <v>249.40000000059999</v>
      </c>
      <c r="FC4">
        <v>257.59999999899998</v>
      </c>
      <c r="FD4">
        <v>265.49999999950001</v>
      </c>
      <c r="FE4">
        <v>273.60000000039997</v>
      </c>
      <c r="FF4">
        <v>281.30000000059999</v>
      </c>
      <c r="FG4">
        <v>288.50000000059998</v>
      </c>
      <c r="FH4">
        <v>295.59999999950003</v>
      </c>
      <c r="FI4">
        <v>302.99999999990001</v>
      </c>
      <c r="FJ4">
        <v>310.2999999992</v>
      </c>
      <c r="FK4">
        <v>317.60000000029999</v>
      </c>
      <c r="FL4">
        <v>324.89999999960003</v>
      </c>
      <c r="FM4">
        <v>332.09999999960002</v>
      </c>
      <c r="FN4">
        <v>338.79999999950002</v>
      </c>
      <c r="FO4">
        <v>344.99999999929997</v>
      </c>
      <c r="FP4">
        <v>351.6</v>
      </c>
      <c r="FQ4">
        <v>358.39999999920002</v>
      </c>
      <c r="FR4">
        <v>364.70000000009998</v>
      </c>
      <c r="FS4">
        <v>371.10000000029999</v>
      </c>
      <c r="FT4">
        <v>377.69999999909999</v>
      </c>
      <c r="FU4">
        <v>384</v>
      </c>
      <c r="FV4">
        <v>389.60000000039997</v>
      </c>
      <c r="FW4">
        <v>394.89999999930001</v>
      </c>
      <c r="FX4">
        <v>400.59999999899998</v>
      </c>
      <c r="FY4">
        <v>406.4999999991</v>
      </c>
      <c r="FZ4">
        <v>411.89999999920002</v>
      </c>
      <c r="GA4">
        <v>417.1999999999</v>
      </c>
      <c r="GB4">
        <v>422.30000000019999</v>
      </c>
      <c r="GC4">
        <v>427.59999999910002</v>
      </c>
      <c r="GD4">
        <v>432.69999999940001</v>
      </c>
      <c r="GE4">
        <v>437.20000000030001</v>
      </c>
      <c r="GF4">
        <v>441.19999999930002</v>
      </c>
      <c r="GG4">
        <v>443.69999999980001</v>
      </c>
      <c r="GH4">
        <v>444.60000000069999</v>
      </c>
      <c r="GI4">
        <v>444.90000000039998</v>
      </c>
      <c r="GJ4">
        <v>444.90000000039998</v>
      </c>
      <c r="GK4">
        <v>444.90000000039998</v>
      </c>
      <c r="GL4">
        <v>444.90000000039998</v>
      </c>
      <c r="GM4">
        <v>444.90000000039998</v>
      </c>
      <c r="GN4">
        <v>444.90000000039998</v>
      </c>
      <c r="GO4">
        <v>444.90000000039998</v>
      </c>
      <c r="GP4">
        <v>444.90000000039998</v>
      </c>
      <c r="GQ4">
        <v>444.90000000039998</v>
      </c>
      <c r="GR4">
        <v>444.90000000039998</v>
      </c>
      <c r="GS4">
        <v>444.90000000039998</v>
      </c>
      <c r="GT4">
        <v>444.99999999969998</v>
      </c>
      <c r="GU4">
        <v>444.99999999969998</v>
      </c>
      <c r="GV4">
        <v>444.99999999969998</v>
      </c>
      <c r="GW4">
        <v>1</v>
      </c>
      <c r="GX4">
        <v>117.8</v>
      </c>
      <c r="GY4">
        <v>111.6000000002</v>
      </c>
      <c r="GZ4">
        <v>111.6000000002</v>
      </c>
      <c r="HA4">
        <v>127.8000000002</v>
      </c>
      <c r="HB4">
        <v>115.9576179777</v>
      </c>
      <c r="HC4">
        <v>-16.2</v>
      </c>
      <c r="HD4">
        <v>444.99999999969998</v>
      </c>
      <c r="HE4">
        <v>294.64895505520002</v>
      </c>
      <c r="HF4">
        <v>100.7474044942</v>
      </c>
      <c r="HG4">
        <v>445.09999999899998</v>
      </c>
      <c r="HH4">
        <v>444.99999999969998</v>
      </c>
      <c r="HI4">
        <v>445.09999999899998</v>
      </c>
      <c r="HJ4">
        <v>444.99999999969998</v>
      </c>
      <c r="HK4">
        <v>110.26392961880001</v>
      </c>
      <c r="HL4">
        <v>3.3574536447000001</v>
      </c>
      <c r="HM4">
        <v>3.2051293650999999</v>
      </c>
      <c r="HN4">
        <v>3.2844358405</v>
      </c>
      <c r="HO4">
        <v>3.1198645654999999</v>
      </c>
      <c r="HP4">
        <v>3.5537624114000002</v>
      </c>
      <c r="HQ4">
        <v>2.1835555790000001</v>
      </c>
      <c r="HR4">
        <v>15.2102134836</v>
      </c>
      <c r="HS4">
        <v>-30.4985337243</v>
      </c>
      <c r="HT4">
        <v>-208</v>
      </c>
      <c r="HU4">
        <v>410.60657303300002</v>
      </c>
      <c r="HV4">
        <v>91.495601172999997</v>
      </c>
      <c r="HW4">
        <v>624</v>
      </c>
      <c r="HX4">
        <v>15.2102134836</v>
      </c>
      <c r="HY4">
        <v>-30.4985337243</v>
      </c>
      <c r="HZ4">
        <v>-208</v>
      </c>
      <c r="IA4">
        <v>410.60657303300002</v>
      </c>
      <c r="IB4">
        <v>91.495601172999997</v>
      </c>
      <c r="IC4">
        <v>624</v>
      </c>
      <c r="ID4">
        <v>34.3934269668</v>
      </c>
      <c r="IE4">
        <v>0.10701123529999999</v>
      </c>
      <c r="IF4">
        <v>-39.8826979472</v>
      </c>
      <c r="IG4">
        <v>-272</v>
      </c>
      <c r="IH4">
        <v>432.12207865110003</v>
      </c>
      <c r="II4">
        <v>100.87976539589999</v>
      </c>
      <c r="IJ4">
        <v>688</v>
      </c>
      <c r="IK4">
        <v>395.39635954940002</v>
      </c>
      <c r="IL4">
        <v>121.9941348974</v>
      </c>
      <c r="IM4">
        <v>418.30005618040002</v>
      </c>
      <c r="IN4">
        <v>131.37829912020001</v>
      </c>
      <c r="IO4">
        <v>6.9999999996</v>
      </c>
      <c r="IP4">
        <v>5.6000000003999997</v>
      </c>
      <c r="IQ4">
        <v>9.2999999997000007</v>
      </c>
      <c r="IR4">
        <v>6.0810497999999997</v>
      </c>
      <c r="IS4">
        <v>6.0810497999999997</v>
      </c>
      <c r="IT4">
        <v>12.8999999997</v>
      </c>
      <c r="IU4">
        <v>-30.4985337243</v>
      </c>
      <c r="IV4">
        <v>16.2</v>
      </c>
      <c r="IW4">
        <v>0</v>
      </c>
      <c r="IX4">
        <v>13.4999999991</v>
      </c>
      <c r="IY4">
        <v>100.87976539589999</v>
      </c>
      <c r="IZ4">
        <v>-35.267607427800002</v>
      </c>
      <c r="JA4">
        <v>0.33865672889999998</v>
      </c>
      <c r="JB4">
        <v>-3.8419840000000001E-4</v>
      </c>
      <c r="JC4">
        <v>7.5570000000000002E-7</v>
      </c>
      <c r="JD4">
        <v>0.29784476739999999</v>
      </c>
      <c r="JE4">
        <v>0.29574204339999999</v>
      </c>
      <c r="JF4">
        <v>0.13702592750000001</v>
      </c>
      <c r="JG4">
        <v>116.4614990426</v>
      </c>
      <c r="JH4">
        <v>3.5537624114000002</v>
      </c>
      <c r="JI4">
        <v>3.4631088000000002E-3</v>
      </c>
      <c r="JJ4">
        <v>-7.9792100000000005E-5</v>
      </c>
      <c r="JK4">
        <v>3.3574536447000001</v>
      </c>
      <c r="JL4">
        <v>1.6484254218000001</v>
      </c>
      <c r="JM4">
        <v>0.66275816809999999</v>
      </c>
      <c r="JN4" t="s">
        <v>538</v>
      </c>
      <c r="JQ4">
        <v>1</v>
      </c>
    </row>
    <row r="5" spans="1:277">
      <c r="A5" t="s">
        <v>592</v>
      </c>
      <c r="B5" t="s">
        <v>593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1.5999999996000001</v>
      </c>
      <c r="R5">
        <v>0.29999999970000002</v>
      </c>
      <c r="S5">
        <v>0.29999999970000002</v>
      </c>
      <c r="T5">
        <v>0.29999999970000002</v>
      </c>
      <c r="U5">
        <v>0.29999999970000002</v>
      </c>
      <c r="V5">
        <v>0.29999999970000002</v>
      </c>
      <c r="W5">
        <v>0.29999999970000002</v>
      </c>
      <c r="X5">
        <v>0.29999999970000002</v>
      </c>
      <c r="Y5">
        <v>9.9999999300000003E-2</v>
      </c>
      <c r="Z5">
        <v>9.9999999300000003E-2</v>
      </c>
      <c r="AA5">
        <v>0</v>
      </c>
      <c r="AB5">
        <v>0</v>
      </c>
      <c r="AC5">
        <v>9.9999999300000003E-2</v>
      </c>
      <c r="AD5">
        <v>0</v>
      </c>
      <c r="AE5">
        <v>0</v>
      </c>
      <c r="AF5">
        <v>0</v>
      </c>
      <c r="AG5">
        <v>0</v>
      </c>
      <c r="AH5">
        <v>0.29999999970000002</v>
      </c>
      <c r="AI5">
        <v>2.6999999991000001</v>
      </c>
      <c r="AJ5">
        <v>7.5999999989999996</v>
      </c>
      <c r="AK5">
        <v>14.699999999699999</v>
      </c>
      <c r="AL5">
        <v>21.999999999</v>
      </c>
      <c r="AM5">
        <v>29.199999998999999</v>
      </c>
      <c r="AN5">
        <v>36.099999999399998</v>
      </c>
      <c r="AO5">
        <v>43.200000000099998</v>
      </c>
      <c r="AP5">
        <v>50.999999999499998</v>
      </c>
      <c r="AQ5">
        <v>58.599999998500003</v>
      </c>
      <c r="AR5">
        <v>67.099999998399994</v>
      </c>
      <c r="AS5">
        <v>75.299999998600001</v>
      </c>
      <c r="AT5">
        <v>83.199999999100001</v>
      </c>
      <c r="AU5">
        <v>90.699999998799996</v>
      </c>
      <c r="AV5">
        <v>98.799999999799994</v>
      </c>
      <c r="AW5">
        <v>107.0999999993</v>
      </c>
      <c r="AX5">
        <v>116</v>
      </c>
      <c r="AY5">
        <v>125</v>
      </c>
      <c r="AZ5">
        <v>133.39999999880001</v>
      </c>
      <c r="BA5">
        <v>141.19999999999999</v>
      </c>
      <c r="BB5">
        <v>149.29999999910001</v>
      </c>
      <c r="BC5">
        <v>157.6999999997</v>
      </c>
      <c r="BD5">
        <v>166.49999999939999</v>
      </c>
      <c r="BE5">
        <v>175.59999999870001</v>
      </c>
      <c r="BF5">
        <v>184.0999999986</v>
      </c>
      <c r="BG5">
        <v>191.9999999991</v>
      </c>
      <c r="BH5">
        <v>200.1</v>
      </c>
      <c r="BI5">
        <v>208.19999999909999</v>
      </c>
      <c r="BJ5">
        <v>216.89999999939999</v>
      </c>
      <c r="BK5">
        <v>225.7999999983</v>
      </c>
      <c r="BL5">
        <v>234.0999999997</v>
      </c>
      <c r="BM5">
        <v>241.79999999980001</v>
      </c>
      <c r="BN5">
        <v>249.49999999990001</v>
      </c>
      <c r="BO5">
        <v>257.59999999899998</v>
      </c>
      <c r="BP5">
        <v>265.39999999840001</v>
      </c>
      <c r="BQ5">
        <v>273.89999999830002</v>
      </c>
      <c r="BR5">
        <v>281.69999999949999</v>
      </c>
      <c r="BS5">
        <v>289.29999999850003</v>
      </c>
      <c r="BT5">
        <v>296.3</v>
      </c>
      <c r="BU5">
        <v>303.69999999859999</v>
      </c>
      <c r="BV5">
        <v>310.99999999969998</v>
      </c>
      <c r="BW5">
        <v>318.40000000010002</v>
      </c>
      <c r="BX5">
        <v>326.19999999949999</v>
      </c>
      <c r="BY5">
        <v>333.29999999839998</v>
      </c>
      <c r="BZ5">
        <v>340.09999999939998</v>
      </c>
      <c r="CA5">
        <v>346.39999999849999</v>
      </c>
      <c r="CB5">
        <v>352.99999999919999</v>
      </c>
      <c r="CC5">
        <v>359.59999999979999</v>
      </c>
      <c r="CD5">
        <v>366.0999999993</v>
      </c>
      <c r="CE5">
        <v>373.09999999889999</v>
      </c>
      <c r="CF5">
        <v>379.4999999991</v>
      </c>
      <c r="CG5">
        <v>385.69999999890001</v>
      </c>
      <c r="CH5">
        <v>391.79999999939997</v>
      </c>
      <c r="CI5">
        <v>397.2999999987</v>
      </c>
      <c r="CJ5">
        <v>403.09999999950003</v>
      </c>
      <c r="CK5">
        <v>409.09999999889999</v>
      </c>
      <c r="CL5">
        <v>414.49999999900001</v>
      </c>
      <c r="CM5">
        <v>420.19999999869998</v>
      </c>
      <c r="CN5">
        <v>426.2999999992</v>
      </c>
      <c r="CO5">
        <v>431.69999999919997</v>
      </c>
      <c r="CP5">
        <v>437.1999999985</v>
      </c>
      <c r="CQ5">
        <v>441.60000000010001</v>
      </c>
      <c r="CR5">
        <v>443.59999999870001</v>
      </c>
      <c r="CS5">
        <v>443.99999999950001</v>
      </c>
      <c r="CT5">
        <v>443.99999999950001</v>
      </c>
      <c r="CU5">
        <v>443.99999999950001</v>
      </c>
      <c r="CV5">
        <v>444.0999999988</v>
      </c>
      <c r="CW5">
        <v>444.0999999988</v>
      </c>
      <c r="CX5">
        <v>443.99999999950001</v>
      </c>
      <c r="CY5">
        <v>443.99999999950001</v>
      </c>
      <c r="CZ5">
        <v>443.99999999950001</v>
      </c>
      <c r="DA5">
        <v>443.99999999950001</v>
      </c>
      <c r="DB5">
        <v>443.99999999950001</v>
      </c>
      <c r="DC5">
        <v>443.99999999950001</v>
      </c>
      <c r="DD5">
        <v>443.99999999950001</v>
      </c>
      <c r="DE5">
        <v>443.99999999950001</v>
      </c>
      <c r="DF5">
        <v>443.99999999950001</v>
      </c>
      <c r="DG5">
        <v>2.4999999986999999</v>
      </c>
      <c r="DH5">
        <v>1.2999999999</v>
      </c>
      <c r="DI5">
        <v>1.2999999999</v>
      </c>
      <c r="DJ5">
        <v>1.2999999999</v>
      </c>
      <c r="DK5">
        <v>1.1999999988000001</v>
      </c>
      <c r="DL5">
        <v>1.1999999988000001</v>
      </c>
      <c r="DM5">
        <v>1.1999999988000001</v>
      </c>
      <c r="DN5">
        <v>1.0999999995</v>
      </c>
      <c r="DO5">
        <v>1.0999999995</v>
      </c>
      <c r="DP5">
        <v>0.99999999839999998</v>
      </c>
      <c r="DQ5">
        <v>0.99999999839999998</v>
      </c>
      <c r="DR5">
        <v>0.99999999839999998</v>
      </c>
      <c r="DS5">
        <v>0.99999999839999998</v>
      </c>
      <c r="DT5">
        <v>0.89999999909999995</v>
      </c>
      <c r="DU5">
        <v>0.89999999909999995</v>
      </c>
      <c r="DV5">
        <v>0.89999999909999995</v>
      </c>
      <c r="DW5">
        <v>1.9999999986000001</v>
      </c>
      <c r="DX5">
        <v>6.2999999990999997</v>
      </c>
      <c r="DY5">
        <v>13.199999999399999</v>
      </c>
      <c r="DZ5">
        <v>20.599999999800001</v>
      </c>
      <c r="EA5">
        <v>27.799999999800001</v>
      </c>
      <c r="EB5">
        <v>34.799999999400001</v>
      </c>
      <c r="EC5">
        <v>41.899999998299997</v>
      </c>
      <c r="ED5">
        <v>49.4999999992</v>
      </c>
      <c r="EE5">
        <v>57.199999999299997</v>
      </c>
      <c r="EF5">
        <v>65.699999999200003</v>
      </c>
      <c r="EG5">
        <v>73.800000000099999</v>
      </c>
      <c r="EH5">
        <v>81.699999998799996</v>
      </c>
      <c r="EI5">
        <v>89.299999999600004</v>
      </c>
      <c r="EJ5">
        <v>96.999999999799996</v>
      </c>
      <c r="EK5">
        <v>105.2</v>
      </c>
      <c r="EL5">
        <v>113.99999999960001</v>
      </c>
      <c r="EM5">
        <v>122.99999999960001</v>
      </c>
      <c r="EN5">
        <v>131.49999999950001</v>
      </c>
      <c r="EO5">
        <v>139.5999999986</v>
      </c>
      <c r="EP5">
        <v>147.59999999839999</v>
      </c>
      <c r="EQ5">
        <v>155.89999999969999</v>
      </c>
      <c r="ER5">
        <v>164.79999999859999</v>
      </c>
      <c r="ES5">
        <v>173.8999999998</v>
      </c>
      <c r="ET5">
        <v>182.49999999900001</v>
      </c>
      <c r="EU5">
        <v>190.6999999992</v>
      </c>
      <c r="EV5">
        <v>198.8000000001</v>
      </c>
      <c r="EW5">
        <v>207.09999999959999</v>
      </c>
      <c r="EX5">
        <v>215.7999999999</v>
      </c>
      <c r="EY5">
        <v>224.8</v>
      </c>
      <c r="EZ5">
        <v>233.1999999988</v>
      </c>
      <c r="FA5">
        <v>241.19999999859999</v>
      </c>
      <c r="FB5">
        <v>248.9999999998</v>
      </c>
      <c r="FC5">
        <v>256.99999999959999</v>
      </c>
      <c r="FD5">
        <v>265.19999999980001</v>
      </c>
      <c r="FE5">
        <v>273.89999999830002</v>
      </c>
      <c r="FF5">
        <v>281.89999999999998</v>
      </c>
      <c r="FG5">
        <v>289.60000000010001</v>
      </c>
      <c r="FH5">
        <v>296.8000000001</v>
      </c>
      <c r="FI5">
        <v>304.29999999979998</v>
      </c>
      <c r="FJ5">
        <v>311.69999999840002</v>
      </c>
      <c r="FK5">
        <v>319.49999999959999</v>
      </c>
      <c r="FL5">
        <v>327.19999999970003</v>
      </c>
      <c r="FM5">
        <v>334.49999999900001</v>
      </c>
      <c r="FN5">
        <v>341.4999999986</v>
      </c>
      <c r="FO5">
        <v>348</v>
      </c>
      <c r="FP5">
        <v>354.7999999992</v>
      </c>
      <c r="FQ5">
        <v>361.3999999998</v>
      </c>
      <c r="FR5">
        <v>368.0999999997</v>
      </c>
      <c r="FS5">
        <v>375.19999999859999</v>
      </c>
      <c r="FT5">
        <v>381.6999999999</v>
      </c>
      <c r="FU5">
        <v>388.10000000010001</v>
      </c>
      <c r="FV5">
        <v>393.99999999840003</v>
      </c>
      <c r="FW5">
        <v>399.49999999950001</v>
      </c>
      <c r="FX5">
        <v>405.39999999960003</v>
      </c>
      <c r="FY5">
        <v>411.00000000009999</v>
      </c>
      <c r="FZ5">
        <v>416.69999999980001</v>
      </c>
      <c r="GA5">
        <v>422.69999999919997</v>
      </c>
      <c r="GB5">
        <v>428.09999999920001</v>
      </c>
      <c r="GC5">
        <v>433.29999999879999</v>
      </c>
      <c r="GD5">
        <v>438.39999999909998</v>
      </c>
      <c r="GE5">
        <v>441.9999999991</v>
      </c>
      <c r="GF5">
        <v>443.59999999870001</v>
      </c>
      <c r="GG5">
        <v>443.79999999910001</v>
      </c>
      <c r="GH5">
        <v>443.79999999910001</v>
      </c>
      <c r="GI5">
        <v>443.79999999910001</v>
      </c>
      <c r="GJ5">
        <v>443.89999999840001</v>
      </c>
      <c r="GK5">
        <v>443.89999999840001</v>
      </c>
      <c r="GL5">
        <v>443.89999999840001</v>
      </c>
      <c r="GM5">
        <v>443.89999999840001</v>
      </c>
      <c r="GN5">
        <v>443.89999999840001</v>
      </c>
      <c r="GO5">
        <v>443.89999999840001</v>
      </c>
      <c r="GP5">
        <v>443.99999999950001</v>
      </c>
      <c r="GQ5">
        <v>443.89999999840001</v>
      </c>
      <c r="GR5">
        <v>443.89999999840001</v>
      </c>
      <c r="GS5">
        <v>443.89999999840001</v>
      </c>
      <c r="GT5">
        <v>443.89999999840001</v>
      </c>
      <c r="GU5">
        <v>443.89999999840001</v>
      </c>
      <c r="GV5">
        <v>443.99999999950001</v>
      </c>
      <c r="GW5">
        <v>1</v>
      </c>
      <c r="GX5">
        <v>112.6999999997</v>
      </c>
      <c r="GY5">
        <v>107.0999999993</v>
      </c>
      <c r="GZ5">
        <v>107.0999999993</v>
      </c>
      <c r="HA5">
        <v>122.99999999960001</v>
      </c>
      <c r="HB5">
        <v>111.22003378310001</v>
      </c>
      <c r="HC5">
        <v>-15.9000000003</v>
      </c>
      <c r="HD5">
        <v>443.99999999950001</v>
      </c>
      <c r="HE5">
        <v>304.43546171209999</v>
      </c>
      <c r="HF5">
        <v>95.893063062699994</v>
      </c>
      <c r="HG5">
        <v>444.0999999988</v>
      </c>
      <c r="HH5">
        <v>443.99999999950001</v>
      </c>
      <c r="HI5">
        <v>444.0999999988</v>
      </c>
      <c r="HJ5">
        <v>443.99999999950001</v>
      </c>
      <c r="HK5">
        <v>105.57184750730001</v>
      </c>
      <c r="HL5">
        <v>3.4622469754999998</v>
      </c>
      <c r="HM5">
        <v>3.3224347484000001</v>
      </c>
      <c r="HN5">
        <v>3.3739981964000001</v>
      </c>
      <c r="HO5">
        <v>3.2098243703999998</v>
      </c>
      <c r="HP5">
        <v>3.6484152562999999</v>
      </c>
      <c r="HQ5">
        <v>2.2538968841</v>
      </c>
      <c r="HR5">
        <v>15.3269707204</v>
      </c>
      <c r="HS5">
        <v>-28.152492668600001</v>
      </c>
      <c r="HT5">
        <v>-192</v>
      </c>
      <c r="HU5">
        <v>415.6554954952</v>
      </c>
      <c r="HV5">
        <v>91.495601172999997</v>
      </c>
      <c r="HW5">
        <v>624</v>
      </c>
      <c r="HX5">
        <v>15.3269707204</v>
      </c>
      <c r="HY5">
        <v>-28.152492668600001</v>
      </c>
      <c r="HZ5">
        <v>-192</v>
      </c>
      <c r="IA5">
        <v>415.6554954952</v>
      </c>
      <c r="IB5">
        <v>91.495601172999997</v>
      </c>
      <c r="IC5">
        <v>624</v>
      </c>
      <c r="ID5">
        <v>28.344504504300001</v>
      </c>
      <c r="IE5">
        <v>4.5045045000000001E-3</v>
      </c>
      <c r="IF5">
        <v>-37.536656891500002</v>
      </c>
      <c r="IG5">
        <v>-256</v>
      </c>
      <c r="IH5">
        <v>438.08251126030001</v>
      </c>
      <c r="II5">
        <v>100.87976539589999</v>
      </c>
      <c r="IJ5">
        <v>688</v>
      </c>
      <c r="IK5">
        <v>400.32852477479997</v>
      </c>
      <c r="IL5">
        <v>119.6480938416</v>
      </c>
      <c r="IM5">
        <v>424.51667792799998</v>
      </c>
      <c r="IN5">
        <v>129.03225806450001</v>
      </c>
      <c r="IO5">
        <v>7.4000000004000004</v>
      </c>
      <c r="IP5">
        <v>6.1000000004999997</v>
      </c>
      <c r="IQ5">
        <v>9.1000000010999997</v>
      </c>
      <c r="IR5">
        <v>6.1339653862999999</v>
      </c>
      <c r="IS5">
        <v>6.1339653862999999</v>
      </c>
      <c r="IT5">
        <v>13.0000000008</v>
      </c>
      <c r="IU5">
        <v>-30.4985337243</v>
      </c>
      <c r="IV5">
        <v>16.600000000800001</v>
      </c>
      <c r="IW5">
        <v>28.152492668600001</v>
      </c>
      <c r="IX5">
        <v>13.1000000001</v>
      </c>
      <c r="IY5">
        <v>98.533724340199996</v>
      </c>
      <c r="IZ5">
        <v>-33.033160314699998</v>
      </c>
      <c r="JA5">
        <v>0.32924886530000003</v>
      </c>
      <c r="JB5">
        <v>-3.7062070000000002E-4</v>
      </c>
      <c r="JC5">
        <v>7.1650000000000004E-7</v>
      </c>
      <c r="JD5">
        <v>0.28882977069999999</v>
      </c>
      <c r="JE5">
        <v>0.26397242199999998</v>
      </c>
      <c r="JF5">
        <v>0.1107649797</v>
      </c>
      <c r="JG5">
        <v>111.8411487171</v>
      </c>
      <c r="JH5">
        <v>3.6484152562999999</v>
      </c>
      <c r="JI5">
        <v>4.1636175000000003E-3</v>
      </c>
      <c r="JJ5">
        <v>-8.5864299999999997E-5</v>
      </c>
      <c r="JK5">
        <v>3.4622469754999998</v>
      </c>
      <c r="JL5">
        <v>0.9820206736</v>
      </c>
      <c r="JM5">
        <v>0.49883163419999998</v>
      </c>
      <c r="JN5" t="s">
        <v>538</v>
      </c>
      <c r="JQ5">
        <v>1</v>
      </c>
    </row>
    <row r="6" spans="1:277">
      <c r="A6" t="s">
        <v>594</v>
      </c>
      <c r="B6" t="s">
        <v>595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1.2000000006</v>
      </c>
      <c r="R6">
        <v>1.2999999999</v>
      </c>
      <c r="S6">
        <v>1.2999999999</v>
      </c>
      <c r="T6">
        <v>1.2000000006</v>
      </c>
      <c r="U6">
        <v>1.2999999999</v>
      </c>
      <c r="V6">
        <v>1.2999999999</v>
      </c>
      <c r="W6">
        <v>1.400000001</v>
      </c>
      <c r="X6">
        <v>1.2999999999</v>
      </c>
      <c r="Y6">
        <v>1.2999999999</v>
      </c>
      <c r="Z6">
        <v>1.2999999999</v>
      </c>
      <c r="AA6">
        <v>1.2999999999</v>
      </c>
      <c r="AB6">
        <v>1.2999999999</v>
      </c>
      <c r="AC6">
        <v>1.2999999999</v>
      </c>
      <c r="AD6">
        <v>1.400000001</v>
      </c>
      <c r="AE6">
        <v>1.400000001</v>
      </c>
      <c r="AF6">
        <v>1.2999999999</v>
      </c>
      <c r="AG6">
        <v>0.60000000119999997</v>
      </c>
      <c r="AH6">
        <v>0</v>
      </c>
      <c r="AI6">
        <v>1.2999999999</v>
      </c>
      <c r="AJ6">
        <v>5.2000000014000003</v>
      </c>
      <c r="AK6">
        <v>11.5000000005</v>
      </c>
      <c r="AL6">
        <v>19.0000000002</v>
      </c>
      <c r="AM6">
        <v>26.499999999900002</v>
      </c>
      <c r="AN6">
        <v>33.300000001000001</v>
      </c>
      <c r="AO6">
        <v>40.500000000999997</v>
      </c>
      <c r="AP6">
        <v>47.5999999999</v>
      </c>
      <c r="AQ6">
        <v>54.900000001000002</v>
      </c>
      <c r="AR6">
        <v>62.800000001500003</v>
      </c>
      <c r="AS6">
        <v>71.400000000700004</v>
      </c>
      <c r="AT6">
        <v>79.499999999799996</v>
      </c>
      <c r="AU6">
        <v>87.000000001399997</v>
      </c>
      <c r="AV6">
        <v>94.800000000799997</v>
      </c>
      <c r="AW6">
        <v>102.80000000059999</v>
      </c>
      <c r="AX6">
        <v>111.8999999999</v>
      </c>
      <c r="AY6">
        <v>121.000000001</v>
      </c>
      <c r="AZ6">
        <v>129.80000000059999</v>
      </c>
      <c r="BA6">
        <v>137.70000000109999</v>
      </c>
      <c r="BB6">
        <v>145.50000000049999</v>
      </c>
      <c r="BC6">
        <v>153.40000000110001</v>
      </c>
      <c r="BD6">
        <v>161.7000000006</v>
      </c>
      <c r="BE6">
        <v>170.10000000119999</v>
      </c>
      <c r="BF6">
        <v>179.10000000119999</v>
      </c>
      <c r="BG6">
        <v>187.20000000030001</v>
      </c>
      <c r="BH6">
        <v>195.00000000150001</v>
      </c>
      <c r="BI6">
        <v>202.69999999980001</v>
      </c>
      <c r="BJ6">
        <v>210.60000000030001</v>
      </c>
      <c r="BK6">
        <v>218.80000000059999</v>
      </c>
      <c r="BL6">
        <v>227.5000000009</v>
      </c>
      <c r="BM6">
        <v>235.70000000109999</v>
      </c>
      <c r="BN6">
        <v>242.90000000110001</v>
      </c>
      <c r="BO6">
        <v>250.3000000015</v>
      </c>
      <c r="BP6">
        <v>257.70000000009998</v>
      </c>
      <c r="BQ6">
        <v>265.50000000130001</v>
      </c>
      <c r="BR6">
        <v>273.10000000029999</v>
      </c>
      <c r="BS6">
        <v>281.30000000059999</v>
      </c>
      <c r="BT6">
        <v>288.70000000099998</v>
      </c>
      <c r="BU6">
        <v>295.60000000129997</v>
      </c>
      <c r="BV6">
        <v>302.20000000009998</v>
      </c>
      <c r="BW6">
        <v>309.10000000039997</v>
      </c>
      <c r="BX6">
        <v>316.10000000000002</v>
      </c>
      <c r="BY6">
        <v>323.10000000140002</v>
      </c>
      <c r="BZ6">
        <v>330.5</v>
      </c>
      <c r="CA6">
        <v>337.50000000149998</v>
      </c>
      <c r="CB6">
        <v>343.39999999970001</v>
      </c>
      <c r="CC6">
        <v>349.40000000100002</v>
      </c>
      <c r="CD6">
        <v>355.40000000039998</v>
      </c>
      <c r="CE6">
        <v>361.6000000002</v>
      </c>
      <c r="CF6">
        <v>367.8</v>
      </c>
      <c r="CG6">
        <v>373.90000000049997</v>
      </c>
      <c r="CH6">
        <v>379.89999999989999</v>
      </c>
      <c r="CI6">
        <v>386.3000000001</v>
      </c>
      <c r="CJ6">
        <v>391.99999999980002</v>
      </c>
      <c r="CK6">
        <v>397.3999999998</v>
      </c>
      <c r="CL6">
        <v>402.50000000009999</v>
      </c>
      <c r="CM6">
        <v>407.60000000050002</v>
      </c>
      <c r="CN6">
        <v>413.00000000049999</v>
      </c>
      <c r="CO6">
        <v>418.30000000119998</v>
      </c>
      <c r="CP6">
        <v>423.60000000010001</v>
      </c>
      <c r="CQ6">
        <v>428.8000000015</v>
      </c>
      <c r="CR6">
        <v>434.50000000120002</v>
      </c>
      <c r="CS6">
        <v>439.50000000040001</v>
      </c>
      <c r="CT6">
        <v>442.9</v>
      </c>
      <c r="CU6">
        <v>445.30000000119998</v>
      </c>
      <c r="CV6">
        <v>445.90000000060002</v>
      </c>
      <c r="CW6">
        <v>445.80000000130002</v>
      </c>
      <c r="CX6">
        <v>445.80000000130002</v>
      </c>
      <c r="CY6">
        <v>445.80000000130002</v>
      </c>
      <c r="CZ6">
        <v>445.80000000130002</v>
      </c>
      <c r="DA6">
        <v>445.70000000020002</v>
      </c>
      <c r="DB6">
        <v>445.70000000020002</v>
      </c>
      <c r="DC6">
        <v>445.70000000020002</v>
      </c>
      <c r="DD6">
        <v>445.70000000020002</v>
      </c>
      <c r="DE6">
        <v>445.70000000020002</v>
      </c>
      <c r="DF6">
        <v>445.70000000020002</v>
      </c>
      <c r="DG6">
        <v>2.0000000004</v>
      </c>
      <c r="DH6">
        <v>1.8</v>
      </c>
      <c r="DI6">
        <v>1.7000000007</v>
      </c>
      <c r="DJ6">
        <v>1.7000000007</v>
      </c>
      <c r="DK6">
        <v>1.7000000007</v>
      </c>
      <c r="DL6">
        <v>1.7000000007</v>
      </c>
      <c r="DM6">
        <v>1.6000000014</v>
      </c>
      <c r="DN6">
        <v>1.400000001</v>
      </c>
      <c r="DO6">
        <v>1.400000001</v>
      </c>
      <c r="DP6">
        <v>1.400000001</v>
      </c>
      <c r="DQ6">
        <v>1.5000000003</v>
      </c>
      <c r="DR6">
        <v>1.5000000003</v>
      </c>
      <c r="DS6">
        <v>1.5000000003</v>
      </c>
      <c r="DT6">
        <v>1.5000000003</v>
      </c>
      <c r="DU6">
        <v>1.5000000003</v>
      </c>
      <c r="DV6">
        <v>1.2000000006</v>
      </c>
      <c r="DW6">
        <v>1.8</v>
      </c>
      <c r="DX6">
        <v>4.7000000013000003</v>
      </c>
      <c r="DY6">
        <v>10.700000000699999</v>
      </c>
      <c r="DZ6">
        <v>18.300000001499999</v>
      </c>
      <c r="EA6">
        <v>25.9000000005</v>
      </c>
      <c r="EB6">
        <v>32.600000000500003</v>
      </c>
      <c r="EC6">
        <v>39.5000000008</v>
      </c>
      <c r="ED6">
        <v>46.5000000004</v>
      </c>
      <c r="EE6">
        <v>54.000000000100002</v>
      </c>
      <c r="EF6">
        <v>61.700000000199999</v>
      </c>
      <c r="EG6">
        <v>70.100000000799994</v>
      </c>
      <c r="EH6">
        <v>78.400000000299997</v>
      </c>
      <c r="EI6">
        <v>85.800000000699995</v>
      </c>
      <c r="EJ6">
        <v>93.3999999997</v>
      </c>
      <c r="EK6">
        <v>101.0000000006</v>
      </c>
      <c r="EL6">
        <v>109.7000000009</v>
      </c>
      <c r="EM6">
        <v>119.3000000003</v>
      </c>
      <c r="EN6">
        <v>128.6</v>
      </c>
      <c r="EO6">
        <v>136.4000000012</v>
      </c>
      <c r="EP6">
        <v>144.1000000013</v>
      </c>
      <c r="EQ6">
        <v>152</v>
      </c>
      <c r="ER6">
        <v>160.4000000007</v>
      </c>
      <c r="ES6">
        <v>168.90000000059999</v>
      </c>
      <c r="ET6">
        <v>177.99999999990001</v>
      </c>
      <c r="EU6">
        <v>186.2000000001</v>
      </c>
      <c r="EV6">
        <v>193.80000000090001</v>
      </c>
      <c r="EW6">
        <v>201.70000000140001</v>
      </c>
      <c r="EX6">
        <v>209.8999999998</v>
      </c>
      <c r="EY6">
        <v>218.30000000050001</v>
      </c>
      <c r="EZ6">
        <v>227.10000000010001</v>
      </c>
      <c r="FA6">
        <v>235.5000000007</v>
      </c>
      <c r="FB6">
        <v>242.60000000139999</v>
      </c>
      <c r="FC6">
        <v>250.2000000004</v>
      </c>
      <c r="FD6">
        <v>258.10000000090002</v>
      </c>
      <c r="FE6">
        <v>266.0000000014</v>
      </c>
      <c r="FF6">
        <v>273.90000000010002</v>
      </c>
      <c r="FG6">
        <v>282.30000000080003</v>
      </c>
      <c r="FH6">
        <v>289.50000000080001</v>
      </c>
      <c r="FI6">
        <v>296.20000000070002</v>
      </c>
      <c r="FJ6">
        <v>303.30000000140001</v>
      </c>
      <c r="FK6">
        <v>310.5000000014</v>
      </c>
      <c r="FL6">
        <v>317.80000000069998</v>
      </c>
      <c r="FM6">
        <v>324.90000000139997</v>
      </c>
      <c r="FN6">
        <v>332.50000000040001</v>
      </c>
      <c r="FO6">
        <v>339.40000000079999</v>
      </c>
      <c r="FP6">
        <v>345.40000000020001</v>
      </c>
      <c r="FQ6">
        <v>351.6</v>
      </c>
      <c r="FR6">
        <v>358.00000000019998</v>
      </c>
      <c r="FS6">
        <v>364.40000000039998</v>
      </c>
      <c r="FT6">
        <v>370.7000000013</v>
      </c>
      <c r="FU6">
        <v>376.90000000110001</v>
      </c>
      <c r="FV6">
        <v>383.49999999990001</v>
      </c>
      <c r="FW6">
        <v>389.60000000039997</v>
      </c>
      <c r="FX6">
        <v>394.90000000110001</v>
      </c>
      <c r="FY6">
        <v>400.2</v>
      </c>
      <c r="FZ6">
        <v>405.6</v>
      </c>
      <c r="GA6">
        <v>411.00000000009999</v>
      </c>
      <c r="GB6">
        <v>416.30000000080003</v>
      </c>
      <c r="GC6">
        <v>421.40000000110001</v>
      </c>
      <c r="GD6">
        <v>426.4000000003</v>
      </c>
      <c r="GE6">
        <v>431.70000000099998</v>
      </c>
      <c r="GF6">
        <v>436.80000000130002</v>
      </c>
      <c r="GG6">
        <v>440.70000000099998</v>
      </c>
      <c r="GH6">
        <v>443.50000000120002</v>
      </c>
      <c r="GI6">
        <v>445.30000000119998</v>
      </c>
      <c r="GJ6">
        <v>445.70000000020002</v>
      </c>
      <c r="GK6">
        <v>445.70000000020002</v>
      </c>
      <c r="GL6">
        <v>445.70000000020002</v>
      </c>
      <c r="GM6">
        <v>445.70000000020002</v>
      </c>
      <c r="GN6">
        <v>445.60000000090002</v>
      </c>
      <c r="GO6">
        <v>445.60000000090002</v>
      </c>
      <c r="GP6">
        <v>445.60000000090002</v>
      </c>
      <c r="GQ6">
        <v>445.60000000090002</v>
      </c>
      <c r="GR6">
        <v>445.60000000090002</v>
      </c>
      <c r="GS6">
        <v>445.60000000090002</v>
      </c>
      <c r="GT6">
        <v>445.70000000020002</v>
      </c>
      <c r="GU6">
        <v>445.70000000020002</v>
      </c>
      <c r="GV6">
        <v>445.70000000020002</v>
      </c>
      <c r="GW6">
        <v>1</v>
      </c>
      <c r="GX6">
        <v>108.60000000140001</v>
      </c>
      <c r="GY6">
        <v>102.80000000059999</v>
      </c>
      <c r="GZ6">
        <v>102.80000000059999</v>
      </c>
      <c r="HA6">
        <v>119.3000000003</v>
      </c>
      <c r="HB6">
        <v>106.9101951553</v>
      </c>
      <c r="HC6">
        <v>-16.499999999700002</v>
      </c>
      <c r="HD6">
        <v>445.70000000020002</v>
      </c>
      <c r="HE6">
        <v>297.25597801650002</v>
      </c>
      <c r="HF6">
        <v>87.123115747200004</v>
      </c>
      <c r="HG6">
        <v>445.90000000060002</v>
      </c>
      <c r="HH6">
        <v>445.70001121600001</v>
      </c>
      <c r="HI6">
        <v>445.90000000060002</v>
      </c>
      <c r="HJ6">
        <v>445.70000000020002</v>
      </c>
      <c r="HK6">
        <v>112.6099706745</v>
      </c>
      <c r="HL6">
        <v>3.3792318313999998</v>
      </c>
      <c r="HM6">
        <v>3.2074020832999999</v>
      </c>
      <c r="HN6">
        <v>3.3098254638000002</v>
      </c>
      <c r="HO6">
        <v>3.3068066104999998</v>
      </c>
      <c r="HP6">
        <v>3.5994603803</v>
      </c>
      <c r="HQ6">
        <v>2.2288850566999998</v>
      </c>
      <c r="HR6">
        <v>19.787079408099999</v>
      </c>
      <c r="HS6">
        <v>-25.806451612899998</v>
      </c>
      <c r="HT6">
        <v>-176</v>
      </c>
      <c r="HU6">
        <v>404.16617317179998</v>
      </c>
      <c r="HV6">
        <v>91.495601172999997</v>
      </c>
      <c r="HW6">
        <v>624</v>
      </c>
      <c r="HX6">
        <v>19.787079408099999</v>
      </c>
      <c r="HY6">
        <v>-25.806451612899998</v>
      </c>
      <c r="HZ6">
        <v>-176</v>
      </c>
      <c r="IA6">
        <v>404.16617317179998</v>
      </c>
      <c r="IB6">
        <v>91.495601172999997</v>
      </c>
      <c r="IC6">
        <v>624</v>
      </c>
      <c r="ID6">
        <v>41.533838044200003</v>
      </c>
      <c r="IE6">
        <v>2.4775684199999998E-2</v>
      </c>
      <c r="IF6">
        <v>-35.190615835800003</v>
      </c>
      <c r="IG6">
        <v>-240</v>
      </c>
      <c r="IH6">
        <v>425.61547779300003</v>
      </c>
      <c r="II6">
        <v>100.87976539589999</v>
      </c>
      <c r="IJ6">
        <v>688</v>
      </c>
      <c r="IK6">
        <v>384.37909376379997</v>
      </c>
      <c r="IL6">
        <v>117.3020527859</v>
      </c>
      <c r="IM6">
        <v>409.62793853670001</v>
      </c>
      <c r="IN6">
        <v>126.6862170088</v>
      </c>
      <c r="IO6">
        <v>7.6000000007999997</v>
      </c>
      <c r="IP6">
        <v>5.6999999997000002</v>
      </c>
      <c r="IQ6">
        <v>9.5999999993999996</v>
      </c>
      <c r="IR6">
        <v>6.6396440456999999</v>
      </c>
      <c r="IS6">
        <v>6.6396440456999999</v>
      </c>
      <c r="IT6">
        <v>14.4</v>
      </c>
      <c r="IU6">
        <v>-28.152492668600001</v>
      </c>
      <c r="IV6">
        <v>16.799999999400001</v>
      </c>
      <c r="IW6">
        <v>46.920821114399999</v>
      </c>
      <c r="IX6">
        <v>13.3999999998</v>
      </c>
      <c r="IY6">
        <v>103.22580645159999</v>
      </c>
      <c r="IZ6">
        <v>-31.9124262763</v>
      </c>
      <c r="JA6">
        <v>0.32534657439999998</v>
      </c>
      <c r="JB6">
        <v>-3.404611E-4</v>
      </c>
      <c r="JC6">
        <v>7.1669999999999995E-7</v>
      </c>
      <c r="JD6">
        <v>0.29592524269999998</v>
      </c>
      <c r="JE6">
        <v>0.30965377729999999</v>
      </c>
      <c r="JF6">
        <v>0.1334339568</v>
      </c>
      <c r="JG6">
        <v>108.01977941219999</v>
      </c>
      <c r="JH6">
        <v>3.5994603803</v>
      </c>
      <c r="JI6">
        <v>2.7749646999999998E-3</v>
      </c>
      <c r="JJ6">
        <v>-7.4792700000000006E-5</v>
      </c>
      <c r="JK6">
        <v>3.3792318313999998</v>
      </c>
      <c r="JL6">
        <v>1.523131212</v>
      </c>
      <c r="JM6">
        <v>0.65529784520000001</v>
      </c>
      <c r="JN6" t="s">
        <v>538</v>
      </c>
      <c r="JQ6">
        <v>1</v>
      </c>
    </row>
    <row r="7" spans="1:277">
      <c r="A7" t="s">
        <v>596</v>
      </c>
      <c r="B7" t="s">
        <v>597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0.29999999970000002</v>
      </c>
      <c r="R7">
        <v>0.59999999940000004</v>
      </c>
      <c r="S7">
        <v>0.59999999940000004</v>
      </c>
      <c r="T7">
        <v>0.59999999940000004</v>
      </c>
      <c r="U7">
        <v>0.59999999940000004</v>
      </c>
      <c r="V7">
        <v>0.59999999940000004</v>
      </c>
      <c r="W7">
        <v>0.59999999940000004</v>
      </c>
      <c r="X7">
        <v>0.59999999940000004</v>
      </c>
      <c r="Y7">
        <v>0.59999999940000004</v>
      </c>
      <c r="Z7">
        <v>0.50000000010000001</v>
      </c>
      <c r="AA7">
        <v>0.59999999940000004</v>
      </c>
      <c r="AB7">
        <v>0.59999999940000004</v>
      </c>
      <c r="AC7">
        <v>0.59999999940000004</v>
      </c>
      <c r="AD7">
        <v>0.59999999940000004</v>
      </c>
      <c r="AE7">
        <v>0.69999999869999996</v>
      </c>
      <c r="AF7">
        <v>0.50000000010000001</v>
      </c>
      <c r="AG7">
        <v>0.29999999970000002</v>
      </c>
      <c r="AH7">
        <v>0</v>
      </c>
      <c r="AI7">
        <v>0.79999999980000003</v>
      </c>
      <c r="AJ7">
        <v>3.7999999986000002</v>
      </c>
      <c r="AK7">
        <v>8.7999999996000007</v>
      </c>
      <c r="AL7">
        <v>15.199999999799999</v>
      </c>
      <c r="AM7">
        <v>22.499999999100002</v>
      </c>
      <c r="AN7">
        <v>29.9999999988</v>
      </c>
      <c r="AO7">
        <v>37.499999998500002</v>
      </c>
      <c r="AP7">
        <v>45.299999999800001</v>
      </c>
      <c r="AQ7">
        <v>53.099999999200001</v>
      </c>
      <c r="AR7">
        <v>60.3999999985</v>
      </c>
      <c r="AS7">
        <v>67.799999998900006</v>
      </c>
      <c r="AT7">
        <v>76.099999998399994</v>
      </c>
      <c r="AU7">
        <v>84.1</v>
      </c>
      <c r="AV7">
        <v>92.299999998399997</v>
      </c>
      <c r="AW7">
        <v>101.1999999992</v>
      </c>
      <c r="AX7">
        <v>109.6999999991</v>
      </c>
      <c r="AY7">
        <v>117.8</v>
      </c>
      <c r="AZ7">
        <v>126.2999999999</v>
      </c>
      <c r="BA7">
        <v>134.8999999991</v>
      </c>
      <c r="BB7">
        <v>143.39999999899999</v>
      </c>
      <c r="BC7">
        <v>152</v>
      </c>
      <c r="BD7">
        <v>160.59999999920001</v>
      </c>
      <c r="BE7">
        <v>168.3999999987</v>
      </c>
      <c r="BF7">
        <v>176.59999999889999</v>
      </c>
      <c r="BG7">
        <v>184.79999999910001</v>
      </c>
      <c r="BH7">
        <v>193.0999999986</v>
      </c>
      <c r="BI7">
        <v>201.69999999960001</v>
      </c>
      <c r="BJ7">
        <v>210.09999999839999</v>
      </c>
      <c r="BK7">
        <v>217.99999999889999</v>
      </c>
      <c r="BL7">
        <v>225.80000000019999</v>
      </c>
      <c r="BM7">
        <v>233.89999999930001</v>
      </c>
      <c r="BN7">
        <v>241.8999999991</v>
      </c>
      <c r="BO7">
        <v>250</v>
      </c>
      <c r="BP7">
        <v>257.99999999980002</v>
      </c>
      <c r="BQ7">
        <v>265.5999999988</v>
      </c>
      <c r="BR7">
        <v>272.69999999949999</v>
      </c>
      <c r="BS7">
        <v>280.09999999989998</v>
      </c>
      <c r="BT7">
        <v>287.5999999997</v>
      </c>
      <c r="BU7">
        <v>295.00000000009999</v>
      </c>
      <c r="BV7">
        <v>302.49999999980002</v>
      </c>
      <c r="BW7">
        <v>309.79999999910001</v>
      </c>
      <c r="BX7">
        <v>316.7999999987</v>
      </c>
      <c r="BY7">
        <v>323.19999999890001</v>
      </c>
      <c r="BZ7">
        <v>329.99999999990001</v>
      </c>
      <c r="CA7">
        <v>336.79999999910001</v>
      </c>
      <c r="CB7">
        <v>343.39999999970001</v>
      </c>
      <c r="CC7">
        <v>349.99999999850002</v>
      </c>
      <c r="CD7">
        <v>356.49999999990001</v>
      </c>
      <c r="CE7">
        <v>362.90000000010002</v>
      </c>
      <c r="CF7">
        <v>368.69999999909999</v>
      </c>
      <c r="CG7">
        <v>374.39999999880001</v>
      </c>
      <c r="CH7">
        <v>380.49999999929997</v>
      </c>
      <c r="CI7">
        <v>386.49999999869999</v>
      </c>
      <c r="CJ7">
        <v>392.19999999840002</v>
      </c>
      <c r="CK7">
        <v>397.99999999919999</v>
      </c>
      <c r="CL7">
        <v>403.69999999890001</v>
      </c>
      <c r="CM7">
        <v>409.20000000009998</v>
      </c>
      <c r="CN7">
        <v>414.69999999940001</v>
      </c>
      <c r="CO7">
        <v>419.3999999989</v>
      </c>
      <c r="CP7">
        <v>424.49999999919999</v>
      </c>
      <c r="CQ7">
        <v>429.99999999850002</v>
      </c>
      <c r="CR7">
        <v>435.2999999992</v>
      </c>
      <c r="CS7">
        <v>440.29999999839998</v>
      </c>
      <c r="CT7">
        <v>445.29999999939997</v>
      </c>
      <c r="CU7">
        <v>449.29999999839998</v>
      </c>
      <c r="CV7">
        <v>450.49999999900001</v>
      </c>
      <c r="CW7">
        <v>450.49999999900001</v>
      </c>
      <c r="CX7">
        <v>450.60000000010001</v>
      </c>
      <c r="CY7">
        <v>450.49999999900001</v>
      </c>
      <c r="CZ7">
        <v>450.60000000010001</v>
      </c>
      <c r="DA7">
        <v>450.60000000010001</v>
      </c>
      <c r="DB7">
        <v>450.60000000010001</v>
      </c>
      <c r="DC7">
        <v>450.60000000010001</v>
      </c>
      <c r="DD7">
        <v>450.69999999940001</v>
      </c>
      <c r="DE7">
        <v>450.69999999940001</v>
      </c>
      <c r="DF7">
        <v>450.69999999940001</v>
      </c>
      <c r="DG7">
        <v>1.1999999988000001</v>
      </c>
      <c r="DH7">
        <v>1.5999999996000001</v>
      </c>
      <c r="DI7">
        <v>1.4999999985000001</v>
      </c>
      <c r="DJ7">
        <v>1.5999999996000001</v>
      </c>
      <c r="DK7">
        <v>1.4999999985000001</v>
      </c>
      <c r="DL7">
        <v>1.5999999996000001</v>
      </c>
      <c r="DM7">
        <v>1.4999999985000001</v>
      </c>
      <c r="DN7">
        <v>1.5999999996000001</v>
      </c>
      <c r="DO7">
        <v>1.5999999996000001</v>
      </c>
      <c r="DP7">
        <v>1.6999999989000001</v>
      </c>
      <c r="DQ7">
        <v>1.6999999989000001</v>
      </c>
      <c r="DR7">
        <v>1.8</v>
      </c>
      <c r="DS7">
        <v>1.8</v>
      </c>
      <c r="DT7">
        <v>1.8</v>
      </c>
      <c r="DU7">
        <v>1.6999999989000001</v>
      </c>
      <c r="DV7">
        <v>1.2999999999</v>
      </c>
      <c r="DW7">
        <v>1.2999999999</v>
      </c>
      <c r="DX7">
        <v>2.9999999987999999</v>
      </c>
      <c r="DY7">
        <v>7.4999999997</v>
      </c>
      <c r="DZ7">
        <v>14.0999999985</v>
      </c>
      <c r="EA7">
        <v>21.499999998900002</v>
      </c>
      <c r="EB7">
        <v>28.8999999993</v>
      </c>
      <c r="EC7">
        <v>36.399999999000002</v>
      </c>
      <c r="ED7">
        <v>44.099999999200001</v>
      </c>
      <c r="EE7">
        <v>51.899999998600002</v>
      </c>
      <c r="EF7">
        <v>59.099999998599998</v>
      </c>
      <c r="EG7">
        <v>66.499999998999996</v>
      </c>
      <c r="EH7">
        <v>74.699999999200003</v>
      </c>
      <c r="EI7">
        <v>82.899999999399995</v>
      </c>
      <c r="EJ7">
        <v>90.999999998500002</v>
      </c>
      <c r="EK7">
        <v>99.4999999984</v>
      </c>
      <c r="EL7">
        <v>107.8999999991</v>
      </c>
      <c r="EM7">
        <v>116.19999999860001</v>
      </c>
      <c r="EN7">
        <v>124.7999999996</v>
      </c>
      <c r="EO7">
        <v>133.49999999990001</v>
      </c>
      <c r="EP7">
        <v>141.9999999998</v>
      </c>
      <c r="EQ7">
        <v>150.599999999</v>
      </c>
      <c r="ER7">
        <v>159.2000000001</v>
      </c>
      <c r="ES7">
        <v>167.1999999999</v>
      </c>
      <c r="ET7">
        <v>175.40000000009999</v>
      </c>
      <c r="EU7">
        <v>183.9999999993</v>
      </c>
      <c r="EV7">
        <v>192.49999999920001</v>
      </c>
      <c r="EW7">
        <v>201.19999999949999</v>
      </c>
      <c r="EX7">
        <v>209.60000000010001</v>
      </c>
      <c r="EY7">
        <v>217.59999999990001</v>
      </c>
      <c r="EZ7">
        <v>225.59999999979999</v>
      </c>
      <c r="FA7">
        <v>233.89999999930001</v>
      </c>
      <c r="FB7">
        <v>242.0999999995</v>
      </c>
      <c r="FC7">
        <v>250.29999999969999</v>
      </c>
      <c r="FD7">
        <v>258.49999999990001</v>
      </c>
      <c r="FE7">
        <v>266.2</v>
      </c>
      <c r="FF7">
        <v>273.59999999860003</v>
      </c>
      <c r="FG7">
        <v>281.19999999940001</v>
      </c>
      <c r="FH7">
        <v>288.99999999890002</v>
      </c>
      <c r="FI7">
        <v>296.5999999997</v>
      </c>
      <c r="FJ7">
        <v>304.19999999869998</v>
      </c>
      <c r="FK7">
        <v>311.69999999840002</v>
      </c>
      <c r="FL7">
        <v>318.69999999980001</v>
      </c>
      <c r="FM7">
        <v>325.39999999970001</v>
      </c>
      <c r="FN7">
        <v>332.4999999986</v>
      </c>
      <c r="FO7">
        <v>339.3999999989</v>
      </c>
      <c r="FP7">
        <v>346.2999999992</v>
      </c>
      <c r="FQ7">
        <v>353.09999999839999</v>
      </c>
      <c r="FR7">
        <v>359.80000000019999</v>
      </c>
      <c r="FS7">
        <v>366.19999999859999</v>
      </c>
      <c r="FT7">
        <v>372.09999999870001</v>
      </c>
      <c r="FU7">
        <v>378.09999999989998</v>
      </c>
      <c r="FV7">
        <v>384.19999999859999</v>
      </c>
      <c r="FW7">
        <v>390.19999999980001</v>
      </c>
      <c r="FX7">
        <v>396.19999999919997</v>
      </c>
      <c r="FY7">
        <v>402</v>
      </c>
      <c r="FZ7">
        <v>407.69999999970003</v>
      </c>
      <c r="GA7">
        <v>413.30000000019999</v>
      </c>
      <c r="GB7">
        <v>418.20000000009998</v>
      </c>
      <c r="GC7">
        <v>423.1</v>
      </c>
      <c r="GD7">
        <v>428.1999999985</v>
      </c>
      <c r="GE7">
        <v>433.19999999949999</v>
      </c>
      <c r="GF7">
        <v>438.00000000009999</v>
      </c>
      <c r="GG7">
        <v>442.49999999919999</v>
      </c>
      <c r="GH7">
        <v>446.5999999993</v>
      </c>
      <c r="GI7">
        <v>449.49999999879998</v>
      </c>
      <c r="GJ7">
        <v>450.39999999970001</v>
      </c>
      <c r="GK7">
        <v>450.39999999970001</v>
      </c>
      <c r="GL7">
        <v>450.49999999900001</v>
      </c>
      <c r="GM7">
        <v>450.49999999900001</v>
      </c>
      <c r="GN7">
        <v>450.49999999900001</v>
      </c>
      <c r="GO7">
        <v>450.60000000010001</v>
      </c>
      <c r="GP7">
        <v>450.60000000010001</v>
      </c>
      <c r="GQ7">
        <v>450.60000000010001</v>
      </c>
      <c r="GR7">
        <v>450.69999999940001</v>
      </c>
      <c r="GS7">
        <v>450.69999999940001</v>
      </c>
      <c r="GT7">
        <v>450.69999999940001</v>
      </c>
      <c r="GU7">
        <v>450.69999999940001</v>
      </c>
      <c r="GV7">
        <v>450.7999999987</v>
      </c>
      <c r="GW7">
        <v>1</v>
      </c>
      <c r="GX7">
        <v>107.8999999991</v>
      </c>
      <c r="GY7">
        <v>101.1999999992</v>
      </c>
      <c r="GZ7">
        <v>101.1999999992</v>
      </c>
      <c r="HA7">
        <v>116.19999999860001</v>
      </c>
      <c r="HB7">
        <v>104.8173044915</v>
      </c>
      <c r="HC7">
        <v>-14.9999999994</v>
      </c>
      <c r="HD7">
        <v>450.7999999987</v>
      </c>
      <c r="HE7">
        <v>295.23982251889998</v>
      </c>
      <c r="HF7">
        <v>88.947121463399995</v>
      </c>
      <c r="HG7">
        <v>450.7999999987</v>
      </c>
      <c r="HH7">
        <v>450.7999999987</v>
      </c>
      <c r="HI7">
        <v>450.69999999940001</v>
      </c>
      <c r="HJ7">
        <v>450.7999999987</v>
      </c>
      <c r="HK7">
        <v>114.9560117302</v>
      </c>
      <c r="HL7">
        <v>3.4401604295000001</v>
      </c>
      <c r="HM7">
        <v>3.2875563122</v>
      </c>
      <c r="HN7">
        <v>3.3544554802</v>
      </c>
      <c r="HO7">
        <v>3.3087613451000002</v>
      </c>
      <c r="HP7">
        <v>3.6400633250999999</v>
      </c>
      <c r="HQ7">
        <v>2.3060232456</v>
      </c>
      <c r="HR7">
        <v>15.8701830281</v>
      </c>
      <c r="HS7">
        <v>-25.806451612899998</v>
      </c>
      <c r="HT7">
        <v>-176</v>
      </c>
      <c r="HU7">
        <v>400.0571270104</v>
      </c>
      <c r="HV7">
        <v>89.149560117299998</v>
      </c>
      <c r="HW7">
        <v>608</v>
      </c>
      <c r="HX7">
        <v>15.8701830281</v>
      </c>
      <c r="HY7">
        <v>-25.806451612899998</v>
      </c>
      <c r="HZ7">
        <v>-176</v>
      </c>
      <c r="IA7">
        <v>400.0571270104</v>
      </c>
      <c r="IB7">
        <v>89.149560117299998</v>
      </c>
      <c r="IC7">
        <v>608</v>
      </c>
      <c r="ID7">
        <v>50.7428729883</v>
      </c>
      <c r="IE7">
        <v>9.9833610999999992E-3</v>
      </c>
      <c r="IF7">
        <v>-35.190615835800003</v>
      </c>
      <c r="IG7">
        <v>-240</v>
      </c>
      <c r="IH7">
        <v>422.03302273989999</v>
      </c>
      <c r="II7">
        <v>98.533724340199996</v>
      </c>
      <c r="IJ7">
        <v>672</v>
      </c>
      <c r="IK7">
        <v>384.18694398230002</v>
      </c>
      <c r="IL7">
        <v>114.9560117302</v>
      </c>
      <c r="IM7">
        <v>407.76463671810001</v>
      </c>
      <c r="IN7">
        <v>124.3401759531</v>
      </c>
      <c r="IO7">
        <v>7.4000000004000004</v>
      </c>
      <c r="IP7">
        <v>5.6999999997000002</v>
      </c>
      <c r="IQ7">
        <v>8.9000000007000004</v>
      </c>
      <c r="IR7">
        <v>6.2070292244000003</v>
      </c>
      <c r="IS7">
        <v>6.2070292244000003</v>
      </c>
      <c r="IT7">
        <v>13.699999999499999</v>
      </c>
      <c r="IU7">
        <v>-25.806451612899998</v>
      </c>
      <c r="IV7">
        <v>16.699999998300001</v>
      </c>
      <c r="IW7">
        <v>56.304985337200002</v>
      </c>
      <c r="IX7">
        <v>14.5000000011</v>
      </c>
      <c r="IY7">
        <v>96.187683284499997</v>
      </c>
      <c r="IZ7">
        <v>-30.763475399699999</v>
      </c>
      <c r="JA7">
        <v>0.3209873466</v>
      </c>
      <c r="JB7">
        <v>-3.3449089999999999E-4</v>
      </c>
      <c r="JC7">
        <v>7.0240000000000004E-7</v>
      </c>
      <c r="JD7">
        <v>0.29068411789999998</v>
      </c>
      <c r="JE7">
        <v>0.21605414479999999</v>
      </c>
      <c r="JF7">
        <v>8.1780331999999997E-2</v>
      </c>
      <c r="JG7">
        <v>105.2897257516</v>
      </c>
      <c r="JH7">
        <v>3.6400633250999999</v>
      </c>
      <c r="JI7">
        <v>3.2983410000000002E-3</v>
      </c>
      <c r="JJ7">
        <v>-8.0616400000000003E-5</v>
      </c>
      <c r="JK7">
        <v>3.4401604295000001</v>
      </c>
      <c r="JL7">
        <v>1.1636507586</v>
      </c>
      <c r="JM7">
        <v>0.51389630389999996</v>
      </c>
      <c r="JN7" t="s">
        <v>538</v>
      </c>
      <c r="JQ7">
        <v>1</v>
      </c>
    </row>
    <row r="8" spans="1:277">
      <c r="A8" t="s">
        <v>626</v>
      </c>
      <c r="B8" t="s">
        <v>627</v>
      </c>
      <c r="C8" t="s">
        <v>212</v>
      </c>
      <c r="D8">
        <v>3</v>
      </c>
      <c r="E8" t="s">
        <v>213</v>
      </c>
      <c r="F8" t="s">
        <v>214</v>
      </c>
      <c r="G8" t="s">
        <v>537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7.1000000006999997</v>
      </c>
      <c r="R8">
        <v>6.4000000002000004</v>
      </c>
      <c r="S8">
        <v>6.3000000008999999</v>
      </c>
      <c r="T8">
        <v>6.3000000008999999</v>
      </c>
      <c r="U8">
        <v>5.8000000007999999</v>
      </c>
      <c r="V8">
        <v>5.4</v>
      </c>
      <c r="W8">
        <v>5.5000000011000001</v>
      </c>
      <c r="X8">
        <v>5.4</v>
      </c>
      <c r="Y8">
        <v>5.3000000006999999</v>
      </c>
      <c r="Z8">
        <v>5.1999999996000001</v>
      </c>
      <c r="AA8">
        <v>5.1999999996000001</v>
      </c>
      <c r="AB8">
        <v>5.1999999996000001</v>
      </c>
      <c r="AC8">
        <v>5.1000000002999997</v>
      </c>
      <c r="AD8">
        <v>4.8999999999000003</v>
      </c>
      <c r="AE8">
        <v>4.2000000012000003</v>
      </c>
      <c r="AF8">
        <v>2.9000000013</v>
      </c>
      <c r="AG8">
        <v>1.400000001</v>
      </c>
      <c r="AH8">
        <v>0</v>
      </c>
      <c r="AI8">
        <v>0.50000000010000001</v>
      </c>
      <c r="AJ8">
        <v>5.0000000010000001</v>
      </c>
      <c r="AK8">
        <v>11.700000000899999</v>
      </c>
      <c r="AL8">
        <v>18.799999999800001</v>
      </c>
      <c r="AM8">
        <v>25.600000000800001</v>
      </c>
      <c r="AN8">
        <v>32.699999999699997</v>
      </c>
      <c r="AO8">
        <v>40.6000000003</v>
      </c>
      <c r="AP8">
        <v>48.300000000399997</v>
      </c>
      <c r="AQ8">
        <v>55.700000000800003</v>
      </c>
      <c r="AR8">
        <v>63.4000000009</v>
      </c>
      <c r="AS8">
        <v>71.400000000700004</v>
      </c>
      <c r="AT8">
        <v>78.999999999699995</v>
      </c>
      <c r="AU8">
        <v>86.699999999799999</v>
      </c>
      <c r="AV8">
        <v>95.000000001199993</v>
      </c>
      <c r="AW8">
        <v>103.50000000110001</v>
      </c>
      <c r="AX8">
        <v>111.80000000059999</v>
      </c>
      <c r="AY8">
        <v>120.5000000009</v>
      </c>
      <c r="AZ8">
        <v>128.6</v>
      </c>
      <c r="BA8">
        <v>136.59999999979999</v>
      </c>
      <c r="BB8">
        <v>144.90000000110001</v>
      </c>
      <c r="BC8">
        <v>153.40000000110001</v>
      </c>
      <c r="BD8">
        <v>161.40000000090001</v>
      </c>
      <c r="BE8">
        <v>169.90000000079999</v>
      </c>
      <c r="BF8">
        <v>178.10000000100001</v>
      </c>
      <c r="BG8">
        <v>186.3000000012</v>
      </c>
      <c r="BH8">
        <v>194.60000000069999</v>
      </c>
      <c r="BI8">
        <v>202.90000000020001</v>
      </c>
      <c r="BJ8">
        <v>210.9</v>
      </c>
      <c r="BK8">
        <v>219.10000000030001</v>
      </c>
      <c r="BL8">
        <v>227.30000000050001</v>
      </c>
      <c r="BM8">
        <v>235.00000000060001</v>
      </c>
      <c r="BN8">
        <v>242.90000000110001</v>
      </c>
      <c r="BO8">
        <v>251.0000000002</v>
      </c>
      <c r="BP8">
        <v>258.7999999996</v>
      </c>
      <c r="BQ8">
        <v>266.40000000039998</v>
      </c>
      <c r="BR8">
        <v>274.19999999980001</v>
      </c>
      <c r="BS8">
        <v>281.80000000069998</v>
      </c>
      <c r="BT8">
        <v>289.10000000000002</v>
      </c>
      <c r="BU8">
        <v>296.40000000110001</v>
      </c>
      <c r="BV8">
        <v>303.79999999969999</v>
      </c>
      <c r="BW8">
        <v>310.99999999969998</v>
      </c>
      <c r="BX8">
        <v>317.89999999999998</v>
      </c>
      <c r="BY8">
        <v>325.00000000070003</v>
      </c>
      <c r="BZ8">
        <v>331.70000000060003</v>
      </c>
      <c r="CA8">
        <v>338.30000000130002</v>
      </c>
      <c r="CB8">
        <v>344.90000000010002</v>
      </c>
      <c r="CC8">
        <v>351.70000000110002</v>
      </c>
      <c r="CD8">
        <v>358.00000000019998</v>
      </c>
      <c r="CE8">
        <v>364.30000000109999</v>
      </c>
      <c r="CF8">
        <v>370.5000000009</v>
      </c>
      <c r="CG8">
        <v>376.90000000110001</v>
      </c>
      <c r="CH8">
        <v>382.99999999980002</v>
      </c>
      <c r="CI8">
        <v>388.80000000059999</v>
      </c>
      <c r="CJ8">
        <v>394.50000000030002</v>
      </c>
      <c r="CK8">
        <v>400.30000000119998</v>
      </c>
      <c r="CL8">
        <v>406.0000000009</v>
      </c>
      <c r="CM8">
        <v>411.40000000089998</v>
      </c>
      <c r="CN8">
        <v>416.69999999980001</v>
      </c>
      <c r="CO8">
        <v>422.20000000089999</v>
      </c>
      <c r="CP8">
        <v>427.99999999990001</v>
      </c>
      <c r="CQ8">
        <v>433.70000000139999</v>
      </c>
      <c r="CR8">
        <v>439.40000000110001</v>
      </c>
      <c r="CS8">
        <v>444.1999999999</v>
      </c>
      <c r="CT8">
        <v>446.4000000007</v>
      </c>
      <c r="CU8">
        <v>446.6000000011</v>
      </c>
      <c r="CV8">
        <v>446.79999999969999</v>
      </c>
      <c r="CW8">
        <v>446.90000000079999</v>
      </c>
      <c r="CX8">
        <v>447.00000000009999</v>
      </c>
      <c r="CY8">
        <v>447.00000000009999</v>
      </c>
      <c r="CZ8">
        <v>447.00000000009999</v>
      </c>
      <c r="DA8">
        <v>447.00000000009999</v>
      </c>
      <c r="DB8">
        <v>447.10000000119999</v>
      </c>
      <c r="DC8">
        <v>447.00000000009999</v>
      </c>
      <c r="DD8">
        <v>447.10000000119999</v>
      </c>
      <c r="DE8">
        <v>447.10000000119999</v>
      </c>
      <c r="DF8">
        <v>447.10000000119999</v>
      </c>
      <c r="DG8">
        <v>7.9000000005000004</v>
      </c>
      <c r="DH8">
        <v>7.3000000010999999</v>
      </c>
      <c r="DI8">
        <v>7.4000000004000004</v>
      </c>
      <c r="DJ8">
        <v>7.3000000010999999</v>
      </c>
      <c r="DK8">
        <v>7.3000000010999999</v>
      </c>
      <c r="DL8">
        <v>7.2</v>
      </c>
      <c r="DM8">
        <v>7.1000000006999997</v>
      </c>
      <c r="DN8">
        <v>6.5000000013000001</v>
      </c>
      <c r="DO8">
        <v>6.5000000013000001</v>
      </c>
      <c r="DP8">
        <v>6.3000000008999999</v>
      </c>
      <c r="DQ8">
        <v>6.3000000008999999</v>
      </c>
      <c r="DR8">
        <v>6.1999999998000002</v>
      </c>
      <c r="DS8">
        <v>6.0000000012000001</v>
      </c>
      <c r="DT8">
        <v>5.1999999996000001</v>
      </c>
      <c r="DU8">
        <v>3.8999999996999999</v>
      </c>
      <c r="DV8">
        <v>2.3000000000999998</v>
      </c>
      <c r="DW8">
        <v>1.2000000006</v>
      </c>
      <c r="DX8">
        <v>3.6</v>
      </c>
      <c r="DY8">
        <v>10.0000000002</v>
      </c>
      <c r="DZ8">
        <v>17.300000001299999</v>
      </c>
      <c r="EA8">
        <v>24.199999999799999</v>
      </c>
      <c r="EB8">
        <v>31.300000000600001</v>
      </c>
      <c r="EC8">
        <v>38.700000000999999</v>
      </c>
      <c r="ED8">
        <v>46.700000000800003</v>
      </c>
      <c r="EE8">
        <v>53.900000000799999</v>
      </c>
      <c r="EF8">
        <v>61.4000000005</v>
      </c>
      <c r="EG8">
        <v>69.400000000299997</v>
      </c>
      <c r="EH8">
        <v>77.199999999699997</v>
      </c>
      <c r="EI8">
        <v>84.800000000500006</v>
      </c>
      <c r="EJ8">
        <v>92.800000000400004</v>
      </c>
      <c r="EK8">
        <v>101.09999999990001</v>
      </c>
      <c r="EL8">
        <v>109.2000000008</v>
      </c>
      <c r="EM8">
        <v>118.00000000039999</v>
      </c>
      <c r="EN8">
        <v>126.50000000030001</v>
      </c>
      <c r="EO8">
        <v>134.50000000009999</v>
      </c>
      <c r="EP8">
        <v>142.9000000007</v>
      </c>
      <c r="EQ8">
        <v>151.40000000059999</v>
      </c>
      <c r="ER8">
        <v>159.6000000009</v>
      </c>
      <c r="ES8">
        <v>167.99999999970001</v>
      </c>
      <c r="ET8">
        <v>176.4000000003</v>
      </c>
      <c r="EU8">
        <v>184.50000000119999</v>
      </c>
      <c r="EV8">
        <v>192.69999999960001</v>
      </c>
      <c r="EW8">
        <v>201.2000000013</v>
      </c>
      <c r="EX8">
        <v>209.30000000039999</v>
      </c>
      <c r="EY8">
        <v>217.4000000014</v>
      </c>
      <c r="EZ8">
        <v>225.70000000089999</v>
      </c>
      <c r="FA8">
        <v>233.70000000069999</v>
      </c>
      <c r="FB8">
        <v>241.60000000119999</v>
      </c>
      <c r="FC8">
        <v>249.60000000100001</v>
      </c>
      <c r="FD8">
        <v>257.60000000079998</v>
      </c>
      <c r="FE8">
        <v>265.19999999980001</v>
      </c>
      <c r="FF8">
        <v>273.00000000099999</v>
      </c>
      <c r="FG8">
        <v>280.60000000000002</v>
      </c>
      <c r="FH8">
        <v>288.00000000049999</v>
      </c>
      <c r="FI8">
        <v>295.50000000019998</v>
      </c>
      <c r="FJ8">
        <v>302.90000000060002</v>
      </c>
      <c r="FK8">
        <v>310.10000000060001</v>
      </c>
      <c r="FL8">
        <v>317.1000000002</v>
      </c>
      <c r="FM8">
        <v>324.30000000019999</v>
      </c>
      <c r="FN8">
        <v>331.40000000089998</v>
      </c>
      <c r="FO8">
        <v>337.90000000039998</v>
      </c>
      <c r="FP8">
        <v>344.69999999959998</v>
      </c>
      <c r="FQ8">
        <v>351.40000000139997</v>
      </c>
      <c r="FR8">
        <v>358.10000000129997</v>
      </c>
      <c r="FS8">
        <v>364.2</v>
      </c>
      <c r="FT8">
        <v>370.6000000002</v>
      </c>
      <c r="FU8">
        <v>377.0999999997</v>
      </c>
      <c r="FV8">
        <v>383.40000000060002</v>
      </c>
      <c r="FW8">
        <v>388.89999999989999</v>
      </c>
      <c r="FX8">
        <v>394.50000000030002</v>
      </c>
      <c r="FY8">
        <v>400.40000000039998</v>
      </c>
      <c r="FZ8">
        <v>406.30000000059999</v>
      </c>
      <c r="GA8">
        <v>411.70000000060003</v>
      </c>
      <c r="GB8">
        <v>417.00000000130001</v>
      </c>
      <c r="GC8">
        <v>423.1</v>
      </c>
      <c r="GD8">
        <v>428.79999999969999</v>
      </c>
      <c r="GE8">
        <v>433.70000000139999</v>
      </c>
      <c r="GF8">
        <v>438.00000000009999</v>
      </c>
      <c r="GG8">
        <v>442.39999999989999</v>
      </c>
      <c r="GH8">
        <v>445.90000000060002</v>
      </c>
      <c r="GI8">
        <v>446.90000000079999</v>
      </c>
      <c r="GJ8">
        <v>446.90000000079999</v>
      </c>
      <c r="GK8">
        <v>446.90000000079999</v>
      </c>
      <c r="GL8">
        <v>446.90000000079999</v>
      </c>
      <c r="GM8">
        <v>447.00000000009999</v>
      </c>
      <c r="GN8">
        <v>446.90000000079999</v>
      </c>
      <c r="GO8">
        <v>446.90000000079999</v>
      </c>
      <c r="GP8">
        <v>446.90000000079999</v>
      </c>
      <c r="GQ8">
        <v>447.00000000009999</v>
      </c>
      <c r="GR8">
        <v>447.00000000009999</v>
      </c>
      <c r="GS8">
        <v>447.10000000119999</v>
      </c>
      <c r="GT8">
        <v>447.10000000119999</v>
      </c>
      <c r="GU8">
        <v>447.20000000049998</v>
      </c>
      <c r="GV8">
        <v>447.10000000119999</v>
      </c>
      <c r="GW8">
        <v>1</v>
      </c>
      <c r="GX8">
        <v>102.80000000059999</v>
      </c>
      <c r="GY8">
        <v>103.50000000110001</v>
      </c>
      <c r="GZ8">
        <v>103.50000000110001</v>
      </c>
      <c r="HA8">
        <v>118.00000000039999</v>
      </c>
      <c r="HB8">
        <v>107.091356369</v>
      </c>
      <c r="HC8">
        <v>-14.4999999993</v>
      </c>
      <c r="HD8">
        <v>447.10000000119999</v>
      </c>
      <c r="HE8">
        <v>303.55953259500001</v>
      </c>
      <c r="HF8">
        <v>87.591088002800007</v>
      </c>
      <c r="HG8">
        <v>447.20000000049998</v>
      </c>
      <c r="HH8">
        <v>447.20000000049998</v>
      </c>
      <c r="HI8">
        <v>447.10000000119999</v>
      </c>
      <c r="HJ8">
        <v>447.20000000049998</v>
      </c>
      <c r="HK8">
        <v>112.6099706745</v>
      </c>
      <c r="HL8">
        <v>3.3691085895000001</v>
      </c>
      <c r="HM8">
        <v>3.2375871032000001</v>
      </c>
      <c r="HN8">
        <v>3.2725975367000002</v>
      </c>
      <c r="HO8">
        <v>3.2905261438000002</v>
      </c>
      <c r="HP8">
        <v>3.5871090380999999</v>
      </c>
      <c r="HQ8">
        <v>2.2048608014000002</v>
      </c>
      <c r="HR8">
        <v>19.5002683662</v>
      </c>
      <c r="HS8">
        <v>-25.806451612899998</v>
      </c>
      <c r="HT8">
        <v>-176</v>
      </c>
      <c r="HU8">
        <v>410.65088896409998</v>
      </c>
      <c r="HV8">
        <v>93.841642228699996</v>
      </c>
      <c r="HW8">
        <v>640</v>
      </c>
      <c r="HX8">
        <v>19.5002683662</v>
      </c>
      <c r="HY8">
        <v>-25.806451612899998</v>
      </c>
      <c r="HZ8">
        <v>-176</v>
      </c>
      <c r="IA8">
        <v>410.65088896409998</v>
      </c>
      <c r="IB8">
        <v>93.841642228699996</v>
      </c>
      <c r="IC8">
        <v>640</v>
      </c>
      <c r="ID8">
        <v>36.549111036500001</v>
      </c>
      <c r="IE8">
        <v>1.4491781299999999E-2</v>
      </c>
      <c r="IF8">
        <v>-35.190615835800003</v>
      </c>
      <c r="IG8">
        <v>-240</v>
      </c>
      <c r="IH8">
        <v>433.20620597250002</v>
      </c>
      <c r="II8">
        <v>103.22580645159999</v>
      </c>
      <c r="IJ8">
        <v>704</v>
      </c>
      <c r="IK8">
        <v>391.1506205979</v>
      </c>
      <c r="IL8">
        <v>119.6480938416</v>
      </c>
      <c r="IM8">
        <v>417.0109359265</v>
      </c>
      <c r="IN8">
        <v>129.03225806450001</v>
      </c>
      <c r="IO8">
        <v>7.3000000010999999</v>
      </c>
      <c r="IP8">
        <v>6.0999999987000004</v>
      </c>
      <c r="IQ8">
        <v>8.7999999996000007</v>
      </c>
      <c r="IR8">
        <v>6.5594216313000002</v>
      </c>
      <c r="IS8">
        <v>6.5594216313000002</v>
      </c>
      <c r="IT8">
        <v>12.4999999989</v>
      </c>
      <c r="IU8">
        <v>-28.152492668600001</v>
      </c>
      <c r="IV8">
        <v>14.9999999994</v>
      </c>
      <c r="IW8">
        <v>16.422287390000001</v>
      </c>
      <c r="IX8">
        <v>11.5000000005</v>
      </c>
      <c r="IY8">
        <v>103.22580645159999</v>
      </c>
      <c r="IZ8">
        <v>-31.944765903</v>
      </c>
      <c r="JA8">
        <v>0.32717317820000003</v>
      </c>
      <c r="JB8">
        <v>-3.429196E-4</v>
      </c>
      <c r="JC8">
        <v>7.0930000000000003E-7</v>
      </c>
      <c r="JD8">
        <v>0.29681441650000001</v>
      </c>
      <c r="JE8">
        <v>0.18576584609999999</v>
      </c>
      <c r="JF8">
        <v>6.9676797999999998E-2</v>
      </c>
      <c r="JG8">
        <v>107.59428868240001</v>
      </c>
      <c r="JH8">
        <v>3.5871090380999999</v>
      </c>
      <c r="JI8">
        <v>2.9184125000000002E-3</v>
      </c>
      <c r="JJ8">
        <v>-7.3053599999999995E-5</v>
      </c>
      <c r="JK8">
        <v>3.3691085895000001</v>
      </c>
      <c r="JL8">
        <v>1.2774235447</v>
      </c>
      <c r="JM8">
        <v>0.49392048389999998</v>
      </c>
      <c r="JN8" t="s">
        <v>538</v>
      </c>
      <c r="JQ8">
        <v>1</v>
      </c>
    </row>
    <row r="9" spans="1:277">
      <c r="A9" t="s">
        <v>628</v>
      </c>
      <c r="B9" t="s">
        <v>629</v>
      </c>
      <c r="C9" t="s">
        <v>212</v>
      </c>
      <c r="D9">
        <v>3</v>
      </c>
      <c r="E9" t="s">
        <v>213</v>
      </c>
      <c r="F9" t="s">
        <v>214</v>
      </c>
      <c r="G9" t="s">
        <v>537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0</v>
      </c>
      <c r="R9">
        <v>0.79999999980000003</v>
      </c>
      <c r="S9">
        <v>0.90000000089999999</v>
      </c>
      <c r="T9">
        <v>1.0000000002</v>
      </c>
      <c r="U9">
        <v>1.0999999995</v>
      </c>
      <c r="V9">
        <v>1.0999999995</v>
      </c>
      <c r="W9">
        <v>1.2000000006</v>
      </c>
      <c r="X9">
        <v>1.2999999999</v>
      </c>
      <c r="Y9">
        <v>1.400000001</v>
      </c>
      <c r="Z9">
        <v>1.8</v>
      </c>
      <c r="AA9">
        <v>2.2000000007999998</v>
      </c>
      <c r="AB9">
        <v>3.0999999999000001</v>
      </c>
      <c r="AC9">
        <v>4.3000000004999999</v>
      </c>
      <c r="AD9">
        <v>5.8000000007999999</v>
      </c>
      <c r="AE9">
        <v>7.1000000006999997</v>
      </c>
      <c r="AF9">
        <v>7.9000000005000004</v>
      </c>
      <c r="AG9">
        <v>8.6000000009999997</v>
      </c>
      <c r="AH9">
        <v>10.5000000003</v>
      </c>
      <c r="AI9">
        <v>13.5000000009</v>
      </c>
      <c r="AJ9">
        <v>18.500000000099998</v>
      </c>
      <c r="AK9">
        <v>25.299999999299999</v>
      </c>
      <c r="AL9">
        <v>32.100000000400001</v>
      </c>
      <c r="AM9">
        <v>38.5999999999</v>
      </c>
      <c r="AN9">
        <v>45.5999999995</v>
      </c>
      <c r="AO9">
        <v>53.400000000699997</v>
      </c>
      <c r="AP9">
        <v>60.799999999299999</v>
      </c>
      <c r="AQ9">
        <v>67.999999999300002</v>
      </c>
      <c r="AR9">
        <v>76.000000000900002</v>
      </c>
      <c r="AS9">
        <v>83.599999999900007</v>
      </c>
      <c r="AT9">
        <v>90.899999999200006</v>
      </c>
      <c r="AU9">
        <v>98.599999999399998</v>
      </c>
      <c r="AV9">
        <v>106.9000000007</v>
      </c>
      <c r="AW9">
        <v>115.1000000009</v>
      </c>
      <c r="AX9">
        <v>123.49999999969999</v>
      </c>
      <c r="AY9">
        <v>132.10000000069999</v>
      </c>
      <c r="AZ9">
        <v>139.90000000009999</v>
      </c>
      <c r="BA9">
        <v>147.69999999949999</v>
      </c>
      <c r="BB9">
        <v>156.19999999940001</v>
      </c>
      <c r="BC9">
        <v>164.39999999969999</v>
      </c>
      <c r="BD9">
        <v>172.30000000019999</v>
      </c>
      <c r="BE9">
        <v>180.8000000001</v>
      </c>
      <c r="BF9">
        <v>188.7000000006</v>
      </c>
      <c r="BG9">
        <v>196.4000000007</v>
      </c>
      <c r="BH9">
        <v>204.2000000001</v>
      </c>
      <c r="BI9">
        <v>212.10000000060001</v>
      </c>
      <c r="BJ9">
        <v>220.30000000090001</v>
      </c>
      <c r="BK9">
        <v>228.4999999993</v>
      </c>
      <c r="BL9">
        <v>236.5000000009</v>
      </c>
      <c r="BM9">
        <v>244.00000000060001</v>
      </c>
      <c r="BN9">
        <v>251.59999999959999</v>
      </c>
      <c r="BO9">
        <v>259.50000000009999</v>
      </c>
      <c r="BP9">
        <v>267.29999999950002</v>
      </c>
      <c r="BQ9">
        <v>274.6999999999</v>
      </c>
      <c r="BR9">
        <v>282.40000000010002</v>
      </c>
      <c r="BS9">
        <v>289.69999999940001</v>
      </c>
      <c r="BT9">
        <v>296.7000000008</v>
      </c>
      <c r="BU9">
        <v>303.7000000004</v>
      </c>
      <c r="BV9">
        <v>310.99999999969998</v>
      </c>
      <c r="BW9">
        <v>317.89999999999998</v>
      </c>
      <c r="BX9">
        <v>325.00000000070003</v>
      </c>
      <c r="BY9">
        <v>332.00000000030002</v>
      </c>
      <c r="BZ9">
        <v>338.70000000020002</v>
      </c>
      <c r="CA9">
        <v>345.10000000050002</v>
      </c>
      <c r="CB9">
        <v>351.39999999960003</v>
      </c>
      <c r="CC9">
        <v>357.70000000049998</v>
      </c>
      <c r="CD9">
        <v>364.10000000069999</v>
      </c>
      <c r="CE9">
        <v>370.30000000050001</v>
      </c>
      <c r="CF9">
        <v>376.50000000030002</v>
      </c>
      <c r="CG9">
        <v>382.70000000009998</v>
      </c>
      <c r="CH9">
        <v>388.6000000002</v>
      </c>
      <c r="CI9">
        <v>394.39999999920002</v>
      </c>
      <c r="CJ9">
        <v>400.10000000069999</v>
      </c>
      <c r="CK9">
        <v>405.39999999960003</v>
      </c>
      <c r="CL9">
        <v>410.90000000079999</v>
      </c>
      <c r="CM9">
        <v>416.49999999940002</v>
      </c>
      <c r="CN9">
        <v>421.89999999939999</v>
      </c>
      <c r="CO9">
        <v>427.29999999939997</v>
      </c>
      <c r="CP9">
        <v>432.60000000010001</v>
      </c>
      <c r="CQ9">
        <v>438.29999999979998</v>
      </c>
      <c r="CR9">
        <v>442.9</v>
      </c>
      <c r="CS9">
        <v>445.99999999990001</v>
      </c>
      <c r="CT9">
        <v>449.30000000019999</v>
      </c>
      <c r="CU9">
        <v>452.10000000039997</v>
      </c>
      <c r="CV9">
        <v>453.1999999999</v>
      </c>
      <c r="CW9">
        <v>453.1999999999</v>
      </c>
      <c r="CX9">
        <v>453.300000001</v>
      </c>
      <c r="CY9">
        <v>453.300000001</v>
      </c>
      <c r="CZ9">
        <v>453.300000001</v>
      </c>
      <c r="DA9">
        <v>453.1999999999</v>
      </c>
      <c r="DB9">
        <v>453.300000001</v>
      </c>
      <c r="DC9">
        <v>453.1999999999</v>
      </c>
      <c r="DD9">
        <v>453.300000001</v>
      </c>
      <c r="DE9">
        <v>453.1999999999</v>
      </c>
      <c r="DF9">
        <v>453.300000001</v>
      </c>
      <c r="DG9">
        <v>1.2000000006</v>
      </c>
      <c r="DH9">
        <v>2.0000000004</v>
      </c>
      <c r="DI9">
        <v>2.0999999997000001</v>
      </c>
      <c r="DJ9">
        <v>2.3000000000999998</v>
      </c>
      <c r="DK9">
        <v>2.3999999993999999</v>
      </c>
      <c r="DL9">
        <v>2.5000000005</v>
      </c>
      <c r="DM9">
        <v>2.7000000008999998</v>
      </c>
      <c r="DN9">
        <v>2.8000000001999998</v>
      </c>
      <c r="DO9">
        <v>3.2000000009999998</v>
      </c>
      <c r="DP9">
        <v>3.6999999993000001</v>
      </c>
      <c r="DQ9">
        <v>4.8999999999000003</v>
      </c>
      <c r="DR9">
        <v>6.1000000004999997</v>
      </c>
      <c r="DS9">
        <v>7.2</v>
      </c>
      <c r="DT9">
        <v>7.9999999998</v>
      </c>
      <c r="DU9">
        <v>9.2000000003999993</v>
      </c>
      <c r="DV9">
        <v>10.5000000003</v>
      </c>
      <c r="DW9">
        <v>13.0000000008</v>
      </c>
      <c r="DX9">
        <v>17.700000000300001</v>
      </c>
      <c r="DY9">
        <v>24.699999999900001</v>
      </c>
      <c r="DZ9">
        <v>31.500000001</v>
      </c>
      <c r="EA9">
        <v>38.099999999799998</v>
      </c>
      <c r="EB9">
        <v>45.000000000100002</v>
      </c>
      <c r="EC9">
        <v>52.600000000900003</v>
      </c>
      <c r="ED9">
        <v>60.199999999900001</v>
      </c>
      <c r="EE9">
        <v>67.300000000599994</v>
      </c>
      <c r="EF9">
        <v>75.199999999300005</v>
      </c>
      <c r="EG9">
        <v>82.800000000099999</v>
      </c>
      <c r="EH9">
        <v>90.000000000100002</v>
      </c>
      <c r="EI9">
        <v>97.600000000999998</v>
      </c>
      <c r="EJ9">
        <v>105.9000000005</v>
      </c>
      <c r="EK9">
        <v>113.9000000003</v>
      </c>
      <c r="EL9">
        <v>121.9999999994</v>
      </c>
      <c r="EM9">
        <v>130.6999999997</v>
      </c>
      <c r="EN9">
        <v>138.69999999949999</v>
      </c>
      <c r="EO9">
        <v>146.5000000007</v>
      </c>
      <c r="EP9">
        <v>155.0000000007</v>
      </c>
      <c r="EQ9">
        <v>163.39999999950001</v>
      </c>
      <c r="ER9">
        <v>171.3</v>
      </c>
      <c r="ES9">
        <v>179.900000001</v>
      </c>
      <c r="ET9">
        <v>187.79999999969999</v>
      </c>
      <c r="EU9">
        <v>195.70000000019999</v>
      </c>
      <c r="EV9">
        <v>203.60000000069999</v>
      </c>
      <c r="EW9">
        <v>211.80000000090001</v>
      </c>
      <c r="EX9">
        <v>219.9999999993</v>
      </c>
      <c r="EY9">
        <v>228.30000000070001</v>
      </c>
      <c r="EZ9">
        <v>236.3999999998</v>
      </c>
      <c r="FA9">
        <v>244.09999999990001</v>
      </c>
      <c r="FB9">
        <v>251.70000000069999</v>
      </c>
      <c r="FC9">
        <v>259.79999999979998</v>
      </c>
      <c r="FD9">
        <v>267.70000000030001</v>
      </c>
      <c r="FE9">
        <v>275.40000000039998</v>
      </c>
      <c r="FF9">
        <v>283.1999999999</v>
      </c>
      <c r="FG9">
        <v>290.60000000029999</v>
      </c>
      <c r="FH9">
        <v>297.89999999960003</v>
      </c>
      <c r="FI9">
        <v>305.00000000030002</v>
      </c>
      <c r="FJ9">
        <v>312.2999999996</v>
      </c>
      <c r="FK9">
        <v>319.60000000069999</v>
      </c>
      <c r="FL9">
        <v>326.89999999999998</v>
      </c>
      <c r="FM9">
        <v>334.00000000070003</v>
      </c>
      <c r="FN9">
        <v>340.79999999990002</v>
      </c>
      <c r="FO9">
        <v>347.29999999939997</v>
      </c>
      <c r="FP9">
        <v>353.80000000080003</v>
      </c>
      <c r="FQ9">
        <v>360.30000000029997</v>
      </c>
      <c r="FR9">
        <v>366.90000000089998</v>
      </c>
      <c r="FS9">
        <v>373.2</v>
      </c>
      <c r="FT9">
        <v>379.69999999949999</v>
      </c>
      <c r="FU9">
        <v>386.00000000040001</v>
      </c>
      <c r="FV9">
        <v>392.20000000020002</v>
      </c>
      <c r="FW9">
        <v>397.5000000009</v>
      </c>
      <c r="FX9">
        <v>403.00000000019998</v>
      </c>
      <c r="FY9">
        <v>408.60000000069999</v>
      </c>
      <c r="FZ9">
        <v>414.19999999930002</v>
      </c>
      <c r="GA9">
        <v>419.7000000004</v>
      </c>
      <c r="GB9">
        <v>424.9</v>
      </c>
      <c r="GC9">
        <v>430.20000000070002</v>
      </c>
      <c r="GD9">
        <v>435.49999999959999</v>
      </c>
      <c r="GE9">
        <v>440.59999999989998</v>
      </c>
      <c r="GF9">
        <v>443.90000000020001</v>
      </c>
      <c r="GG9">
        <v>446.5999999993</v>
      </c>
      <c r="GH9">
        <v>449.80000000029997</v>
      </c>
      <c r="GI9">
        <v>452.10000000039997</v>
      </c>
      <c r="GJ9">
        <v>453.10000000060001</v>
      </c>
      <c r="GK9">
        <v>452.99999999950001</v>
      </c>
      <c r="GL9">
        <v>453.10000000060001</v>
      </c>
      <c r="GM9">
        <v>453.10000000060001</v>
      </c>
      <c r="GN9">
        <v>453.10000000060001</v>
      </c>
      <c r="GO9">
        <v>453.1999999999</v>
      </c>
      <c r="GP9">
        <v>453.1999999999</v>
      </c>
      <c r="GQ9">
        <v>453.1999999999</v>
      </c>
      <c r="GR9">
        <v>453.1999999999</v>
      </c>
      <c r="GS9">
        <v>453.1999999999</v>
      </c>
      <c r="GT9">
        <v>453.300000001</v>
      </c>
      <c r="GU9">
        <v>453.300000001</v>
      </c>
      <c r="GV9">
        <v>453.300000001</v>
      </c>
      <c r="GW9">
        <v>1</v>
      </c>
      <c r="GX9">
        <v>121.6000000004</v>
      </c>
      <c r="GY9">
        <v>115.1000000009</v>
      </c>
      <c r="GZ9">
        <v>115.1000000009</v>
      </c>
      <c r="HA9">
        <v>130.6999999997</v>
      </c>
      <c r="HB9">
        <v>119.3295168768</v>
      </c>
      <c r="HC9">
        <v>-15.5999999988</v>
      </c>
      <c r="HD9">
        <v>453.300000001</v>
      </c>
      <c r="HE9">
        <v>293.43497683530001</v>
      </c>
      <c r="HF9">
        <v>93.134392235899995</v>
      </c>
      <c r="HG9">
        <v>453.300000001</v>
      </c>
      <c r="HH9">
        <v>453.300000001</v>
      </c>
      <c r="HI9">
        <v>453.300000001</v>
      </c>
      <c r="HJ9">
        <v>453.300000001</v>
      </c>
      <c r="HK9">
        <v>114.9560117302</v>
      </c>
      <c r="HL9">
        <v>3.3356915152000002</v>
      </c>
      <c r="HM9">
        <v>3.1856374999999999</v>
      </c>
      <c r="HN9">
        <v>3.2524057309000001</v>
      </c>
      <c r="HO9">
        <v>3.1570663702999999</v>
      </c>
      <c r="HP9">
        <v>3.519904613</v>
      </c>
      <c r="HQ9">
        <v>2.2409318760999999</v>
      </c>
      <c r="HR9">
        <v>26.195124640900001</v>
      </c>
      <c r="HS9">
        <v>-28.152492668600001</v>
      </c>
      <c r="HT9">
        <v>-192</v>
      </c>
      <c r="HU9">
        <v>412.76449371220002</v>
      </c>
      <c r="HV9">
        <v>91.495601172999997</v>
      </c>
      <c r="HW9">
        <v>624</v>
      </c>
      <c r="HX9">
        <v>26.195124640900001</v>
      </c>
      <c r="HY9">
        <v>-28.152492668600001</v>
      </c>
      <c r="HZ9">
        <v>-192</v>
      </c>
      <c r="IA9">
        <v>412.76449371220002</v>
      </c>
      <c r="IB9">
        <v>91.495601172999997</v>
      </c>
      <c r="IC9">
        <v>624</v>
      </c>
      <c r="ID9">
        <v>40.535506288900002</v>
      </c>
      <c r="IE9">
        <v>8.7048312386000006</v>
      </c>
      <c r="IF9">
        <v>-37.536656891500002</v>
      </c>
      <c r="IG9">
        <v>-256</v>
      </c>
      <c r="IH9">
        <v>434.76194573079999</v>
      </c>
      <c r="II9">
        <v>100.87976539589999</v>
      </c>
      <c r="IJ9">
        <v>688</v>
      </c>
      <c r="IK9">
        <v>386.5693690713</v>
      </c>
      <c r="IL9">
        <v>119.6480938416</v>
      </c>
      <c r="IM9">
        <v>409.83476726139997</v>
      </c>
      <c r="IN9">
        <v>129.03225806450001</v>
      </c>
      <c r="IO9">
        <v>6.9999999996</v>
      </c>
      <c r="IP9">
        <v>5.6999999997000002</v>
      </c>
      <c r="IQ9">
        <v>8.7000000002999993</v>
      </c>
      <c r="IR9">
        <v>5.5745262219000002</v>
      </c>
      <c r="IS9">
        <v>5.5745262219000002</v>
      </c>
      <c r="IT9">
        <v>13.0000000008</v>
      </c>
      <c r="IU9">
        <v>-30.4985337243</v>
      </c>
      <c r="IV9">
        <v>16.2</v>
      </c>
      <c r="IW9">
        <v>28.152492668600001</v>
      </c>
      <c r="IX9">
        <v>13.6000000002</v>
      </c>
      <c r="IY9">
        <v>100.87976539589999</v>
      </c>
      <c r="IZ9">
        <v>-36.679368124100002</v>
      </c>
      <c r="JA9">
        <v>0.34242563059999997</v>
      </c>
      <c r="JB9">
        <v>-3.782325E-4</v>
      </c>
      <c r="JC9">
        <v>7.2630000000000004E-7</v>
      </c>
      <c r="JD9">
        <v>0.29978791370000002</v>
      </c>
      <c r="JE9">
        <v>0.2369089009</v>
      </c>
      <c r="JF9">
        <v>0.1025233669</v>
      </c>
      <c r="JG9">
        <v>119.7220285148</v>
      </c>
      <c r="JH9">
        <v>3.519904613</v>
      </c>
      <c r="JI9">
        <v>3.2833544999999998E-3</v>
      </c>
      <c r="JJ9">
        <v>-7.4849600000000002E-5</v>
      </c>
      <c r="JK9">
        <v>3.3356915152000002</v>
      </c>
      <c r="JL9">
        <v>1.2948296885999999</v>
      </c>
      <c r="JM9">
        <v>0.47270930560000002</v>
      </c>
      <c r="JN9" t="s">
        <v>538</v>
      </c>
      <c r="JQ9">
        <v>1</v>
      </c>
    </row>
    <row r="10" spans="1:277">
      <c r="A10" t="s">
        <v>633</v>
      </c>
      <c r="B10" t="s">
        <v>634</v>
      </c>
      <c r="C10" t="s">
        <v>212</v>
      </c>
      <c r="D10">
        <v>3</v>
      </c>
      <c r="E10" t="s">
        <v>213</v>
      </c>
      <c r="F10" t="s">
        <v>214</v>
      </c>
      <c r="G10" t="s">
        <v>537</v>
      </c>
      <c r="H10" t="s">
        <v>216</v>
      </c>
      <c r="J10" t="s">
        <v>615</v>
      </c>
      <c r="K10" t="s">
        <v>616</v>
      </c>
      <c r="L10" t="s">
        <v>617</v>
      </c>
      <c r="M10" t="s">
        <v>618</v>
      </c>
      <c r="N10" t="s">
        <v>619</v>
      </c>
      <c r="O10">
        <v>0</v>
      </c>
      <c r="P10">
        <v>0</v>
      </c>
      <c r="Q10">
        <v>4.1000000000999997</v>
      </c>
      <c r="R10">
        <v>4.0000000008000001</v>
      </c>
      <c r="S10">
        <v>4.1000000000999997</v>
      </c>
      <c r="T10">
        <v>4.1000000000999997</v>
      </c>
      <c r="U10">
        <v>4.1000000000999997</v>
      </c>
      <c r="V10">
        <v>4.2000000012000003</v>
      </c>
      <c r="W10">
        <v>4.2000000012000003</v>
      </c>
      <c r="X10">
        <v>4.2000000012000003</v>
      </c>
      <c r="Y10">
        <v>4.2000000012000003</v>
      </c>
      <c r="Z10">
        <v>4.2000000012000003</v>
      </c>
      <c r="AA10">
        <v>4.2000000012000003</v>
      </c>
      <c r="AB10">
        <v>4.1000000000999997</v>
      </c>
      <c r="AC10">
        <v>3.7000000010999998</v>
      </c>
      <c r="AD10">
        <v>3.0999999999000001</v>
      </c>
      <c r="AE10">
        <v>2.5000000005</v>
      </c>
      <c r="AF10">
        <v>1.7000000007</v>
      </c>
      <c r="AG10">
        <v>0.79999999980000003</v>
      </c>
      <c r="AH10">
        <v>0</v>
      </c>
      <c r="AI10">
        <v>1.5000000003</v>
      </c>
      <c r="AJ10">
        <v>7.4000000004000004</v>
      </c>
      <c r="AK10">
        <v>14.6000000004</v>
      </c>
      <c r="AL10">
        <v>21.399999999599999</v>
      </c>
      <c r="AM10">
        <v>28.200000000700001</v>
      </c>
      <c r="AN10">
        <v>35.400000000699997</v>
      </c>
      <c r="AO10">
        <v>42.7</v>
      </c>
      <c r="AP10">
        <v>50.100000000400001</v>
      </c>
      <c r="AQ10">
        <v>58.399999999899997</v>
      </c>
      <c r="AR10">
        <v>66.700000001199996</v>
      </c>
      <c r="AS10">
        <v>74.300000000200001</v>
      </c>
      <c r="AT10">
        <v>81.799999999899995</v>
      </c>
      <c r="AU10">
        <v>89.400000000800006</v>
      </c>
      <c r="AV10">
        <v>97.400000000600002</v>
      </c>
      <c r="AW10">
        <v>106.4000000006</v>
      </c>
      <c r="AX10">
        <v>115.600000001</v>
      </c>
      <c r="AY10">
        <v>123.7000000001</v>
      </c>
      <c r="AZ10">
        <v>131.40000000020001</v>
      </c>
      <c r="BA10">
        <v>139.10000000030001</v>
      </c>
      <c r="BB10">
        <v>147.20000000120001</v>
      </c>
      <c r="BC10">
        <v>155.89999999969999</v>
      </c>
      <c r="BD10">
        <v>164.8999999998</v>
      </c>
      <c r="BE10">
        <v>173.50000000079999</v>
      </c>
      <c r="BF10">
        <v>181.20000000089999</v>
      </c>
      <c r="BG10">
        <v>189.20000000069999</v>
      </c>
      <c r="BH10">
        <v>197.10000000119999</v>
      </c>
      <c r="BI10">
        <v>205.5</v>
      </c>
      <c r="BJ10">
        <v>214.2999999996</v>
      </c>
      <c r="BK10">
        <v>222.9000000007</v>
      </c>
      <c r="BL10">
        <v>230.60000000080001</v>
      </c>
      <c r="BM10">
        <v>238.19999999980001</v>
      </c>
      <c r="BN10">
        <v>245.89999999989999</v>
      </c>
      <c r="BO10">
        <v>253.70000000109999</v>
      </c>
      <c r="BP10">
        <v>261.80000000019999</v>
      </c>
      <c r="BQ10">
        <v>270.2000000008</v>
      </c>
      <c r="BR10">
        <v>277.79999999979998</v>
      </c>
      <c r="BS10">
        <v>284.90000000060002</v>
      </c>
      <c r="BT10">
        <v>291.80000000090001</v>
      </c>
      <c r="BU10">
        <v>298.8999999998</v>
      </c>
      <c r="BV10">
        <v>306.40000000129999</v>
      </c>
      <c r="BW10">
        <v>313.79999999990002</v>
      </c>
      <c r="BX10">
        <v>321.6000000011</v>
      </c>
      <c r="BY10">
        <v>328.60000000069999</v>
      </c>
      <c r="BZ10">
        <v>335.0000000009</v>
      </c>
      <c r="CA10">
        <v>341.5999999997</v>
      </c>
      <c r="CB10">
        <v>347.9000000007</v>
      </c>
      <c r="CC10">
        <v>354.19999999980001</v>
      </c>
      <c r="CD10">
        <v>360.70000000110002</v>
      </c>
      <c r="CE10">
        <v>367.20000000060003</v>
      </c>
      <c r="CF10">
        <v>374.20000000020002</v>
      </c>
      <c r="CG10">
        <v>380.4</v>
      </c>
      <c r="CH10">
        <v>386.00000000040001</v>
      </c>
      <c r="CI10">
        <v>391.80000000119998</v>
      </c>
      <c r="CJ10">
        <v>397.3999999998</v>
      </c>
      <c r="CK10">
        <v>402.90000000100002</v>
      </c>
      <c r="CL10">
        <v>408.7</v>
      </c>
      <c r="CM10">
        <v>414.30000000040002</v>
      </c>
      <c r="CN10">
        <v>420.50000000019998</v>
      </c>
      <c r="CO10">
        <v>426.4000000003</v>
      </c>
      <c r="CP10">
        <v>431.59999999989998</v>
      </c>
      <c r="CQ10">
        <v>436.49999999980002</v>
      </c>
      <c r="CR10">
        <v>441.50000000080001</v>
      </c>
      <c r="CS10">
        <v>445.60000000090002</v>
      </c>
      <c r="CT10">
        <v>447.59999999950003</v>
      </c>
      <c r="CU10">
        <v>447.79999999990002</v>
      </c>
      <c r="CV10">
        <v>447.90000000100002</v>
      </c>
      <c r="CW10">
        <v>447.90000000100002</v>
      </c>
      <c r="CX10">
        <v>447.90000000100002</v>
      </c>
      <c r="CY10">
        <v>447.90000000100002</v>
      </c>
      <c r="CZ10">
        <v>447.90000000100002</v>
      </c>
      <c r="DA10">
        <v>447.90000000100002</v>
      </c>
      <c r="DB10">
        <v>447.90000000100002</v>
      </c>
      <c r="DC10">
        <v>447.90000000100002</v>
      </c>
      <c r="DD10">
        <v>447.90000000100002</v>
      </c>
      <c r="DE10">
        <v>447.90000000100002</v>
      </c>
      <c r="DF10">
        <v>447.90000000100002</v>
      </c>
      <c r="DG10">
        <v>5.1999999996000001</v>
      </c>
      <c r="DH10">
        <v>5.3000000006999999</v>
      </c>
      <c r="DI10">
        <v>5.4</v>
      </c>
      <c r="DJ10">
        <v>5.4</v>
      </c>
      <c r="DK10">
        <v>5.4</v>
      </c>
      <c r="DL10">
        <v>5.3000000006999999</v>
      </c>
      <c r="DM10">
        <v>5.3000000006999999</v>
      </c>
      <c r="DN10">
        <v>5.3000000006999999</v>
      </c>
      <c r="DO10">
        <v>5.1999999996000001</v>
      </c>
      <c r="DP10">
        <v>5.1999999996000001</v>
      </c>
      <c r="DQ10">
        <v>5.1000000002999997</v>
      </c>
      <c r="DR10">
        <v>4.6000000001999997</v>
      </c>
      <c r="DS10">
        <v>4.0000000008000001</v>
      </c>
      <c r="DT10">
        <v>3.0999999999000001</v>
      </c>
      <c r="DU10">
        <v>2.2000000007999998</v>
      </c>
      <c r="DV10">
        <v>1.7000000007</v>
      </c>
      <c r="DW10">
        <v>1.9000000011</v>
      </c>
      <c r="DX10">
        <v>6.1999999998000002</v>
      </c>
      <c r="DY10">
        <v>13.300000000500001</v>
      </c>
      <c r="DZ10">
        <v>20.300000000099999</v>
      </c>
      <c r="EA10">
        <v>27.100000001200002</v>
      </c>
      <c r="EB10">
        <v>34.200000000099998</v>
      </c>
      <c r="EC10">
        <v>41.199999999699997</v>
      </c>
      <c r="ED10">
        <v>49.399999999899997</v>
      </c>
      <c r="EE10">
        <v>57.600000000100003</v>
      </c>
      <c r="EF10">
        <v>65.300000000200001</v>
      </c>
      <c r="EG10">
        <v>72.900000000999995</v>
      </c>
      <c r="EH10">
        <v>80.299999999600004</v>
      </c>
      <c r="EI10">
        <v>87.7</v>
      </c>
      <c r="EJ10">
        <v>95.600000000600005</v>
      </c>
      <c r="EK10">
        <v>104.50000000129999</v>
      </c>
      <c r="EL10">
        <v>113.60000000060001</v>
      </c>
      <c r="EM10">
        <v>121.90000000009999</v>
      </c>
      <c r="EN10">
        <v>129.89999999989999</v>
      </c>
      <c r="EO10">
        <v>137.5000000007</v>
      </c>
      <c r="EP10">
        <v>145.59999999979999</v>
      </c>
      <c r="EQ10">
        <v>154.8000000003</v>
      </c>
      <c r="ER10">
        <v>164.0000000007</v>
      </c>
      <c r="ES10">
        <v>172.30000000019999</v>
      </c>
      <c r="ET10">
        <v>180.3</v>
      </c>
      <c r="EU10">
        <v>187.79999999969999</v>
      </c>
      <c r="EV10">
        <v>195.90000000059999</v>
      </c>
      <c r="EW10">
        <v>204.99999999990001</v>
      </c>
      <c r="EX10">
        <v>213.90000000059999</v>
      </c>
      <c r="EY10">
        <v>222.1000000009</v>
      </c>
      <c r="EZ10">
        <v>229.99999999959999</v>
      </c>
      <c r="FA10">
        <v>237.4</v>
      </c>
      <c r="FB10">
        <v>245.30000000050001</v>
      </c>
      <c r="FC10">
        <v>253.5000000007</v>
      </c>
      <c r="FD10">
        <v>262.20000000099998</v>
      </c>
      <c r="FE10">
        <v>270.59999999979999</v>
      </c>
      <c r="FF10">
        <v>278.20000000070002</v>
      </c>
      <c r="FG10">
        <v>285.4000000007</v>
      </c>
      <c r="FH10">
        <v>292.4000000003</v>
      </c>
      <c r="FI10">
        <v>299.69999999959998</v>
      </c>
      <c r="FJ10">
        <v>307.39999999970001</v>
      </c>
      <c r="FK10">
        <v>315.40000000129999</v>
      </c>
      <c r="FL10">
        <v>323.00000000030002</v>
      </c>
      <c r="FM10">
        <v>329.99999999990001</v>
      </c>
      <c r="FN10">
        <v>336.50000000130001</v>
      </c>
      <c r="FO10">
        <v>342.80000000040002</v>
      </c>
      <c r="FP10">
        <v>349.40000000100002</v>
      </c>
      <c r="FQ10">
        <v>356.30000000130002</v>
      </c>
      <c r="FR10">
        <v>363.50000000130001</v>
      </c>
      <c r="FS10">
        <v>370.5000000009</v>
      </c>
      <c r="FT10">
        <v>376.70000000070002</v>
      </c>
      <c r="FU10">
        <v>382.70000000009998</v>
      </c>
      <c r="FV10">
        <v>388.3999999998</v>
      </c>
      <c r="FW10">
        <v>393.79999999979998</v>
      </c>
      <c r="FX10">
        <v>399.40000000020001</v>
      </c>
      <c r="FY10">
        <v>405.50000000080001</v>
      </c>
      <c r="FZ10">
        <v>411.20000000049998</v>
      </c>
      <c r="GA10">
        <v>417.300000001</v>
      </c>
      <c r="GB10">
        <v>423.20000000110002</v>
      </c>
      <c r="GC10">
        <v>428.4000000007</v>
      </c>
      <c r="GD10">
        <v>433.1000000002</v>
      </c>
      <c r="GE10">
        <v>437.6000000011</v>
      </c>
      <c r="GF10">
        <v>441.70000000120001</v>
      </c>
      <c r="GG10">
        <v>445.10000000079998</v>
      </c>
      <c r="GH10">
        <v>447.40000000089998</v>
      </c>
      <c r="GI10">
        <v>447.70000000060003</v>
      </c>
      <c r="GJ10">
        <v>447.70000000060003</v>
      </c>
      <c r="GK10">
        <v>447.70000000060003</v>
      </c>
      <c r="GL10">
        <v>447.70000000060003</v>
      </c>
      <c r="GM10">
        <v>447.70000000060003</v>
      </c>
      <c r="GN10">
        <v>447.79999999990002</v>
      </c>
      <c r="GO10">
        <v>447.79999999990002</v>
      </c>
      <c r="GP10">
        <v>447.79999999990002</v>
      </c>
      <c r="GQ10">
        <v>447.90000000100002</v>
      </c>
      <c r="GR10">
        <v>447.90000000100002</v>
      </c>
      <c r="GS10">
        <v>447.90000000100002</v>
      </c>
      <c r="GT10">
        <v>447.90000000100002</v>
      </c>
      <c r="GU10">
        <v>447.90000000100002</v>
      </c>
      <c r="GV10">
        <v>447.90000000100002</v>
      </c>
      <c r="GW10">
        <v>1</v>
      </c>
      <c r="GX10">
        <v>109.50000000049999</v>
      </c>
      <c r="GY10">
        <v>106.4000000006</v>
      </c>
      <c r="GZ10">
        <v>106.4000000006</v>
      </c>
      <c r="HA10">
        <v>121.90000000009999</v>
      </c>
      <c r="HB10">
        <v>110.3502679174</v>
      </c>
      <c r="HC10">
        <v>-15.4999999995</v>
      </c>
      <c r="HD10">
        <v>447.90000000100002</v>
      </c>
      <c r="HE10">
        <v>299.50639651699998</v>
      </c>
      <c r="HF10">
        <v>95.168385800400003</v>
      </c>
      <c r="HG10">
        <v>447.90000000100002</v>
      </c>
      <c r="HH10">
        <v>447.90000000100002</v>
      </c>
      <c r="HI10">
        <v>447.90000000100002</v>
      </c>
      <c r="HJ10">
        <v>447.90000000100002</v>
      </c>
      <c r="HK10">
        <v>110.26392961880001</v>
      </c>
      <c r="HL10">
        <v>3.4098647844999999</v>
      </c>
      <c r="HM10">
        <v>3.2584167658999998</v>
      </c>
      <c r="HN10">
        <v>3.3240785825999999</v>
      </c>
      <c r="HO10">
        <v>3.2025030765000002</v>
      </c>
      <c r="HP10">
        <v>3.5998419439</v>
      </c>
      <c r="HQ10">
        <v>2.2480222895000002</v>
      </c>
      <c r="HR10">
        <v>15.181882117000001</v>
      </c>
      <c r="HS10">
        <v>-28.152492668600001</v>
      </c>
      <c r="HT10">
        <v>-192</v>
      </c>
      <c r="HU10">
        <v>409.85666443439999</v>
      </c>
      <c r="HV10">
        <v>91.495601172999997</v>
      </c>
      <c r="HW10">
        <v>624</v>
      </c>
      <c r="HX10">
        <v>15.181882117000001</v>
      </c>
      <c r="HY10">
        <v>-28.152492668600001</v>
      </c>
      <c r="HZ10">
        <v>-192</v>
      </c>
      <c r="IA10">
        <v>409.85666443439999</v>
      </c>
      <c r="IB10">
        <v>91.495601172999997</v>
      </c>
      <c r="IC10">
        <v>624</v>
      </c>
      <c r="ID10">
        <v>38.0433355666</v>
      </c>
      <c r="IE10">
        <v>0.80331547199999997</v>
      </c>
      <c r="IF10">
        <v>-37.536656891500002</v>
      </c>
      <c r="IG10">
        <v>-256</v>
      </c>
      <c r="IH10">
        <v>432.50643000690002</v>
      </c>
      <c r="II10">
        <v>100.87976539589999</v>
      </c>
      <c r="IJ10">
        <v>688</v>
      </c>
      <c r="IK10">
        <v>394.6747823174</v>
      </c>
      <c r="IL10">
        <v>119.6480938416</v>
      </c>
      <c r="IM10">
        <v>420.47071891109999</v>
      </c>
      <c r="IN10">
        <v>129.03225806450001</v>
      </c>
      <c r="IO10">
        <v>7.2</v>
      </c>
      <c r="IP10">
        <v>6.1000000004999997</v>
      </c>
      <c r="IQ10">
        <v>9.2000000003999993</v>
      </c>
      <c r="IR10">
        <v>5.9003433043999998</v>
      </c>
      <c r="IS10">
        <v>5.9003433043999998</v>
      </c>
      <c r="IT10">
        <v>12.8999999997</v>
      </c>
      <c r="IU10">
        <v>-30.4985337243</v>
      </c>
      <c r="IV10">
        <v>16.8999999987</v>
      </c>
      <c r="IW10">
        <v>42.228739002899999</v>
      </c>
      <c r="IX10">
        <v>12.6</v>
      </c>
      <c r="IY10">
        <v>100.87976539589999</v>
      </c>
      <c r="IZ10">
        <v>-32.893577701799998</v>
      </c>
      <c r="JA10">
        <v>0.32994036389999998</v>
      </c>
      <c r="JB10">
        <v>-3.5914969999999998E-4</v>
      </c>
      <c r="JC10">
        <v>7.1610000000000001E-7</v>
      </c>
      <c r="JD10">
        <v>0.29326676080000003</v>
      </c>
      <c r="JE10">
        <v>0.28676512580000002</v>
      </c>
      <c r="JF10">
        <v>0.1274585701</v>
      </c>
      <c r="JG10">
        <v>110.51826876680001</v>
      </c>
      <c r="JH10">
        <v>3.5998419439</v>
      </c>
      <c r="JI10">
        <v>3.6582564000000001E-3</v>
      </c>
      <c r="JJ10">
        <v>-8.0481899999999999E-5</v>
      </c>
      <c r="JK10">
        <v>3.4098647844999999</v>
      </c>
      <c r="JL10">
        <v>1.3129780683000001</v>
      </c>
      <c r="JM10">
        <v>0.50768365370000001</v>
      </c>
      <c r="JN10" t="s">
        <v>538</v>
      </c>
      <c r="JQ10">
        <v>1</v>
      </c>
    </row>
    <row r="11" spans="1:277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537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</v>
      </c>
      <c r="R11">
        <v>0.20000000039999999</v>
      </c>
      <c r="S11">
        <v>0.20000000039999999</v>
      </c>
      <c r="T11">
        <v>0.29999999970000002</v>
      </c>
      <c r="U11">
        <v>0.20000000039999999</v>
      </c>
      <c r="V11">
        <v>0.20000000039999999</v>
      </c>
      <c r="W11">
        <v>0.29999999970000002</v>
      </c>
      <c r="X11">
        <v>0.29999999970000002</v>
      </c>
      <c r="Y11">
        <v>0.29999999970000002</v>
      </c>
      <c r="Z11">
        <v>0.29999999970000002</v>
      </c>
      <c r="AA11">
        <v>0.29999999970000002</v>
      </c>
      <c r="AB11">
        <v>0.40000000079999998</v>
      </c>
      <c r="AC11">
        <v>0.40000000079999998</v>
      </c>
      <c r="AD11">
        <v>0.50000000010000001</v>
      </c>
      <c r="AE11">
        <v>0.60000000119999997</v>
      </c>
      <c r="AF11">
        <v>0.60000000119999997</v>
      </c>
      <c r="AG11">
        <v>0.7000000005</v>
      </c>
      <c r="AH11">
        <v>0.7000000005</v>
      </c>
      <c r="AI11">
        <v>2.7000000008999998</v>
      </c>
      <c r="AJ11">
        <v>8.1000000008999997</v>
      </c>
      <c r="AK11">
        <v>14.9000000001</v>
      </c>
      <c r="AL11">
        <v>21.500000000699998</v>
      </c>
      <c r="AM11">
        <v>28.4000000011</v>
      </c>
      <c r="AN11">
        <v>35.6000000011</v>
      </c>
      <c r="AO11">
        <v>43.200000000099998</v>
      </c>
      <c r="AP11">
        <v>51.000000001300002</v>
      </c>
      <c r="AQ11">
        <v>59.199999999699997</v>
      </c>
      <c r="AR11">
        <v>67.100000000199998</v>
      </c>
      <c r="AS11">
        <v>74.700000001000006</v>
      </c>
      <c r="AT11">
        <v>82.500000000399993</v>
      </c>
      <c r="AU11">
        <v>90.5999999995</v>
      </c>
      <c r="AV11">
        <v>99.000000000200004</v>
      </c>
      <c r="AW11">
        <v>108.0000000002</v>
      </c>
      <c r="AX11">
        <v>117.2999999999</v>
      </c>
      <c r="AY11">
        <v>125.90000000089999</v>
      </c>
      <c r="AZ11">
        <v>134.1000000011</v>
      </c>
      <c r="BA11">
        <v>142.49999999990001</v>
      </c>
      <c r="BB11">
        <v>151.20000000019999</v>
      </c>
      <c r="BC11">
        <v>159.90000000059999</v>
      </c>
      <c r="BD11">
        <v>168.2000000001</v>
      </c>
      <c r="BE11">
        <v>176.300000001</v>
      </c>
      <c r="BF11">
        <v>184.60000000049999</v>
      </c>
      <c r="BG11">
        <v>193.00000000110001</v>
      </c>
      <c r="BH11">
        <v>201.60000000030001</v>
      </c>
      <c r="BI11">
        <v>210.19999999949999</v>
      </c>
      <c r="BJ11">
        <v>218.30000000050001</v>
      </c>
      <c r="BK11">
        <v>226.3000000003</v>
      </c>
      <c r="BL11">
        <v>234.4000000012</v>
      </c>
      <c r="BM11">
        <v>242.400000001</v>
      </c>
      <c r="BN11">
        <v>250.50000000009999</v>
      </c>
      <c r="BO11">
        <v>258.9000000007</v>
      </c>
      <c r="BP11">
        <v>266.99999999980002</v>
      </c>
      <c r="BQ11">
        <v>274.40000000020001</v>
      </c>
      <c r="BR11">
        <v>281.80000000069998</v>
      </c>
      <c r="BS11">
        <v>289.50000000080001</v>
      </c>
      <c r="BT11">
        <v>297.00000000049999</v>
      </c>
      <c r="BU11">
        <v>304.70000000060003</v>
      </c>
      <c r="BV11">
        <v>312.20000000030001</v>
      </c>
      <c r="BW11">
        <v>319.49999999959999</v>
      </c>
      <c r="BX11">
        <v>326.19999999949999</v>
      </c>
      <c r="BY11">
        <v>333.00000000049999</v>
      </c>
      <c r="BZ11">
        <v>340.00000000009999</v>
      </c>
      <c r="CA11">
        <v>346.90000000049997</v>
      </c>
      <c r="CB11">
        <v>353.80000000080003</v>
      </c>
      <c r="CC11">
        <v>360.6</v>
      </c>
      <c r="CD11">
        <v>367.20000000060003</v>
      </c>
      <c r="CE11">
        <v>373.49999999969998</v>
      </c>
      <c r="CF11">
        <v>379.3999999998</v>
      </c>
      <c r="CG11">
        <v>385.40000000100002</v>
      </c>
      <c r="CH11">
        <v>391.70000000009998</v>
      </c>
      <c r="CI11">
        <v>397.69999999949999</v>
      </c>
      <c r="CJ11">
        <v>403.8</v>
      </c>
      <c r="CK11">
        <v>409.80000000130002</v>
      </c>
      <c r="CL11">
        <v>415.69999999959998</v>
      </c>
      <c r="CM11">
        <v>421.09999999960002</v>
      </c>
      <c r="CN11">
        <v>426.4000000003</v>
      </c>
      <c r="CO11">
        <v>431.50000000059998</v>
      </c>
      <c r="CP11">
        <v>436.80000000130002</v>
      </c>
      <c r="CQ11">
        <v>442.30000000059999</v>
      </c>
      <c r="CR11">
        <v>447.29999999979998</v>
      </c>
      <c r="CS11">
        <v>450.50000000080001</v>
      </c>
      <c r="CT11">
        <v>451.50000000099999</v>
      </c>
      <c r="CU11">
        <v>451.50000000099999</v>
      </c>
      <c r="CV11">
        <v>451.69999999959998</v>
      </c>
      <c r="CW11">
        <v>451.69999999959998</v>
      </c>
      <c r="CX11">
        <v>451.80000000069998</v>
      </c>
      <c r="CY11">
        <v>451.80000000069998</v>
      </c>
      <c r="CZ11">
        <v>451.80000000069998</v>
      </c>
      <c r="DA11">
        <v>451.69999999959998</v>
      </c>
      <c r="DB11">
        <v>451.69999999959998</v>
      </c>
      <c r="DC11">
        <v>451.69999999959998</v>
      </c>
      <c r="DD11">
        <v>451.69999999959998</v>
      </c>
      <c r="DE11">
        <v>451.69999999959998</v>
      </c>
      <c r="DF11">
        <v>451.80000000069998</v>
      </c>
      <c r="DG11">
        <v>0.90000000089999999</v>
      </c>
      <c r="DH11">
        <v>2.2000000007999998</v>
      </c>
      <c r="DI11">
        <v>2.2000000007999998</v>
      </c>
      <c r="DJ11">
        <v>2.2000000007999998</v>
      </c>
      <c r="DK11">
        <v>2.2000000007999998</v>
      </c>
      <c r="DL11">
        <v>2.2000000007999998</v>
      </c>
      <c r="DM11">
        <v>2.2000000007999998</v>
      </c>
      <c r="DN11">
        <v>2.2000000007999998</v>
      </c>
      <c r="DO11">
        <v>2.2000000007999998</v>
      </c>
      <c r="DP11">
        <v>2.3000000000999998</v>
      </c>
      <c r="DQ11">
        <v>2.3000000000999998</v>
      </c>
      <c r="DR11">
        <v>2.3000000000999998</v>
      </c>
      <c r="DS11">
        <v>2.4000000012</v>
      </c>
      <c r="DT11">
        <v>2.4000000012</v>
      </c>
      <c r="DU11">
        <v>2.4000000012</v>
      </c>
      <c r="DV11">
        <v>2.4000000012</v>
      </c>
      <c r="DW11">
        <v>2.8000000001999998</v>
      </c>
      <c r="DX11">
        <v>6.4000000002000004</v>
      </c>
      <c r="DY11">
        <v>13.5000000009</v>
      </c>
      <c r="DZ11">
        <v>20.300000000099999</v>
      </c>
      <c r="EA11">
        <v>27.200000000399999</v>
      </c>
      <c r="EB11">
        <v>34.499999999800004</v>
      </c>
      <c r="EC11">
        <v>41.900000000200002</v>
      </c>
      <c r="ED11">
        <v>49.800000000700003</v>
      </c>
      <c r="EE11">
        <v>57.899999999800002</v>
      </c>
      <c r="EF11">
        <v>65.899999999599999</v>
      </c>
      <c r="EG11">
        <v>73.3</v>
      </c>
      <c r="EH11">
        <v>81.100000001200002</v>
      </c>
      <c r="EI11">
        <v>88.999999999899998</v>
      </c>
      <c r="EJ11">
        <v>97.400000000600002</v>
      </c>
      <c r="EK11">
        <v>105.9000000005</v>
      </c>
      <c r="EL11">
        <v>114.8000000012</v>
      </c>
      <c r="EM11">
        <v>123.60000000079999</v>
      </c>
      <c r="EN11">
        <v>132.30000000109999</v>
      </c>
      <c r="EO11">
        <v>140.6999999999</v>
      </c>
      <c r="EP11">
        <v>149.40000000020001</v>
      </c>
      <c r="EQ11">
        <v>158.10000000060001</v>
      </c>
      <c r="ER11">
        <v>166.69999999980001</v>
      </c>
      <c r="ES11">
        <v>174.69999999960001</v>
      </c>
      <c r="ET11">
        <v>183.2000000013</v>
      </c>
      <c r="EU11">
        <v>191.50000000079999</v>
      </c>
      <c r="EV11">
        <v>200.20000000109999</v>
      </c>
      <c r="EW11">
        <v>209.0000000007</v>
      </c>
      <c r="EX11">
        <v>217.5000000007</v>
      </c>
      <c r="EY11">
        <v>225.2000000008</v>
      </c>
      <c r="EZ11">
        <v>233.50000000029999</v>
      </c>
      <c r="FA11">
        <v>241.70000000050001</v>
      </c>
      <c r="FB11">
        <v>250</v>
      </c>
      <c r="FC11">
        <v>258.29999999950002</v>
      </c>
      <c r="FD11">
        <v>266.70000000009998</v>
      </c>
      <c r="FE11">
        <v>274.30000000090001</v>
      </c>
      <c r="FF11">
        <v>281.69999999949999</v>
      </c>
      <c r="FG11">
        <v>289.50000000080001</v>
      </c>
      <c r="FH11">
        <v>297.20000000089999</v>
      </c>
      <c r="FI11">
        <v>305.09999999960002</v>
      </c>
      <c r="FJ11">
        <v>312.79999999969999</v>
      </c>
      <c r="FK11">
        <v>320.10000000079998</v>
      </c>
      <c r="FL11">
        <v>326.80000000069998</v>
      </c>
      <c r="FM11">
        <v>333.80000000029997</v>
      </c>
      <c r="FN11">
        <v>341.00000000030002</v>
      </c>
      <c r="FO11">
        <v>347.9000000007</v>
      </c>
      <c r="FP11">
        <v>354.800000001</v>
      </c>
      <c r="FQ11">
        <v>361.80000000059999</v>
      </c>
      <c r="FR11">
        <v>368.70000000089999</v>
      </c>
      <c r="FS11">
        <v>374.9000000007</v>
      </c>
      <c r="FT11">
        <v>380.69999999970003</v>
      </c>
      <c r="FU11">
        <v>386.89999999949998</v>
      </c>
      <c r="FV11">
        <v>393.1000000011</v>
      </c>
      <c r="FW11">
        <v>399.30000000090001</v>
      </c>
      <c r="FX11">
        <v>405.39999999960003</v>
      </c>
      <c r="FY11">
        <v>411.29999999979998</v>
      </c>
      <c r="FZ11">
        <v>417.1999999999</v>
      </c>
      <c r="GA11">
        <v>422.59999999989998</v>
      </c>
      <c r="GB11">
        <v>427.60000000090002</v>
      </c>
      <c r="GC11">
        <v>432.60000000010001</v>
      </c>
      <c r="GD11">
        <v>437.79999999969999</v>
      </c>
      <c r="GE11">
        <v>442.9</v>
      </c>
      <c r="GF11">
        <v>447.29999999979998</v>
      </c>
      <c r="GG11">
        <v>450.30000000040002</v>
      </c>
      <c r="GH11">
        <v>451.39999999989999</v>
      </c>
      <c r="GI11">
        <v>451.39999999989999</v>
      </c>
      <c r="GJ11">
        <v>451.39999999989999</v>
      </c>
      <c r="GK11">
        <v>451.39999999989999</v>
      </c>
      <c r="GL11">
        <v>451.50000000099999</v>
      </c>
      <c r="GM11">
        <v>451.60000000029999</v>
      </c>
      <c r="GN11">
        <v>451.60000000029999</v>
      </c>
      <c r="GO11">
        <v>451.60000000029999</v>
      </c>
      <c r="GP11">
        <v>451.60000000029999</v>
      </c>
      <c r="GQ11">
        <v>451.60000000029999</v>
      </c>
      <c r="GR11">
        <v>451.60000000029999</v>
      </c>
      <c r="GS11">
        <v>451.69999999959998</v>
      </c>
      <c r="GT11">
        <v>451.80000000069998</v>
      </c>
      <c r="GU11">
        <v>451.80000000069998</v>
      </c>
      <c r="GV11">
        <v>451.80000000069998</v>
      </c>
      <c r="GW11">
        <v>1</v>
      </c>
      <c r="GX11">
        <v>115.2999999995</v>
      </c>
      <c r="GY11">
        <v>108.0000000002</v>
      </c>
      <c r="GZ11">
        <v>108.0000000002</v>
      </c>
      <c r="HA11">
        <v>123.60000000079999</v>
      </c>
      <c r="HB11">
        <v>111.9984063748</v>
      </c>
      <c r="HC11">
        <v>-15.6000000006</v>
      </c>
      <c r="HD11">
        <v>451.80000000069998</v>
      </c>
      <c r="HE11">
        <v>297.87777777709999</v>
      </c>
      <c r="HF11">
        <v>89.692740150199995</v>
      </c>
      <c r="HG11">
        <v>451.80000000069998</v>
      </c>
      <c r="HH11">
        <v>451.80000000069998</v>
      </c>
      <c r="HI11">
        <v>451.80000000069998</v>
      </c>
      <c r="HJ11">
        <v>451.80000000069998</v>
      </c>
      <c r="HK11">
        <v>110.26392961880001</v>
      </c>
      <c r="HL11">
        <v>3.4715996561</v>
      </c>
      <c r="HM11">
        <v>3.3378890389000002</v>
      </c>
      <c r="HN11">
        <v>3.3835262103999999</v>
      </c>
      <c r="HO11">
        <v>3.3866474174999999</v>
      </c>
      <c r="HP11">
        <v>3.6880061401000002</v>
      </c>
      <c r="HQ11">
        <v>2.3332591410000001</v>
      </c>
      <c r="HR11">
        <v>22.305666224700001</v>
      </c>
      <c r="HS11">
        <v>-25.806451612899998</v>
      </c>
      <c r="HT11">
        <v>-176</v>
      </c>
      <c r="HU11">
        <v>409.87618415200001</v>
      </c>
      <c r="HV11">
        <v>89.149560117299998</v>
      </c>
      <c r="HW11">
        <v>608</v>
      </c>
      <c r="HX11">
        <v>22.305666224700001</v>
      </c>
      <c r="HY11">
        <v>-25.806451612899998</v>
      </c>
      <c r="HZ11">
        <v>-176</v>
      </c>
      <c r="IA11">
        <v>409.87618415200001</v>
      </c>
      <c r="IB11">
        <v>89.149560117299998</v>
      </c>
      <c r="IC11">
        <v>608</v>
      </c>
      <c r="ID11">
        <v>41.923815848700002</v>
      </c>
      <c r="IE11">
        <v>0.74478751710000002</v>
      </c>
      <c r="IF11">
        <v>-35.190615835800003</v>
      </c>
      <c r="IG11">
        <v>-240</v>
      </c>
      <c r="IH11">
        <v>431.96492917220002</v>
      </c>
      <c r="II11">
        <v>98.533724340199996</v>
      </c>
      <c r="IJ11">
        <v>672</v>
      </c>
      <c r="IK11">
        <v>387.57051792729999</v>
      </c>
      <c r="IL11">
        <v>114.9560117302</v>
      </c>
      <c r="IM11">
        <v>413.10796812659999</v>
      </c>
      <c r="IN11">
        <v>124.3401759531</v>
      </c>
      <c r="IO11">
        <v>7.1000000006999997</v>
      </c>
      <c r="IP11">
        <v>5.9000000001000004</v>
      </c>
      <c r="IQ11">
        <v>9.2999999997000007</v>
      </c>
      <c r="IR11">
        <v>6.0198392346</v>
      </c>
      <c r="IS11">
        <v>6.0198392346</v>
      </c>
      <c r="IT11">
        <v>12.300000000300001</v>
      </c>
      <c r="IU11">
        <v>-28.152492668600001</v>
      </c>
      <c r="IV11">
        <v>16.2</v>
      </c>
      <c r="IW11">
        <v>39.8826979472</v>
      </c>
      <c r="IX11">
        <v>11.9000000013</v>
      </c>
      <c r="IY11">
        <v>96.187683284499997</v>
      </c>
      <c r="IZ11">
        <v>-32.484433580500003</v>
      </c>
      <c r="JA11">
        <v>0.31771003520000002</v>
      </c>
      <c r="JB11">
        <v>-3.2300660000000002E-4</v>
      </c>
      <c r="JC11">
        <v>6.6309999999999995E-7</v>
      </c>
      <c r="JD11">
        <v>0.2880516474</v>
      </c>
      <c r="JE11">
        <v>0.25540129960000002</v>
      </c>
      <c r="JF11">
        <v>0.1090858928</v>
      </c>
      <c r="JG11">
        <v>112.617381028</v>
      </c>
      <c r="JH11">
        <v>3.6880061401000002</v>
      </c>
      <c r="JI11">
        <v>2.8223570000000002E-3</v>
      </c>
      <c r="JJ11">
        <v>-7.7925399999999998E-5</v>
      </c>
      <c r="JK11">
        <v>3.4715996561</v>
      </c>
      <c r="JL11">
        <v>1.6437663081</v>
      </c>
      <c r="JM11">
        <v>0.60300615800000001</v>
      </c>
      <c r="JN11" t="s">
        <v>538</v>
      </c>
      <c r="JQ11">
        <v>1</v>
      </c>
    </row>
    <row r="12" spans="1:277">
      <c r="A12" t="s">
        <v>656</v>
      </c>
      <c r="B12" t="s">
        <v>657</v>
      </c>
      <c r="C12" t="s">
        <v>212</v>
      </c>
      <c r="D12">
        <v>3</v>
      </c>
      <c r="E12" t="s">
        <v>213</v>
      </c>
      <c r="F12" t="s">
        <v>214</v>
      </c>
      <c r="G12" t="s">
        <v>537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2.4000000012</v>
      </c>
      <c r="R12">
        <v>2.5000000005</v>
      </c>
      <c r="S12">
        <v>2.5000000005</v>
      </c>
      <c r="T12">
        <v>2.5000000005</v>
      </c>
      <c r="U12">
        <v>2.5000000005</v>
      </c>
      <c r="V12">
        <v>2.5000000005</v>
      </c>
      <c r="W12">
        <v>2.5000000005</v>
      </c>
      <c r="X12">
        <v>2.4000000012</v>
      </c>
      <c r="Y12">
        <v>2.4000000012</v>
      </c>
      <c r="Z12">
        <v>2.4000000012</v>
      </c>
      <c r="AA12">
        <v>2.3000000000999998</v>
      </c>
      <c r="AB12">
        <v>2.2000000007999998</v>
      </c>
      <c r="AC12">
        <v>2.0000000004</v>
      </c>
      <c r="AD12">
        <v>1.8</v>
      </c>
      <c r="AE12">
        <v>1.5000000003</v>
      </c>
      <c r="AF12">
        <v>1.0999999995</v>
      </c>
      <c r="AG12">
        <v>0.50000000010000001</v>
      </c>
      <c r="AH12">
        <v>0</v>
      </c>
      <c r="AI12">
        <v>1.2999999999</v>
      </c>
      <c r="AJ12">
        <v>5.8000000007999999</v>
      </c>
      <c r="AK12">
        <v>11.8999999995</v>
      </c>
      <c r="AL12">
        <v>18.799999999800001</v>
      </c>
      <c r="AM12">
        <v>25.9999999998</v>
      </c>
      <c r="AN12">
        <v>33.6000000007</v>
      </c>
      <c r="AO12">
        <v>41.100000000400001</v>
      </c>
      <c r="AP12">
        <v>48.3999999997</v>
      </c>
      <c r="AQ12">
        <v>55.900000001199999</v>
      </c>
      <c r="AR12">
        <v>63.200000000499998</v>
      </c>
      <c r="AS12">
        <v>71.100000000999998</v>
      </c>
      <c r="AT12">
        <v>79.200000000100005</v>
      </c>
      <c r="AU12">
        <v>87.300000001100003</v>
      </c>
      <c r="AV12">
        <v>95.500000001299995</v>
      </c>
      <c r="AW12">
        <v>103.8000000008</v>
      </c>
      <c r="AX12">
        <v>112.1000000003</v>
      </c>
      <c r="AY12">
        <v>120.5000000009</v>
      </c>
      <c r="AZ12">
        <v>129.00000000079999</v>
      </c>
      <c r="BA12">
        <v>137.5000000007</v>
      </c>
      <c r="BB12">
        <v>145.89999999950001</v>
      </c>
      <c r="BC12">
        <v>154.3000000001</v>
      </c>
      <c r="BD12">
        <v>162.30000000000001</v>
      </c>
      <c r="BE12">
        <v>170.40000000090001</v>
      </c>
      <c r="BF12">
        <v>178.90000000079999</v>
      </c>
      <c r="BG12">
        <v>187.2999999996</v>
      </c>
      <c r="BH12">
        <v>195.79999999949999</v>
      </c>
      <c r="BI12">
        <v>203.90000000040001</v>
      </c>
      <c r="BJ12">
        <v>211.80000000090001</v>
      </c>
      <c r="BK12">
        <v>219.69999999960001</v>
      </c>
      <c r="BL12">
        <v>227.89999999989999</v>
      </c>
      <c r="BM12">
        <v>236.00000000079999</v>
      </c>
      <c r="BN12">
        <v>244.00000000060001</v>
      </c>
      <c r="BO12">
        <v>251.90000000110001</v>
      </c>
      <c r="BP12">
        <v>259.60000000119999</v>
      </c>
      <c r="BQ12">
        <v>266.90000000049997</v>
      </c>
      <c r="BR12">
        <v>274.40000000020001</v>
      </c>
      <c r="BS12">
        <v>282.10000000039997</v>
      </c>
      <c r="BT12">
        <v>289.60000000010001</v>
      </c>
      <c r="BU12">
        <v>297.00000000049999</v>
      </c>
      <c r="BV12">
        <v>304.10000000119999</v>
      </c>
      <c r="BW12">
        <v>311.20000000009998</v>
      </c>
      <c r="BX12">
        <v>317.69999999959998</v>
      </c>
      <c r="BY12">
        <v>324.59999999989998</v>
      </c>
      <c r="BZ12">
        <v>331.50000000019998</v>
      </c>
      <c r="CA12">
        <v>338.30000000130002</v>
      </c>
      <c r="CB12">
        <v>345.00000000120002</v>
      </c>
      <c r="CC12">
        <v>351.30000000029997</v>
      </c>
      <c r="CD12">
        <v>357.60000000119999</v>
      </c>
      <c r="CE12">
        <v>363.60000000060001</v>
      </c>
      <c r="CF12">
        <v>369.50000000070003</v>
      </c>
      <c r="CG12">
        <v>375.40000000079999</v>
      </c>
      <c r="CH12">
        <v>381.40000000020001</v>
      </c>
      <c r="CI12">
        <v>387.20000000099998</v>
      </c>
      <c r="CJ12">
        <v>393.1000000011</v>
      </c>
      <c r="CK12">
        <v>398.69999999970003</v>
      </c>
      <c r="CL12">
        <v>404.20000000089999</v>
      </c>
      <c r="CM12">
        <v>409.60000000090002</v>
      </c>
      <c r="CN12">
        <v>414.8999999998</v>
      </c>
      <c r="CO12">
        <v>419.79999999969999</v>
      </c>
      <c r="CP12">
        <v>425.19999999970003</v>
      </c>
      <c r="CQ12">
        <v>430.50000000040001</v>
      </c>
      <c r="CR12">
        <v>435.4000000003</v>
      </c>
      <c r="CS12">
        <v>439.8000000001</v>
      </c>
      <c r="CT12">
        <v>442.60000000029999</v>
      </c>
      <c r="CU12">
        <v>443.80000000090001</v>
      </c>
      <c r="CV12">
        <v>443.90000000020001</v>
      </c>
      <c r="CW12">
        <v>443.99999999950001</v>
      </c>
      <c r="CX12">
        <v>443.99999999950001</v>
      </c>
      <c r="CY12">
        <v>443.99999999950001</v>
      </c>
      <c r="CZ12">
        <v>443.99999999950001</v>
      </c>
      <c r="DA12">
        <v>444.10000000060001</v>
      </c>
      <c r="DB12">
        <v>443.99999999950001</v>
      </c>
      <c r="DC12">
        <v>443.99999999950001</v>
      </c>
      <c r="DD12">
        <v>443.99999999950001</v>
      </c>
      <c r="DE12">
        <v>443.99999999950001</v>
      </c>
      <c r="DF12">
        <v>443.99999999950001</v>
      </c>
      <c r="DG12">
        <v>3.2000000009999998</v>
      </c>
      <c r="DH12">
        <v>3.6</v>
      </c>
      <c r="DI12">
        <v>3.7000000010999998</v>
      </c>
      <c r="DJ12">
        <v>3.7000000010999998</v>
      </c>
      <c r="DK12">
        <v>3.7000000010999998</v>
      </c>
      <c r="DL12">
        <v>3.7000000010999998</v>
      </c>
      <c r="DM12">
        <v>3.7000000010999998</v>
      </c>
      <c r="DN12">
        <v>3.7000000010999998</v>
      </c>
      <c r="DO12">
        <v>3.6</v>
      </c>
      <c r="DP12">
        <v>3.5000000007000001</v>
      </c>
      <c r="DQ12">
        <v>3.3000000002999998</v>
      </c>
      <c r="DR12">
        <v>3.0999999999000001</v>
      </c>
      <c r="DS12">
        <v>2.7000000008999998</v>
      </c>
      <c r="DT12">
        <v>2.3000000000999998</v>
      </c>
      <c r="DU12">
        <v>1.8</v>
      </c>
      <c r="DV12">
        <v>1.2999999999</v>
      </c>
      <c r="DW12">
        <v>1.400000001</v>
      </c>
      <c r="DX12">
        <v>5.0000000010000001</v>
      </c>
      <c r="DY12">
        <v>11.300000000100001</v>
      </c>
      <c r="DZ12">
        <v>18.400000000799999</v>
      </c>
      <c r="EA12">
        <v>25.600000000800001</v>
      </c>
      <c r="EB12">
        <v>33.000000001300002</v>
      </c>
      <c r="EC12">
        <v>40.500000000999997</v>
      </c>
      <c r="ED12">
        <v>47.899999999599999</v>
      </c>
      <c r="EE12">
        <v>55.400000001099997</v>
      </c>
      <c r="EF12">
        <v>62.6000000011</v>
      </c>
      <c r="EG12">
        <v>70.4000000005</v>
      </c>
      <c r="EH12">
        <v>78.300000001000001</v>
      </c>
      <c r="EI12">
        <v>86.300000000799997</v>
      </c>
      <c r="EJ12">
        <v>94.500000001100005</v>
      </c>
      <c r="EK12">
        <v>102.7000000013</v>
      </c>
      <c r="EL12">
        <v>110.8000000004</v>
      </c>
      <c r="EM12">
        <v>119.09999999990001</v>
      </c>
      <c r="EN12">
        <v>127.8000000002</v>
      </c>
      <c r="EO12">
        <v>136.3000000001</v>
      </c>
      <c r="EP12">
        <v>144.80000000000001</v>
      </c>
      <c r="EQ12">
        <v>153.20000000069999</v>
      </c>
      <c r="ER12">
        <v>161.29999999980001</v>
      </c>
      <c r="ES12">
        <v>169.5</v>
      </c>
      <c r="ET12">
        <v>177.90000000059999</v>
      </c>
      <c r="EU12">
        <v>186.3000000012</v>
      </c>
      <c r="EV12">
        <v>194.90000000040001</v>
      </c>
      <c r="EW12">
        <v>203.10000000060001</v>
      </c>
      <c r="EX12">
        <v>211.1999999997</v>
      </c>
      <c r="EY12">
        <v>219.10000000030001</v>
      </c>
      <c r="EZ12">
        <v>227.3999999998</v>
      </c>
      <c r="FA12">
        <v>235.80000000039999</v>
      </c>
      <c r="FB12">
        <v>244.00000000060001</v>
      </c>
      <c r="FC12">
        <v>251.90000000110001</v>
      </c>
      <c r="FD12">
        <v>259.79999999979998</v>
      </c>
      <c r="FE12">
        <v>267.40000000060002</v>
      </c>
      <c r="FF12">
        <v>275.2</v>
      </c>
      <c r="FG12">
        <v>283.00000000130001</v>
      </c>
      <c r="FH12">
        <v>290.80000000069998</v>
      </c>
      <c r="FI12">
        <v>298.39999999970001</v>
      </c>
      <c r="FJ12">
        <v>305.7000000008</v>
      </c>
      <c r="FK12">
        <v>312.79999999969999</v>
      </c>
      <c r="FL12">
        <v>319.7</v>
      </c>
      <c r="FM12">
        <v>327.00000000109998</v>
      </c>
      <c r="FN12">
        <v>334.00000000070003</v>
      </c>
      <c r="FO12">
        <v>341.00000000030002</v>
      </c>
      <c r="FP12">
        <v>347.9000000007</v>
      </c>
      <c r="FQ12">
        <v>354.40000000020001</v>
      </c>
      <c r="FR12">
        <v>360.89999999970001</v>
      </c>
      <c r="FS12">
        <v>367.00000000019998</v>
      </c>
      <c r="FT12">
        <v>373.2</v>
      </c>
      <c r="FU12">
        <v>379.5000000009</v>
      </c>
      <c r="FV12">
        <v>385.59999999960002</v>
      </c>
      <c r="FW12">
        <v>391.49999999969998</v>
      </c>
      <c r="FX12">
        <v>397.3999999998</v>
      </c>
      <c r="FY12">
        <v>403.00000000019998</v>
      </c>
      <c r="FZ12">
        <v>408.60000000069999</v>
      </c>
      <c r="GA12">
        <v>413.70000000099998</v>
      </c>
      <c r="GB12">
        <v>418.70000000020002</v>
      </c>
      <c r="GC12">
        <v>423.70000000120001</v>
      </c>
      <c r="GD12">
        <v>428.7000000004</v>
      </c>
      <c r="GE12">
        <v>433.39999999989999</v>
      </c>
      <c r="GF12">
        <v>437.90000000079999</v>
      </c>
      <c r="GG12">
        <v>441.30000000040002</v>
      </c>
      <c r="GH12">
        <v>443.10000000039997</v>
      </c>
      <c r="GI12">
        <v>443.69999999980001</v>
      </c>
      <c r="GJ12">
        <v>443.80000000090001</v>
      </c>
      <c r="GK12">
        <v>443.80000000090001</v>
      </c>
      <c r="GL12">
        <v>443.80000000090001</v>
      </c>
      <c r="GM12">
        <v>443.90000000020001</v>
      </c>
      <c r="GN12">
        <v>443.90000000020001</v>
      </c>
      <c r="GO12">
        <v>443.90000000020001</v>
      </c>
      <c r="GP12">
        <v>443.90000000020001</v>
      </c>
      <c r="GQ12">
        <v>443.90000000020001</v>
      </c>
      <c r="GR12">
        <v>443.90000000020001</v>
      </c>
      <c r="GS12">
        <v>443.90000000020001</v>
      </c>
      <c r="GT12">
        <v>443.90000000020001</v>
      </c>
      <c r="GU12">
        <v>443.99999999950001</v>
      </c>
      <c r="GV12">
        <v>443.99999999950001</v>
      </c>
      <c r="GW12">
        <v>1</v>
      </c>
      <c r="GX12">
        <v>108.0999999995</v>
      </c>
      <c r="GY12">
        <v>103.8000000008</v>
      </c>
      <c r="GZ12">
        <v>103.8000000008</v>
      </c>
      <c r="HA12">
        <v>119.09999999990001</v>
      </c>
      <c r="HB12">
        <v>107.6405067573</v>
      </c>
      <c r="HC12">
        <v>-15.299999999100001</v>
      </c>
      <c r="HD12">
        <v>443.99999999950001</v>
      </c>
      <c r="HE12">
        <v>287.79192567500002</v>
      </c>
      <c r="HF12">
        <v>88.012173424099998</v>
      </c>
      <c r="HG12">
        <v>444.10000000060001</v>
      </c>
      <c r="HH12">
        <v>443.99999999950001</v>
      </c>
      <c r="HI12">
        <v>444.10000000060001</v>
      </c>
      <c r="HJ12">
        <v>443.99999999950001</v>
      </c>
      <c r="HK12">
        <v>110.26392961880001</v>
      </c>
      <c r="HL12">
        <v>3.4341168045999999</v>
      </c>
      <c r="HM12">
        <v>3.2838184276</v>
      </c>
      <c r="HN12">
        <v>3.3429380312000001</v>
      </c>
      <c r="HO12">
        <v>3.2583873185000001</v>
      </c>
      <c r="HP12">
        <v>3.6100224062000001</v>
      </c>
      <c r="HQ12">
        <v>2.3608029290000001</v>
      </c>
      <c r="HR12">
        <v>19.628333333299999</v>
      </c>
      <c r="HS12">
        <v>-25.806451612899998</v>
      </c>
      <c r="HT12">
        <v>-176</v>
      </c>
      <c r="HU12">
        <v>395.4324324323</v>
      </c>
      <c r="HV12">
        <v>86.803519061599999</v>
      </c>
      <c r="HW12">
        <v>592</v>
      </c>
      <c r="HX12">
        <v>19.628333333299999</v>
      </c>
      <c r="HY12">
        <v>-25.806451612899998</v>
      </c>
      <c r="HZ12">
        <v>-176</v>
      </c>
      <c r="IA12">
        <v>395.4324324323</v>
      </c>
      <c r="IB12">
        <v>86.803519061599999</v>
      </c>
      <c r="IC12">
        <v>592</v>
      </c>
      <c r="ID12">
        <v>48.567567567200001</v>
      </c>
      <c r="IE12">
        <v>2.8153153199999999E-2</v>
      </c>
      <c r="IF12">
        <v>-35.190615835800003</v>
      </c>
      <c r="IG12">
        <v>-240</v>
      </c>
      <c r="IH12">
        <v>417.6369932435</v>
      </c>
      <c r="II12">
        <v>96.187683284499997</v>
      </c>
      <c r="IJ12">
        <v>656</v>
      </c>
      <c r="IK12">
        <v>375.80409909899998</v>
      </c>
      <c r="IL12">
        <v>112.6099706745</v>
      </c>
      <c r="IM12">
        <v>400.95025900889999</v>
      </c>
      <c r="IN12">
        <v>121.9941348974</v>
      </c>
      <c r="IO12">
        <v>7.1000000006999997</v>
      </c>
      <c r="IP12">
        <v>5.6000000003999997</v>
      </c>
      <c r="IQ12">
        <v>8.7000000002999993</v>
      </c>
      <c r="IR12">
        <v>5.6781550348999996</v>
      </c>
      <c r="IS12">
        <v>5.6781550348999996</v>
      </c>
      <c r="IT12">
        <v>13.700000001299999</v>
      </c>
      <c r="IU12">
        <v>-28.152492668600001</v>
      </c>
      <c r="IV12">
        <v>16.400000000399999</v>
      </c>
      <c r="IW12">
        <v>49.266862170099998</v>
      </c>
      <c r="IX12">
        <v>15.0000000012</v>
      </c>
      <c r="IY12">
        <v>93.841642228699996</v>
      </c>
      <c r="IZ12">
        <v>-32.030687874199998</v>
      </c>
      <c r="JA12">
        <v>0.32649278230000001</v>
      </c>
      <c r="JB12">
        <v>-3.4732859999999998E-4</v>
      </c>
      <c r="JC12">
        <v>7.1119999999999996E-7</v>
      </c>
      <c r="JD12">
        <v>0.29119568639999999</v>
      </c>
      <c r="JE12">
        <v>0.1746925289</v>
      </c>
      <c r="JF12">
        <v>7.3992057E-2</v>
      </c>
      <c r="JG12">
        <v>108.17644990239999</v>
      </c>
      <c r="JH12">
        <v>3.6100224062000001</v>
      </c>
      <c r="JI12">
        <v>3.6026249999999999E-3</v>
      </c>
      <c r="JJ12">
        <v>-8.2932899999999993E-5</v>
      </c>
      <c r="JK12">
        <v>3.4341168045999999</v>
      </c>
      <c r="JL12">
        <v>0.99046855720000004</v>
      </c>
      <c r="JM12">
        <v>0.44458663380000002</v>
      </c>
      <c r="JN12" t="s">
        <v>538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537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2.6999999991000001</v>
      </c>
      <c r="R13">
        <v>2.2999999983000001</v>
      </c>
      <c r="S13">
        <v>2.3999999993999999</v>
      </c>
      <c r="T13">
        <v>2.3999999993999999</v>
      </c>
      <c r="U13">
        <v>2.3999999993999999</v>
      </c>
      <c r="V13">
        <v>2.3999999993999999</v>
      </c>
      <c r="W13">
        <v>2.3999999993999999</v>
      </c>
      <c r="X13">
        <v>2.3999999993999999</v>
      </c>
      <c r="Y13">
        <v>2.3999999993999999</v>
      </c>
      <c r="Z13">
        <v>2.3999999993999999</v>
      </c>
      <c r="AA13">
        <v>2.3999999993999999</v>
      </c>
      <c r="AB13">
        <v>2.3999999993999999</v>
      </c>
      <c r="AC13">
        <v>2.2999999983000001</v>
      </c>
      <c r="AD13">
        <v>2.3999999993999999</v>
      </c>
      <c r="AE13">
        <v>2.2999999983000001</v>
      </c>
      <c r="AF13">
        <v>2.2999999983000001</v>
      </c>
      <c r="AG13">
        <v>1.9999999986000001</v>
      </c>
      <c r="AH13">
        <v>1.1999999988000001</v>
      </c>
      <c r="AI13">
        <v>0</v>
      </c>
      <c r="AJ13">
        <v>3.2999999985000001</v>
      </c>
      <c r="AK13">
        <v>10.3999999992</v>
      </c>
      <c r="AL13">
        <v>16.9999999998</v>
      </c>
      <c r="AM13">
        <v>23.499999999300002</v>
      </c>
      <c r="AN13">
        <v>30.8999999997</v>
      </c>
      <c r="AO13">
        <v>37.699999998899997</v>
      </c>
      <c r="AP13">
        <v>45.299999999800001</v>
      </c>
      <c r="AQ13">
        <v>53.599999999300003</v>
      </c>
      <c r="AR13">
        <v>61.899999998799998</v>
      </c>
      <c r="AS13">
        <v>69.399999998499993</v>
      </c>
      <c r="AT13">
        <v>76.899999998200002</v>
      </c>
      <c r="AU13">
        <v>84.499999998999996</v>
      </c>
      <c r="AV13">
        <v>92.299999998399997</v>
      </c>
      <c r="AW13">
        <v>101.09999999990001</v>
      </c>
      <c r="AX13">
        <v>110.7999999986</v>
      </c>
      <c r="AY13">
        <v>119.6999999993</v>
      </c>
      <c r="AZ13">
        <v>127.6999999991</v>
      </c>
      <c r="BA13">
        <v>135.59999999959999</v>
      </c>
      <c r="BB13">
        <v>143.59999999940001</v>
      </c>
      <c r="BC13">
        <v>152.29999999969999</v>
      </c>
      <c r="BD13">
        <v>161.29999999980001</v>
      </c>
      <c r="BE13">
        <v>169.99999999830001</v>
      </c>
      <c r="BF13">
        <v>177.89999999880001</v>
      </c>
      <c r="BG13">
        <v>185.7</v>
      </c>
      <c r="BH13">
        <v>193.59999999870001</v>
      </c>
      <c r="BI13">
        <v>202.0999999986</v>
      </c>
      <c r="BJ13">
        <v>210.79999999890001</v>
      </c>
      <c r="BK13">
        <v>219.4</v>
      </c>
      <c r="BL13">
        <v>227.09999999819999</v>
      </c>
      <c r="BM13">
        <v>234.99999999880001</v>
      </c>
      <c r="BN13">
        <v>242.2999999999</v>
      </c>
      <c r="BO13">
        <v>250.0999999993</v>
      </c>
      <c r="BP13">
        <v>258.09999999910002</v>
      </c>
      <c r="BQ13">
        <v>266.49999999969998</v>
      </c>
      <c r="BR13">
        <v>274.09999999870001</v>
      </c>
      <c r="BS13">
        <v>281.2999999987</v>
      </c>
      <c r="BT13">
        <v>288.19999999909999</v>
      </c>
      <c r="BU13">
        <v>295.29999999979998</v>
      </c>
      <c r="BV13">
        <v>302.69999999840002</v>
      </c>
      <c r="BW13">
        <v>310.2999999992</v>
      </c>
      <c r="BX13">
        <v>317.89999999819997</v>
      </c>
      <c r="BY13">
        <v>324.49999999879998</v>
      </c>
      <c r="BZ13">
        <v>331.19999999869998</v>
      </c>
      <c r="CA13">
        <v>337.79999999929998</v>
      </c>
      <c r="CB13">
        <v>343.9999999991</v>
      </c>
      <c r="CC13">
        <v>350.19999999890001</v>
      </c>
      <c r="CD13">
        <v>356.7999999996</v>
      </c>
      <c r="CE13">
        <v>363.6999999999</v>
      </c>
      <c r="CF13">
        <v>370.2999999987</v>
      </c>
      <c r="CG13">
        <v>376.19999999880002</v>
      </c>
      <c r="CH13">
        <v>381.99999999959999</v>
      </c>
      <c r="CI13">
        <v>387.79999999860001</v>
      </c>
      <c r="CJ13">
        <v>393.19999999859999</v>
      </c>
      <c r="CK13">
        <v>398.79999999900002</v>
      </c>
      <c r="CL13">
        <v>404.39999999939999</v>
      </c>
      <c r="CM13">
        <v>409.99999999990001</v>
      </c>
      <c r="CN13">
        <v>415.99999999929997</v>
      </c>
      <c r="CO13">
        <v>421.7999999983</v>
      </c>
      <c r="CP13">
        <v>426.89999999859998</v>
      </c>
      <c r="CQ13">
        <v>431.99999999890002</v>
      </c>
      <c r="CR13">
        <v>437.09999999920001</v>
      </c>
      <c r="CS13">
        <v>441.69999999940001</v>
      </c>
      <c r="CT13">
        <v>446.2999999996</v>
      </c>
      <c r="CU13">
        <v>449.39999999949998</v>
      </c>
      <c r="CV13">
        <v>449.89999999960003</v>
      </c>
      <c r="CW13">
        <v>449.99999999890002</v>
      </c>
      <c r="CX13">
        <v>449.99999999890002</v>
      </c>
      <c r="CY13">
        <v>450.09999999820002</v>
      </c>
      <c r="CZ13">
        <v>450.09999999820002</v>
      </c>
      <c r="DA13">
        <v>450.09999999820002</v>
      </c>
      <c r="DB13">
        <v>450.09999999820002</v>
      </c>
      <c r="DC13">
        <v>450.09999999820002</v>
      </c>
      <c r="DD13">
        <v>449.99999999890002</v>
      </c>
      <c r="DE13">
        <v>449.99999999890002</v>
      </c>
      <c r="DF13">
        <v>449.99999999890002</v>
      </c>
      <c r="DG13">
        <v>2.9999999987999999</v>
      </c>
      <c r="DH13">
        <v>2.8999999994999999</v>
      </c>
      <c r="DI13">
        <v>2.9999999987999999</v>
      </c>
      <c r="DJ13">
        <v>2.8999999994999999</v>
      </c>
      <c r="DK13">
        <v>2.8999999994999999</v>
      </c>
      <c r="DL13">
        <v>2.8999999994999999</v>
      </c>
      <c r="DM13">
        <v>2.8999999994999999</v>
      </c>
      <c r="DN13">
        <v>2.8999999994999999</v>
      </c>
      <c r="DO13">
        <v>2.8999999994999999</v>
      </c>
      <c r="DP13">
        <v>2.7999999984000001</v>
      </c>
      <c r="DQ13">
        <v>2.6999999991000001</v>
      </c>
      <c r="DR13">
        <v>2.1999999990000001</v>
      </c>
      <c r="DS13">
        <v>2.1999999990000001</v>
      </c>
      <c r="DT13">
        <v>2.0999999997000001</v>
      </c>
      <c r="DU13">
        <v>2.0999999997000001</v>
      </c>
      <c r="DV13">
        <v>1.2999999999</v>
      </c>
      <c r="DW13">
        <v>0.19999999860000001</v>
      </c>
      <c r="DX13">
        <v>1.8</v>
      </c>
      <c r="DY13">
        <v>8.0999999990999996</v>
      </c>
      <c r="DZ13">
        <v>14.9999999994</v>
      </c>
      <c r="EA13">
        <v>21.699999999300001</v>
      </c>
      <c r="EB13">
        <v>28.399999999199999</v>
      </c>
      <c r="EC13">
        <v>35.599999999200001</v>
      </c>
      <c r="ED13">
        <v>43.299999999400001</v>
      </c>
      <c r="EE13">
        <v>51.599999998900003</v>
      </c>
      <c r="EF13">
        <v>59.899999998399998</v>
      </c>
      <c r="EG13">
        <v>67.4999999992</v>
      </c>
      <c r="EH13">
        <v>75.099999998200005</v>
      </c>
      <c r="EI13">
        <v>82.399999999299993</v>
      </c>
      <c r="EJ13">
        <v>90.199999998699994</v>
      </c>
      <c r="EK13">
        <v>98.499999998199996</v>
      </c>
      <c r="EL13">
        <v>108.39999999920001</v>
      </c>
      <c r="EM13">
        <v>117.39999999920001</v>
      </c>
      <c r="EN13">
        <v>125.8999999991</v>
      </c>
      <c r="EO13">
        <v>133.6999999985</v>
      </c>
      <c r="EP13">
        <v>141.8999999987</v>
      </c>
      <c r="EQ13">
        <v>150.49999999970001</v>
      </c>
      <c r="ER13">
        <v>159.8999999987</v>
      </c>
      <c r="ES13">
        <v>168.2999999994</v>
      </c>
      <c r="ET13">
        <v>176.39999999849999</v>
      </c>
      <c r="EU13">
        <v>184.1999999997</v>
      </c>
      <c r="EV13">
        <v>192.39999999989999</v>
      </c>
      <c r="EW13">
        <v>200.7999999987</v>
      </c>
      <c r="EX13">
        <v>209.9999999991</v>
      </c>
      <c r="EY13">
        <v>218.29999999859999</v>
      </c>
      <c r="EZ13">
        <v>226.1999999992</v>
      </c>
      <c r="FA13">
        <v>233.8</v>
      </c>
      <c r="FB13">
        <v>241.49999999830001</v>
      </c>
      <c r="FC13">
        <v>249.6999999985</v>
      </c>
      <c r="FD13">
        <v>258.19999999840002</v>
      </c>
      <c r="FE13">
        <v>266.69999999829997</v>
      </c>
      <c r="FF13">
        <v>274.19999999980001</v>
      </c>
      <c r="FG13">
        <v>281.3999999998</v>
      </c>
      <c r="FH13">
        <v>288.49999999869999</v>
      </c>
      <c r="FI13">
        <v>295.89999999920002</v>
      </c>
      <c r="FJ13">
        <v>303.5</v>
      </c>
      <c r="FK13">
        <v>311.39999999870003</v>
      </c>
      <c r="FL13">
        <v>319.0999999988</v>
      </c>
      <c r="FM13">
        <v>326.09999999839999</v>
      </c>
      <c r="FN13">
        <v>332.5999999997</v>
      </c>
      <c r="FO13">
        <v>338.89999999880001</v>
      </c>
      <c r="FP13">
        <v>345.49999999940002</v>
      </c>
      <c r="FQ13">
        <v>352.3999999998</v>
      </c>
      <c r="FR13">
        <v>359.39999999939999</v>
      </c>
      <c r="FS13">
        <v>366.39999999899999</v>
      </c>
      <c r="FT13">
        <v>372.5999999988</v>
      </c>
      <c r="FU13">
        <v>378.59999999820002</v>
      </c>
      <c r="FV13">
        <v>384.29999999969999</v>
      </c>
      <c r="FW13">
        <v>389.69999999970003</v>
      </c>
      <c r="FX13">
        <v>395.39999999939999</v>
      </c>
      <c r="FY13">
        <v>401.29999999950002</v>
      </c>
      <c r="FZ13">
        <v>407.09999999849998</v>
      </c>
      <c r="GA13">
        <v>413.09999999979999</v>
      </c>
      <c r="GB13">
        <v>418.89999999880001</v>
      </c>
      <c r="GC13">
        <v>424.09999999839999</v>
      </c>
      <c r="GD13">
        <v>429.09999999939998</v>
      </c>
      <c r="GE13">
        <v>433.9</v>
      </c>
      <c r="GF13">
        <v>438.29999999979998</v>
      </c>
      <c r="GG13">
        <v>442.39999999989999</v>
      </c>
      <c r="GH13">
        <v>446.5999999993</v>
      </c>
      <c r="GI13">
        <v>449.29999999839998</v>
      </c>
      <c r="GJ13">
        <v>449.79999999850003</v>
      </c>
      <c r="GK13">
        <v>449.89999999960003</v>
      </c>
      <c r="GL13">
        <v>449.89999999960003</v>
      </c>
      <c r="GM13">
        <v>449.99999999890002</v>
      </c>
      <c r="GN13">
        <v>449.99999999890002</v>
      </c>
      <c r="GO13">
        <v>449.99999999890002</v>
      </c>
      <c r="GP13">
        <v>449.99999999890002</v>
      </c>
      <c r="GQ13">
        <v>450.09999999820002</v>
      </c>
      <c r="GR13">
        <v>450.09999999820002</v>
      </c>
      <c r="GS13">
        <v>450.19999999930002</v>
      </c>
      <c r="GT13">
        <v>450.09999999820002</v>
      </c>
      <c r="GU13">
        <v>449.99999999890002</v>
      </c>
      <c r="GV13">
        <v>449.99999999890002</v>
      </c>
      <c r="GW13">
        <v>1</v>
      </c>
      <c r="GX13">
        <v>106.600000001</v>
      </c>
      <c r="GY13">
        <v>101.09999999990001</v>
      </c>
      <c r="GZ13">
        <v>101.09999999990001</v>
      </c>
      <c r="HA13">
        <v>117.39999999920001</v>
      </c>
      <c r="HB13">
        <v>105.0559591244</v>
      </c>
      <c r="HC13">
        <v>-16.299999999299999</v>
      </c>
      <c r="HD13">
        <v>449.99999999890002</v>
      </c>
      <c r="HE13">
        <v>300.50011107289998</v>
      </c>
      <c r="HF13">
        <v>87.481084082999999</v>
      </c>
      <c r="HG13">
        <v>450.19999999930002</v>
      </c>
      <c r="HH13">
        <v>450.19999999930002</v>
      </c>
      <c r="HI13">
        <v>450.09999999820002</v>
      </c>
      <c r="HJ13">
        <v>450.19999999930002</v>
      </c>
      <c r="HK13">
        <v>112.6099706745</v>
      </c>
      <c r="HL13">
        <v>3.4157661114</v>
      </c>
      <c r="HM13">
        <v>3.2621780922000001</v>
      </c>
      <c r="HN13">
        <v>3.3233546001000001</v>
      </c>
      <c r="HO13">
        <v>3.3155904906</v>
      </c>
      <c r="HP13">
        <v>3.6334102650000002</v>
      </c>
      <c r="HQ13">
        <v>2.2324226739999999</v>
      </c>
      <c r="HR13">
        <v>17.574875041399999</v>
      </c>
      <c r="HS13">
        <v>-25.806451612899998</v>
      </c>
      <c r="HT13">
        <v>-176</v>
      </c>
      <c r="HU13">
        <v>405.5560701974</v>
      </c>
      <c r="HV13">
        <v>91.495601172999997</v>
      </c>
      <c r="HW13">
        <v>624</v>
      </c>
      <c r="HX13">
        <v>17.574875041399999</v>
      </c>
      <c r="HY13">
        <v>-25.806451612899998</v>
      </c>
      <c r="HZ13">
        <v>-176</v>
      </c>
      <c r="IA13">
        <v>405.5560701974</v>
      </c>
      <c r="IB13">
        <v>91.495601172999997</v>
      </c>
      <c r="IC13">
        <v>624</v>
      </c>
      <c r="ID13">
        <v>44.643929802000002</v>
      </c>
      <c r="IE13">
        <v>1.2019993323</v>
      </c>
      <c r="IF13">
        <v>-35.190615835800003</v>
      </c>
      <c r="IG13">
        <v>-240</v>
      </c>
      <c r="IH13">
        <v>428.29680106569998</v>
      </c>
      <c r="II13">
        <v>100.87976539589999</v>
      </c>
      <c r="IJ13">
        <v>688</v>
      </c>
      <c r="IK13">
        <v>387.98119515590002</v>
      </c>
      <c r="IL13">
        <v>117.3020527859</v>
      </c>
      <c r="IM13">
        <v>414.1220370991</v>
      </c>
      <c r="IN13">
        <v>126.6862170088</v>
      </c>
      <c r="IO13">
        <v>7.1000000006999997</v>
      </c>
      <c r="IP13">
        <v>5.7999999989999997</v>
      </c>
      <c r="IQ13">
        <v>9.9000000009000004</v>
      </c>
      <c r="IR13">
        <v>6.4297967867999999</v>
      </c>
      <c r="IS13">
        <v>6.4297967867999999</v>
      </c>
      <c r="IT13">
        <v>11.700000000899999</v>
      </c>
      <c r="IU13">
        <v>-30.4985337243</v>
      </c>
      <c r="IV13">
        <v>16.599999999000001</v>
      </c>
      <c r="IW13">
        <v>42.228739002899999</v>
      </c>
      <c r="IX13">
        <v>13.1000000001</v>
      </c>
      <c r="IY13">
        <v>100.87976539589999</v>
      </c>
      <c r="IZ13">
        <v>-31.067976684600001</v>
      </c>
      <c r="JA13">
        <v>0.32279730099999998</v>
      </c>
      <c r="JB13">
        <v>-3.4247489999999998E-4</v>
      </c>
      <c r="JC13">
        <v>7.1709999999999998E-7</v>
      </c>
      <c r="JD13">
        <v>0.2927600917</v>
      </c>
      <c r="JE13">
        <v>0.31590560490000003</v>
      </c>
      <c r="JF13">
        <v>0.1473054892</v>
      </c>
      <c r="JG13">
        <v>106.04260693179999</v>
      </c>
      <c r="JH13">
        <v>3.6334102650000002</v>
      </c>
      <c r="JI13">
        <v>3.1187229999999999E-3</v>
      </c>
      <c r="JJ13">
        <v>-7.8508400000000002E-5</v>
      </c>
      <c r="JK13">
        <v>3.4157661114</v>
      </c>
      <c r="JL13">
        <v>1.8714323811</v>
      </c>
      <c r="JM13">
        <v>0.66733634159999999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65.977795845999992</v>
      </c>
      <c r="D16" s="9">
        <f>AVERAGE(C18:C20)</f>
        <v>72.04626351506667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69.823529491199992</v>
      </c>
      <c r="D17" s="9">
        <f>AVERAGE(C21:C23)</f>
        <v>67.162988779299994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78.348498927500003</v>
      </c>
      <c r="D18" s="11">
        <f>AVERAGE(C24:C26)</f>
        <v>65.097177220833331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72.884775238399996</v>
      </c>
      <c r="D19" s="6">
        <f>AVERAGE('Summary(3pcs)'!E34:E35)</f>
        <v>152.40066459878793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64.905516379299996</v>
      </c>
      <c r="D20" s="9">
        <f>AVERAGE('Summary(3pcs)'!E36:E38)</f>
        <v>141.81862359083789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65.797474121899995</v>
      </c>
      <c r="D21" s="9">
        <f>AVERAGE('Summary(3pcs)'!E39:E41)</f>
        <v>140.63621684783791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60.749373832700002</v>
      </c>
      <c r="D22" s="11">
        <f>AVERAGE('Summary(3pcs)'!E42:E44)</f>
        <v>141.41618363707124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74.942118383299999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63.834616372100001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66.262398872399999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65.194516418000006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0.90265081219999999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-0.56137078839999999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-12.564730817499999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-4.8172934295000003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-10.2484977518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1.0775347388000001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-6.2543181644999999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-1.9286445219999999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-4.2601860558000002</v>
      </c>
      <c r="C39" s="5">
        <f>'Summary(3pcs)'!M34</f>
        <v>0.90265081219999999</v>
      </c>
      <c r="D39" s="11">
        <f t="shared" si="0"/>
        <v>-3.2599498049000002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-0.56137078839999999</v>
      </c>
      <c r="D40" s="6">
        <f t="shared" si="0"/>
        <v>-5.4378079124000003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-12.564730817499999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-4.8172934295000003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-4.3384814248749999</v>
      </c>
      <c r="C43" s="8">
        <f>'Summary(3pcs)'!M39</f>
        <v>-10.2484977518</v>
      </c>
      <c r="D43" s="6">
        <f t="shared" ref="D43:D54" si="2">C55</f>
        <v>-1.7694698834000002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1.0775347388000001</v>
      </c>
      <c r="D44" s="9">
        <f t="shared" si="2"/>
        <v>5.2946548858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-6.2543181644999999</v>
      </c>
      <c r="D45" s="11">
        <f t="shared" si="2"/>
        <v>12.0541902324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-1.9286445219999999</v>
      </c>
      <c r="D46" s="6">
        <f t="shared" si="2"/>
        <v>8.2928859595999995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-3.2599498049000002</v>
      </c>
      <c r="D47" s="9">
        <f t="shared" si="2"/>
        <v>-0.72093740289999975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-5.4378079124000003</v>
      </c>
      <c r="D48" s="11">
        <f t="shared" si="2"/>
        <v>1.7556689849999998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2.5259732364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6.9251619585000004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8.4735407145000003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8.2641714453999988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5.9680652986</v>
      </c>
      <c r="C55" s="5">
        <f>'Summary(3pcs)'!N34</f>
        <v>-1.7694698834000002</v>
      </c>
      <c r="D55" s="6">
        <f>AVERAGE(D31:D33)</f>
        <v>-4.0744835978999996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5.2946548858</v>
      </c>
      <c r="D56" s="9">
        <f>AVERAGE(D34:D36)</f>
        <v>-4.6627521475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12.0541902324</v>
      </c>
      <c r="D57" s="9">
        <f>AVERAGE(D37:D39)</f>
        <v>-3.8143041637999997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8.2928859595999995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2.62146669425</v>
      </c>
      <c r="C59" s="8">
        <f>'Summary(3pcs)'!N39</f>
        <v>-0.72093740289999975</v>
      </c>
      <c r="D59" s="9">
        <f>AVERAGE(D43:D45)</f>
        <v>5.1931250782666671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1.7556689849999998</v>
      </c>
      <c r="D60" s="9">
        <f>AVERAGE(D46:D48)</f>
        <v>3.1092058472333335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2.5259732364</v>
      </c>
      <c r="D61" s="9">
        <f>AVERAGE(D49:D51)</f>
        <v>5.9748919698000007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6.9251619585000004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8.4735407145000003</v>
      </c>
      <c r="D63" s="6">
        <f>AVERAGE(C71:C73)</f>
        <v>-2.5627067883999999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8.2641714453999988</v>
      </c>
      <c r="D64" s="9">
        <f>AVERAGE(C74:C76)</f>
        <v>4.494492530833333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3.8708510398999998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-1.0674179394999996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-6.0814255078666664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-3.0888737439999994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-4.4682570695999999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-3.7744598388666675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-0.81544399259999967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-6.4733781815000002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-0.39929819109999976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3.2722644806000005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5.0037136078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5.2074995040999994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7.3169240951999992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9.724290847799999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-5.4286618232999997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1.4030170441000003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0.97509574890000028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-5.5803666114999997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-6.0828857422000002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-9.6688547134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-2.4925360680000002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-9.2479252814999988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-3.0692135095999999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3.0505175591000002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-3.8607915639999999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-3.1987159252000001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-6.3452637196000001</v>
      </c>
    </row>
    <row r="96" spans="1:7">
      <c r="A96" s="1" t="s">
        <v>87</v>
      </c>
      <c r="C96" s="5">
        <f>'Summary(3pcs)'!W43</f>
        <v>-9.8206901550000012</v>
      </c>
    </row>
    <row r="97" spans="1:3">
      <c r="A97" s="1" t="s">
        <v>87</v>
      </c>
      <c r="C97" s="8">
        <f>'Summary(3pcs)'!W44</f>
        <v>3.5713806151999998</v>
      </c>
    </row>
    <row r="98" spans="1:3" ht="17.25" thickBot="1">
      <c r="A98" s="1" t="s">
        <v>87</v>
      </c>
      <c r="C98" s="10">
        <f>'Summary(3pcs)'!W45</f>
        <v>-5.0740699768000006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