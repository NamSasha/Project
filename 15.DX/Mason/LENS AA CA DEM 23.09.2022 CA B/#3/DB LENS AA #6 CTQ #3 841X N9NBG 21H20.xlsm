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<sst xmlns="http://schemas.openxmlformats.org/spreadsheetml/2006/main" count="1419" uniqueCount="672">
  <si>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</si>
  <si>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</si>
  <si>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</si>
  <si>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</si>
  <si>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</si>
  <si>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</si>
  <si>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</si>
  <si>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</si>
  <si>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</si>
  <si>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</si>
  <si>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</si>
  <si>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</si>
  <si>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</si>
  <si>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</si>
  <si>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</si>
  <si>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</si>
  <si>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</si>
  <si>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</si>
  <si>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</si>
  <si>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</si>
  <si>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</si>
  <si>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</si>
  <si>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</si>
  <si>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</si>
  <si>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</si>
  <si>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</si>
  <si>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</si>
  <si>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</si>
  <si>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</si>
  <si>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</si>
  <si>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</si>
  <si>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</si>
  <si>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</si>
  <si>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</si>
  <si>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</si>
  <si>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</si>
  <si>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</si>
  <si>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</si>
  <si>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</si>
  <si>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</si>
  <si>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</si>
  <si>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</si>
  <si>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</si>
  <si>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</si>
  <si>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</si>
  <si>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</si>
  <si>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</si>
  <si>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</si>
  <si>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</si>
  <si>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</si>
  <si>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</si>
  <si>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</si>
  <si>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</si>
  <si>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</si>
  <si>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</si>
  <si>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</si>
  <si>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</si>
  <si>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</si>
  <si>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</si>
  <si>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</si>
  <si>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</si>
  <si>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</si>
  <si>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</si>
  <si>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</si>
  <si>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</si>
  <si>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</si>
  <si>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</si>
  <si>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</si>
  <si>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</si>
  <si>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</si>
  <si>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</si>
  <si>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</si>
  <si>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</si>
  <si>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</si>
  <si>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</si>
  <si>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</si>
  <si>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</si>
  <si>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</si>
  <si>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</si>
  <si>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</si>
  <si>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</si>
  <si>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</si>
  <si>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</si>
  <si>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</si>
  <si>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</si>
  <si>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</si>
  <si>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</si>
  <si>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</si>
  <si>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</si>
  <si>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</si>
  <si>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</si>
  <si>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</si>
  <si>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</si>
  <si>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</si>
  <si>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</si>
  <si>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</si>
  <si>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</si>
  <si>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</si>
  <si>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</si>
  <si>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</si>
  <si>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</si>
  <si>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</si>
  <si>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</si>
  <si>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</si>
  <si>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</si>
  <si>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</si>
  <si>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</si>
  <si>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</si>
  <si>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</si>
  <si>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</si>
  <si>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</si>
  <si>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</si>
  <si>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</si>
  <si>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</si>
  <si>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</si>
  <si>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</si>
  <si>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</si>
  <si>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</si>
  <si>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</si>
  <si>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</si>
  <si>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</si>
  <si>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</si>
  <si>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</si>
  <si>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</si>
  <si>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</si>
  <si>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</si>
  <si>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</si>
  <si>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</si>
  <si>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</si>
  <si>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</si>
  <si>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</si>
  <si>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</si>
  <si>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</si>
  <si>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</si>
  <si>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</si>
  <si>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</si>
  <si>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</si>
  <si>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</si>
  <si>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</si>
  <si>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</si>
  <si>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</si>
  <si>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</si>
  <si>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</si>
  <si>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</si>
  <si>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</si>
  <si>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</si>
  <si>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</si>
  <si>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</si>
  <si>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</si>
  <si>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</si>
  <si>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</si>
  <si>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</si>
  <si>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</si>
  <si>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</si>
  <si>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</si>
  <si>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</si>
  <si>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</si>
  <si>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</si>
  <si>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</si>
  <si>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</si>
  <si>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</si>
  <si>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</si>
  <si>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</si>
  <si>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</si>
  <si>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</si>
  <si>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</si>
  <si>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</si>
  <si>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</si>
  <si>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</si>
  <si>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</si>
  <si>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</si>
  <si>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</si>
  <si>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</si>
  <si>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 VSY841XN9NBG_2022092319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</si>
  <si>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</si>
  <si>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</si>
  <si>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</si>
  <si>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</si>
  <si>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</si>
  <si>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</si>
  <si>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</si>
  <si>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</si>
  <si>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</si>
  <si>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</si>
  <si>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</si>
  <si>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</si>
  <si>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</si>
  <si>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</si>
  <si>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</si>
  <si>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</si>
  <si>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</si>
  <si>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</si>
  <si>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</si>
  <si>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</si>
  <si>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</si>
  <si>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</si>
  <si>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</si>
  <si>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</si>
  <si>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</si>
  <si>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</si>
  <si>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</si>
  <si>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</si>
  <si>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</si>
  <si>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</si>
  <si>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</si>
  <si>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</si>
  <si>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</si>
  <si>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</si>
  <si>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</si>
  <si>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</si>
  <si>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T220923190557355VCMLEBC060</t>
  </si>
  <si>
    <t>'2022-09-23 19:06:06:166</t>
  </si>
  <si>
    <t>VCMLEBC060A</t>
  </si>
  <si>
    <t>DB_C1001</t>
  </si>
  <si>
    <t>210615ADOE</t>
  </si>
  <si>
    <t>R13A_OC_MFG_C10_21091603_b1779c9</t>
  </si>
  <si>
    <t xml:space="preserve"> VSY841XN9NBG</t>
  </si>
  <si>
    <t>22cb77160096</t>
  </si>
  <si>
    <t>0x52801162a2b1ac06</t>
  </si>
  <si>
    <t>MF2C3362A28M14B1A741011015</t>
  </si>
  <si>
    <t>MF4C3564A9U925A7A641</t>
  </si>
  <si>
    <t>DNA22294090670J04A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</si>
  <si>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</si>
  <si>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</si>
  <si>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</si>
  <si>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</si>
  <si>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</si>
  <si>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</si>
  <si>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T220923190702457VCMLEBC060</t>
  </si>
  <si>
    <t>'2022-09-23 19:07:11:468</t>
  </si>
  <si>
    <t>22cb77160566</t>
  </si>
  <si>
    <t>0x52801162a2b21a05</t>
  </si>
  <si>
    <t>MF2C3362A2SS14B1B044104010</t>
  </si>
  <si>
    <t>MF4C3564A9YL25A7A644</t>
  </si>
  <si>
    <t>DNA22251015140I05A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</si>
  <si>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</si>
  <si>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</si>
  <si>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</si>
  <si>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</si>
  <si>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</si>
  <si>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</si>
  <si>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</si>
  <si>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</si>
  <si>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</si>
  <si>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</si>
  <si>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</si>
  <si>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</si>
  <si>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</si>
  <si>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</si>
  <si>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</si>
  <si>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</si>
  <si>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</si>
  <si>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</si>
  <si>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</si>
  <si>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</si>
  <si>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</si>
  <si>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</si>
  <si>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</si>
  <si>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</si>
  <si>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</si>
  <si>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</si>
  <si>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</si>
  <si>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</si>
  <si>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</si>
  <si>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</si>
  <si>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</si>
  <si>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T220923190623598VCMLEBC060</t>
  </si>
  <si>
    <t>'2022-09-23 19:06:52:667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</si>
  <si>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</si>
  <si>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</si>
  <si>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</si>
  <si>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</si>
  <si>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</si>
  <si>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</si>
  <si>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</si>
  <si>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</si>
  <si>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</si>
  <si>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</si>
  <si>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</si>
  <si>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</si>
  <si>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</si>
  <si>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</si>
  <si>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</si>
  <si>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</si>
  <si>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19:06:42:639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</si>
  <si>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</si>
  <si>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</si>
  <si>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</si>
  <si>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</si>
  <si>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</si>
  <si>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</si>
  <si>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</si>
  <si>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</si>
  <si>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</si>
  <si>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</si>
  <si>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</si>
  <si>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</si>
  <si>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</si>
  <si>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</si>
  <si>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</si>
  <si>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</si>
  <si>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</si>
  <si>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</si>
  <si>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</si>
  <si>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</si>
  <si>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</si>
  <si>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</si>
  <si>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</si>
  <si>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</si>
  <si>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</si>
  <si>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</si>
  <si>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</si>
  <si>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</si>
  <si>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</si>
  <si>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</si>
  <si>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</si>
  <si>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</si>
  <si>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</si>
  <si>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</si>
  <si>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</si>
  <si>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</si>
  <si>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</si>
  <si>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</si>
  <si>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</si>
  <si>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</si>
  <si>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</si>
  <si>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</si>
  <si>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</si>
  <si>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</si>
  <si>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</si>
  <si>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</si>
  <si>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</si>
  <si>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</si>
  <si>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</si>
  <si>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</si>
  <si>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</si>
  <si>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</si>
  <si>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</si>
  <si>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</si>
  <si>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</si>
  <si>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</si>
  <si>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</si>
  <si>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</si>
  <si>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</si>
  <si>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</si>
  <si>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</si>
  <si>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</si>
  <si>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</si>
  <si>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</si>
  <si>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</si>
  <si>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</si>
  <si>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</si>
  <si>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</si>
  <si>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</si>
  <si>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</si>
  <si>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</si>
  <si>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</si>
  <si>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</si>
  <si>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</si>
  <si>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</si>
  <si>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</si>
  <si>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</si>
  <si>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</si>
  <si>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</si>
  <si>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</si>
  <si>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</si>
  <si>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</si>
  <si>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</si>
  <si>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</si>
  <si>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</si>
  <si>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</si>
  <si>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</si>
  <si>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</si>
  <si>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</si>
  <si>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</si>
  <si>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</si>
  <si>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</si>
  <si>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</si>
  <si>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</si>
  <si>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</si>
  <si>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</si>
  <si>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</si>
  <si>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</si>
  <si>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</si>
  <si>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</si>
  <si>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</si>
  <si>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</si>
  <si>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</si>
  <si>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</si>
  <si>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</si>
  <si>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</si>
  <si>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</si>
  <si>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</si>
  <si>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</si>
  <si>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</si>
  <si>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</si>
  <si>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</si>
  <si>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</si>
  <si>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</si>
  <si>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</si>
  <si>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</si>
  <si>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</si>
  <si>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</si>
  <si>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</si>
  <si>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</si>
  <si>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</si>
  <si>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</si>
  <si>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</si>
  <si>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</si>
  <si>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</si>
  <si>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</si>
  <si>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</si>
  <si>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</si>
  <si>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</si>
  <si>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</si>
  <si>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</si>
  <si>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</si>
  <si>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</si>
  <si>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</si>
  <si>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</si>
  <si>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</si>
  <si>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</si>
  <si>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</si>
  <si>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</si>
  <si>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</si>
  <si>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</si>
  <si>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</si>
  <si>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</si>
  <si>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</si>
  <si>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</si>
  <si>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</si>
  <si>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</si>
  <si>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</si>
  <si>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</si>
  <si>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</si>
  <si>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</si>
  <si>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</si>
  <si>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</si>
  <si>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</si>
  <si>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</si>
  <si>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</si>
  <si>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</si>
  <si>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</si>
  <si>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</si>
  <si>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</si>
  <si>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</si>
  <si>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</si>
  <si>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</si>
  <si>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</si>
  <si>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</si>
  <si>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</si>
  <si>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</si>
  <si>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</si>
  <si>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</si>
  <si>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</si>
  <si>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</si>
  <si>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</si>
  <si>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</si>
  <si>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</si>
  <si>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</si>
  <si>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</si>
  <si>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</si>
  <si>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</si>
  <si>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</si>
  <si>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</si>
  <si>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</si>
  <si>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</si>
  <si>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</si>
  <si>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</si>
  <si>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</si>
  <si>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</si>
  <si>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</si>
  <si>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</si>
  <si>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</si>
  <si>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</si>
  <si>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</si>
  <si>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</si>
  <si>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</si>
  <si>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</si>
  <si>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</si>
  <si>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</si>
  <si>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</si>
  <si>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</si>
  <si>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</si>
  <si>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</si>
  <si>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</si>
  <si>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</si>
  <si>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</si>
  <si>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</si>
  <si>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</si>
  <si>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</si>
  <si>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</si>
  <si>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</si>
  <si>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</si>
  <si>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</si>
  <si>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</si>
  <si>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</si>
  <si>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</si>
  <si>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</si>
  <si>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</si>
  <si>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</si>
  <si>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</si>
  <si>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</si>
  <si>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</si>
  <si>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</si>
  <si>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</si>
  <si>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</si>
  <si>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</si>
  <si>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</si>
  <si>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</si>
  <si>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</si>
  <si>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</si>
  <si>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</si>
  <si>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</si>
  <si>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</si>
  <si>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</si>
  <si>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</si>
  <si>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</si>
  <si>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</si>
  <si>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</si>
  <si>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</si>
  <si>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</si>
  <si>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</si>
  <si>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</si>
  <si>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</si>
  <si>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</si>
  <si>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</si>
  <si>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</si>
  <si>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</si>
  <si>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</si>
  <si>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</si>
  <si>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</si>
  <si>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</si>
  <si>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</si>
  <si>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</si>
  <si>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</si>
  <si>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</si>
  <si>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</si>
  <si>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</si>
  <si>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</si>
  <si>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</si>
  <si>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</si>
  <si>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T220923190608827VCMLEBC060</t>
  </si>
  <si>
    <t>'2022-09-23 19:06:21:366</t>
  </si>
  <si>
    <t>R13A_IPQC_MFG_Laser_C10_21090805_b1779c9</t>
  </si>
  <si>
    <t>v9p4</t>
  </si>
  <si>
    <t>T220923190714210VCMLEBC060</t>
  </si>
  <si>
    <t>'2022-09-23 19:07:26:756</t>
  </si>
  <si>
    <t>T220923190807986VCMLEBC060</t>
  </si>
  <si>
    <t>'2022-09-23 19:08:17:225</t>
  </si>
  <si>
    <t>22cb77170838</t>
  </si>
  <si>
    <t>0x528015628ff36203</t>
  </si>
  <si>
    <t>MFEC341EB6AJ12B1B942049105</t>
  </si>
  <si>
    <t>MF4C3564AB6P25A7A636</t>
  </si>
  <si>
    <t>DNA22251013280K08A</t>
  </si>
  <si>
    <t>T220923190913990VCMLEBC060</t>
  </si>
  <si>
    <t>'2022-09-23 19:09:22:832</t>
  </si>
  <si>
    <t>22cb77170807</t>
  </si>
  <si>
    <t>0x52801862a1019b04</t>
  </si>
  <si>
    <t>MF2C3362A2VB14B1B544108025</t>
  </si>
  <si>
    <t>MF4C3564A9YC25A7A642</t>
  </si>
  <si>
    <t>DNA22294084190D06A</t>
  </si>
  <si>
    <t>T220923191018322VCMLEBC060</t>
  </si>
  <si>
    <t>'2022-09-23 19:10:27:239</t>
  </si>
  <si>
    <t>22cb77170010</t>
  </si>
  <si>
    <t>0x528015628ff36a02</t>
  </si>
  <si>
    <t>MF2C3362A2VP14B1B434024151</t>
  </si>
  <si>
    <t>MF4C3564A9YF25A7A643</t>
  </si>
  <si>
    <t>DNA22294084190D01A</t>
  </si>
  <si>
    <t>T220923190729013VCMLEBC060</t>
  </si>
  <si>
    <t>'2022-09-23 19:07:58:269</t>
  </si>
  <si>
    <t>T220923190834659VCMLEBC060</t>
  </si>
  <si>
    <t>'2022-09-23 19:09:04:186</t>
  </si>
  <si>
    <t>T220923190940273VCMLEBC060</t>
  </si>
  <si>
    <t>'2022-09-23 19:10:09:267</t>
  </si>
  <si>
    <t>'2022-09-23 19:07:48:241</t>
  </si>
  <si>
    <t>'2022-09-23 19:08:54:157</t>
  </si>
  <si>
    <t>'2022-09-23 19:09:59:245</t>
  </si>
  <si>
    <t>T220923191044667VCMLEBC060</t>
  </si>
  <si>
    <t>'2022-09-23 19:11:03:943</t>
  </si>
  <si>
    <t>T220923190819896VCMLEBC060</t>
  </si>
  <si>
    <t>'2022-09-23 19:08:32:445</t>
  </si>
  <si>
    <t>T220923190925517VCMLEBC060</t>
  </si>
  <si>
    <t>'2022-09-23 19:09:38:050</t>
  </si>
  <si>
    <t>T220923191029888VCMLEBC060</t>
  </si>
  <si>
    <t>'2022-09-23 19:10:42:430</t>
  </si>
  <si>
    <t>T220923191123212VCMLEBC060</t>
  </si>
  <si>
    <t>'2022-09-23 19:11:32:029</t>
  </si>
  <si>
    <t>22cb77170104</t>
  </si>
  <si>
    <t>0x528015628ff26a03</t>
  </si>
  <si>
    <t>MF2C3362A2TM14B1B145020019</t>
  </si>
  <si>
    <t>MF4C3564A9YK25A7A642</t>
  </si>
  <si>
    <t>DNA22294084150B05A</t>
  </si>
  <si>
    <t>'2022-09-23 19:11:13:967</t>
  </si>
  <si>
    <t>T220923191134698VCMLEBC060</t>
  </si>
  <si>
    <t>'2022-09-23 19:11:47:228</t>
  </si>
  <si>
    <t>T220923191149479VCMLEBC060</t>
  </si>
  <si>
    <t>'2022-09-23 19:12:18:710</t>
  </si>
  <si>
    <t>T220923191333512VCMLEBC060</t>
  </si>
  <si>
    <t>'2022-09-23 19:13:52:507</t>
  </si>
  <si>
    <t>T220923191411715VCMLEBC060</t>
  </si>
  <si>
    <t>'2022-09-23 19:14:20:649</t>
  </si>
  <si>
    <t>22cb77170207</t>
  </si>
  <si>
    <t>0x52801862a2a5cd01</t>
  </si>
  <si>
    <t>MFEC341EB63H12B1C040105112</t>
  </si>
  <si>
    <t>MF4C3564AB6F25A7A648</t>
  </si>
  <si>
    <t>DNA22251013280G14A</t>
  </si>
  <si>
    <t>T220923191424140VCMLEBC060</t>
  </si>
  <si>
    <t>'2022-09-23 19:14:36:674</t>
  </si>
  <si>
    <t>T220923191520276VCMLEBC060</t>
  </si>
  <si>
    <t>'2022-09-23 19:15:29:205</t>
  </si>
  <si>
    <t>22cb77170029</t>
  </si>
  <si>
    <t>0x52801162a2b35b01</t>
  </si>
  <si>
    <t>MFEC341EB69K12B1B847033112</t>
  </si>
  <si>
    <t>MF4C3564ABCH25A7A639</t>
  </si>
  <si>
    <t>DNA22295014210J09A</t>
  </si>
  <si>
    <t>T220923191438907VCMLEBC060</t>
  </si>
  <si>
    <t>'2022-09-23 19:15:08:052</t>
  </si>
  <si>
    <t>'2022-09-23 19:14:58:023</t>
  </si>
  <si>
    <t>T220923191626710VCMLEBC060</t>
  </si>
  <si>
    <t>'2022-09-23 19:16:35:580</t>
  </si>
  <si>
    <t>22cb77170954</t>
  </si>
  <si>
    <t>0x528015628ff35a01</t>
  </si>
  <si>
    <t>MF2C3362A2TZ14B1A946014012</t>
  </si>
  <si>
    <t>MF4C3564A9YJ25A7A626</t>
  </si>
  <si>
    <t>DNA22252075170L01A</t>
  </si>
  <si>
    <t>T220923191546644VCMLEBC060</t>
  </si>
  <si>
    <t>'2022-09-23 19:16:15:866</t>
  </si>
  <si>
    <t>T220923191652991VCMLEBC060</t>
  </si>
  <si>
    <t>'2022-09-23 19:17:22:234</t>
  </si>
  <si>
    <t>'2022-09-23 19:16:05:835</t>
  </si>
  <si>
    <t>'2022-09-23 19:17:12:207</t>
  </si>
  <si>
    <t>T220923191531884VCMLEBC060</t>
  </si>
  <si>
    <t>'2022-09-23 19:15:44:431</t>
  </si>
  <si>
    <t>T220923191638227VCMLEBC060</t>
  </si>
  <si>
    <t>'2022-09-23 19:16:50:763</t>
  </si>
  <si>
    <t>T220923191736840VCMLEBC060</t>
  </si>
  <si>
    <t>'2022-09-23 19:17:46:094</t>
  </si>
  <si>
    <t>22cb77160510</t>
  </si>
  <si>
    <t>0x528015628fee9208</t>
  </si>
  <si>
    <t>MF2C3362A24N14B1B143013018</t>
  </si>
  <si>
    <t>MF4C3564A9U425A7A646</t>
  </si>
  <si>
    <t>DNA22294090690C07A</t>
  </si>
  <si>
    <t>T220923191843977VCMLEBC060</t>
  </si>
  <si>
    <t>'2022-09-23 19:18:53:262</t>
  </si>
  <si>
    <t>22cb77160537</t>
  </si>
  <si>
    <t>0x528015628fee8205</t>
  </si>
  <si>
    <t>MF2C3362A2TE14B1A947008016</t>
  </si>
  <si>
    <t>MF4C3564A9YM25A7A644</t>
  </si>
  <si>
    <t>DNA22294090770C10A</t>
  </si>
  <si>
    <t>T220923191956228VCMLEBC060</t>
  </si>
  <si>
    <t>'2022-09-23 19:20:05:185</t>
  </si>
  <si>
    <t>22cb77170937</t>
  </si>
  <si>
    <t>0x52801162a2b13e01</t>
  </si>
  <si>
    <t>MF2C3362A2UC14B1B042104015</t>
  </si>
  <si>
    <t>MF4C3564A9YG25A7A629</t>
  </si>
  <si>
    <t>DNA22294084190C06A</t>
  </si>
  <si>
    <t>T220923191803585VCMLEBC060</t>
  </si>
  <si>
    <t>'2022-09-23 19:18:33:239</t>
  </si>
  <si>
    <t>T220923191910702VCMLEBC060</t>
  </si>
  <si>
    <t>'2022-09-23 19:19:44:208</t>
  </si>
  <si>
    <t>T220923192022681VCMLEBC060</t>
  </si>
  <si>
    <t>'2022-09-23 19:20:51:573</t>
  </si>
  <si>
    <t>'2022-09-23 19:18:23:211</t>
  </si>
  <si>
    <t>'2022-09-23 19:19:34:183</t>
  </si>
  <si>
    <t>'2022-09-23 19:20:41:546</t>
  </si>
  <si>
    <t>T220923191748821VCMLEBC060</t>
  </si>
  <si>
    <t>'2022-09-23 19:18:01:357</t>
  </si>
  <si>
    <t>T220923191855941VCMLEBC060</t>
  </si>
  <si>
    <t>'2022-09-23 19:19:08:480</t>
  </si>
  <si>
    <t>T220923192007919VCMLEBC060</t>
  </si>
  <si>
    <t>'2022-09-23 19:20:20:456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</si>
</sst>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10.75248242</c:v>
                </c:pt>
                <c:pt idx="1">
                  <c:v>1.9242593130000001</c:v>
                </c:pt>
                <c:pt idx="2">
                  <c:v>1.6524275180000001</c:v>
                </c:pt>
                <c:pt idx="3">
                  <c:v>3.3646890439999999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5.4259680320000001</c:v>
                </c:pt>
                <c:pt idx="1">
                  <c:v>1.0395855520000001</c:v>
                </c:pt>
                <c:pt idx="2">
                  <c:v>-0.65168511400000018</c:v>
                </c:pt>
                <c:pt idx="3">
                  <c:v>-5.4925603600000006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4.7763897503333332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1.9379561566666668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000768"/>
        <c:axId val="106002304"/>
      </c:scatterChart>
      <c:valAx>
        <c:axId val="1060007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6002304"/>
        <c:crosses val="autoZero"/>
        <c:crossBetween val="midCat"/>
        <c:majorUnit val="10"/>
      </c:valAx>
      <c:valAx>
        <c:axId val="10600230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600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-1.4285639960000001</c:v>
                </c:pt>
                <c:pt idx="1">
                  <c:v>-2.4802697149999999</c:v>
                </c:pt>
                <c:pt idx="2">
                  <c:v>-2.5054728759999998</c:v>
                </c:pt>
                <c:pt idx="3">
                  <c:v>-7.0101892081999999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-1.7525664320000001</c:v>
                </c:pt>
                <c:pt idx="1">
                  <c:v>0.90844321000000017</c:v>
                </c:pt>
                <c:pt idx="2">
                  <c:v>-1.5327819439999999</c:v>
                </c:pt>
                <c:pt idx="3">
                  <c:v>-0.82765019130000006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-0.18138155566666669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-2.1122278606666671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387904"/>
        <c:axId val="105389440"/>
      </c:scatterChart>
      <c:valAx>
        <c:axId val="1053879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5389440"/>
        <c:crosses val="autoZero"/>
        <c:crossBetween val="midCat"/>
        <c:majorUnit val="10"/>
      </c:valAx>
      <c:valAx>
        <c:axId val="1053894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538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-2.7581038801000002</c:v>
                </c:pt>
                <c:pt idx="1">
                  <c:v>1.8353395675999999</c:v>
                </c:pt>
                <c:pt idx="2">
                  <c:v>-1.9452072995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-3.0632325337999999</c:v>
                </c:pt>
                <c:pt idx="1">
                  <c:v>5.7923018826000003</c:v>
                </c:pt>
                <c:pt idx="2">
                  <c:v>-1.0677332839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-4.0912553214333327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-1.8078882230333333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426304"/>
        <c:axId val="105432192"/>
      </c:scatterChart>
      <c:valAx>
        <c:axId val="1054263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5432192"/>
        <c:crosses val="autoZero"/>
        <c:crossBetween val="midCat"/>
        <c:majorUnit val="10"/>
      </c:valAx>
      <c:valAx>
        <c:axId val="1054321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542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-1.9163720517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-1.3456541051000004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-0.67541326120000011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1.1263048311999999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52384"/>
        <c:axId val="105953920"/>
      </c:scatterChart>
      <c:valAx>
        <c:axId val="10595238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5953920"/>
        <c:crosses val="autoZero"/>
        <c:crossBetween val="midCat"/>
        <c:majorUnit val="10"/>
      </c:valAx>
      <c:valAx>
        <c:axId val="10595392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595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90.928909811099999</c:v>
                </c:pt>
                <c:pt idx="1">
                  <c:v>92.001229357900002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91.167633950866673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062208"/>
        <c:axId val="106063744"/>
      </c:scatterChart>
      <c:valAx>
        <c:axId val="10606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6063744"/>
        <c:crosses val="autoZero"/>
        <c:crossBetween val="midCat"/>
      </c:valAx>
      <c:valAx>
        <c:axId val="10606374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6062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90.572762683600004</c:v>
                </c:pt>
                <c:pt idx="1">
                  <c:v>89.422084736200006</c:v>
                </c:pt>
                <c:pt idx="2">
                  <c:v>98.214885309300001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92.978273119500003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100992"/>
        <c:axId val="106102784"/>
      </c:scatterChart>
      <c:valAx>
        <c:axId val="106100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6102784"/>
        <c:crosses val="autoZero"/>
        <c:crossBetween val="midCat"/>
      </c:valAx>
      <c:valAx>
        <c:axId val="10610278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6100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91.297849313</c:v>
                </c:pt>
                <c:pt idx="1">
                  <c:v>97.001748584599994</c:v>
                </c:pt>
                <c:pt idx="2">
                  <c:v>97.0558102623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94.944226489066679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153856"/>
        <c:axId val="106155392"/>
      </c:scatterChart>
      <c:valAx>
        <c:axId val="10615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6155392"/>
        <c:crosses val="autoZero"/>
        <c:crossBetween val="midCat"/>
      </c:valAx>
      <c:valAx>
        <c:axId val="10615539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615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90.775120620300001</c:v>
                </c:pt>
                <c:pt idx="1">
                  <c:v>95.945546692299999</c:v>
                </c:pt>
                <c:pt idx="2">
                  <c:v>155.64007139649999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114.98357228213332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187776"/>
        <c:axId val="106197760"/>
      </c:scatterChart>
      <c:valAx>
        <c:axId val="106187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6197760"/>
        <c:crosses val="autoZero"/>
        <c:crossBetween val="midCat"/>
      </c:valAx>
      <c:valAx>
        <c:axId val="10619776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6187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-7.2063040733000001</c:v>
                </c:pt>
                <c:pt idx="1">
                  <c:v>-3.3098540305999999</c:v>
                </c:pt>
                <c:pt idx="2">
                  <c:v>-6.0548408030999994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-4.1516835690000002</c:v>
                </c:pt>
                <c:pt idx="1">
                  <c:v>2.8341965675000003</c:v>
                </c:pt>
                <c:pt idx="2">
                  <c:v>6.6192760467999996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-5.523666302333333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1.7672630150999999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74464"/>
        <c:axId val="118176000"/>
      </c:scatterChart>
      <c:valAx>
        <c:axId val="11817446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8176000"/>
        <c:crosses val="autoZero"/>
        <c:crossBetween val="midCat"/>
        <c:majorUnit val="10"/>
      </c:valAx>
      <c:valAx>
        <c:axId val="11817600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8174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5.4228572844999992</c:v>
                </c:pt>
                <c:pt idx="1">
                  <c:v>1.6571712494000002</c:v>
                </c:pt>
                <c:pt idx="2">
                  <c:v>1.2898159027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6.7493858336999999</c:v>
                </c:pt>
                <c:pt idx="1">
                  <c:v>9.0175371169999998</c:v>
                </c:pt>
                <c:pt idx="2">
                  <c:v>-0.43135976790000008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2.7899481455333333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5.1118543942666665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04672"/>
        <c:axId val="118222848"/>
      </c:scatterChart>
      <c:valAx>
        <c:axId val="11820467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8222848"/>
        <c:crosses val="autoZero"/>
        <c:crossBetween val="midCat"/>
        <c:majorUnit val="10"/>
      </c:valAx>
      <c:valAx>
        <c:axId val="11822284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8204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-3.9847369194</c:v>
                </c:pt>
                <c:pt idx="1">
                  <c:v>-3.1198627949</c:v>
                </c:pt>
                <c:pt idx="2">
                  <c:v>-8.1971011161999989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6.0540218353000004</c:v>
                </c:pt>
                <c:pt idx="1">
                  <c:v>3.7843976021000003</c:v>
                </c:pt>
                <c:pt idx="2">
                  <c:v>-3.5105609298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-5.1005669434999996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2.1092861692000002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36832"/>
        <c:axId val="118138368"/>
      </c:scatterChart>
      <c:valAx>
        <c:axId val="1181368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8138368"/>
        <c:crosses val="autoZero"/>
        <c:crossBetween val="midCat"/>
        <c:majorUnit val="10"/>
      </c:valAx>
      <c:valAx>
        <c:axId val="11813836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8136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-0.46064043049999981</c:v>
                </c:pt>
                <c:pt idx="1">
                  <c:v>-4.2057324648000005</c:v>
                </c:pt>
                <c:pt idx="2">
                  <c:v>2.1408586502000002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2.2703409194999997</c:v>
                </c:pt>
                <c:pt idx="1">
                  <c:v>3.7442960739000002</c:v>
                </c:pt>
                <c:pt idx="2">
                  <c:v>-2.2783228754999998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-0.84183808170000007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1.2454380393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698944"/>
        <c:axId val="119700480"/>
      </c:scatterChart>
      <c:valAx>
        <c:axId val="1196989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9700480"/>
        <c:crosses val="autoZero"/>
        <c:crossBetween val="midCat"/>
        <c:majorUnit val="10"/>
      </c:valAx>
      <c:valAx>
        <c:axId val="1197004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9698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VSY841XN9NBG_2022092319_D50_ON_OC.csv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VSY841XN9NBG_2022092319_FPDC_INFD_normal.csv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VSY841XN9NBG_2022092319_INFDMargin_IPQC.csv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VSY841XN9NBG_2022092319_VCM_MEASURE.csv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K31" sqref="K31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22cb77160096</v>
      </c>
      <c r="C34" s="44">
        <f>IPQC!S2+VLOOKUP($R$31,$AD$38:$AK$42,6,FALSE)+VLOOKUP('File location'!$B$1,'Tester offset'!$A$2:$D$4,2,FALSE)</f>
        <v>90.928909811099999</v>
      </c>
      <c r="D34" s="44">
        <f>IPQC!Z2+VLOOKUP($R$31,$AD$38:$AK$42,6,FALSE)</f>
        <v>82.3803399536</v>
      </c>
      <c r="E34" s="44">
        <f>VCM!HU2-'Summary(3pcs)'!C34-'Summary(3pcs)'!$D$32</f>
        <v>143.2259934001379</v>
      </c>
      <c r="F34" s="90">
        <f>AVERAGEIF($A$34:$A$45,1,$C$34:$C$45)</f>
        <v>91.167633950866673</v>
      </c>
      <c r="G34" s="91">
        <f>AVERAGEIF($A$34:$A$45,1,$D$34:$D$45)</f>
        <v>83.065840525066662</v>
      </c>
      <c r="H34" s="91">
        <f>AVERAGEIF($A$34:$A$45,1,$E$34:$E$45)</f>
        <v>140.22487424413791</v>
      </c>
      <c r="I34" s="91">
        <f>85-F34</f>
        <v>-6.1676339508666729</v>
      </c>
      <c r="J34"/>
      <c r="K34" s="79">
        <f>T34</f>
        <v>1</v>
      </c>
      <c r="L34" s="80" t="str">
        <f>OC!J2</f>
        <v>22cb77160096</v>
      </c>
      <c r="M34" s="44">
        <f>OC!S2+VLOOKUP($R$31,$AD$38:$AK$42,4,FALSE)</f>
        <v>10.75248242</v>
      </c>
      <c r="N34" s="44">
        <f>OC!T2+VLOOKUP($R$31,$AD$38:$AK$42,5,FALSE)</f>
        <v>5.4259680320000001</v>
      </c>
      <c r="O34" s="92">
        <f>AVERAGEIF($K$34:$K$45,1,$M$34:$M$45)</f>
        <v>4.7763897503333332</v>
      </c>
      <c r="P34" s="92">
        <f>AVERAGEIF($K$34:$K$45,1,$N$34:$N$45)</f>
        <v>1.9379561566666668</v>
      </c>
      <c r="Q34" s="90">
        <f>P34*0.001</f>
        <v>1.9379561566666668E-3</v>
      </c>
      <c r="R34" s="90">
        <f>O34*0.001</f>
        <v>4.7763897503333335E-3</v>
      </c>
      <c r="T34" s="79">
        <v>1</v>
      </c>
      <c r="U34" s="80" t="str">
        <f>FPDC!J2</f>
        <v>22cb77160096</v>
      </c>
      <c r="V34" s="75">
        <f>FPDC!R2+VLOOKUP($R$31,$AD$38:$AK$42,2,FALSE)+VLOOKUP($R$31,$AD$38:$AK$42,7,FALSE)+VLOOKUP('File location'!$B$1,'Tester offset'!$A$2:$D$4,3,FALSE)</f>
        <v>-0.46064043049999981</v>
      </c>
      <c r="W34" s="76">
        <f>FPDC!S2+VLOOKUP($R$31,$AD$38:$AK$42,3,FALSE)+VLOOKUP($R$31,$AD$38:$AK$42,8,FALSE)+VLOOKUP('File location'!$B$1,'Tester offset'!$A$2:$D$4,4,FALSE)</f>
        <v>2.2703409194999997</v>
      </c>
      <c r="X34" s="92">
        <f>AVERAGEIF($T$34:$T$45,1,$V$34:$V$45)</f>
        <v>-0.84183808170000007</v>
      </c>
      <c r="Y34" s="92">
        <f>AVERAGEIF($T$34:$T$45,1,$W$34:$W$45)</f>
        <v>1.2454380393</v>
      </c>
      <c r="Z34" s="90">
        <f>(X34*-0.01)/4</f>
        <v>2.1045952042500001E-3</v>
      </c>
      <c r="AA34" s="90">
        <f>(Y34*-0.01)/4</f>
        <v>-3.11359509825E-3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22cb77160566</v>
      </c>
      <c r="C35" s="44">
        <f>IPQC!S3+VLOOKUP($R$31,$AD$38:$AK$42,6,FALSE)+VLOOKUP('File location'!$B$1,'Tester offset'!$A$2:$D$4,2,FALSE)</f>
        <v>92.001229357900002</v>
      </c>
      <c r="D35" s="44">
        <f>IPQC!Z3+VLOOKUP($R$31,$AD$38:$AK$42,6,FALSE)</f>
        <v>85.7297801964</v>
      </c>
      <c r="E35" s="44">
        <f>VCM!HU3-'Summary(3pcs)'!C35-'Summary(3pcs)'!$D$32</f>
        <v>142.61266250053791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22cb77160566</v>
      </c>
      <c r="M35" s="44">
        <f>OC!S3+VLOOKUP($R$31,$AD$38:$AK$42,4,FALSE)</f>
        <v>1.9242593130000001</v>
      </c>
      <c r="N35" s="44">
        <f>OC!T3+VLOOKUP($R$31,$AD$38:$AK$42,5,FALSE)</f>
        <v>1.0395855520000001</v>
      </c>
      <c r="O35" s="92"/>
      <c r="P35" s="92"/>
      <c r="Q35" s="90"/>
      <c r="R35" s="90"/>
      <c r="T35" s="79">
        <v>1</v>
      </c>
      <c r="U35" s="80" t="str">
        <f>FPDC!J3</f>
        <v>22cb77160566</v>
      </c>
      <c r="V35" s="75">
        <f>FPDC!R3+VLOOKUP($R$31,$AD$38:$AK$42,2,FALSE)+VLOOKUP($R$31,$AD$38:$AK$42,7,FALSE)+VLOOKUP('File location'!$B$1,'Tester offset'!$A$2:$D$4,3,FALSE)</f>
        <v>-4.2057324648000005</v>
      </c>
      <c r="W35" s="76">
        <f>FPDC!S3+VLOOKUP($R$31,$AD$38:$AK$42,3,FALSE)+VLOOKUP($R$31,$AD$38:$AK$42,8,FALSE)+VLOOKUP('File location'!$B$1,'Tester offset'!$A$2:$D$4,4,FALSE)</f>
        <v>3.7442960739000002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22cb77170838</v>
      </c>
      <c r="C36" s="44">
        <f>IPQC!S4+VLOOKUP($R$31,$AD$38:$AK$42,6,FALSE)+VLOOKUP('File location'!$B$1,'Tester offset'!$A$2:$D$4,2,FALSE)</f>
        <v>90.572762683600004</v>
      </c>
      <c r="D36" s="44">
        <f>IPQC!Z4+VLOOKUP($R$31,$AD$38:$AK$42,6,FALSE)</f>
        <v>81.087401425199999</v>
      </c>
      <c r="E36" s="44">
        <f>VCM!HU4-'Summary(3pcs)'!C36-'Summary(3pcs)'!$D$32</f>
        <v>134.83596683173789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22cb77170838</v>
      </c>
      <c r="M36" s="44">
        <f>OC!S4+VLOOKUP($R$31,$AD$38:$AK$42,4,FALSE)</f>
        <v>1.6524275180000001</v>
      </c>
      <c r="N36" s="44">
        <f>OC!T4+VLOOKUP($R$31,$AD$38:$AK$42,5,FALSE)</f>
        <v>-0.65168511400000018</v>
      </c>
      <c r="O36" s="92"/>
      <c r="P36" s="92"/>
      <c r="Q36" s="90"/>
      <c r="R36" s="90"/>
      <c r="T36" s="79">
        <v>1</v>
      </c>
      <c r="U36" s="80" t="str">
        <f>FPDC!J4</f>
        <v>22cb77170838</v>
      </c>
      <c r="V36" s="75">
        <f>FPDC!R4+VLOOKUP($R$31,$AD$38:$AK$42,2,FALSE)+VLOOKUP($R$31,$AD$38:$AK$42,7,FALSE)+VLOOKUP('File location'!$B$1,'Tester offset'!$A$2:$D$4,3,FALSE)</f>
        <v>2.1408586502000002</v>
      </c>
      <c r="W36" s="76">
        <f>FPDC!S4+VLOOKUP($R$31,$AD$38:$AK$42,3,FALSE)+VLOOKUP($R$31,$AD$38:$AK$42,8,FALSE)+VLOOKUP('File location'!$B$1,'Tester offset'!$A$2:$D$4,4,FALSE)</f>
        <v>-2.2783228754999998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22cb77170807</v>
      </c>
      <c r="C37" s="44">
        <f>IPQC!S5+VLOOKUP($R$31,$AD$38:$AK$42,6,FALSE)+VLOOKUP('File location'!$B$1,'Tester offset'!$A$2:$D$4,2,FALSE)</f>
        <v>89.422084736200006</v>
      </c>
      <c r="D37" s="44">
        <f>IPQC!Z5+VLOOKUP($R$31,$AD$38:$AK$42,6,FALSE)</f>
        <v>83.174891226900002</v>
      </c>
      <c r="E37" s="44">
        <f>VCM!HU5-'Summary(3pcs)'!C37-'Summary(3pcs)'!$D$32</f>
        <v>150.1743761968379</v>
      </c>
      <c r="F37" s="90">
        <f>AVERAGEIF($A$34:$A$45,2,$C$34:$C$45)</f>
        <v>92.978273119500003</v>
      </c>
      <c r="G37" s="91">
        <f>AVERAGEIF($A$34:$A$45,2,$D$34:$D$45)</f>
        <v>80.19873445413333</v>
      </c>
      <c r="H37" s="91">
        <f>AVERAGEIF($A$34:$A$45,2,$E$34:$E$45)</f>
        <v>144.56227233220454</v>
      </c>
      <c r="I37" s="91">
        <f>85-F37</f>
        <v>-7.9782731195000025</v>
      </c>
      <c r="J37"/>
      <c r="K37" s="79">
        <f t="shared" si="1"/>
        <v>2</v>
      </c>
      <c r="L37" s="80" t="str">
        <f>OC!J5</f>
        <v>22cb77170807</v>
      </c>
      <c r="M37" s="44">
        <f>OC!S5+VLOOKUP($R$31,$AD$38:$AK$42,4,FALSE)</f>
        <v>3.3646890439999999</v>
      </c>
      <c r="N37" s="44">
        <f>OC!T5+VLOOKUP($R$31,$AD$38:$AK$42,5,FALSE)</f>
        <v>-5.4925603600000006</v>
      </c>
      <c r="O37" s="92">
        <f>AVERAGEIF($K$34:$K$45,2,$M$34:$M$45)</f>
        <v>-0.18138155566666669</v>
      </c>
      <c r="P37" s="92">
        <f>AVERAGEIF($K$34:$K$45,2,$N$34:$N$45)</f>
        <v>-2.1122278606666671</v>
      </c>
      <c r="Q37" s="90">
        <f>P37*0.001</f>
        <v>-2.1122278606666672E-3</v>
      </c>
      <c r="R37" s="90">
        <f>O37*0.001</f>
        <v>-1.813815556666667E-4</v>
      </c>
      <c r="T37" s="79">
        <v>2</v>
      </c>
      <c r="U37" s="80" t="str">
        <f>FPDC!J5</f>
        <v>22cb77170807</v>
      </c>
      <c r="V37" s="75">
        <f>FPDC!R5+VLOOKUP($R$31,$AD$38:$AK$42,2,FALSE)+VLOOKUP($R$31,$AD$38:$AK$42,7,FALSE)+VLOOKUP('File location'!$B$1,'Tester offset'!$A$2:$D$4,3,FALSE)</f>
        <v>-7.2063040733000001</v>
      </c>
      <c r="W37" s="76">
        <f>FPDC!S5+VLOOKUP($R$31,$AD$38:$AK$42,3,FALSE)+VLOOKUP($R$31,$AD$38:$AK$42,8,FALSE)+VLOOKUP('File location'!$B$1,'Tester offset'!$A$2:$D$4,4,FALSE)</f>
        <v>-4.1516835690000002</v>
      </c>
      <c r="X37" s="92">
        <f>AVERAGEIF($T$34:$T$45,2,$V$34:$V$45)</f>
        <v>-5.523666302333333</v>
      </c>
      <c r="Y37" s="92">
        <f>AVERAGEIF($T$34:$T$45,2,$W$34:$W$45)</f>
        <v>1.7672630150999999</v>
      </c>
      <c r="Z37" s="90">
        <f>(X37*-0.01)/4</f>
        <v>1.3809165755833333E-2</v>
      </c>
      <c r="AA37" s="90">
        <f>(Y37*-0.01)/4</f>
        <v>-4.4181575377499997E-3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22cb77170010</v>
      </c>
      <c r="C38" s="44">
        <f>IPQC!S6+VLOOKUP($R$31,$AD$38:$AK$42,6,FALSE)+VLOOKUP('File location'!$B$1,'Tester offset'!$A$2:$D$4,2,FALSE)</f>
        <v>98.214885309300001</v>
      </c>
      <c r="D38" s="44">
        <f>IPQC!Z6+VLOOKUP($R$31,$AD$38:$AK$42,6,FALSE)</f>
        <v>79.803356710599999</v>
      </c>
      <c r="E38" s="44">
        <f>VCM!HU6-'Summary(3pcs)'!C38-'Summary(3pcs)'!$D$32</f>
        <v>137.56597609813787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22cb77170010</v>
      </c>
      <c r="M38" s="44">
        <f>OC!S6+VLOOKUP($R$31,$AD$38:$AK$42,4,FALSE)</f>
        <v>-1.4285639960000001</v>
      </c>
      <c r="N38" s="44">
        <f>OC!T6+VLOOKUP($R$31,$AD$38:$AK$42,5,FALSE)</f>
        <v>-1.7525664320000001</v>
      </c>
      <c r="O38" s="92"/>
      <c r="P38" s="92"/>
      <c r="Q38" s="90"/>
      <c r="R38" s="90"/>
      <c r="T38" s="79">
        <v>2</v>
      </c>
      <c r="U38" s="80" t="str">
        <f>FPDC!J6</f>
        <v>22cb77170010</v>
      </c>
      <c r="V38" s="75">
        <f>FPDC!R6+VLOOKUP($R$31,$AD$38:$AK$42,2,FALSE)+VLOOKUP($R$31,$AD$38:$AK$42,7,FALSE)+VLOOKUP('File location'!$B$1,'Tester offset'!$A$2:$D$4,3,FALSE)</f>
        <v>-3.3098540305999999</v>
      </c>
      <c r="W38" s="76">
        <f>FPDC!S6+VLOOKUP($R$31,$AD$38:$AK$42,3,FALSE)+VLOOKUP($R$31,$AD$38:$AK$42,8,FALSE)+VLOOKUP('File location'!$B$1,'Tester offset'!$A$2:$D$4,4,FALSE)</f>
        <v>2.8341965675000003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22cb77170104</v>
      </c>
      <c r="C39" s="44">
        <f>IPQC!S7+VLOOKUP($R$31,$AD$38:$AK$42,6,FALSE)+VLOOKUP('File location'!$B$1,'Tester offset'!$A$2:$D$4,2,FALSE)</f>
        <v>91.297849313</v>
      </c>
      <c r="D39" s="44">
        <f>IPQC!Z7+VLOOKUP($R$31,$AD$38:$AK$42,6,FALSE)</f>
        <v>77.617955424900003</v>
      </c>
      <c r="E39" s="44">
        <f>VCM!HU7-'Summary(3pcs)'!C39-'Summary(3pcs)'!$D$32</f>
        <v>145.94646470163786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22cb77170104</v>
      </c>
      <c r="M39" s="44">
        <f>OC!S7+VLOOKUP($R$31,$AD$38:$AK$42,4,FALSE)</f>
        <v>-2.4802697149999999</v>
      </c>
      <c r="N39" s="44">
        <f>OC!T7+VLOOKUP($R$31,$AD$38:$AK$42,5,FALSE)</f>
        <v>0.90844321000000017</v>
      </c>
      <c r="O39" s="92"/>
      <c r="P39" s="92"/>
      <c r="Q39" s="90"/>
      <c r="R39" s="90"/>
      <c r="T39" s="79">
        <v>2</v>
      </c>
      <c r="U39" s="80" t="str">
        <f>FPDC!J7</f>
        <v>22cb77170104</v>
      </c>
      <c r="V39" s="75">
        <f>FPDC!R7+VLOOKUP($R$31,$AD$38:$AK$42,2,FALSE)+VLOOKUP($R$31,$AD$38:$AK$42,7,FALSE)+VLOOKUP('File location'!$B$1,'Tester offset'!$A$2:$D$4,3,FALSE)</f>
        <v>-6.0548408030999994</v>
      </c>
      <c r="W39" s="76">
        <f>FPDC!S7+VLOOKUP($R$31,$AD$38:$AK$42,3,FALSE)+VLOOKUP($R$31,$AD$38:$AK$42,8,FALSE)+VLOOKUP('File location'!$B$1,'Tester offset'!$A$2:$D$4,4,FALSE)</f>
        <v>6.6192760467999996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22cb77170207</v>
      </c>
      <c r="C40" s="44">
        <f>IPQC!S8+VLOOKUP($R$31,$AD$38:$AK$42,6,FALSE)+VLOOKUP('File location'!$B$1,'Tester offset'!$A$2:$D$4,2,FALSE)</f>
        <v>97.001748584599994</v>
      </c>
      <c r="D40" s="44">
        <f>IPQC!Z8+VLOOKUP($R$31,$AD$38:$AK$42,6,FALSE)</f>
        <v>89.765795841900001</v>
      </c>
      <c r="E40" s="44">
        <f>VCM!HU8-'Summary(3pcs)'!C40-'Summary(3pcs)'!$D$32</f>
        <v>156.92121346063789</v>
      </c>
      <c r="F40" s="90">
        <f>AVERAGEIF($A$34:$A$45,3,$C$34:$C$45)</f>
        <v>94.944226489066679</v>
      </c>
      <c r="G40" s="91">
        <f>AVERAGEIF($A$34:$A$45,3,$D$34:$D$45)</f>
        <v>86.576319447900005</v>
      </c>
      <c r="H40" s="91">
        <f>AVERAGEIF($A$34:$A$45,3,$E$34:$E$45)</f>
        <v>145.60746249353789</v>
      </c>
      <c r="I40" s="91">
        <f>85-F40</f>
        <v>-9.9442264890666792</v>
      </c>
      <c r="J40"/>
      <c r="K40" s="79">
        <f t="shared" si="1"/>
        <v>3</v>
      </c>
      <c r="L40" s="80" t="str">
        <f>OC!J8</f>
        <v>22cb77170207</v>
      </c>
      <c r="M40" s="44">
        <f>OC!S8+VLOOKUP($R$31,$AD$38:$AK$42,4,FALSE)</f>
        <v>-2.5054728759999998</v>
      </c>
      <c r="N40" s="44">
        <f>OC!T8+VLOOKUP($R$31,$AD$38:$AK$42,5,FALSE)</f>
        <v>-1.5327819439999999</v>
      </c>
      <c r="O40" s="92">
        <f>AVERAGEIF($K$34:$K$45,3,$M$34:$M$45)</f>
        <v>-4.0912553214333327</v>
      </c>
      <c r="P40" s="92">
        <f>AVERAGEIF($K$34:$K$45,3,$N$34:$N$45)</f>
        <v>-1.8078882230333333</v>
      </c>
      <c r="Q40" s="90">
        <f>P40*0.001</f>
        <v>-1.8078882230333332E-3</v>
      </c>
      <c r="R40" s="90">
        <f>O40*0.001</f>
        <v>-4.0912553214333324E-3</v>
      </c>
      <c r="T40" s="79">
        <v>3</v>
      </c>
      <c r="U40" s="80" t="str">
        <f>FPDC!J8</f>
        <v>22cb77170207</v>
      </c>
      <c r="V40" s="75">
        <f>FPDC!R8+VLOOKUP($R$31,$AD$38:$AK$42,2,FALSE)+VLOOKUP($R$31,$AD$38:$AK$42,7,FALSE)+VLOOKUP('File location'!$B$1,'Tester offset'!$A$2:$D$4,3,FALSE)</f>
        <v>5.4228572844999992</v>
      </c>
      <c r="W40" s="76">
        <f>FPDC!S8+VLOOKUP($R$31,$AD$38:$AK$42,3,FALSE)+VLOOKUP($R$31,$AD$38:$AK$42,8,FALSE)+VLOOKUP('File location'!$B$1,'Tester offset'!$A$2:$D$4,4,FALSE)</f>
        <v>6.7493858336999999</v>
      </c>
      <c r="X40" s="92">
        <f>AVERAGEIF($T$34:$T$45,3,$V$34:$V$45)</f>
        <v>2.7899481455333333</v>
      </c>
      <c r="Y40" s="92">
        <f>AVERAGEIF($T$34:$T$45,3,$W$34:$W$45)</f>
        <v>5.1118543942666665</v>
      </c>
      <c r="Z40" s="90">
        <f>(X40*-0.01)/4</f>
        <v>-6.9748703638333335E-3</v>
      </c>
      <c r="AA40" s="90">
        <f>(Y40*-0.01)/4</f>
        <v>-1.2779635985666667E-2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22cb77170029</v>
      </c>
      <c r="C41" s="44">
        <f>IPQC!S9+VLOOKUP($R$31,$AD$38:$AK$42,6,FALSE)+VLOOKUP('File location'!$B$1,'Tester offset'!$A$2:$D$4,2,FALSE)</f>
        <v>97.0558102623</v>
      </c>
      <c r="D41" s="44">
        <f>IPQC!Z9+VLOOKUP($R$31,$AD$38:$AK$42,6,FALSE)</f>
        <v>85.637174249699996</v>
      </c>
      <c r="E41" s="44">
        <f>VCM!HU9-'Summary(3pcs)'!C41-'Summary(3pcs)'!$D$32</f>
        <v>134.6540387189379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22cb77170029</v>
      </c>
      <c r="M41" s="44">
        <f>OC!S9+VLOOKUP($R$31,$AD$38:$AK$42,4,FALSE)</f>
        <v>-7.0101892081999999</v>
      </c>
      <c r="N41" s="44">
        <f>OC!T9+VLOOKUP($R$31,$AD$38:$AK$42,5,FALSE)</f>
        <v>-0.82765019130000006</v>
      </c>
      <c r="O41" s="92"/>
      <c r="P41" s="92"/>
      <c r="Q41" s="90"/>
      <c r="R41" s="90"/>
      <c r="T41" s="79">
        <v>3</v>
      </c>
      <c r="U41" s="80" t="str">
        <f>FPDC!J9</f>
        <v>22cb77170029</v>
      </c>
      <c r="V41" s="75">
        <f>FPDC!R9+VLOOKUP($R$31,$AD$38:$AK$42,2,FALSE)+VLOOKUP($R$31,$AD$38:$AK$42,7,FALSE)+VLOOKUP('File location'!$B$1,'Tester offset'!$A$2:$D$4,3,FALSE)</f>
        <v>1.6571712494000002</v>
      </c>
      <c r="W41" s="76">
        <f>FPDC!S9+VLOOKUP($R$31,$AD$38:$AK$42,3,FALSE)+VLOOKUP($R$31,$AD$38:$AK$42,8,FALSE)+VLOOKUP('File location'!$B$1,'Tester offset'!$A$2:$D$4,4,FALSE)</f>
        <v>9.0175371169999998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22cb77170954</v>
      </c>
      <c r="C42" s="44">
        <f>IPQC!S10+VLOOKUP($R$31,$AD$38:$AK$42,6,FALSE)+VLOOKUP('File location'!$B$1,'Tester offset'!$A$2:$D$4,2,FALSE)</f>
        <v>90.775120620300001</v>
      </c>
      <c r="D42" s="44">
        <f>IPQC!Z10+VLOOKUP($R$31,$AD$38:$AK$42,6,FALSE)</f>
        <v>84.325988252100004</v>
      </c>
      <c r="E42" s="44">
        <f>VCM!HU10-'Summary(3pcs)'!C42-'Summary(3pcs)'!$D$32</f>
        <v>145.24713530103787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22cb77170954</v>
      </c>
      <c r="M42" s="44">
        <f>OC!S10+VLOOKUP($R$31,$AD$38:$AK$42,4,FALSE)</f>
        <v>-2.7581038801000002</v>
      </c>
      <c r="N42" s="44">
        <f>OC!T10+VLOOKUP($R$31,$AD$38:$AK$42,5,FALSE)</f>
        <v>-3.0632325337999999</v>
      </c>
      <c r="O42" s="92"/>
      <c r="P42" s="92"/>
      <c r="Q42" s="90"/>
      <c r="R42" s="90"/>
      <c r="T42" s="79">
        <v>3</v>
      </c>
      <c r="U42" s="80" t="str">
        <f>FPDC!J10</f>
        <v>22cb77170954</v>
      </c>
      <c r="V42" s="75">
        <f>FPDC!R10+VLOOKUP($R$31,$AD$38:$AK$42,2,FALSE)+VLOOKUP($R$31,$AD$38:$AK$42,7,FALSE)+VLOOKUP('File location'!$B$1,'Tester offset'!$A$2:$D$4,3,FALSE)</f>
        <v>1.2898159027</v>
      </c>
      <c r="W42" s="76">
        <f>FPDC!S10+VLOOKUP($R$31,$AD$38:$AK$42,3,FALSE)+VLOOKUP($R$31,$AD$38:$AK$42,8,FALSE)+VLOOKUP('File location'!$B$1,'Tester offset'!$A$2:$D$4,4,FALSE)</f>
        <v>-0.43135976790000008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22cb77160510</v>
      </c>
      <c r="C43" s="44">
        <f>IPQC!S11+VLOOKUP($R$31,$AD$38:$AK$42,6,FALSE)+VLOOKUP('File location'!$B$1,'Tester offset'!$A$2:$D$4,2,FALSE)</f>
        <v>95.945546692299999</v>
      </c>
      <c r="D43" s="44">
        <f>IPQC!Z11+VLOOKUP($R$31,$AD$38:$AK$42,6,FALSE)</f>
        <v>90.645294555199996</v>
      </c>
      <c r="E43" s="44">
        <f>VCM!HU11-'Summary(3pcs)'!C43-'Summary(3pcs)'!$D$32</f>
        <v>145.09922099033787</v>
      </c>
      <c r="F43" s="90">
        <f>AVERAGEIF($A$34:$A$45,4,$C$34:$C$45)</f>
        <v>114.98357228213332</v>
      </c>
      <c r="G43" s="91">
        <f>AVERAGEIF($A$34:$A$45,4,$D$34:$D$45)</f>
        <v>107.64941214946667</v>
      </c>
      <c r="H43" s="91">
        <f>AVERAGEIF($A$34:$A$45,4,$E$34:$E$45)</f>
        <v>127.86147616070457</v>
      </c>
      <c r="I43" s="91">
        <f>85-F43</f>
        <v>-29.983572282133323</v>
      </c>
      <c r="J43"/>
      <c r="K43" s="79">
        <f t="shared" si="1"/>
        <v>4</v>
      </c>
      <c r="L43" s="80" t="str">
        <f>OC!J11</f>
        <v>22cb77160510</v>
      </c>
      <c r="M43" s="44">
        <f>OC!S11+VLOOKUP($R$31,$AD$38:$AK$42,4,FALSE)</f>
        <v>1.8353395675999999</v>
      </c>
      <c r="N43" s="44">
        <f>OC!T11+VLOOKUP($R$31,$AD$38:$AK$42,5,FALSE)</f>
        <v>5.7923018826000003</v>
      </c>
      <c r="O43" s="92">
        <f>AVERAGEIF($K$34:$K$45,4,$M$34:$M$45)</f>
        <v>-0.67541326120000011</v>
      </c>
      <c r="P43" s="92">
        <f>AVERAGEIF($K$34:$K$45,4,$N$34:$N$45)</f>
        <v>1.1263048311999999</v>
      </c>
      <c r="Q43" s="90">
        <f>P43*0.001</f>
        <v>1.1263048312E-3</v>
      </c>
      <c r="R43" s="90">
        <f>O43*0.001</f>
        <v>-6.7541326120000014E-4</v>
      </c>
      <c r="T43" s="79">
        <v>4</v>
      </c>
      <c r="U43" s="80" t="str">
        <f>FPDC!J11</f>
        <v>22cb77160510</v>
      </c>
      <c r="V43" s="75">
        <f>FPDC!R11+VLOOKUP($R$31,$AD$38:$AK$42,2,FALSE)+VLOOKUP($R$31,$AD$38:$AK$42,7,FALSE)+VLOOKUP('File location'!$B$1,'Tester offset'!$A$2:$D$4,3,FALSE)</f>
        <v>-3.9847369194</v>
      </c>
      <c r="W43" s="76">
        <f>FPDC!S11+VLOOKUP($R$31,$AD$38:$AK$42,3,FALSE)+VLOOKUP($R$31,$AD$38:$AK$42,8,FALSE)+VLOOKUP('File location'!$B$1,'Tester offset'!$A$2:$D$4,4,FALSE)</f>
        <v>6.0540218353000004</v>
      </c>
      <c r="X43" s="92">
        <f>AVERAGEIF($T$34:$T$45,4,$V$34:$V$45)</f>
        <v>-5.1005669434999996</v>
      </c>
      <c r="Y43" s="92">
        <f>AVERAGEIF($T$34:$T$45,4,$W$34:$W$45)</f>
        <v>2.1092861692000002</v>
      </c>
      <c r="Z43" s="90">
        <f>(X43*-0.01)/4</f>
        <v>1.2751417358749999E-2</v>
      </c>
      <c r="AA43" s="90">
        <f>(Y43*-0.01)/4</f>
        <v>-5.2732154230000008E-3</v>
      </c>
    </row>
    <row r="44" spans="1:37" s="32" customFormat="1" ht="17.100000000000001" customHeight="1">
      <c r="A44" s="79">
        <f t="shared" si="0"/>
        <v>4</v>
      </c>
      <c r="B44" s="80" t="str">
        <f>IPQC!J12</f>
        <v>22cb77160537</v>
      </c>
      <c r="C44" s="44">
        <f>IPQC!S12+VLOOKUP($R$31,$AD$38:$AK$42,6,FALSE)+VLOOKUP('File location'!$B$1,'Tester offset'!$A$2:$D$4,2,FALSE)</f>
        <v>155.64007139649999</v>
      </c>
      <c r="D44" s="44">
        <f>IPQC!Z12+VLOOKUP($R$31,$AD$38:$AK$42,6,FALSE)</f>
        <v>147.7938696258</v>
      </c>
      <c r="E44" s="44">
        <f>VCM!HU12-'Summary(3pcs)'!C44-'Summary(3pcs)'!$D$32</f>
        <v>87.347893074637909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22cb77160537</v>
      </c>
      <c r="M44" s="44">
        <f>OC!S12+VLOOKUP($R$31,$AD$38:$AK$42,4,FALSE)</f>
        <v>-1.9452072995</v>
      </c>
      <c r="N44" s="44">
        <f>OC!T12+VLOOKUP($R$31,$AD$38:$AK$42,5,FALSE)</f>
        <v>-1.0677332839</v>
      </c>
      <c r="O44" s="92"/>
      <c r="P44" s="92"/>
      <c r="Q44" s="90"/>
      <c r="R44" s="90"/>
      <c r="T44" s="79">
        <v>4</v>
      </c>
      <c r="U44" s="80" t="str">
        <f>FPDC!J12</f>
        <v>22cb77160537</v>
      </c>
      <c r="V44" s="75">
        <f>FPDC!R12+VLOOKUP($R$31,$AD$38:$AK$42,2,FALSE)+VLOOKUP($R$31,$AD$38:$AK$42,7,FALSE)+VLOOKUP('File location'!$B$1,'Tester offset'!$A$2:$D$4,3,FALSE)</f>
        <v>-3.1198627949</v>
      </c>
      <c r="W44" s="76">
        <f>FPDC!S12+VLOOKUP($R$31,$AD$38:$AK$42,3,FALSE)+VLOOKUP($R$31,$AD$38:$AK$42,8,FALSE)+VLOOKUP('File location'!$B$1,'Tester offset'!$A$2:$D$4,4,FALSE)</f>
        <v>3.7843976021000003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22cb77170937</v>
      </c>
      <c r="C45" s="44">
        <f>IPQC!S13+VLOOKUP($R$31,$AD$38:$AK$42,6,FALSE)+VLOOKUP('File location'!$B$1,'Tester offset'!$A$2:$D$4,2,FALSE)</f>
        <v>93.365098757599995</v>
      </c>
      <c r="D45" s="44">
        <f>IPQC!Z13+VLOOKUP($R$31,$AD$38:$AK$42,6,FALSE)</f>
        <v>84.509072267400001</v>
      </c>
      <c r="E45" s="44">
        <f>VCM!HU13-'Summary(3pcs)'!C45-'Summary(3pcs)'!$D$32</f>
        <v>151.13731441713793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22cb77170937</v>
      </c>
      <c r="M45" s="44">
        <f>OC!S13+VLOOKUP($R$31,$AD$38:$AK$42,4,FALSE)</f>
        <v>-1.9163720517</v>
      </c>
      <c r="N45" s="44">
        <f>OC!T13+VLOOKUP($R$31,$AD$38:$AK$42,5,FALSE)</f>
        <v>-1.3456541051000004</v>
      </c>
      <c r="O45" s="92"/>
      <c r="P45" s="92"/>
      <c r="Q45" s="90"/>
      <c r="R45" s="90"/>
      <c r="T45" s="79">
        <v>4</v>
      </c>
      <c r="U45" s="80" t="str">
        <f>FPDC!J13</f>
        <v>22cb77170937</v>
      </c>
      <c r="V45" s="75">
        <f>FPDC!R13+VLOOKUP($R$31,$AD$38:$AK$42,2,FALSE)+VLOOKUP($R$31,$AD$38:$AK$42,7,FALSE)+VLOOKUP('File location'!$B$1,'Tester offset'!$A$2:$D$4,3,FALSE)</f>
        <v>-8.1971011161999989</v>
      </c>
      <c r="W45" s="76">
        <f>FPDC!S13+VLOOKUP($R$31,$AD$38:$AK$42,3,FALSE)+VLOOKUP($R$31,$AD$38:$AK$42,8,FALSE)+VLOOKUP('File location'!$B$1,'Tester offset'!$A$2:$D$4,4,FALSE)</f>
        <v>-3.5105609298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90.928909811099999</v>
      </c>
      <c r="L54" s="49">
        <f t="shared" ref="L54:L65" si="4">D34</f>
        <v>82.3803399536</v>
      </c>
      <c r="M54" s="49">
        <f t="shared" ref="M54:M65" si="5">E34</f>
        <v>143.2259934001379</v>
      </c>
      <c r="N54" s="49">
        <f t="shared" ref="N54:O65" si="6">M34</f>
        <v>10.75248242</v>
      </c>
      <c r="O54" s="49">
        <f t="shared" si="6"/>
        <v>5.4259680320000001</v>
      </c>
      <c r="P54" s="49">
        <f t="shared" ref="P54:P65" si="7">V34</f>
        <v>-0.46064043049999981</v>
      </c>
      <c r="Q54" s="50">
        <f t="shared" ref="Q54:Q65" si="8">W34</f>
        <v>2.2703409194999997</v>
      </c>
    </row>
    <row r="55" spans="6:27" ht="19.5">
      <c r="I55" s="47">
        <f t="shared" si="2"/>
        <v>1</v>
      </c>
      <c r="J55" s="46"/>
      <c r="K55" s="51">
        <f t="shared" si="3"/>
        <v>92.001229357900002</v>
      </c>
      <c r="L55" s="52">
        <f t="shared" si="4"/>
        <v>85.7297801964</v>
      </c>
      <c r="M55" s="52">
        <f t="shared" si="5"/>
        <v>142.61266250053791</v>
      </c>
      <c r="N55" s="52">
        <f t="shared" si="6"/>
        <v>1.9242593130000001</v>
      </c>
      <c r="O55" s="52">
        <f t="shared" si="6"/>
        <v>1.0395855520000001</v>
      </c>
      <c r="P55" s="52">
        <f t="shared" si="7"/>
        <v>-4.2057324648000005</v>
      </c>
      <c r="Q55" s="53">
        <f t="shared" si="8"/>
        <v>3.7442960739000002</v>
      </c>
    </row>
    <row r="56" spans="6:27" ht="19.5">
      <c r="I56" s="47">
        <f t="shared" si="2"/>
        <v>1</v>
      </c>
      <c r="J56" s="46"/>
      <c r="K56" s="54">
        <f t="shared" si="3"/>
        <v>90.572762683600004</v>
      </c>
      <c r="L56" s="55">
        <f t="shared" si="4"/>
        <v>81.087401425199999</v>
      </c>
      <c r="M56" s="55">
        <f t="shared" si="5"/>
        <v>134.83596683173789</v>
      </c>
      <c r="N56" s="55">
        <f t="shared" si="6"/>
        <v>1.6524275180000001</v>
      </c>
      <c r="O56" s="55">
        <f t="shared" si="6"/>
        <v>-0.65168511400000018</v>
      </c>
      <c r="P56" s="55">
        <f t="shared" si="7"/>
        <v>2.1408586502000002</v>
      </c>
      <c r="Q56" s="56">
        <f t="shared" si="8"/>
        <v>-2.2783228754999998</v>
      </c>
    </row>
    <row r="57" spans="6:27" ht="19.5">
      <c r="I57" s="47">
        <f t="shared" si="2"/>
        <v>2</v>
      </c>
      <c r="J57" s="46"/>
      <c r="K57" s="57">
        <f t="shared" si="3"/>
        <v>89.422084736200006</v>
      </c>
      <c r="L57" s="58">
        <f t="shared" si="4"/>
        <v>83.174891226900002</v>
      </c>
      <c r="M57" s="58">
        <f t="shared" si="5"/>
        <v>150.1743761968379</v>
      </c>
      <c r="N57" s="58">
        <f t="shared" si="6"/>
        <v>3.3646890439999999</v>
      </c>
      <c r="O57" s="58">
        <f t="shared" si="6"/>
        <v>-5.4925603600000006</v>
      </c>
      <c r="P57" s="58">
        <f t="shared" si="7"/>
        <v>-7.2063040733000001</v>
      </c>
      <c r="Q57" s="59">
        <f t="shared" si="8"/>
        <v>-4.1516835690000002</v>
      </c>
    </row>
    <row r="58" spans="6:27" ht="19.5">
      <c r="I58" s="47">
        <f t="shared" si="2"/>
        <v>2</v>
      </c>
      <c r="J58" s="46"/>
      <c r="K58" s="57">
        <f t="shared" si="3"/>
        <v>98.214885309300001</v>
      </c>
      <c r="L58" s="58">
        <f t="shared" si="4"/>
        <v>79.803356710599999</v>
      </c>
      <c r="M58" s="58">
        <f t="shared" si="5"/>
        <v>137.56597609813787</v>
      </c>
      <c r="N58" s="58">
        <f t="shared" si="6"/>
        <v>-1.4285639960000001</v>
      </c>
      <c r="O58" s="58">
        <f t="shared" si="6"/>
        <v>-1.7525664320000001</v>
      </c>
      <c r="P58" s="58">
        <f t="shared" si="7"/>
        <v>-3.3098540305999999</v>
      </c>
      <c r="Q58" s="59">
        <f t="shared" si="8"/>
        <v>2.8341965675000003</v>
      </c>
    </row>
    <row r="59" spans="6:27" ht="19.5">
      <c r="I59" s="47">
        <f t="shared" si="2"/>
        <v>2</v>
      </c>
      <c r="J59" s="46"/>
      <c r="K59" s="57">
        <f t="shared" si="3"/>
        <v>91.297849313</v>
      </c>
      <c r="L59" s="58">
        <f t="shared" si="4"/>
        <v>77.617955424900003</v>
      </c>
      <c r="M59" s="58">
        <f t="shared" si="5"/>
        <v>145.94646470163786</v>
      </c>
      <c r="N59" s="58">
        <f t="shared" si="6"/>
        <v>-2.4802697149999999</v>
      </c>
      <c r="O59" s="58">
        <f t="shared" si="6"/>
        <v>0.90844321000000017</v>
      </c>
      <c r="P59" s="58">
        <f t="shared" si="7"/>
        <v>-6.0548408030999994</v>
      </c>
      <c r="Q59" s="59">
        <f t="shared" si="8"/>
        <v>6.6192760467999996</v>
      </c>
    </row>
    <row r="60" spans="6:27" ht="19.5">
      <c r="I60" s="47">
        <f t="shared" si="2"/>
        <v>3</v>
      </c>
      <c r="J60" s="46"/>
      <c r="K60" s="60">
        <f t="shared" si="3"/>
        <v>97.001748584599994</v>
      </c>
      <c r="L60" s="61">
        <f t="shared" si="4"/>
        <v>89.765795841900001</v>
      </c>
      <c r="M60" s="61">
        <f t="shared" si="5"/>
        <v>156.92121346063789</v>
      </c>
      <c r="N60" s="61">
        <f t="shared" si="6"/>
        <v>-2.5054728759999998</v>
      </c>
      <c r="O60" s="61">
        <f t="shared" si="6"/>
        <v>-1.5327819439999999</v>
      </c>
      <c r="P60" s="61">
        <f t="shared" si="7"/>
        <v>5.4228572844999992</v>
      </c>
      <c r="Q60" s="62">
        <f t="shared" si="8"/>
        <v>6.7493858336999999</v>
      </c>
    </row>
    <row r="61" spans="6:27" ht="19.5">
      <c r="I61" s="47">
        <f t="shared" si="2"/>
        <v>3</v>
      </c>
      <c r="J61" s="46"/>
      <c r="K61" s="63">
        <f t="shared" si="3"/>
        <v>97.0558102623</v>
      </c>
      <c r="L61" s="64">
        <f t="shared" si="4"/>
        <v>85.637174249699996</v>
      </c>
      <c r="M61" s="64">
        <f t="shared" si="5"/>
        <v>134.6540387189379</v>
      </c>
      <c r="N61" s="64">
        <f t="shared" si="6"/>
        <v>-7.0101892081999999</v>
      </c>
      <c r="O61" s="64">
        <f t="shared" si="6"/>
        <v>-0.82765019130000006</v>
      </c>
      <c r="P61" s="64">
        <f t="shared" si="7"/>
        <v>1.6571712494000002</v>
      </c>
      <c r="Q61" s="65">
        <f t="shared" si="8"/>
        <v>9.0175371169999998</v>
      </c>
    </row>
    <row r="62" spans="6:27" ht="19.5">
      <c r="I62" s="47">
        <f t="shared" si="2"/>
        <v>3</v>
      </c>
      <c r="J62" s="46"/>
      <c r="K62" s="66">
        <f t="shared" si="3"/>
        <v>90.775120620300001</v>
      </c>
      <c r="L62" s="67">
        <f t="shared" si="4"/>
        <v>84.325988252100004</v>
      </c>
      <c r="M62" s="67">
        <f t="shared" si="5"/>
        <v>145.24713530103787</v>
      </c>
      <c r="N62" s="67">
        <f t="shared" si="6"/>
        <v>-2.7581038801000002</v>
      </c>
      <c r="O62" s="67">
        <f t="shared" si="6"/>
        <v>-3.0632325337999999</v>
      </c>
      <c r="P62" s="67">
        <f t="shared" si="7"/>
        <v>1.2898159027</v>
      </c>
      <c r="Q62" s="68">
        <f t="shared" si="8"/>
        <v>-0.43135976790000008</v>
      </c>
    </row>
    <row r="63" spans="6:27" ht="19.5">
      <c r="I63" s="47">
        <f t="shared" si="2"/>
        <v>4</v>
      </c>
      <c r="J63" s="46"/>
      <c r="K63" s="57">
        <f t="shared" si="3"/>
        <v>95.945546692299999</v>
      </c>
      <c r="L63" s="58">
        <f t="shared" si="4"/>
        <v>90.645294555199996</v>
      </c>
      <c r="M63" s="58">
        <f t="shared" si="5"/>
        <v>145.09922099033787</v>
      </c>
      <c r="N63" s="58">
        <f t="shared" si="6"/>
        <v>1.8353395675999999</v>
      </c>
      <c r="O63" s="58">
        <f t="shared" si="6"/>
        <v>5.7923018826000003</v>
      </c>
      <c r="P63" s="58">
        <f t="shared" si="7"/>
        <v>-3.9847369194</v>
      </c>
      <c r="Q63" s="59">
        <f t="shared" si="8"/>
        <v>6.0540218353000004</v>
      </c>
    </row>
    <row r="64" spans="6:27" ht="19.5">
      <c r="I64" s="47">
        <f t="shared" si="2"/>
        <v>4</v>
      </c>
      <c r="J64" s="46"/>
      <c r="K64" s="57">
        <f t="shared" si="3"/>
        <v>155.64007139649999</v>
      </c>
      <c r="L64" s="58">
        <f t="shared" si="4"/>
        <v>147.7938696258</v>
      </c>
      <c r="M64" s="58">
        <f t="shared" si="5"/>
        <v>87.347893074637909</v>
      </c>
      <c r="N64" s="58">
        <f t="shared" si="6"/>
        <v>-1.9452072995</v>
      </c>
      <c r="O64" s="58">
        <f t="shared" si="6"/>
        <v>-1.0677332839</v>
      </c>
      <c r="P64" s="58">
        <f t="shared" si="7"/>
        <v>-3.1198627949</v>
      </c>
      <c r="Q64" s="59">
        <f t="shared" si="8"/>
        <v>3.7843976021000003</v>
      </c>
    </row>
    <row r="65" spans="9:17" ht="20.25" thickBot="1">
      <c r="I65" s="47">
        <f t="shared" si="2"/>
        <v>4</v>
      </c>
      <c r="J65" s="46"/>
      <c r="K65" s="69">
        <f t="shared" si="3"/>
        <v>93.365098757599995</v>
      </c>
      <c r="L65" s="70">
        <f t="shared" si="4"/>
        <v>84.509072267400001</v>
      </c>
      <c r="M65" s="70">
        <f t="shared" si="5"/>
        <v>151.13731441713793</v>
      </c>
      <c r="N65" s="70">
        <f t="shared" si="6"/>
        <v>-1.9163720517</v>
      </c>
      <c r="O65" s="70">
        <f t="shared" si="6"/>
        <v>-1.3456541051000004</v>
      </c>
      <c r="P65" s="70">
        <f t="shared" si="7"/>
        <v>-8.1971011161999989</v>
      </c>
      <c r="Q65" s="71">
        <f t="shared" si="8"/>
        <v>-3.5105609298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2123.2524819999999</v>
      </c>
      <c r="R2">
        <v>1511.074032</v>
      </c>
      <c r="S2">
        <v>10.75248242</v>
      </c>
      <c r="T2">
        <v>1.4259680320000001</v>
      </c>
      <c r="U2">
        <v>10.846624500000001</v>
      </c>
      <c r="V2">
        <v>733.68740000000003</v>
      </c>
      <c r="W2">
        <v>394.47390000000001</v>
      </c>
      <c r="X2">
        <v>397.74079999999998</v>
      </c>
      <c r="Y2">
        <v>390.86219999999997</v>
      </c>
      <c r="Z2">
        <v>397.12599999999998</v>
      </c>
      <c r="AA2">
        <v>564.36906250000004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228</v>
      </c>
      <c r="B3" t="s">
        <v>229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2114.4242589999999</v>
      </c>
      <c r="R3">
        <v>1515.4604139999999</v>
      </c>
      <c r="S3">
        <v>1.9242593130000001</v>
      </c>
      <c r="T3">
        <v>-2.9604144479999999</v>
      </c>
      <c r="U3">
        <v>3.5308395049999999</v>
      </c>
      <c r="V3">
        <v>748.56129999999996</v>
      </c>
      <c r="W3">
        <v>398.96660000000003</v>
      </c>
      <c r="X3">
        <v>406.57929999999999</v>
      </c>
      <c r="Y3">
        <v>400.33589999999998</v>
      </c>
      <c r="Z3">
        <v>403.69279999999998</v>
      </c>
      <c r="AA3">
        <v>575.47747500000003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548</v>
      </c>
      <c r="B4" t="s">
        <v>549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550</v>
      </c>
      <c r="K4" t="s">
        <v>551</v>
      </c>
      <c r="L4" t="s">
        <v>552</v>
      </c>
      <c r="M4" t="s">
        <v>553</v>
      </c>
      <c r="N4" t="s">
        <v>554</v>
      </c>
      <c r="O4">
        <v>0</v>
      </c>
      <c r="P4">
        <v>0</v>
      </c>
      <c r="Q4">
        <v>2114.1524279999999</v>
      </c>
      <c r="R4">
        <v>1517.151685</v>
      </c>
      <c r="S4">
        <v>1.6524275180000001</v>
      </c>
      <c r="T4">
        <v>-4.6516851140000002</v>
      </c>
      <c r="U4">
        <v>4.9364654459999997</v>
      </c>
      <c r="V4">
        <v>734.43259999999998</v>
      </c>
      <c r="W4">
        <v>392.85500000000002</v>
      </c>
      <c r="X4">
        <v>403.02710000000002</v>
      </c>
      <c r="Y4">
        <v>393.22210000000001</v>
      </c>
      <c r="Z4">
        <v>395.85669999999999</v>
      </c>
      <c r="AA4">
        <v>565.33641250000005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  <row r="5" spans="1:36">
      <c r="A5" t="s">
        <v>555</v>
      </c>
      <c r="B5" t="s">
        <v>556</v>
      </c>
      <c r="C5" t="s">
        <v>212</v>
      </c>
      <c r="D5">
        <v>3</v>
      </c>
      <c r="E5" t="s">
        <v>213</v>
      </c>
      <c r="F5" t="s">
        <v>214</v>
      </c>
      <c r="G5" t="s">
        <v>215</v>
      </c>
      <c r="H5" t="s">
        <v>216</v>
      </c>
      <c r="J5" t="s">
        <v>557</v>
      </c>
      <c r="K5" t="s">
        <v>558</v>
      </c>
      <c r="L5" t="s">
        <v>559</v>
      </c>
      <c r="M5" t="s">
        <v>560</v>
      </c>
      <c r="N5" t="s">
        <v>561</v>
      </c>
      <c r="O5">
        <v>0</v>
      </c>
      <c r="P5">
        <v>0</v>
      </c>
      <c r="Q5">
        <v>2115.864689</v>
      </c>
      <c r="R5">
        <v>1521.9925599999999</v>
      </c>
      <c r="S5">
        <v>3.3646890439999999</v>
      </c>
      <c r="T5">
        <v>-9.4925603600000006</v>
      </c>
      <c r="U5">
        <v>10.07123799</v>
      </c>
      <c r="V5">
        <v>732.91970000000003</v>
      </c>
      <c r="W5">
        <v>390.94060000000002</v>
      </c>
      <c r="X5">
        <v>400.69439999999997</v>
      </c>
      <c r="Y5">
        <v>393.03489999999999</v>
      </c>
      <c r="Z5">
        <v>396.51519999999999</v>
      </c>
      <c r="AA5">
        <v>564.10798750000004</v>
      </c>
      <c r="AB5" t="s">
        <v>222</v>
      </c>
      <c r="AC5" t="s">
        <v>223</v>
      </c>
      <c r="AD5" t="s">
        <v>224</v>
      </c>
      <c r="AE5" t="s">
        <v>225</v>
      </c>
      <c r="AF5" t="s">
        <v>226</v>
      </c>
      <c r="AG5">
        <v>7</v>
      </c>
      <c r="AH5" t="s">
        <v>227</v>
      </c>
      <c r="AJ5">
        <v>1</v>
      </c>
    </row>
    <row r="6" spans="1:36">
      <c r="A6" t="s">
        <v>562</v>
      </c>
      <c r="B6" t="s">
        <v>563</v>
      </c>
      <c r="C6" t="s">
        <v>212</v>
      </c>
      <c r="D6">
        <v>3</v>
      </c>
      <c r="E6" t="s">
        <v>213</v>
      </c>
      <c r="F6" t="s">
        <v>214</v>
      </c>
      <c r="G6" t="s">
        <v>215</v>
      </c>
      <c r="H6" t="s">
        <v>216</v>
      </c>
      <c r="J6" t="s">
        <v>564</v>
      </c>
      <c r="K6" t="s">
        <v>565</v>
      </c>
      <c r="L6" t="s">
        <v>566</v>
      </c>
      <c r="M6" t="s">
        <v>567</v>
      </c>
      <c r="N6" t="s">
        <v>568</v>
      </c>
      <c r="O6">
        <v>0</v>
      </c>
      <c r="P6">
        <v>0</v>
      </c>
      <c r="Q6">
        <v>2111.0714360000002</v>
      </c>
      <c r="R6">
        <v>1518.2525659999999</v>
      </c>
      <c r="S6">
        <v>-1.4285639960000001</v>
      </c>
      <c r="T6">
        <v>-5.7525664320000001</v>
      </c>
      <c r="U6">
        <v>5.9272941250000004</v>
      </c>
      <c r="V6">
        <v>717.84130000000005</v>
      </c>
      <c r="W6">
        <v>386.10770000000002</v>
      </c>
      <c r="X6">
        <v>392.59089999999998</v>
      </c>
      <c r="Y6">
        <v>386.09410000000003</v>
      </c>
      <c r="Z6">
        <v>385.9</v>
      </c>
      <c r="AA6">
        <v>552.75723749999997</v>
      </c>
      <c r="AB6" t="s">
        <v>222</v>
      </c>
      <c r="AC6" t="s">
        <v>223</v>
      </c>
      <c r="AD6" t="s">
        <v>224</v>
      </c>
      <c r="AE6" t="s">
        <v>225</v>
      </c>
      <c r="AF6" t="s">
        <v>226</v>
      </c>
      <c r="AG6">
        <v>7</v>
      </c>
      <c r="AH6" t="s">
        <v>227</v>
      </c>
      <c r="AJ6">
        <v>1</v>
      </c>
    </row>
    <row r="7" spans="1:36">
      <c r="A7" t="s">
        <v>586</v>
      </c>
      <c r="B7" t="s">
        <v>587</v>
      </c>
      <c r="C7" t="s">
        <v>212</v>
      </c>
      <c r="D7">
        <v>3</v>
      </c>
      <c r="E7" t="s">
        <v>213</v>
      </c>
      <c r="F7" t="s">
        <v>214</v>
      </c>
      <c r="G7" t="s">
        <v>215</v>
      </c>
      <c r="H7" t="s">
        <v>216</v>
      </c>
      <c r="J7" t="s">
        <v>588</v>
      </c>
      <c r="K7" t="s">
        <v>589</v>
      </c>
      <c r="L7" t="s">
        <v>590</v>
      </c>
      <c r="M7" t="s">
        <v>591</v>
      </c>
      <c r="N7" t="s">
        <v>592</v>
      </c>
      <c r="O7">
        <v>0</v>
      </c>
      <c r="P7">
        <v>0</v>
      </c>
      <c r="Q7">
        <v>2110.01973</v>
      </c>
      <c r="R7">
        <v>1515.591557</v>
      </c>
      <c r="S7">
        <v>-2.4802697149999999</v>
      </c>
      <c r="T7">
        <v>-3.0915567899999998</v>
      </c>
      <c r="U7">
        <v>3.9635162720000001</v>
      </c>
      <c r="V7">
        <v>732.82320000000004</v>
      </c>
      <c r="W7">
        <v>394.3322</v>
      </c>
      <c r="X7">
        <v>400.04160000000002</v>
      </c>
      <c r="Y7">
        <v>395.8553</v>
      </c>
      <c r="Z7">
        <v>392.74849999999998</v>
      </c>
      <c r="AA7">
        <v>564.28380000000004</v>
      </c>
      <c r="AB7" t="s">
        <v>222</v>
      </c>
      <c r="AC7" t="s">
        <v>223</v>
      </c>
      <c r="AD7" t="s">
        <v>224</v>
      </c>
      <c r="AE7" t="s">
        <v>225</v>
      </c>
      <c r="AF7" t="s">
        <v>226</v>
      </c>
      <c r="AG7">
        <v>7</v>
      </c>
      <c r="AH7" t="s">
        <v>227</v>
      </c>
      <c r="AJ7">
        <v>1</v>
      </c>
    </row>
    <row r="8" spans="1:36">
      <c r="A8" t="s">
        <v>600</v>
      </c>
      <c r="B8" t="s">
        <v>601</v>
      </c>
      <c r="C8" t="s">
        <v>212</v>
      </c>
      <c r="D8">
        <v>3</v>
      </c>
      <c r="E8" t="s">
        <v>213</v>
      </c>
      <c r="F8" t="s">
        <v>214</v>
      </c>
      <c r="G8" t="s">
        <v>215</v>
      </c>
      <c r="H8" t="s">
        <v>216</v>
      </c>
      <c r="J8" t="s">
        <v>602</v>
      </c>
      <c r="K8" t="s">
        <v>603</v>
      </c>
      <c r="L8" t="s">
        <v>604</v>
      </c>
      <c r="M8" t="s">
        <v>605</v>
      </c>
      <c r="N8" t="s">
        <v>606</v>
      </c>
      <c r="O8">
        <v>0</v>
      </c>
      <c r="P8">
        <v>0</v>
      </c>
      <c r="Q8">
        <v>2109.9945269999998</v>
      </c>
      <c r="R8">
        <v>1518.032782</v>
      </c>
      <c r="S8">
        <v>-2.5054728759999998</v>
      </c>
      <c r="T8">
        <v>-5.5327819439999999</v>
      </c>
      <c r="U8">
        <v>6.0736373260000001</v>
      </c>
      <c r="V8">
        <v>727.90539999999999</v>
      </c>
      <c r="W8">
        <v>392.60270000000003</v>
      </c>
      <c r="X8">
        <v>396.68849999999998</v>
      </c>
      <c r="Y8">
        <v>391.47250000000003</v>
      </c>
      <c r="Z8">
        <v>394.0102</v>
      </c>
      <c r="AA8">
        <v>560.79943749999995</v>
      </c>
      <c r="AB8" t="s">
        <v>222</v>
      </c>
      <c r="AC8" t="s">
        <v>223</v>
      </c>
      <c r="AD8" t="s">
        <v>224</v>
      </c>
      <c r="AE8" t="s">
        <v>225</v>
      </c>
      <c r="AF8" t="s">
        <v>226</v>
      </c>
      <c r="AG8">
        <v>7</v>
      </c>
      <c r="AH8" t="s">
        <v>227</v>
      </c>
      <c r="AJ8">
        <v>1</v>
      </c>
    </row>
    <row r="9" spans="1:36">
      <c r="A9" t="s">
        <v>609</v>
      </c>
      <c r="B9" t="s">
        <v>610</v>
      </c>
      <c r="C9" t="s">
        <v>212</v>
      </c>
      <c r="D9">
        <v>3</v>
      </c>
      <c r="E9" t="s">
        <v>213</v>
      </c>
      <c r="F9" t="s">
        <v>214</v>
      </c>
      <c r="G9" t="s">
        <v>215</v>
      </c>
      <c r="H9" t="s">
        <v>216</v>
      </c>
      <c r="J9" t="s">
        <v>611</v>
      </c>
      <c r="K9" t="s">
        <v>612</v>
      </c>
      <c r="L9" t="s">
        <v>613</v>
      </c>
      <c r="M9" t="s">
        <v>614</v>
      </c>
      <c r="N9" t="s">
        <v>615</v>
      </c>
      <c r="O9">
        <v>0</v>
      </c>
      <c r="P9">
        <v>0</v>
      </c>
      <c r="Q9">
        <v>2105.4898107918002</v>
      </c>
      <c r="R9">
        <v>1517.3276501913001</v>
      </c>
      <c r="S9">
        <v>-7.0101892081999999</v>
      </c>
      <c r="T9">
        <v>-4.8276501913000001</v>
      </c>
      <c r="U9">
        <v>8.5116954306999997</v>
      </c>
      <c r="V9">
        <v>724.72310000000004</v>
      </c>
      <c r="W9">
        <v>389.65589999999997</v>
      </c>
      <c r="X9">
        <v>393.47640000000001</v>
      </c>
      <c r="Y9">
        <v>390.81209999999999</v>
      </c>
      <c r="Z9">
        <v>388.58339999999998</v>
      </c>
      <c r="AA9">
        <v>557.67752499999995</v>
      </c>
      <c r="AB9" t="s">
        <v>222</v>
      </c>
      <c r="AC9" t="s">
        <v>223</v>
      </c>
      <c r="AD9" t="s">
        <v>224</v>
      </c>
      <c r="AE9" t="s">
        <v>225</v>
      </c>
      <c r="AF9" t="s">
        <v>226</v>
      </c>
      <c r="AG9">
        <v>7</v>
      </c>
      <c r="AH9" t="s">
        <v>227</v>
      </c>
      <c r="AJ9">
        <v>1</v>
      </c>
    </row>
    <row r="10" spans="1:36">
      <c r="A10" t="s">
        <v>619</v>
      </c>
      <c r="B10" t="s">
        <v>620</v>
      </c>
      <c r="C10" t="s">
        <v>212</v>
      </c>
      <c r="D10">
        <v>3</v>
      </c>
      <c r="E10" t="s">
        <v>213</v>
      </c>
      <c r="F10" t="s">
        <v>214</v>
      </c>
      <c r="G10" t="s">
        <v>215</v>
      </c>
      <c r="H10" t="s">
        <v>216</v>
      </c>
      <c r="J10" t="s">
        <v>621</v>
      </c>
      <c r="K10" t="s">
        <v>622</v>
      </c>
      <c r="L10" t="s">
        <v>623</v>
      </c>
      <c r="M10" t="s">
        <v>624</v>
      </c>
      <c r="N10" t="s">
        <v>625</v>
      </c>
      <c r="O10">
        <v>0</v>
      </c>
      <c r="P10">
        <v>0</v>
      </c>
      <c r="Q10">
        <v>2109.7418961199</v>
      </c>
      <c r="R10">
        <v>1519.5632325337999</v>
      </c>
      <c r="S10">
        <v>-2.7581038801000002</v>
      </c>
      <c r="T10">
        <v>-7.0632325337999999</v>
      </c>
      <c r="U10">
        <v>7.5826374592999999</v>
      </c>
      <c r="V10">
        <v>724.67899999999997</v>
      </c>
      <c r="W10">
        <v>387.1789</v>
      </c>
      <c r="X10">
        <v>394.87169999999998</v>
      </c>
      <c r="Y10">
        <v>389.654</v>
      </c>
      <c r="Z10">
        <v>390.3252</v>
      </c>
      <c r="AA10">
        <v>557.59322499999996</v>
      </c>
      <c r="AB10" t="s">
        <v>222</v>
      </c>
      <c r="AC10" t="s">
        <v>223</v>
      </c>
      <c r="AD10" t="s">
        <v>224</v>
      </c>
      <c r="AE10" t="s">
        <v>225</v>
      </c>
      <c r="AF10" t="s">
        <v>226</v>
      </c>
      <c r="AG10">
        <v>7</v>
      </c>
      <c r="AH10" t="s">
        <v>227</v>
      </c>
      <c r="AJ10">
        <v>1</v>
      </c>
    </row>
    <row r="11" spans="1:36">
      <c r="A11" t="s">
        <v>636</v>
      </c>
      <c r="B11" t="s">
        <v>637</v>
      </c>
      <c r="C11" t="s">
        <v>212</v>
      </c>
      <c r="D11">
        <v>3</v>
      </c>
      <c r="E11" t="s">
        <v>213</v>
      </c>
      <c r="F11" t="s">
        <v>214</v>
      </c>
      <c r="G11" t="s">
        <v>215</v>
      </c>
      <c r="H11" t="s">
        <v>216</v>
      </c>
      <c r="J11" t="s">
        <v>638</v>
      </c>
      <c r="K11" t="s">
        <v>639</v>
      </c>
      <c r="L11" t="s">
        <v>640</v>
      </c>
      <c r="M11" t="s">
        <v>641</v>
      </c>
      <c r="N11" t="s">
        <v>642</v>
      </c>
      <c r="O11">
        <v>0</v>
      </c>
      <c r="P11">
        <v>0</v>
      </c>
      <c r="Q11">
        <v>2114.3353395675999</v>
      </c>
      <c r="R11">
        <v>1510.7076981174</v>
      </c>
      <c r="S11">
        <v>1.8353395675999999</v>
      </c>
      <c r="T11">
        <v>1.7923018825999999</v>
      </c>
      <c r="U11">
        <v>2.5653103842</v>
      </c>
      <c r="V11">
        <v>735.4203</v>
      </c>
      <c r="W11">
        <v>394.56279999999998</v>
      </c>
      <c r="X11">
        <v>399.6782</v>
      </c>
      <c r="Y11">
        <v>395.49279999999999</v>
      </c>
      <c r="Z11">
        <v>396.2353</v>
      </c>
      <c r="AA11">
        <v>565.95628750000003</v>
      </c>
      <c r="AB11" t="s">
        <v>222</v>
      </c>
      <c r="AC11" t="s">
        <v>223</v>
      </c>
      <c r="AD11" t="s">
        <v>224</v>
      </c>
      <c r="AE11" t="s">
        <v>225</v>
      </c>
      <c r="AF11" t="s">
        <v>226</v>
      </c>
      <c r="AG11">
        <v>7</v>
      </c>
      <c r="AH11" t="s">
        <v>227</v>
      </c>
      <c r="AJ11">
        <v>1</v>
      </c>
    </row>
    <row r="12" spans="1:36">
      <c r="A12" t="s">
        <v>643</v>
      </c>
      <c r="B12" t="s">
        <v>644</v>
      </c>
      <c r="C12" t="s">
        <v>212</v>
      </c>
      <c r="D12">
        <v>3</v>
      </c>
      <c r="E12" t="s">
        <v>213</v>
      </c>
      <c r="F12" t="s">
        <v>214</v>
      </c>
      <c r="G12" t="s">
        <v>215</v>
      </c>
      <c r="H12" t="s">
        <v>216</v>
      </c>
      <c r="J12" t="s">
        <v>645</v>
      </c>
      <c r="K12" t="s">
        <v>646</v>
      </c>
      <c r="L12" t="s">
        <v>647</v>
      </c>
      <c r="M12" t="s">
        <v>648</v>
      </c>
      <c r="N12" t="s">
        <v>649</v>
      </c>
      <c r="O12">
        <v>0</v>
      </c>
      <c r="P12">
        <v>0</v>
      </c>
      <c r="Q12">
        <v>2110.5547927005</v>
      </c>
      <c r="R12">
        <v>1517.5677332839</v>
      </c>
      <c r="S12">
        <v>-1.9452072995</v>
      </c>
      <c r="T12">
        <v>-5.0677332839</v>
      </c>
      <c r="U12">
        <v>5.4282365529999996</v>
      </c>
      <c r="V12">
        <v>734.90329999999994</v>
      </c>
      <c r="W12">
        <v>381.61020000000002</v>
      </c>
      <c r="X12">
        <v>392.96839999999997</v>
      </c>
      <c r="Y12">
        <v>385.64550000000003</v>
      </c>
      <c r="Z12">
        <v>385.12900000000002</v>
      </c>
      <c r="AA12">
        <v>560.62078750000001</v>
      </c>
      <c r="AB12" t="s">
        <v>222</v>
      </c>
      <c r="AC12" t="s">
        <v>223</v>
      </c>
      <c r="AD12" t="s">
        <v>224</v>
      </c>
      <c r="AE12" t="s">
        <v>225</v>
      </c>
      <c r="AF12" t="s">
        <v>226</v>
      </c>
      <c r="AG12">
        <v>7</v>
      </c>
      <c r="AH12" t="s">
        <v>227</v>
      </c>
      <c r="AJ12">
        <v>1</v>
      </c>
    </row>
    <row r="13" spans="1:36">
      <c r="A13" t="s">
        <v>650</v>
      </c>
      <c r="B13" t="s">
        <v>651</v>
      </c>
      <c r="C13" t="s">
        <v>212</v>
      </c>
      <c r="D13">
        <v>3</v>
      </c>
      <c r="E13" t="s">
        <v>213</v>
      </c>
      <c r="F13" t="s">
        <v>214</v>
      </c>
      <c r="G13" t="s">
        <v>215</v>
      </c>
      <c r="H13" t="s">
        <v>216</v>
      </c>
      <c r="J13" t="s">
        <v>652</v>
      </c>
      <c r="K13" t="s">
        <v>653</v>
      </c>
      <c r="L13" t="s">
        <v>654</v>
      </c>
      <c r="M13" t="s">
        <v>655</v>
      </c>
      <c r="N13" t="s">
        <v>656</v>
      </c>
      <c r="O13">
        <v>0</v>
      </c>
      <c r="P13">
        <v>0</v>
      </c>
      <c r="Q13">
        <v>2110.5836279483001</v>
      </c>
      <c r="R13">
        <v>1517.8456541051</v>
      </c>
      <c r="S13">
        <v>-1.9163720517</v>
      </c>
      <c r="T13">
        <v>-5.3456541051000004</v>
      </c>
      <c r="U13">
        <v>5.6787762459</v>
      </c>
      <c r="V13">
        <v>717.91920000000005</v>
      </c>
      <c r="W13">
        <v>385.29489999999998</v>
      </c>
      <c r="X13">
        <v>392.74419999999998</v>
      </c>
      <c r="Y13">
        <v>385.56</v>
      </c>
      <c r="Z13">
        <v>386.87020000000001</v>
      </c>
      <c r="AA13">
        <v>552.76826249999999</v>
      </c>
      <c r="AB13" t="s">
        <v>222</v>
      </c>
      <c r="AC13" t="s">
        <v>223</v>
      </c>
      <c r="AD13" t="s">
        <v>224</v>
      </c>
      <c r="AE13" t="s">
        <v>225</v>
      </c>
      <c r="AF13" t="s">
        <v>226</v>
      </c>
      <c r="AG13">
        <v>7</v>
      </c>
      <c r="AH13" t="s">
        <v>227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235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245</v>
      </c>
      <c r="AB1" t="s">
        <v>246</v>
      </c>
      <c r="AC1" t="s">
        <v>247</v>
      </c>
      <c r="AD1" t="s">
        <v>248</v>
      </c>
      <c r="AE1" t="s">
        <v>249</v>
      </c>
      <c r="AF1" t="s">
        <v>250</v>
      </c>
      <c r="AG1" t="s">
        <v>251</v>
      </c>
      <c r="AH1" t="s">
        <v>252</v>
      </c>
      <c r="AI1" t="s">
        <v>253</v>
      </c>
      <c r="AJ1" t="s">
        <v>254</v>
      </c>
      <c r="AK1" t="s">
        <v>255</v>
      </c>
      <c r="AL1" t="s">
        <v>256</v>
      </c>
      <c r="AM1" t="s">
        <v>257</v>
      </c>
      <c r="AN1" t="s">
        <v>258</v>
      </c>
      <c r="AO1" t="s">
        <v>259</v>
      </c>
      <c r="AP1" t="s">
        <v>260</v>
      </c>
      <c r="AQ1" t="s">
        <v>261</v>
      </c>
      <c r="AR1" t="s">
        <v>262</v>
      </c>
      <c r="AS1" t="s">
        <v>263</v>
      </c>
      <c r="AT1" t="s">
        <v>264</v>
      </c>
      <c r="AU1" t="s">
        <v>265</v>
      </c>
      <c r="AV1" t="s">
        <v>207</v>
      </c>
      <c r="AW1" t="s">
        <v>208</v>
      </c>
      <c r="AX1" t="s">
        <v>209</v>
      </c>
    </row>
    <row r="2" spans="1:50">
      <c r="A2" t="s">
        <v>266</v>
      </c>
      <c r="B2" t="s">
        <v>267</v>
      </c>
      <c r="C2" t="s">
        <v>212</v>
      </c>
      <c r="D2">
        <v>3</v>
      </c>
      <c r="E2" t="s">
        <v>213</v>
      </c>
      <c r="F2" t="s">
        <v>214</v>
      </c>
      <c r="G2" t="s">
        <v>268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-4.5180299999999998E-5</v>
      </c>
      <c r="R2">
        <v>5.5393595695000002</v>
      </c>
      <c r="S2">
        <v>5.2703409194999997</v>
      </c>
      <c r="T2">
        <v>0.99105095860000003</v>
      </c>
      <c r="U2">
        <v>3.3202660084</v>
      </c>
      <c r="V2">
        <v>-1.7037752867</v>
      </c>
      <c r="W2">
        <v>-1.5939493178999999</v>
      </c>
      <c r="X2">
        <v>-5.0696239471000002</v>
      </c>
      <c r="Y2">
        <v>0.79389095310000002</v>
      </c>
      <c r="Z2">
        <v>-1.6210100650999999</v>
      </c>
      <c r="AA2">
        <v>-0.5117455125</v>
      </c>
      <c r="AB2">
        <v>-1.1555933951999999</v>
      </c>
      <c r="AC2">
        <v>9.3710422500000001E-2</v>
      </c>
      <c r="AD2">
        <v>2.39600539E-2</v>
      </c>
      <c r="AE2">
        <v>2.5505628586000002</v>
      </c>
      <c r="AF2">
        <v>-0.71588850020000006</v>
      </c>
      <c r="AG2">
        <v>7.2529971600000007E-2</v>
      </c>
      <c r="AH2">
        <v>-0.66784173250000001</v>
      </c>
      <c r="AI2">
        <v>0.48240903019999998</v>
      </c>
      <c r="AJ2">
        <v>0.35085028410000002</v>
      </c>
      <c r="AK2">
        <v>2.0090829999999999E-4</v>
      </c>
      <c r="AL2">
        <v>4.7186195899999998E-2</v>
      </c>
      <c r="AM2">
        <v>0.10238414260000001</v>
      </c>
      <c r="AN2">
        <v>0.1586344391</v>
      </c>
      <c r="AO2">
        <v>0.1815662384</v>
      </c>
      <c r="AP2">
        <v>0.1815662384</v>
      </c>
      <c r="AQ2">
        <v>7.6459791948999998</v>
      </c>
      <c r="AR2" t="s">
        <v>269</v>
      </c>
      <c r="AS2" t="s">
        <v>270</v>
      </c>
      <c r="AT2">
        <v>3</v>
      </c>
      <c r="AU2">
        <v>2.9</v>
      </c>
      <c r="AX2">
        <v>1</v>
      </c>
    </row>
    <row r="3" spans="1:50">
      <c r="A3" t="s">
        <v>569</v>
      </c>
      <c r="B3" t="s">
        <v>570</v>
      </c>
      <c r="C3" t="s">
        <v>212</v>
      </c>
      <c r="D3">
        <v>3</v>
      </c>
      <c r="E3" t="s">
        <v>213</v>
      </c>
      <c r="F3" t="s">
        <v>214</v>
      </c>
      <c r="G3" t="s">
        <v>268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8.1658000000000007E-6</v>
      </c>
      <c r="R3">
        <v>1.7942675351999999</v>
      </c>
      <c r="S3">
        <v>6.7442960739000002</v>
      </c>
      <c r="T3">
        <v>-3.1428527831999999</v>
      </c>
      <c r="U3">
        <v>-0.14706599710000001</v>
      </c>
      <c r="V3">
        <v>-0.57432937620000002</v>
      </c>
      <c r="W3">
        <v>-0.31500610709999999</v>
      </c>
      <c r="X3">
        <v>-6.5153799056999997</v>
      </c>
      <c r="Y3">
        <v>2.1065583228999998</v>
      </c>
      <c r="Z3">
        <v>1.7855288981999999</v>
      </c>
      <c r="AA3">
        <v>0.41838201879999998</v>
      </c>
      <c r="AB3">
        <v>-0.78824925420000003</v>
      </c>
      <c r="AC3">
        <v>-0.23749923710000001</v>
      </c>
      <c r="AD3">
        <v>0.21273702380000001</v>
      </c>
      <c r="AE3">
        <v>3.4835999011999998</v>
      </c>
      <c r="AF3">
        <v>-0.1903482974</v>
      </c>
      <c r="AG3">
        <v>-0.62541723250000003</v>
      </c>
      <c r="AH3">
        <v>-0.88251769540000002</v>
      </c>
      <c r="AI3">
        <v>-6.3353240500000005E-2</v>
      </c>
      <c r="AJ3">
        <v>-0.5164640546</v>
      </c>
      <c r="AK3">
        <v>2.8935069999999998E-4</v>
      </c>
      <c r="AL3">
        <v>5.3939521300000001E-2</v>
      </c>
      <c r="AM3">
        <v>5.0510115899999999E-2</v>
      </c>
      <c r="AN3">
        <v>0.21351787450000001</v>
      </c>
      <c r="AO3">
        <v>0.21351787450000001</v>
      </c>
      <c r="AP3">
        <v>0.21351787450000001</v>
      </c>
      <c r="AQ3">
        <v>6.9788914248999996</v>
      </c>
      <c r="AR3" t="s">
        <v>269</v>
      </c>
      <c r="AS3" t="s">
        <v>270</v>
      </c>
      <c r="AT3">
        <v>3</v>
      </c>
      <c r="AU3">
        <v>2.9</v>
      </c>
      <c r="AX3">
        <v>1</v>
      </c>
    </row>
    <row r="4" spans="1:50">
      <c r="A4" t="s">
        <v>571</v>
      </c>
      <c r="B4" t="s">
        <v>572</v>
      </c>
      <c r="C4" t="s">
        <v>212</v>
      </c>
      <c r="D4">
        <v>3</v>
      </c>
      <c r="E4" t="s">
        <v>213</v>
      </c>
      <c r="F4" t="s">
        <v>214</v>
      </c>
      <c r="G4" t="s">
        <v>268</v>
      </c>
      <c r="H4" t="s">
        <v>216</v>
      </c>
      <c r="J4" t="s">
        <v>550</v>
      </c>
      <c r="K4" t="s">
        <v>551</v>
      </c>
      <c r="L4" t="s">
        <v>552</v>
      </c>
      <c r="M4" t="s">
        <v>553</v>
      </c>
      <c r="N4" t="s">
        <v>554</v>
      </c>
      <c r="O4">
        <v>0</v>
      </c>
      <c r="P4">
        <v>0</v>
      </c>
      <c r="Q4">
        <v>1.44243E-5</v>
      </c>
      <c r="R4">
        <v>8.1408586502000002</v>
      </c>
      <c r="S4">
        <v>0.72167712449999999</v>
      </c>
      <c r="T4">
        <v>6.0536918640000001</v>
      </c>
      <c r="U4">
        <v>9.0022459030000004</v>
      </c>
      <c r="V4">
        <v>0.42981338499999999</v>
      </c>
      <c r="W4">
        <v>-1.1299239397</v>
      </c>
      <c r="X4">
        <v>-3.1772103309999999</v>
      </c>
      <c r="Y4">
        <v>-1.7658557892</v>
      </c>
      <c r="Z4">
        <v>0.86491549020000003</v>
      </c>
      <c r="AA4">
        <v>-0.1222388893</v>
      </c>
      <c r="AB4">
        <v>-3.4514474868999998</v>
      </c>
      <c r="AC4">
        <v>0.33095672729999998</v>
      </c>
      <c r="AD4">
        <v>0.37927824259999998</v>
      </c>
      <c r="AE4">
        <v>2.061372757</v>
      </c>
      <c r="AF4">
        <v>0.4941588938</v>
      </c>
      <c r="AG4">
        <v>0.70295012000000001</v>
      </c>
      <c r="AH4">
        <v>4.6361245199999998E-2</v>
      </c>
      <c r="AI4">
        <v>-0.15128350260000001</v>
      </c>
      <c r="AJ4">
        <v>-0.1773744673</v>
      </c>
      <c r="AK4">
        <v>1.9970820000000001E-4</v>
      </c>
      <c r="AL4">
        <v>4.4762939199999997E-2</v>
      </c>
      <c r="AM4">
        <v>0.13329921659999999</v>
      </c>
      <c r="AN4">
        <v>8.28022063E-2</v>
      </c>
      <c r="AO4">
        <v>0.27594760060000001</v>
      </c>
      <c r="AP4">
        <v>0.27594760060000001</v>
      </c>
      <c r="AQ4">
        <v>8.1727839463999992</v>
      </c>
      <c r="AR4" t="s">
        <v>269</v>
      </c>
      <c r="AS4" t="s">
        <v>270</v>
      </c>
      <c r="AT4">
        <v>3</v>
      </c>
      <c r="AU4">
        <v>2.9</v>
      </c>
      <c r="AX4">
        <v>1</v>
      </c>
    </row>
    <row r="5" spans="1:50">
      <c r="A5" t="s">
        <v>573</v>
      </c>
      <c r="B5" t="s">
        <v>574</v>
      </c>
      <c r="C5" t="s">
        <v>212</v>
      </c>
      <c r="D5">
        <v>3</v>
      </c>
      <c r="E5" t="s">
        <v>213</v>
      </c>
      <c r="F5" t="s">
        <v>214</v>
      </c>
      <c r="G5" t="s">
        <v>268</v>
      </c>
      <c r="H5" t="s">
        <v>216</v>
      </c>
      <c r="J5" t="s">
        <v>557</v>
      </c>
      <c r="K5" t="s">
        <v>558</v>
      </c>
      <c r="L5" t="s">
        <v>559</v>
      </c>
      <c r="M5" t="s">
        <v>560</v>
      </c>
      <c r="N5" t="s">
        <v>561</v>
      </c>
      <c r="O5">
        <v>0</v>
      </c>
      <c r="P5">
        <v>0</v>
      </c>
      <c r="Q5">
        <v>2.3842E-6</v>
      </c>
      <c r="R5">
        <v>-1.2063040732999999</v>
      </c>
      <c r="S5">
        <v>-1.151683569</v>
      </c>
      <c r="T5">
        <v>0.78503429889999998</v>
      </c>
      <c r="U5">
        <v>3.8728885650999998</v>
      </c>
      <c r="V5">
        <v>0.45472171900000002</v>
      </c>
      <c r="W5">
        <v>3.3187775612000001</v>
      </c>
      <c r="X5">
        <v>0.8365206718</v>
      </c>
      <c r="Y5">
        <v>-4.4945120800000002E-2</v>
      </c>
      <c r="Z5">
        <v>1.2306871414</v>
      </c>
      <c r="AA5">
        <v>1.4791064262</v>
      </c>
      <c r="AB5">
        <v>-1.5538668632999999</v>
      </c>
      <c r="AC5">
        <v>-0.26699119809999999</v>
      </c>
      <c r="AD5">
        <v>-1.2960448265</v>
      </c>
      <c r="AE5">
        <v>4.9459159400000001E-2</v>
      </c>
      <c r="AF5">
        <v>0.19397620860000001</v>
      </c>
      <c r="AG5">
        <v>0.39014452700000002</v>
      </c>
      <c r="AH5">
        <v>0.30989697579999997</v>
      </c>
      <c r="AI5">
        <v>-0.54973834749999995</v>
      </c>
      <c r="AJ5">
        <v>-0.29032188650000001</v>
      </c>
      <c r="AK5">
        <v>2.14095E-4</v>
      </c>
      <c r="AL5">
        <v>4.6803947499999998E-2</v>
      </c>
      <c r="AM5">
        <v>8.5300907499999995E-2</v>
      </c>
      <c r="AN5">
        <v>4.1198380299999997E-2</v>
      </c>
      <c r="AO5">
        <v>0.1170526445</v>
      </c>
      <c r="AP5">
        <v>0.1170526445</v>
      </c>
      <c r="AQ5">
        <v>1.6677963186</v>
      </c>
      <c r="AR5" t="s">
        <v>269</v>
      </c>
      <c r="AS5" t="s">
        <v>270</v>
      </c>
      <c r="AT5">
        <v>3</v>
      </c>
      <c r="AU5">
        <v>2.9</v>
      </c>
      <c r="AX5">
        <v>1</v>
      </c>
    </row>
    <row r="6" spans="1:50">
      <c r="A6" t="s">
        <v>578</v>
      </c>
      <c r="B6" t="s">
        <v>593</v>
      </c>
      <c r="C6" t="s">
        <v>212</v>
      </c>
      <c r="D6">
        <v>3</v>
      </c>
      <c r="E6" t="s">
        <v>213</v>
      </c>
      <c r="F6" t="s">
        <v>214</v>
      </c>
      <c r="G6" t="s">
        <v>268</v>
      </c>
      <c r="H6" t="s">
        <v>216</v>
      </c>
      <c r="J6" t="s">
        <v>564</v>
      </c>
      <c r="K6" t="s">
        <v>565</v>
      </c>
      <c r="L6" t="s">
        <v>566</v>
      </c>
      <c r="M6" t="s">
        <v>567</v>
      </c>
      <c r="N6" t="s">
        <v>568</v>
      </c>
      <c r="O6">
        <v>0</v>
      </c>
      <c r="P6">
        <v>0</v>
      </c>
      <c r="Q6">
        <v>9.2983000000000004E-6</v>
      </c>
      <c r="R6">
        <v>2.6901459694000001</v>
      </c>
      <c r="S6">
        <v>5.8341965675000003</v>
      </c>
      <c r="T6">
        <v>2.0915319920000002</v>
      </c>
      <c r="U6">
        <v>4.0949578285000001</v>
      </c>
      <c r="V6">
        <v>-4.4220762252999997</v>
      </c>
      <c r="W6">
        <v>1.5414862632999999</v>
      </c>
      <c r="X6">
        <v>-2.9265730380999999</v>
      </c>
      <c r="Y6">
        <v>-2.68770903E-2</v>
      </c>
      <c r="Z6">
        <v>1.6499576569000001</v>
      </c>
      <c r="AA6">
        <v>1.0176482200999999</v>
      </c>
      <c r="AB6">
        <v>-2.3501753807000001</v>
      </c>
      <c r="AC6">
        <v>1.4838676452999999</v>
      </c>
      <c r="AD6">
        <v>-0.58979642389999998</v>
      </c>
      <c r="AE6">
        <v>1.6705873013000001</v>
      </c>
      <c r="AF6">
        <v>-0.1583940536</v>
      </c>
      <c r="AG6">
        <v>-0.26468944550000001</v>
      </c>
      <c r="AH6">
        <v>-0.1543582678</v>
      </c>
      <c r="AI6">
        <v>-1.018766284</v>
      </c>
      <c r="AJ6">
        <v>-0.5033682585</v>
      </c>
      <c r="AK6">
        <v>2.5251510000000001E-4</v>
      </c>
      <c r="AL6">
        <v>5.0828963499999998E-2</v>
      </c>
      <c r="AM6">
        <v>7.7538177400000005E-2</v>
      </c>
      <c r="AN6">
        <v>0.1391206384</v>
      </c>
      <c r="AO6">
        <v>0.18407347800000001</v>
      </c>
      <c r="AP6">
        <v>0.18407347800000001</v>
      </c>
      <c r="AQ6">
        <v>6.4245416120999996</v>
      </c>
      <c r="AR6" t="s">
        <v>269</v>
      </c>
      <c r="AS6" t="s">
        <v>270</v>
      </c>
      <c r="AT6">
        <v>3</v>
      </c>
      <c r="AU6">
        <v>2.9</v>
      </c>
      <c r="AX6">
        <v>1</v>
      </c>
    </row>
    <row r="7" spans="1:50">
      <c r="A7" t="s">
        <v>596</v>
      </c>
      <c r="B7" t="s">
        <v>597</v>
      </c>
      <c r="C7" t="s">
        <v>212</v>
      </c>
      <c r="D7">
        <v>3</v>
      </c>
      <c r="E7" t="s">
        <v>213</v>
      </c>
      <c r="F7" t="s">
        <v>214</v>
      </c>
      <c r="G7" t="s">
        <v>268</v>
      </c>
      <c r="H7" t="s">
        <v>216</v>
      </c>
      <c r="J7" t="s">
        <v>588</v>
      </c>
      <c r="K7" t="s">
        <v>589</v>
      </c>
      <c r="L7" t="s">
        <v>590</v>
      </c>
      <c r="M7" t="s">
        <v>591</v>
      </c>
      <c r="N7" t="s">
        <v>592</v>
      </c>
      <c r="O7">
        <v>0</v>
      </c>
      <c r="P7">
        <v>0</v>
      </c>
      <c r="Q7">
        <v>-2.2888199999999999E-5</v>
      </c>
      <c r="R7">
        <v>-5.4840803100000002E-2</v>
      </c>
      <c r="S7">
        <v>9.6192760467999996</v>
      </c>
      <c r="T7">
        <v>4.5627851485999997</v>
      </c>
      <c r="U7">
        <v>8.3346490860000007</v>
      </c>
      <c r="V7">
        <v>-1.8158665894999999</v>
      </c>
      <c r="W7">
        <v>0.27057546380000003</v>
      </c>
      <c r="X7">
        <v>-2.9854626656000001</v>
      </c>
      <c r="Y7">
        <v>-0.91026526689999998</v>
      </c>
      <c r="Z7">
        <v>-2.6216406821999998</v>
      </c>
      <c r="AA7">
        <v>0.98517042399999999</v>
      </c>
      <c r="AB7">
        <v>-3.3834702969000001</v>
      </c>
      <c r="AC7">
        <v>0.59569013120000003</v>
      </c>
      <c r="AD7">
        <v>-0.49981367589999998</v>
      </c>
      <c r="AE7">
        <v>1.6209439039</v>
      </c>
      <c r="AF7">
        <v>-0.29763221740000001</v>
      </c>
      <c r="AG7">
        <v>-0.65481621030000003</v>
      </c>
      <c r="AH7">
        <v>0.58833855390000001</v>
      </c>
      <c r="AI7">
        <v>1.2101964950999999</v>
      </c>
      <c r="AJ7">
        <v>-0.65574944020000003</v>
      </c>
      <c r="AK7">
        <v>2.9706729999999997E-4</v>
      </c>
      <c r="AL7">
        <v>5.6718215299999999E-2</v>
      </c>
      <c r="AM7">
        <v>6.9540366500000006E-2</v>
      </c>
      <c r="AN7">
        <v>0.1713864356</v>
      </c>
      <c r="AO7">
        <v>0.27160018679999998</v>
      </c>
      <c r="AP7">
        <v>0.27160018679999998</v>
      </c>
      <c r="AQ7">
        <v>9.6194323729000004</v>
      </c>
      <c r="AR7" t="s">
        <v>269</v>
      </c>
      <c r="AS7" t="s">
        <v>270</v>
      </c>
      <c r="AT7">
        <v>4</v>
      </c>
      <c r="AU7">
        <v>2.9</v>
      </c>
      <c r="AX7">
        <v>1</v>
      </c>
    </row>
    <row r="8" spans="1:50">
      <c r="A8" t="s">
        <v>616</v>
      </c>
      <c r="B8" t="s">
        <v>617</v>
      </c>
      <c r="C8" t="s">
        <v>212</v>
      </c>
      <c r="D8">
        <v>3</v>
      </c>
      <c r="E8" t="s">
        <v>213</v>
      </c>
      <c r="F8" t="s">
        <v>214</v>
      </c>
      <c r="G8" t="s">
        <v>268</v>
      </c>
      <c r="H8" t="s">
        <v>216</v>
      </c>
      <c r="J8" t="s">
        <v>602</v>
      </c>
      <c r="K8" t="s">
        <v>603</v>
      </c>
      <c r="L8" t="s">
        <v>604</v>
      </c>
      <c r="M8" t="s">
        <v>605</v>
      </c>
      <c r="N8" t="s">
        <v>606</v>
      </c>
      <c r="O8">
        <v>0</v>
      </c>
      <c r="P8">
        <v>0</v>
      </c>
      <c r="Q8">
        <v>-9.2983000000000004E-6</v>
      </c>
      <c r="R8">
        <v>11.422857284499999</v>
      </c>
      <c r="S8">
        <v>9.7493858336999999</v>
      </c>
      <c r="T8">
        <v>0.98210573199999995</v>
      </c>
      <c r="U8">
        <v>6.3835363387999999</v>
      </c>
      <c r="V8">
        <v>-4.2649440765</v>
      </c>
      <c r="W8">
        <v>0.71651434899999999</v>
      </c>
      <c r="X8">
        <v>-3.5934352875000002</v>
      </c>
      <c r="Y8">
        <v>-5.00141084E-2</v>
      </c>
      <c r="Z8">
        <v>-0.50414466859999996</v>
      </c>
      <c r="AA8">
        <v>0.68015152219999997</v>
      </c>
      <c r="AB8">
        <v>-2.9336419106</v>
      </c>
      <c r="AC8">
        <v>0.89812636379999999</v>
      </c>
      <c r="AD8">
        <v>-1.6230100393</v>
      </c>
      <c r="AE8">
        <v>0.82816952470000005</v>
      </c>
      <c r="AF8">
        <v>0.25157272819999998</v>
      </c>
      <c r="AG8">
        <v>0.53621923920000003</v>
      </c>
      <c r="AH8">
        <v>-0.2328075171</v>
      </c>
      <c r="AI8">
        <v>0.40745353699999998</v>
      </c>
      <c r="AJ8">
        <v>0.2101131976</v>
      </c>
      <c r="AK8">
        <v>2.5150759999999998E-4</v>
      </c>
      <c r="AL8">
        <v>5.2556537100000002E-2</v>
      </c>
      <c r="AM8">
        <v>0.18960039319999999</v>
      </c>
      <c r="AN8">
        <v>0.1903909147</v>
      </c>
      <c r="AO8">
        <v>0.2957044244</v>
      </c>
      <c r="AP8">
        <v>0.2957044244</v>
      </c>
      <c r="AQ8">
        <v>15.017729278399999</v>
      </c>
      <c r="AR8" t="s">
        <v>269</v>
      </c>
      <c r="AS8" t="s">
        <v>270</v>
      </c>
      <c r="AT8">
        <v>4</v>
      </c>
      <c r="AU8">
        <v>2.9</v>
      </c>
      <c r="AX8">
        <v>1</v>
      </c>
    </row>
    <row r="9" spans="1:50">
      <c r="A9" t="s">
        <v>626</v>
      </c>
      <c r="B9" t="s">
        <v>627</v>
      </c>
      <c r="C9" t="s">
        <v>212</v>
      </c>
      <c r="D9">
        <v>3</v>
      </c>
      <c r="E9" t="s">
        <v>213</v>
      </c>
      <c r="F9" t="s">
        <v>214</v>
      </c>
      <c r="G9" t="s">
        <v>268</v>
      </c>
      <c r="H9" t="s">
        <v>216</v>
      </c>
      <c r="J9" t="s">
        <v>611</v>
      </c>
      <c r="K9" t="s">
        <v>612</v>
      </c>
      <c r="L9" t="s">
        <v>613</v>
      </c>
      <c r="M9" t="s">
        <v>614</v>
      </c>
      <c r="N9" t="s">
        <v>615</v>
      </c>
      <c r="O9">
        <v>0</v>
      </c>
      <c r="P9">
        <v>0</v>
      </c>
      <c r="Q9">
        <v>-1.7285299999999999E-5</v>
      </c>
      <c r="R9">
        <v>7.6571712494000002</v>
      </c>
      <c r="S9">
        <v>12.017537117</v>
      </c>
      <c r="T9">
        <v>1.2950205802999999</v>
      </c>
      <c r="U9">
        <v>0.58782660959999999</v>
      </c>
      <c r="V9">
        <v>1.4692472218999999</v>
      </c>
      <c r="W9">
        <v>0.43736797570000002</v>
      </c>
      <c r="X9">
        <v>-5.2396388054000003</v>
      </c>
      <c r="Y9">
        <v>-0.48936682939999998</v>
      </c>
      <c r="Z9">
        <v>-0.49058464169999999</v>
      </c>
      <c r="AA9">
        <v>0.64312088489999997</v>
      </c>
      <c r="AB9">
        <v>-0.80158722400000004</v>
      </c>
      <c r="AC9">
        <v>9.3247652099999995E-2</v>
      </c>
      <c r="AD9">
        <v>-0.3362824619</v>
      </c>
      <c r="AE9">
        <v>2.4466209412</v>
      </c>
      <c r="AF9">
        <v>0.48007076980000002</v>
      </c>
      <c r="AG9">
        <v>-0.79139178990000003</v>
      </c>
      <c r="AH9">
        <v>0.50923842190000002</v>
      </c>
      <c r="AI9">
        <v>0.2140966654</v>
      </c>
      <c r="AJ9">
        <v>-0.68500256540000004</v>
      </c>
      <c r="AK9">
        <v>1.9538969999999999E-4</v>
      </c>
      <c r="AL9">
        <v>4.5972712300000003E-2</v>
      </c>
      <c r="AM9">
        <v>9.6243634800000005E-2</v>
      </c>
      <c r="AN9">
        <v>0.23161855340000001</v>
      </c>
      <c r="AO9">
        <v>0.23721466960000001</v>
      </c>
      <c r="AP9">
        <v>0.23721466960000001</v>
      </c>
      <c r="AQ9">
        <v>14.249683150899999</v>
      </c>
      <c r="AR9" t="s">
        <v>269</v>
      </c>
      <c r="AS9" t="s">
        <v>270</v>
      </c>
      <c r="AT9">
        <v>3</v>
      </c>
      <c r="AU9">
        <v>2.9</v>
      </c>
      <c r="AX9">
        <v>1</v>
      </c>
    </row>
    <row r="10" spans="1:50">
      <c r="A10" t="s">
        <v>628</v>
      </c>
      <c r="B10" t="s">
        <v>629</v>
      </c>
      <c r="C10" t="s">
        <v>212</v>
      </c>
      <c r="D10">
        <v>3</v>
      </c>
      <c r="E10" t="s">
        <v>213</v>
      </c>
      <c r="F10" t="s">
        <v>214</v>
      </c>
      <c r="G10" t="s">
        <v>268</v>
      </c>
      <c r="H10" t="s">
        <v>216</v>
      </c>
      <c r="J10" t="s">
        <v>621</v>
      </c>
      <c r="K10" t="s">
        <v>622</v>
      </c>
      <c r="L10" t="s">
        <v>623</v>
      </c>
      <c r="M10" t="s">
        <v>624</v>
      </c>
      <c r="N10" t="s">
        <v>625</v>
      </c>
      <c r="O10">
        <v>0</v>
      </c>
      <c r="P10">
        <v>0</v>
      </c>
      <c r="Q10">
        <v>1.7285299999999999E-5</v>
      </c>
      <c r="R10">
        <v>7.2898159027</v>
      </c>
      <c r="S10">
        <v>2.5686402320999999</v>
      </c>
      <c r="T10">
        <v>2.7525026798000001</v>
      </c>
      <c r="U10">
        <v>6.6615085601999997</v>
      </c>
      <c r="V10">
        <v>-5.8609971999999999</v>
      </c>
      <c r="W10">
        <v>-0.93232870099999998</v>
      </c>
      <c r="X10">
        <v>-0.74531483649999997</v>
      </c>
      <c r="Y10">
        <v>-3.1864404700000001E-2</v>
      </c>
      <c r="Z10">
        <v>0.2647154927</v>
      </c>
      <c r="AA10">
        <v>1.1017707586000001</v>
      </c>
      <c r="AB10">
        <v>-2.4142062663999999</v>
      </c>
      <c r="AC10">
        <v>1.3406568766</v>
      </c>
      <c r="AD10">
        <v>-0.83818656209999998</v>
      </c>
      <c r="AE10">
        <v>0.83117139340000001</v>
      </c>
      <c r="AF10">
        <v>-8.4962696000000001E-3</v>
      </c>
      <c r="AG10">
        <v>-0.3197658062</v>
      </c>
      <c r="AH10">
        <v>-0.55801939960000002</v>
      </c>
      <c r="AI10">
        <v>-0.63164007659999999</v>
      </c>
      <c r="AJ10">
        <v>2.7609765500000001E-2</v>
      </c>
      <c r="AK10">
        <v>2.393792E-4</v>
      </c>
      <c r="AL10">
        <v>5.1073841799999999E-2</v>
      </c>
      <c r="AM10">
        <v>0.15580730139999999</v>
      </c>
      <c r="AN10">
        <v>0.1016782299</v>
      </c>
      <c r="AO10">
        <v>0.2191551924</v>
      </c>
      <c r="AP10">
        <v>0.2191551924</v>
      </c>
      <c r="AQ10">
        <v>7.7291221065000002</v>
      </c>
      <c r="AR10" t="s">
        <v>269</v>
      </c>
      <c r="AS10" t="s">
        <v>270</v>
      </c>
      <c r="AT10">
        <v>3</v>
      </c>
      <c r="AU10">
        <v>2.9</v>
      </c>
      <c r="AX10">
        <v>1</v>
      </c>
    </row>
    <row r="11" spans="1:50">
      <c r="A11" t="s">
        <v>657</v>
      </c>
      <c r="B11" t="s">
        <v>658</v>
      </c>
      <c r="C11" t="s">
        <v>212</v>
      </c>
      <c r="D11">
        <v>3</v>
      </c>
      <c r="E11" t="s">
        <v>213</v>
      </c>
      <c r="F11" t="s">
        <v>214</v>
      </c>
      <c r="G11" t="s">
        <v>268</v>
      </c>
      <c r="H11" t="s">
        <v>216</v>
      </c>
      <c r="J11" t="s">
        <v>638</v>
      </c>
      <c r="K11" t="s">
        <v>639</v>
      </c>
      <c r="L11" t="s">
        <v>640</v>
      </c>
      <c r="M11" t="s">
        <v>641</v>
      </c>
      <c r="N11" t="s">
        <v>642</v>
      </c>
      <c r="O11">
        <v>0</v>
      </c>
      <c r="P11">
        <v>0</v>
      </c>
      <c r="Q11">
        <v>4.2915000000000003E-6</v>
      </c>
      <c r="R11">
        <v>2.0152630806</v>
      </c>
      <c r="S11">
        <v>9.0540218353000004</v>
      </c>
      <c r="T11">
        <v>0.87583333249999995</v>
      </c>
      <c r="U11">
        <v>4.5320281981999999</v>
      </c>
      <c r="V11">
        <v>-2.0665566920999998</v>
      </c>
      <c r="W11">
        <v>1.1342816353</v>
      </c>
      <c r="X11">
        <v>-3.6179673671999999</v>
      </c>
      <c r="Y11">
        <v>-6.3952162899999998E-2</v>
      </c>
      <c r="Z11">
        <v>0.37458914519999997</v>
      </c>
      <c r="AA11">
        <v>1.2912787199</v>
      </c>
      <c r="AB11">
        <v>-1.7183344363999999</v>
      </c>
      <c r="AC11">
        <v>1.143443346</v>
      </c>
      <c r="AD11">
        <v>-1.0724859238</v>
      </c>
      <c r="AE11">
        <v>1.5971088409</v>
      </c>
      <c r="AF11">
        <v>0.54044771189999996</v>
      </c>
      <c r="AG11">
        <v>0.23918160799999999</v>
      </c>
      <c r="AH11">
        <v>-0.59792017939999997</v>
      </c>
      <c r="AI11">
        <v>0.39981335400000001</v>
      </c>
      <c r="AJ11">
        <v>2.7537718400000001E-2</v>
      </c>
      <c r="AK11">
        <v>2.3644369999999999E-4</v>
      </c>
      <c r="AL11">
        <v>5.1411442500000001E-2</v>
      </c>
      <c r="AM11">
        <v>5.96665293E-2</v>
      </c>
      <c r="AN11">
        <v>0.17608034610000001</v>
      </c>
      <c r="AO11">
        <v>0.18036417660000001</v>
      </c>
      <c r="AP11">
        <v>0.18036417660000001</v>
      </c>
      <c r="AQ11">
        <v>9.2755914463</v>
      </c>
      <c r="AR11" t="s">
        <v>269</v>
      </c>
      <c r="AS11" t="s">
        <v>270</v>
      </c>
      <c r="AT11">
        <v>3</v>
      </c>
      <c r="AU11">
        <v>2.9</v>
      </c>
      <c r="AX11">
        <v>1</v>
      </c>
    </row>
    <row r="12" spans="1:50">
      <c r="A12" t="s">
        <v>659</v>
      </c>
      <c r="B12" t="s">
        <v>660</v>
      </c>
      <c r="C12" t="s">
        <v>212</v>
      </c>
      <c r="D12">
        <v>3</v>
      </c>
      <c r="E12" t="s">
        <v>213</v>
      </c>
      <c r="F12" t="s">
        <v>214</v>
      </c>
      <c r="G12" t="s">
        <v>268</v>
      </c>
      <c r="H12" t="s">
        <v>216</v>
      </c>
      <c r="J12" t="s">
        <v>645</v>
      </c>
      <c r="K12" t="s">
        <v>646</v>
      </c>
      <c r="L12" t="s">
        <v>647</v>
      </c>
      <c r="M12" t="s">
        <v>648</v>
      </c>
      <c r="N12" t="s">
        <v>649</v>
      </c>
      <c r="O12">
        <v>0</v>
      </c>
      <c r="P12">
        <v>0</v>
      </c>
      <c r="Q12">
        <v>4.0531000000000002E-6</v>
      </c>
      <c r="R12">
        <v>2.8801372051</v>
      </c>
      <c r="S12">
        <v>6.7843976021000003</v>
      </c>
      <c r="T12">
        <v>-2.1310870647</v>
      </c>
      <c r="U12">
        <v>3.6435832976999998</v>
      </c>
      <c r="V12">
        <v>0.17996621130000001</v>
      </c>
      <c r="W12">
        <v>-0.1608321965</v>
      </c>
      <c r="X12">
        <v>-0.51904058460000002</v>
      </c>
      <c r="Y12">
        <v>1.6918720007000001</v>
      </c>
      <c r="Z12">
        <v>0.28323212269999998</v>
      </c>
      <c r="AA12">
        <v>1.8932886123999999</v>
      </c>
      <c r="AB12">
        <v>-1.6416871548</v>
      </c>
      <c r="AC12">
        <v>-0.21715939040000001</v>
      </c>
      <c r="AD12">
        <v>-0.50326889750000003</v>
      </c>
      <c r="AE12">
        <v>0.66499656439999999</v>
      </c>
      <c r="AF12">
        <v>-0.78392517569999998</v>
      </c>
      <c r="AG12">
        <v>-0.4396539927</v>
      </c>
      <c r="AH12">
        <v>-1.1362290382</v>
      </c>
      <c r="AI12">
        <v>-0.4518769681</v>
      </c>
      <c r="AJ12">
        <v>-1.2331442832999999</v>
      </c>
      <c r="AK12">
        <v>2.11196E-4</v>
      </c>
      <c r="AL12">
        <v>4.7011140700000002E-2</v>
      </c>
      <c r="AM12">
        <v>5.3386323200000002E-2</v>
      </c>
      <c r="AN12">
        <v>9.5530725999999996E-2</v>
      </c>
      <c r="AO12">
        <v>0.13112962249999999</v>
      </c>
      <c r="AP12">
        <v>0.1325518191</v>
      </c>
      <c r="AQ12">
        <v>7.3704301871000002</v>
      </c>
      <c r="AR12" t="s">
        <v>269</v>
      </c>
      <c r="AS12" t="s">
        <v>270</v>
      </c>
      <c r="AT12">
        <v>4</v>
      </c>
      <c r="AU12">
        <v>2.9</v>
      </c>
      <c r="AX12">
        <v>1</v>
      </c>
    </row>
    <row r="13" spans="1:50">
      <c r="A13" t="s">
        <v>661</v>
      </c>
      <c r="B13" t="s">
        <v>662</v>
      </c>
      <c r="C13" t="s">
        <v>212</v>
      </c>
      <c r="D13">
        <v>3</v>
      </c>
      <c r="E13" t="s">
        <v>213</v>
      </c>
      <c r="F13" t="s">
        <v>214</v>
      </c>
      <c r="G13" t="s">
        <v>268</v>
      </c>
      <c r="H13" t="s">
        <v>216</v>
      </c>
      <c r="J13" t="s">
        <v>652</v>
      </c>
      <c r="K13" t="s">
        <v>653</v>
      </c>
      <c r="L13" t="s">
        <v>654</v>
      </c>
      <c r="M13" t="s">
        <v>655</v>
      </c>
      <c r="N13" t="s">
        <v>656</v>
      </c>
      <c r="O13">
        <v>0</v>
      </c>
      <c r="P13">
        <v>0</v>
      </c>
      <c r="Q13">
        <v>-2.6941299999999999E-5</v>
      </c>
      <c r="R13">
        <v>-2.1971011161999998</v>
      </c>
      <c r="S13">
        <v>-0.51056092980000001</v>
      </c>
      <c r="T13">
        <v>2.6011261939999999</v>
      </c>
      <c r="U13">
        <v>6.6917905807000002</v>
      </c>
      <c r="V13">
        <v>-0.14780372380000001</v>
      </c>
      <c r="W13">
        <v>1.4928036927999999</v>
      </c>
      <c r="X13">
        <v>0.3973414898</v>
      </c>
      <c r="Y13">
        <v>-0.85890352729999997</v>
      </c>
      <c r="Z13">
        <v>0.52142703530000001</v>
      </c>
      <c r="AA13">
        <v>1.7152310609999999</v>
      </c>
      <c r="AB13">
        <v>-2.4097838401999998</v>
      </c>
      <c r="AC13">
        <v>-0.64945119620000002</v>
      </c>
      <c r="AD13">
        <v>-0.38690570000000002</v>
      </c>
      <c r="AE13">
        <v>-6.0539916200000002E-2</v>
      </c>
      <c r="AF13">
        <v>0.68501728770000003</v>
      </c>
      <c r="AG13">
        <v>0.36357089879999999</v>
      </c>
      <c r="AH13">
        <v>-0.82929623129999996</v>
      </c>
      <c r="AI13">
        <v>-0.73214203119999999</v>
      </c>
      <c r="AJ13">
        <v>-0.62381756310000003</v>
      </c>
      <c r="AK13">
        <v>2.2871020000000001E-4</v>
      </c>
      <c r="AL13">
        <v>5.0230033700000003E-2</v>
      </c>
      <c r="AM13">
        <v>4.6756736899999998E-2</v>
      </c>
      <c r="AN13">
        <v>5.1940884399999998E-2</v>
      </c>
      <c r="AO13">
        <v>0.17839185890000001</v>
      </c>
      <c r="AP13">
        <v>0.17839185890000001</v>
      </c>
      <c r="AQ13">
        <v>2.2556430963</v>
      </c>
      <c r="AR13" t="s">
        <v>269</v>
      </c>
      <c r="AS13" t="s">
        <v>270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271</v>
      </c>
      <c r="R1" t="s">
        <v>272</v>
      </c>
      <c r="S1" t="s">
        <v>273</v>
      </c>
      <c r="T1" t="s">
        <v>274</v>
      </c>
      <c r="U1" t="s">
        <v>275</v>
      </c>
      <c r="V1" t="s">
        <v>276</v>
      </c>
      <c r="W1" t="s">
        <v>277</v>
      </c>
      <c r="X1" t="s">
        <v>278</v>
      </c>
      <c r="Y1" t="s">
        <v>279</v>
      </c>
      <c r="Z1" t="s">
        <v>280</v>
      </c>
      <c r="AA1" t="s">
        <v>281</v>
      </c>
      <c r="AB1" t="s">
        <v>282</v>
      </c>
      <c r="AC1" t="s">
        <v>283</v>
      </c>
      <c r="AD1" t="s">
        <v>207</v>
      </c>
      <c r="AE1" t="s">
        <v>208</v>
      </c>
      <c r="AF1" t="s">
        <v>209</v>
      </c>
    </row>
    <row r="2" spans="1:32">
      <c r="A2" t="s">
        <v>266</v>
      </c>
      <c r="B2" t="s">
        <v>284</v>
      </c>
      <c r="C2" t="s">
        <v>212</v>
      </c>
      <c r="D2">
        <v>3</v>
      </c>
      <c r="E2" t="s">
        <v>213</v>
      </c>
      <c r="F2" t="s">
        <v>214</v>
      </c>
      <c r="G2" t="s">
        <v>268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-3.5190615836000001</v>
      </c>
      <c r="R2">
        <v>-24</v>
      </c>
      <c r="S2">
        <v>92.928909811099999</v>
      </c>
      <c r="T2">
        <v>105.5467257042</v>
      </c>
      <c r="U2">
        <v>3.5956208354000001</v>
      </c>
      <c r="V2">
        <v>2.6305056000000002E-3</v>
      </c>
      <c r="W2">
        <v>-6.4700800000000002E-5</v>
      </c>
      <c r="X2">
        <v>3.4056607423999998</v>
      </c>
      <c r="Y2">
        <v>92.827336652699998</v>
      </c>
      <c r="Z2">
        <v>76.3803399536</v>
      </c>
      <c r="AA2">
        <v>320.72909899019999</v>
      </c>
      <c r="AB2">
        <v>343.11234431550002</v>
      </c>
      <c r="AC2">
        <v>1</v>
      </c>
      <c r="AF2">
        <v>1</v>
      </c>
    </row>
    <row r="3" spans="1:32">
      <c r="A3" t="s">
        <v>569</v>
      </c>
      <c r="B3" t="s">
        <v>575</v>
      </c>
      <c r="C3" t="s">
        <v>212</v>
      </c>
      <c r="D3">
        <v>3</v>
      </c>
      <c r="E3" t="s">
        <v>213</v>
      </c>
      <c r="F3" t="s">
        <v>214</v>
      </c>
      <c r="G3" t="s">
        <v>268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-3.5190615836000001</v>
      </c>
      <c r="R3">
        <v>-24</v>
      </c>
      <c r="S3">
        <v>94.001229357900002</v>
      </c>
      <c r="T3">
        <v>107.06445156949999</v>
      </c>
      <c r="U3">
        <v>3.7199118001000002</v>
      </c>
      <c r="V3">
        <v>1.9758667E-3</v>
      </c>
      <c r="W3">
        <v>-6.6723600000000006E-5</v>
      </c>
      <c r="X3">
        <v>3.4906168076999999</v>
      </c>
      <c r="Y3">
        <v>93.800164939699997</v>
      </c>
      <c r="Z3">
        <v>79.7297801964</v>
      </c>
      <c r="AA3">
        <v>320.1157680906</v>
      </c>
      <c r="AB3">
        <v>342.4185178427</v>
      </c>
      <c r="AC3">
        <v>1</v>
      </c>
      <c r="AF3">
        <v>1</v>
      </c>
    </row>
    <row r="4" spans="1:32">
      <c r="A4" t="s">
        <v>571</v>
      </c>
      <c r="B4" t="s">
        <v>576</v>
      </c>
      <c r="C4" t="s">
        <v>212</v>
      </c>
      <c r="D4">
        <v>3</v>
      </c>
      <c r="E4" t="s">
        <v>213</v>
      </c>
      <c r="F4" t="s">
        <v>214</v>
      </c>
      <c r="G4" t="s">
        <v>268</v>
      </c>
      <c r="H4" t="s">
        <v>216</v>
      </c>
      <c r="J4" t="s">
        <v>550</v>
      </c>
      <c r="K4" t="s">
        <v>551</v>
      </c>
      <c r="L4" t="s">
        <v>552</v>
      </c>
      <c r="M4" t="s">
        <v>553</v>
      </c>
      <c r="N4" t="s">
        <v>554</v>
      </c>
      <c r="O4">
        <v>0</v>
      </c>
      <c r="P4">
        <v>0</v>
      </c>
      <c r="Q4">
        <v>-5.8651026392999999</v>
      </c>
      <c r="R4">
        <v>-40</v>
      </c>
      <c r="S4">
        <v>92.572762683600004</v>
      </c>
      <c r="T4">
        <v>113.4264508513</v>
      </c>
      <c r="U4">
        <v>3.5753150967999998</v>
      </c>
      <c r="V4">
        <v>2.9440096999999998E-3</v>
      </c>
      <c r="W4">
        <v>-7.2511199999999998E-5</v>
      </c>
      <c r="X4">
        <v>3.3969824874999999</v>
      </c>
      <c r="Y4">
        <v>92.471665609900001</v>
      </c>
      <c r="Z4">
        <v>75.087401425199999</v>
      </c>
      <c r="AA4">
        <v>312.33907242179998</v>
      </c>
      <c r="AB4">
        <v>335.79266284720001</v>
      </c>
      <c r="AC4">
        <v>1</v>
      </c>
      <c r="AF4">
        <v>1</v>
      </c>
    </row>
    <row r="5" spans="1:32">
      <c r="A5" t="s">
        <v>573</v>
      </c>
      <c r="B5" t="s">
        <v>577</v>
      </c>
      <c r="C5" t="s">
        <v>212</v>
      </c>
      <c r="D5">
        <v>3</v>
      </c>
      <c r="E5" t="s">
        <v>213</v>
      </c>
      <c r="F5" t="s">
        <v>214</v>
      </c>
      <c r="G5" t="s">
        <v>268</v>
      </c>
      <c r="H5" t="s">
        <v>216</v>
      </c>
      <c r="J5" t="s">
        <v>557</v>
      </c>
      <c r="K5" t="s">
        <v>558</v>
      </c>
      <c r="L5" t="s">
        <v>559</v>
      </c>
      <c r="M5" t="s">
        <v>560</v>
      </c>
      <c r="N5" t="s">
        <v>561</v>
      </c>
      <c r="O5">
        <v>0</v>
      </c>
      <c r="P5">
        <v>0</v>
      </c>
      <c r="Q5">
        <v>-5.8651026392999999</v>
      </c>
      <c r="R5">
        <v>-40</v>
      </c>
      <c r="S5">
        <v>91.422084736200006</v>
      </c>
      <c r="T5">
        <v>112.95083047439999</v>
      </c>
      <c r="U5">
        <v>3.6905287285999999</v>
      </c>
      <c r="V5">
        <v>2.9495379999999998E-3</v>
      </c>
      <c r="W5">
        <v>-7.4950000000000006E-5</v>
      </c>
      <c r="X5">
        <v>3.4846445143000002</v>
      </c>
      <c r="Y5">
        <v>91.020084068399996</v>
      </c>
      <c r="Z5">
        <v>77.174891226900002</v>
      </c>
      <c r="AA5">
        <v>327.67748178699998</v>
      </c>
      <c r="AB5">
        <v>350.45127305070002</v>
      </c>
      <c r="AC5">
        <v>1</v>
      </c>
      <c r="AF5">
        <v>1</v>
      </c>
    </row>
    <row r="6" spans="1:32">
      <c r="A6" t="s">
        <v>578</v>
      </c>
      <c r="B6" t="s">
        <v>579</v>
      </c>
      <c r="C6" t="s">
        <v>212</v>
      </c>
      <c r="D6">
        <v>3</v>
      </c>
      <c r="E6" t="s">
        <v>213</v>
      </c>
      <c r="F6" t="s">
        <v>214</v>
      </c>
      <c r="G6" t="s">
        <v>268</v>
      </c>
      <c r="H6" t="s">
        <v>216</v>
      </c>
      <c r="J6" t="s">
        <v>564</v>
      </c>
      <c r="K6" t="s">
        <v>565</v>
      </c>
      <c r="L6" t="s">
        <v>566</v>
      </c>
      <c r="M6" t="s">
        <v>567</v>
      </c>
      <c r="N6" t="s">
        <v>568</v>
      </c>
      <c r="O6">
        <v>0</v>
      </c>
      <c r="P6">
        <v>0</v>
      </c>
      <c r="Q6">
        <v>-4.6920821114000004</v>
      </c>
      <c r="R6">
        <v>-32</v>
      </c>
      <c r="S6">
        <v>100.2148853093</v>
      </c>
      <c r="T6">
        <v>117.5295565365</v>
      </c>
      <c r="U6">
        <v>3.7021711547999998</v>
      </c>
      <c r="V6">
        <v>2.2170380000000002E-3</v>
      </c>
      <c r="W6">
        <v>-7.17365E-5</v>
      </c>
      <c r="X6">
        <v>3.4788077159999999</v>
      </c>
      <c r="Y6">
        <v>95.492407887599995</v>
      </c>
      <c r="Z6">
        <v>73.803356710599999</v>
      </c>
      <c r="AA6">
        <v>315.06908168820001</v>
      </c>
      <c r="AB6">
        <v>338.39452488130001</v>
      </c>
      <c r="AC6">
        <v>1</v>
      </c>
      <c r="AF6">
        <v>1</v>
      </c>
    </row>
    <row r="7" spans="1:32">
      <c r="A7" t="s">
        <v>598</v>
      </c>
      <c r="B7" t="s">
        <v>599</v>
      </c>
      <c r="C7" t="s">
        <v>212</v>
      </c>
      <c r="D7">
        <v>3</v>
      </c>
      <c r="E7" t="s">
        <v>213</v>
      </c>
      <c r="F7" t="s">
        <v>214</v>
      </c>
      <c r="G7" t="s">
        <v>268</v>
      </c>
      <c r="H7" t="s">
        <v>216</v>
      </c>
      <c r="J7" t="s">
        <v>588</v>
      </c>
      <c r="K7" t="s">
        <v>589</v>
      </c>
      <c r="L7" t="s">
        <v>590</v>
      </c>
      <c r="M7" t="s">
        <v>591</v>
      </c>
      <c r="N7" t="s">
        <v>592</v>
      </c>
      <c r="O7">
        <v>0</v>
      </c>
      <c r="P7">
        <v>0</v>
      </c>
      <c r="Q7">
        <v>-3.5190615836000001</v>
      </c>
      <c r="R7">
        <v>-24</v>
      </c>
      <c r="S7">
        <v>93.297849313</v>
      </c>
      <c r="T7">
        <v>106.40267857800001</v>
      </c>
      <c r="U7">
        <v>3.7352543813999999</v>
      </c>
      <c r="V7">
        <v>2.9470221000000001E-3</v>
      </c>
      <c r="W7">
        <v>-7.4935E-5</v>
      </c>
      <c r="X7">
        <v>3.5379354260000002</v>
      </c>
      <c r="Y7">
        <v>92.095450727300005</v>
      </c>
      <c r="Z7">
        <v>71.617955424900003</v>
      </c>
      <c r="AA7">
        <v>317.5605346808</v>
      </c>
      <c r="AB7">
        <v>340.22454485039998</v>
      </c>
      <c r="AC7">
        <v>1</v>
      </c>
      <c r="AF7">
        <v>1</v>
      </c>
    </row>
    <row r="8" spans="1:32">
      <c r="A8" t="s">
        <v>616</v>
      </c>
      <c r="B8" t="s">
        <v>618</v>
      </c>
      <c r="C8" t="s">
        <v>212</v>
      </c>
      <c r="D8">
        <v>3</v>
      </c>
      <c r="E8" t="s">
        <v>213</v>
      </c>
      <c r="F8" t="s">
        <v>214</v>
      </c>
      <c r="G8" t="s">
        <v>268</v>
      </c>
      <c r="H8" t="s">
        <v>216</v>
      </c>
      <c r="J8" t="s">
        <v>602</v>
      </c>
      <c r="K8" t="s">
        <v>603</v>
      </c>
      <c r="L8" t="s">
        <v>604</v>
      </c>
      <c r="M8" t="s">
        <v>605</v>
      </c>
      <c r="N8" t="s">
        <v>606</v>
      </c>
      <c r="O8">
        <v>0</v>
      </c>
      <c r="P8">
        <v>0</v>
      </c>
      <c r="Q8">
        <v>-5.8651026392999999</v>
      </c>
      <c r="R8">
        <v>-40</v>
      </c>
      <c r="S8">
        <v>99.001748584599994</v>
      </c>
      <c r="T8">
        <v>120.4528520373</v>
      </c>
      <c r="U8">
        <v>3.6786648711000001</v>
      </c>
      <c r="V8">
        <v>3.1905389E-3</v>
      </c>
      <c r="W8">
        <v>-7.3806299999999998E-5</v>
      </c>
      <c r="X8">
        <v>3.4811212758000001</v>
      </c>
      <c r="Y8">
        <v>97.499407374699999</v>
      </c>
      <c r="Z8">
        <v>83.765795841900001</v>
      </c>
      <c r="AA8">
        <v>334.42431905069998</v>
      </c>
      <c r="AB8">
        <v>357.18039969109998</v>
      </c>
      <c r="AC8">
        <v>1</v>
      </c>
      <c r="AF8">
        <v>1</v>
      </c>
    </row>
    <row r="9" spans="1:32">
      <c r="A9" t="s">
        <v>626</v>
      </c>
      <c r="B9" t="s">
        <v>630</v>
      </c>
      <c r="C9" t="s">
        <v>212</v>
      </c>
      <c r="D9">
        <v>3</v>
      </c>
      <c r="E9" t="s">
        <v>213</v>
      </c>
      <c r="F9" t="s">
        <v>214</v>
      </c>
      <c r="G9" t="s">
        <v>268</v>
      </c>
      <c r="H9" t="s">
        <v>216</v>
      </c>
      <c r="J9" t="s">
        <v>611</v>
      </c>
      <c r="K9" t="s">
        <v>612</v>
      </c>
      <c r="L9" t="s">
        <v>613</v>
      </c>
      <c r="M9" t="s">
        <v>614</v>
      </c>
      <c r="N9" t="s">
        <v>615</v>
      </c>
      <c r="O9">
        <v>0</v>
      </c>
      <c r="P9">
        <v>0</v>
      </c>
      <c r="Q9">
        <v>-4.6920821114000004</v>
      </c>
      <c r="R9">
        <v>-32</v>
      </c>
      <c r="S9">
        <v>99.0558102623</v>
      </c>
      <c r="T9">
        <v>115.8832639142</v>
      </c>
      <c r="U9">
        <v>3.6038189039000001</v>
      </c>
      <c r="V9">
        <v>3.3654112000000001E-3</v>
      </c>
      <c r="W9">
        <v>-7.6175799999999997E-5</v>
      </c>
      <c r="X9">
        <v>3.4331025114</v>
      </c>
      <c r="Y9">
        <v>98.5547491369</v>
      </c>
      <c r="Z9">
        <v>79.637174249699996</v>
      </c>
      <c r="AA9">
        <v>312.15714430909998</v>
      </c>
      <c r="AB9">
        <v>336.47802415950002</v>
      </c>
      <c r="AC9">
        <v>1</v>
      </c>
      <c r="AF9">
        <v>1</v>
      </c>
    </row>
    <row r="10" spans="1:32">
      <c r="A10" t="s">
        <v>628</v>
      </c>
      <c r="B10" t="s">
        <v>631</v>
      </c>
      <c r="C10" t="s">
        <v>212</v>
      </c>
      <c r="D10">
        <v>3</v>
      </c>
      <c r="E10" t="s">
        <v>213</v>
      </c>
      <c r="F10" t="s">
        <v>214</v>
      </c>
      <c r="G10" t="s">
        <v>268</v>
      </c>
      <c r="H10" t="s">
        <v>216</v>
      </c>
      <c r="J10" t="s">
        <v>621</v>
      </c>
      <c r="K10" t="s">
        <v>622</v>
      </c>
      <c r="L10" t="s">
        <v>623</v>
      </c>
      <c r="M10" t="s">
        <v>624</v>
      </c>
      <c r="N10" t="s">
        <v>625</v>
      </c>
      <c r="O10">
        <v>0</v>
      </c>
      <c r="P10">
        <v>0</v>
      </c>
      <c r="Q10">
        <v>-3.5190615836000001</v>
      </c>
      <c r="R10">
        <v>-24</v>
      </c>
      <c r="S10">
        <v>92.775120620300001</v>
      </c>
      <c r="T10">
        <v>105.7729164333</v>
      </c>
      <c r="U10">
        <v>3.7055965422999999</v>
      </c>
      <c r="V10">
        <v>3.1647175999999998E-3</v>
      </c>
      <c r="W10">
        <v>-7.4241900000000005E-5</v>
      </c>
      <c r="X10">
        <v>3.5139350515999999</v>
      </c>
      <c r="Y10">
        <v>91.972984914199998</v>
      </c>
      <c r="Z10">
        <v>78.325988252100004</v>
      </c>
      <c r="AA10">
        <v>322.75024089099998</v>
      </c>
      <c r="AB10">
        <v>345.72554678670002</v>
      </c>
      <c r="AC10">
        <v>1</v>
      </c>
      <c r="AF10">
        <v>1</v>
      </c>
    </row>
    <row r="11" spans="1:32">
      <c r="A11" t="s">
        <v>657</v>
      </c>
      <c r="B11" t="s">
        <v>663</v>
      </c>
      <c r="C11" t="s">
        <v>212</v>
      </c>
      <c r="D11">
        <v>3</v>
      </c>
      <c r="E11" t="s">
        <v>213</v>
      </c>
      <c r="F11" t="s">
        <v>214</v>
      </c>
      <c r="G11" t="s">
        <v>268</v>
      </c>
      <c r="H11" t="s">
        <v>216</v>
      </c>
      <c r="J11" t="s">
        <v>638</v>
      </c>
      <c r="K11" t="s">
        <v>639</v>
      </c>
      <c r="L11" t="s">
        <v>640</v>
      </c>
      <c r="M11" t="s">
        <v>641</v>
      </c>
      <c r="N11" t="s">
        <v>642</v>
      </c>
      <c r="O11">
        <v>0</v>
      </c>
      <c r="P11">
        <v>0</v>
      </c>
      <c r="Q11">
        <v>-3.5190615836000001</v>
      </c>
      <c r="R11">
        <v>-24</v>
      </c>
      <c r="S11">
        <v>97.945546692299999</v>
      </c>
      <c r="T11">
        <v>110.7197604947</v>
      </c>
      <c r="U11">
        <v>3.6403163540999999</v>
      </c>
      <c r="V11">
        <v>2.6871435000000001E-3</v>
      </c>
      <c r="W11">
        <v>-6.8991400000000005E-5</v>
      </c>
      <c r="X11">
        <v>3.4336928309000001</v>
      </c>
      <c r="Y11">
        <v>97.943968091100004</v>
      </c>
      <c r="Z11">
        <v>84.645294555199996</v>
      </c>
      <c r="AA11">
        <v>322.60232658040002</v>
      </c>
      <c r="AB11">
        <v>344.76420993890002</v>
      </c>
      <c r="AC11">
        <v>1</v>
      </c>
      <c r="AF11">
        <v>1</v>
      </c>
    </row>
    <row r="12" spans="1:32">
      <c r="A12" t="s">
        <v>659</v>
      </c>
      <c r="B12" t="s">
        <v>664</v>
      </c>
      <c r="C12" t="s">
        <v>212</v>
      </c>
      <c r="D12">
        <v>3</v>
      </c>
      <c r="E12" t="s">
        <v>213</v>
      </c>
      <c r="F12" t="s">
        <v>214</v>
      </c>
      <c r="G12" t="s">
        <v>268</v>
      </c>
      <c r="H12" t="s">
        <v>216</v>
      </c>
      <c r="J12" t="s">
        <v>645</v>
      </c>
      <c r="K12" t="s">
        <v>646</v>
      </c>
      <c r="L12" t="s">
        <v>647</v>
      </c>
      <c r="M12" t="s">
        <v>648</v>
      </c>
      <c r="N12" t="s">
        <v>649</v>
      </c>
      <c r="O12">
        <v>0</v>
      </c>
      <c r="P12">
        <v>0</v>
      </c>
      <c r="Q12">
        <v>12.9032258065</v>
      </c>
      <c r="R12">
        <v>88</v>
      </c>
      <c r="S12">
        <v>157.64007139649999</v>
      </c>
      <c r="T12">
        <v>109.15184798</v>
      </c>
      <c r="U12">
        <v>3.7464968667999998</v>
      </c>
      <c r="V12">
        <v>1.7332661000000001E-3</v>
      </c>
      <c r="W12">
        <v>-6.6214600000000001E-5</v>
      </c>
      <c r="X12">
        <v>3.4868612650999999</v>
      </c>
      <c r="Y12">
        <v>157.33928442550001</v>
      </c>
      <c r="Z12">
        <v>141.7938696258</v>
      </c>
      <c r="AA12">
        <v>264.8509986647</v>
      </c>
      <c r="AB12">
        <v>286.9904674595</v>
      </c>
      <c r="AC12">
        <v>1</v>
      </c>
      <c r="AF12">
        <v>1</v>
      </c>
    </row>
    <row r="13" spans="1:32">
      <c r="A13" t="s">
        <v>661</v>
      </c>
      <c r="B13" t="s">
        <v>665</v>
      </c>
      <c r="C13" t="s">
        <v>212</v>
      </c>
      <c r="D13">
        <v>3</v>
      </c>
      <c r="E13" t="s">
        <v>213</v>
      </c>
      <c r="F13" t="s">
        <v>214</v>
      </c>
      <c r="G13" t="s">
        <v>268</v>
      </c>
      <c r="H13" t="s">
        <v>216</v>
      </c>
      <c r="J13" t="s">
        <v>652</v>
      </c>
      <c r="K13" t="s">
        <v>653</v>
      </c>
      <c r="L13" t="s">
        <v>654</v>
      </c>
      <c r="M13" t="s">
        <v>655</v>
      </c>
      <c r="N13" t="s">
        <v>656</v>
      </c>
      <c r="O13">
        <v>0</v>
      </c>
      <c r="P13">
        <v>0</v>
      </c>
      <c r="Q13">
        <v>-3.5190615836000001</v>
      </c>
      <c r="R13">
        <v>-24</v>
      </c>
      <c r="S13">
        <v>95.365098757599995</v>
      </c>
      <c r="T13">
        <v>108.3742212116</v>
      </c>
      <c r="U13">
        <v>3.7076389107000001</v>
      </c>
      <c r="V13">
        <v>2.8424504E-3</v>
      </c>
      <c r="W13">
        <v>-7.0833600000000006E-5</v>
      </c>
      <c r="X13">
        <v>3.4971289629000002</v>
      </c>
      <c r="Y13">
        <v>93.563807366899994</v>
      </c>
      <c r="Z13">
        <v>78.509072267400001</v>
      </c>
      <c r="AA13">
        <v>328.64042000720002</v>
      </c>
      <c r="AB13">
        <v>351.01725223570003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297</v>
      </c>
      <c r="AD1" t="s">
        <v>298</v>
      </c>
      <c r="AE1" t="s">
        <v>299</v>
      </c>
      <c r="AF1" t="s">
        <v>300</v>
      </c>
      <c r="AG1" t="s">
        <v>301</v>
      </c>
      <c r="AH1" t="s">
        <v>302</v>
      </c>
      <c r="AI1" t="s">
        <v>303</v>
      </c>
      <c r="AJ1" t="s">
        <v>304</v>
      </c>
      <c r="AK1" t="s">
        <v>305</v>
      </c>
      <c r="AL1" t="s">
        <v>306</v>
      </c>
      <c r="AM1" t="s">
        <v>307</v>
      </c>
      <c r="AN1" t="s">
        <v>308</v>
      </c>
      <c r="AO1" t="s">
        <v>309</v>
      </c>
      <c r="AP1" t="s">
        <v>310</v>
      </c>
      <c r="AQ1" t="s">
        <v>311</v>
      </c>
      <c r="AR1" t="s">
        <v>312</v>
      </c>
      <c r="AS1" t="s">
        <v>313</v>
      </c>
      <c r="AT1" t="s">
        <v>314</v>
      </c>
      <c r="AU1" t="s">
        <v>315</v>
      </c>
      <c r="AV1" t="s">
        <v>316</v>
      </c>
      <c r="AW1" t="s">
        <v>317</v>
      </c>
      <c r="AX1" t="s">
        <v>318</v>
      </c>
      <c r="AY1" t="s">
        <v>319</v>
      </c>
      <c r="AZ1" t="s">
        <v>320</v>
      </c>
      <c r="BA1" t="s">
        <v>321</v>
      </c>
      <c r="BB1" t="s">
        <v>322</v>
      </c>
      <c r="BC1" t="s">
        <v>323</v>
      </c>
      <c r="BD1" t="s">
        <v>324</v>
      </c>
      <c r="BE1" t="s">
        <v>325</v>
      </c>
      <c r="BF1" t="s">
        <v>326</v>
      </c>
      <c r="BG1" t="s">
        <v>327</v>
      </c>
      <c r="BH1" t="s">
        <v>328</v>
      </c>
      <c r="BI1" t="s">
        <v>329</v>
      </c>
      <c r="BJ1" t="s">
        <v>330</v>
      </c>
      <c r="BK1" t="s">
        <v>331</v>
      </c>
      <c r="BL1" t="s">
        <v>332</v>
      </c>
      <c r="BM1" t="s">
        <v>333</v>
      </c>
      <c r="BN1" t="s">
        <v>334</v>
      </c>
      <c r="BO1" t="s">
        <v>335</v>
      </c>
      <c r="BP1" t="s">
        <v>336</v>
      </c>
      <c r="BQ1" t="s">
        <v>337</v>
      </c>
      <c r="BR1" t="s">
        <v>338</v>
      </c>
      <c r="BS1" t="s">
        <v>339</v>
      </c>
      <c r="BT1" t="s">
        <v>340</v>
      </c>
      <c r="BU1" t="s">
        <v>341</v>
      </c>
      <c r="BV1" t="s">
        <v>342</v>
      </c>
      <c r="BW1" t="s">
        <v>343</v>
      </c>
      <c r="BX1" t="s">
        <v>344</v>
      </c>
      <c r="BY1" t="s">
        <v>345</v>
      </c>
      <c r="BZ1" t="s">
        <v>346</v>
      </c>
      <c r="CA1" t="s">
        <v>347</v>
      </c>
      <c r="CB1" t="s">
        <v>348</v>
      </c>
      <c r="CC1" t="s">
        <v>349</v>
      </c>
      <c r="CD1" t="s">
        <v>350</v>
      </c>
      <c r="CE1" t="s">
        <v>351</v>
      </c>
      <c r="CF1" t="s">
        <v>352</v>
      </c>
      <c r="CG1" t="s">
        <v>353</v>
      </c>
      <c r="CH1" t="s">
        <v>354</v>
      </c>
      <c r="CI1" t="s">
        <v>355</v>
      </c>
      <c r="CJ1" t="s">
        <v>356</v>
      </c>
      <c r="CK1" t="s">
        <v>357</v>
      </c>
      <c r="CL1" t="s">
        <v>358</v>
      </c>
      <c r="CM1" t="s">
        <v>359</v>
      </c>
      <c r="CN1" t="s">
        <v>360</v>
      </c>
      <c r="CO1" t="s">
        <v>361</v>
      </c>
      <c r="CP1" t="s">
        <v>362</v>
      </c>
      <c r="CQ1" t="s">
        <v>363</v>
      </c>
      <c r="CR1" t="s">
        <v>364</v>
      </c>
      <c r="CS1" t="s">
        <v>365</v>
      </c>
      <c r="CT1" t="s">
        <v>366</v>
      </c>
      <c r="CU1" t="s">
        <v>367</v>
      </c>
      <c r="CV1" t="s">
        <v>368</v>
      </c>
      <c r="CW1" t="s">
        <v>369</v>
      </c>
      <c r="CX1" t="s">
        <v>370</v>
      </c>
      <c r="CY1" t="s">
        <v>371</v>
      </c>
      <c r="CZ1" t="s">
        <v>372</v>
      </c>
      <c r="DA1" t="s">
        <v>373</v>
      </c>
      <c r="DB1" t="s">
        <v>374</v>
      </c>
      <c r="DC1" t="s">
        <v>375</v>
      </c>
      <c r="DD1" t="s">
        <v>376</v>
      </c>
      <c r="DE1" t="s">
        <v>377</v>
      </c>
      <c r="DF1" t="s">
        <v>378</v>
      </c>
      <c r="DG1" t="s">
        <v>379</v>
      </c>
      <c r="DH1" t="s">
        <v>380</v>
      </c>
      <c r="DI1" t="s">
        <v>381</v>
      </c>
      <c r="DJ1" t="s">
        <v>382</v>
      </c>
      <c r="DK1" t="s">
        <v>383</v>
      </c>
      <c r="DL1" t="s">
        <v>384</v>
      </c>
      <c r="DM1" t="s">
        <v>385</v>
      </c>
      <c r="DN1" t="s">
        <v>386</v>
      </c>
      <c r="DO1" t="s">
        <v>387</v>
      </c>
      <c r="DP1" t="s">
        <v>388</v>
      </c>
      <c r="DQ1" t="s">
        <v>389</v>
      </c>
      <c r="DR1" t="s">
        <v>390</v>
      </c>
      <c r="DS1" t="s">
        <v>391</v>
      </c>
      <c r="DT1" t="s">
        <v>392</v>
      </c>
      <c r="DU1" t="s">
        <v>393</v>
      </c>
      <c r="DV1" t="s">
        <v>394</v>
      </c>
      <c r="DW1" t="s">
        <v>395</v>
      </c>
      <c r="DX1" t="s">
        <v>396</v>
      </c>
      <c r="DY1" t="s">
        <v>397</v>
      </c>
      <c r="DZ1" t="s">
        <v>398</v>
      </c>
      <c r="EA1" t="s">
        <v>399</v>
      </c>
      <c r="EB1" t="s">
        <v>400</v>
      </c>
      <c r="EC1" t="s">
        <v>401</v>
      </c>
      <c r="ED1" t="s">
        <v>402</v>
      </c>
      <c r="EE1" t="s">
        <v>403</v>
      </c>
      <c r="EF1" t="s">
        <v>404</v>
      </c>
      <c r="EG1" t="s">
        <v>405</v>
      </c>
      <c r="EH1" t="s">
        <v>406</v>
      </c>
      <c r="EI1" t="s">
        <v>407</v>
      </c>
      <c r="EJ1" t="s">
        <v>408</v>
      </c>
      <c r="EK1" t="s">
        <v>409</v>
      </c>
      <c r="EL1" t="s">
        <v>410</v>
      </c>
      <c r="EM1" t="s">
        <v>411</v>
      </c>
      <c r="EN1" t="s">
        <v>412</v>
      </c>
      <c r="EO1" t="s">
        <v>413</v>
      </c>
      <c r="EP1" t="s">
        <v>414</v>
      </c>
      <c r="EQ1" t="s">
        <v>415</v>
      </c>
      <c r="ER1" t="s">
        <v>416</v>
      </c>
      <c r="ES1" t="s">
        <v>417</v>
      </c>
      <c r="ET1" t="s">
        <v>418</v>
      </c>
      <c r="EU1" t="s">
        <v>419</v>
      </c>
      <c r="EV1" t="s">
        <v>420</v>
      </c>
      <c r="EW1" t="s">
        <v>421</v>
      </c>
      <c r="EX1" t="s">
        <v>422</v>
      </c>
      <c r="EY1" t="s">
        <v>423</v>
      </c>
      <c r="EZ1" t="s">
        <v>424</v>
      </c>
      <c r="FA1" t="s">
        <v>425</v>
      </c>
      <c r="FB1" t="s">
        <v>426</v>
      </c>
      <c r="FC1" t="s">
        <v>427</v>
      </c>
      <c r="FD1" t="s">
        <v>428</v>
      </c>
      <c r="FE1" t="s">
        <v>429</v>
      </c>
      <c r="FF1" t="s">
        <v>430</v>
      </c>
      <c r="FG1" t="s">
        <v>431</v>
      </c>
      <c r="FH1" t="s">
        <v>432</v>
      </c>
      <c r="FI1" t="s">
        <v>433</v>
      </c>
      <c r="FJ1" t="s">
        <v>434</v>
      </c>
      <c r="FK1" t="s">
        <v>435</v>
      </c>
      <c r="FL1" t="s">
        <v>436</v>
      </c>
      <c r="FM1" t="s">
        <v>437</v>
      </c>
      <c r="FN1" t="s">
        <v>438</v>
      </c>
      <c r="FO1" t="s">
        <v>439</v>
      </c>
      <c r="FP1" t="s">
        <v>440</v>
      </c>
      <c r="FQ1" t="s">
        <v>441</v>
      </c>
      <c r="FR1" t="s">
        <v>442</v>
      </c>
      <c r="FS1" t="s">
        <v>443</v>
      </c>
      <c r="FT1" t="s">
        <v>444</v>
      </c>
      <c r="FU1" t="s">
        <v>445</v>
      </c>
      <c r="FV1" t="s">
        <v>446</v>
      </c>
      <c r="FW1" t="s">
        <v>447</v>
      </c>
      <c r="FX1" t="s">
        <v>448</v>
      </c>
      <c r="FY1" t="s">
        <v>449</v>
      </c>
      <c r="FZ1" t="s">
        <v>450</v>
      </c>
      <c r="GA1" t="s">
        <v>451</v>
      </c>
      <c r="GB1" t="s">
        <v>452</v>
      </c>
      <c r="GC1" t="s">
        <v>453</v>
      </c>
      <c r="GD1" t="s">
        <v>454</v>
      </c>
      <c r="GE1" t="s">
        <v>455</v>
      </c>
      <c r="GF1" t="s">
        <v>456</v>
      </c>
      <c r="GG1" t="s">
        <v>457</v>
      </c>
      <c r="GH1" t="s">
        <v>458</v>
      </c>
      <c r="GI1" t="s">
        <v>459</v>
      </c>
      <c r="GJ1" t="s">
        <v>460</v>
      </c>
      <c r="GK1" t="s">
        <v>461</v>
      </c>
      <c r="GL1" t="s">
        <v>462</v>
      </c>
      <c r="GM1" t="s">
        <v>463</v>
      </c>
      <c r="GN1" t="s">
        <v>464</v>
      </c>
      <c r="GO1" t="s">
        <v>465</v>
      </c>
      <c r="GP1" t="s">
        <v>466</v>
      </c>
      <c r="GQ1" t="s">
        <v>467</v>
      </c>
      <c r="GR1" t="s">
        <v>468</v>
      </c>
      <c r="GS1" t="s">
        <v>469</v>
      </c>
      <c r="GT1" t="s">
        <v>470</v>
      </c>
      <c r="GU1" t="s">
        <v>471</v>
      </c>
      <c r="GV1" t="s">
        <v>472</v>
      </c>
      <c r="GW1" t="s">
        <v>473</v>
      </c>
      <c r="GX1" t="s">
        <v>474</v>
      </c>
      <c r="GY1" t="s">
        <v>475</v>
      </c>
      <c r="GZ1" t="s">
        <v>476</v>
      </c>
      <c r="HA1" t="s">
        <v>477</v>
      </c>
      <c r="HB1" t="s">
        <v>478</v>
      </c>
      <c r="HC1" t="s">
        <v>479</v>
      </c>
      <c r="HD1" t="s">
        <v>480</v>
      </c>
      <c r="HE1" t="s">
        <v>481</v>
      </c>
      <c r="HF1" t="s">
        <v>482</v>
      </c>
      <c r="HG1" t="s">
        <v>483</v>
      </c>
      <c r="HH1" t="s">
        <v>484</v>
      </c>
      <c r="HI1" t="s">
        <v>485</v>
      </c>
      <c r="HJ1" t="s">
        <v>486</v>
      </c>
      <c r="HK1" t="s">
        <v>487</v>
      </c>
      <c r="HL1" t="s">
        <v>488</v>
      </c>
      <c r="HM1" t="s">
        <v>489</v>
      </c>
      <c r="HN1" t="s">
        <v>490</v>
      </c>
      <c r="HO1" t="s">
        <v>491</v>
      </c>
      <c r="HP1" t="s">
        <v>492</v>
      </c>
      <c r="HQ1" t="s">
        <v>493</v>
      </c>
      <c r="HR1" t="s">
        <v>494</v>
      </c>
      <c r="HS1" t="s">
        <v>495</v>
      </c>
      <c r="HT1" t="s">
        <v>496</v>
      </c>
      <c r="HU1" t="s">
        <v>497</v>
      </c>
      <c r="HV1" t="s">
        <v>498</v>
      </c>
      <c r="HW1" t="s">
        <v>499</v>
      </c>
      <c r="HX1" t="s">
        <v>500</v>
      </c>
      <c r="HY1" t="s">
        <v>501</v>
      </c>
      <c r="HZ1" t="s">
        <v>502</v>
      </c>
      <c r="IA1" t="s">
        <v>503</v>
      </c>
      <c r="IB1" t="s">
        <v>504</v>
      </c>
      <c r="IC1" t="s">
        <v>505</v>
      </c>
      <c r="ID1" t="s">
        <v>506</v>
      </c>
      <c r="IE1" t="s">
        <v>507</v>
      </c>
      <c r="IF1" t="s">
        <v>508</v>
      </c>
      <c r="IG1" t="s">
        <v>509</v>
      </c>
      <c r="IH1" t="s">
        <v>510</v>
      </c>
      <c r="II1" t="s">
        <v>511</v>
      </c>
      <c r="IJ1" t="s">
        <v>512</v>
      </c>
      <c r="IK1" t="s">
        <v>513</v>
      </c>
      <c r="IL1" t="s">
        <v>514</v>
      </c>
      <c r="IM1" t="s">
        <v>515</v>
      </c>
      <c r="IN1" t="s">
        <v>516</v>
      </c>
      <c r="IO1" t="s">
        <v>517</v>
      </c>
      <c r="IP1" t="s">
        <v>518</v>
      </c>
      <c r="IQ1" t="s">
        <v>519</v>
      </c>
      <c r="IR1" t="s">
        <v>520</v>
      </c>
      <c r="IS1" t="s">
        <v>521</v>
      </c>
      <c r="IT1" t="s">
        <v>522</v>
      </c>
      <c r="IU1" t="s">
        <v>523</v>
      </c>
      <c r="IV1" t="s">
        <v>524</v>
      </c>
      <c r="IW1" t="s">
        <v>525</v>
      </c>
      <c r="IX1" t="s">
        <v>526</v>
      </c>
      <c r="IY1" t="s">
        <v>527</v>
      </c>
      <c r="IZ1" t="s">
        <v>528</v>
      </c>
      <c r="JA1" t="s">
        <v>529</v>
      </c>
      <c r="JB1" t="s">
        <v>530</v>
      </c>
      <c r="JC1" t="s">
        <v>531</v>
      </c>
      <c r="JD1" t="s">
        <v>532</v>
      </c>
      <c r="JE1" t="s">
        <v>533</v>
      </c>
      <c r="JF1" t="s">
        <v>534</v>
      </c>
      <c r="JG1" t="s">
        <v>535</v>
      </c>
      <c r="JH1" t="s">
        <v>536</v>
      </c>
      <c r="JI1" t="s">
        <v>537</v>
      </c>
      <c r="JJ1" t="s">
        <v>538</v>
      </c>
      <c r="JK1" t="s">
        <v>278</v>
      </c>
      <c r="JL1" t="s">
        <v>539</v>
      </c>
      <c r="JM1" t="s">
        <v>540</v>
      </c>
      <c r="JN1" t="s">
        <v>541</v>
      </c>
      <c r="JO1" t="s">
        <v>207</v>
      </c>
      <c r="JP1" t="s">
        <v>208</v>
      </c>
      <c r="JQ1" t="s">
        <v>209</v>
      </c>
    </row>
    <row r="2" spans="1:277">
      <c r="A2" t="s">
        <v>542</v>
      </c>
      <c r="B2" t="s">
        <v>543</v>
      </c>
      <c r="C2" t="s">
        <v>212</v>
      </c>
      <c r="D2">
        <v>3</v>
      </c>
      <c r="E2" t="s">
        <v>213</v>
      </c>
      <c r="F2" t="s">
        <v>214</v>
      </c>
      <c r="G2" t="s">
        <v>544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0.20000000039999999</v>
      </c>
      <c r="R2">
        <v>0.20000000039999999</v>
      </c>
      <c r="S2">
        <v>0.3000000015</v>
      </c>
      <c r="T2">
        <v>0.20000000039999999</v>
      </c>
      <c r="U2">
        <v>0.1000000011</v>
      </c>
      <c r="V2">
        <v>0.3000000015</v>
      </c>
      <c r="W2">
        <v>0.20000000039999999</v>
      </c>
      <c r="X2">
        <v>0.50000000010000001</v>
      </c>
      <c r="Y2">
        <v>0.3000000015</v>
      </c>
      <c r="Z2">
        <v>0.3000000015</v>
      </c>
      <c r="AA2">
        <v>0.20000000039999999</v>
      </c>
      <c r="AB2">
        <v>0.1000000011</v>
      </c>
      <c r="AC2">
        <v>0</v>
      </c>
      <c r="AD2">
        <v>0.1000000011</v>
      </c>
      <c r="AE2">
        <v>0.1000000011</v>
      </c>
      <c r="AF2">
        <v>0.40000000079999998</v>
      </c>
      <c r="AG2">
        <v>0.1000000011</v>
      </c>
      <c r="AH2">
        <v>0.1000000011</v>
      </c>
      <c r="AI2">
        <v>0</v>
      </c>
      <c r="AJ2">
        <v>2.4000000012</v>
      </c>
      <c r="AK2">
        <v>9.4000000008000004</v>
      </c>
      <c r="AL2">
        <v>16.400000000399999</v>
      </c>
      <c r="AM2">
        <v>24.000000001299998</v>
      </c>
      <c r="AN2">
        <v>31.399999999799999</v>
      </c>
      <c r="AO2">
        <v>39.5000000008</v>
      </c>
      <c r="AP2">
        <v>47.000000000500002</v>
      </c>
      <c r="AQ2">
        <v>55.000000000299998</v>
      </c>
      <c r="AR2">
        <v>63.100000001200002</v>
      </c>
      <c r="AS2">
        <v>70.900000000600002</v>
      </c>
      <c r="AT2">
        <v>78.600000000700007</v>
      </c>
      <c r="AU2">
        <v>86.900000000199995</v>
      </c>
      <c r="AV2">
        <v>95.300000000899999</v>
      </c>
      <c r="AW2">
        <v>104.2000000016</v>
      </c>
      <c r="AX2">
        <v>113.2000000016</v>
      </c>
      <c r="AY2">
        <v>121.1000000003</v>
      </c>
      <c r="AZ2">
        <v>129.7000000013</v>
      </c>
      <c r="BA2">
        <v>138.30000000050001</v>
      </c>
      <c r="BB2">
        <v>146.80000000039999</v>
      </c>
      <c r="BC2">
        <v>155.40000000149999</v>
      </c>
      <c r="BD2">
        <v>163.70000000100001</v>
      </c>
      <c r="BE2">
        <v>171.9000000012</v>
      </c>
      <c r="BF2">
        <v>180.50000000040001</v>
      </c>
      <c r="BG2">
        <v>189.00000000029999</v>
      </c>
      <c r="BH2">
        <v>197.6000000013</v>
      </c>
      <c r="BI2">
        <v>205.8000000015</v>
      </c>
      <c r="BJ2">
        <v>213.99999999990001</v>
      </c>
      <c r="BK2">
        <v>221.9000000005</v>
      </c>
      <c r="BL2">
        <v>230.60000000080001</v>
      </c>
      <c r="BM2">
        <v>238.60000000060001</v>
      </c>
      <c r="BN2">
        <v>246.6000000004</v>
      </c>
      <c r="BO2">
        <v>254.7000000013</v>
      </c>
      <c r="BP2">
        <v>262.80000000040002</v>
      </c>
      <c r="BQ2">
        <v>270.4000000012</v>
      </c>
      <c r="BR2">
        <v>278.10000000140002</v>
      </c>
      <c r="BS2">
        <v>285.8000000015</v>
      </c>
      <c r="BT2">
        <v>293.60000000090002</v>
      </c>
      <c r="BU2">
        <v>301.00000000130001</v>
      </c>
      <c r="BV2">
        <v>308.1000000002</v>
      </c>
      <c r="BW2">
        <v>315.10000000159999</v>
      </c>
      <c r="BX2">
        <v>322.10000000119999</v>
      </c>
      <c r="BY2">
        <v>329.70000000020002</v>
      </c>
      <c r="BZ2">
        <v>336.80000000090001</v>
      </c>
      <c r="CA2">
        <v>343.8999999998</v>
      </c>
      <c r="CB2">
        <v>350.70000000089999</v>
      </c>
      <c r="CC2">
        <v>357.2000000004</v>
      </c>
      <c r="CD2">
        <v>363.50000000130001</v>
      </c>
      <c r="CE2">
        <v>369.70000000110002</v>
      </c>
      <c r="CF2">
        <v>376.00000000019998</v>
      </c>
      <c r="CG2">
        <v>383.20000000020002</v>
      </c>
      <c r="CH2">
        <v>389.4</v>
      </c>
      <c r="CI2">
        <v>395.50000000049999</v>
      </c>
      <c r="CJ2">
        <v>401.6000000011</v>
      </c>
      <c r="CK2">
        <v>407.60000000050002</v>
      </c>
      <c r="CL2">
        <v>412.8000000001</v>
      </c>
      <c r="CM2">
        <v>418.70000000020002</v>
      </c>
      <c r="CN2">
        <v>424.50000000099999</v>
      </c>
      <c r="CO2">
        <v>430.7000000008</v>
      </c>
      <c r="CP2">
        <v>436.10000000079998</v>
      </c>
      <c r="CQ2">
        <v>440.90000000139997</v>
      </c>
      <c r="CR2">
        <v>445.10000000079998</v>
      </c>
      <c r="CS2">
        <v>447.90000000100002</v>
      </c>
      <c r="CT2">
        <v>451.39999999989999</v>
      </c>
      <c r="CU2">
        <v>454.10000000079998</v>
      </c>
      <c r="CV2">
        <v>454.20000000009998</v>
      </c>
      <c r="CW2">
        <v>454.50000000159997</v>
      </c>
      <c r="CX2">
        <v>454.40000000049997</v>
      </c>
      <c r="CY2">
        <v>454.20000000009998</v>
      </c>
      <c r="CZ2">
        <v>454.20000000009998</v>
      </c>
      <c r="DA2">
        <v>454.10000000079998</v>
      </c>
      <c r="DB2">
        <v>454.50000000159997</v>
      </c>
      <c r="DC2">
        <v>454.40000000049997</v>
      </c>
      <c r="DD2">
        <v>454.60000000090002</v>
      </c>
      <c r="DE2">
        <v>454.30000000119998</v>
      </c>
      <c r="DF2">
        <v>454.30000000119998</v>
      </c>
      <c r="DG2">
        <v>1.5000000003</v>
      </c>
      <c r="DH2">
        <v>1.5000000003</v>
      </c>
      <c r="DI2">
        <v>1.400000001</v>
      </c>
      <c r="DJ2">
        <v>1.5000000003</v>
      </c>
      <c r="DK2">
        <v>1.5000000003</v>
      </c>
      <c r="DL2">
        <v>1.2999999999</v>
      </c>
      <c r="DM2">
        <v>1.6000000014</v>
      </c>
      <c r="DN2">
        <v>1.5000000003</v>
      </c>
      <c r="DO2">
        <v>1.2999999999</v>
      </c>
      <c r="DP2">
        <v>1.6000000014</v>
      </c>
      <c r="DQ2">
        <v>1.2000000006</v>
      </c>
      <c r="DR2">
        <v>1.2999999999</v>
      </c>
      <c r="DS2">
        <v>1.2000000006</v>
      </c>
      <c r="DT2">
        <v>1.2000000006</v>
      </c>
      <c r="DU2">
        <v>1.2000000006</v>
      </c>
      <c r="DV2">
        <v>1.1000000013</v>
      </c>
      <c r="DW2">
        <v>1.2000000006</v>
      </c>
      <c r="DX2">
        <v>1.2000000006</v>
      </c>
      <c r="DY2">
        <v>1.7000000007</v>
      </c>
      <c r="DZ2">
        <v>5.7000000015000003</v>
      </c>
      <c r="EA2">
        <v>13.1000000001</v>
      </c>
      <c r="EB2">
        <v>20.1000000015</v>
      </c>
      <c r="EC2">
        <v>27.799999999800001</v>
      </c>
      <c r="ED2">
        <v>35.400000000699997</v>
      </c>
      <c r="EE2">
        <v>43.300000001199997</v>
      </c>
      <c r="EF2">
        <v>50.4000000001</v>
      </c>
      <c r="EG2">
        <v>58.6000000003</v>
      </c>
      <c r="EH2">
        <v>66.000000000699998</v>
      </c>
      <c r="EI2">
        <v>74.500000000599996</v>
      </c>
      <c r="EJ2">
        <v>82.500000000399993</v>
      </c>
      <c r="EK2">
        <v>90.799999999899995</v>
      </c>
      <c r="EL2">
        <v>99.000000000200004</v>
      </c>
      <c r="EM2">
        <v>108.0000000002</v>
      </c>
      <c r="EN2">
        <v>116.7000000005</v>
      </c>
      <c r="EO2">
        <v>125.1000000011</v>
      </c>
      <c r="EP2">
        <v>133.60000000100001</v>
      </c>
      <c r="EQ2">
        <v>142.20000000019999</v>
      </c>
      <c r="ER2">
        <v>150.7000000001</v>
      </c>
      <c r="ES2">
        <v>159.3000000012</v>
      </c>
      <c r="ET2">
        <v>167.90000000040001</v>
      </c>
      <c r="EU2">
        <v>176.1999999999</v>
      </c>
      <c r="EV2">
        <v>184.90000000020001</v>
      </c>
      <c r="EW2">
        <v>193.2000000015</v>
      </c>
      <c r="EX2">
        <v>201.80000000070001</v>
      </c>
      <c r="EY2">
        <v>210.50000000099999</v>
      </c>
      <c r="EZ2">
        <v>218.80000000059999</v>
      </c>
      <c r="FA2">
        <v>227.40000000160001</v>
      </c>
      <c r="FB2">
        <v>235.09999999990001</v>
      </c>
      <c r="FC2">
        <v>243.4000000012</v>
      </c>
      <c r="FD2">
        <v>252.00000000040001</v>
      </c>
      <c r="FE2">
        <v>259.90000000089998</v>
      </c>
      <c r="FF2">
        <v>267.70000000030001</v>
      </c>
      <c r="FG2">
        <v>275.60000000079998</v>
      </c>
      <c r="FH2">
        <v>283.60000000069999</v>
      </c>
      <c r="FI2">
        <v>291.50000000120002</v>
      </c>
      <c r="FJ2">
        <v>299.2000000013</v>
      </c>
      <c r="FK2">
        <v>306.80000000029997</v>
      </c>
      <c r="FL2">
        <v>313.79999999990002</v>
      </c>
      <c r="FM2">
        <v>321.10000000100001</v>
      </c>
      <c r="FN2">
        <v>329.30000000119998</v>
      </c>
      <c r="FO2">
        <v>336.20000000160002</v>
      </c>
      <c r="FP2">
        <v>343.5000000009</v>
      </c>
      <c r="FQ2">
        <v>350.2000000008</v>
      </c>
      <c r="FR2">
        <v>357.3000000015</v>
      </c>
      <c r="FS2">
        <v>363.50000000130001</v>
      </c>
      <c r="FT2">
        <v>370.20000000120001</v>
      </c>
      <c r="FU2">
        <v>376.8</v>
      </c>
      <c r="FV2">
        <v>383.40000000060002</v>
      </c>
      <c r="FW2">
        <v>389.60000000039997</v>
      </c>
      <c r="FX2">
        <v>396.09999999989998</v>
      </c>
      <c r="FY2">
        <v>402.50000000009999</v>
      </c>
      <c r="FZ2">
        <v>408.7</v>
      </c>
      <c r="GA2">
        <v>414.30000000040002</v>
      </c>
      <c r="GB2">
        <v>419.7000000004</v>
      </c>
      <c r="GC2">
        <v>425.00000000109998</v>
      </c>
      <c r="GD2">
        <v>431.40000000129999</v>
      </c>
      <c r="GE2">
        <v>436.30000000119998</v>
      </c>
      <c r="GF2">
        <v>440.90000000139997</v>
      </c>
      <c r="GG2">
        <v>444.7</v>
      </c>
      <c r="GH2">
        <v>447.50000000019998</v>
      </c>
      <c r="GI2">
        <v>450.70000000120001</v>
      </c>
      <c r="GJ2">
        <v>453.80000000109999</v>
      </c>
      <c r="GK2">
        <v>454.00000000149998</v>
      </c>
      <c r="GL2">
        <v>454.20000000009998</v>
      </c>
      <c r="GM2">
        <v>454.20000000009998</v>
      </c>
      <c r="GN2">
        <v>454.00000000149998</v>
      </c>
      <c r="GO2">
        <v>454.00000000149998</v>
      </c>
      <c r="GP2">
        <v>454.10000000079998</v>
      </c>
      <c r="GQ2">
        <v>453.90000000039998</v>
      </c>
      <c r="GR2">
        <v>454.10000000079998</v>
      </c>
      <c r="GS2">
        <v>454.30000000119998</v>
      </c>
      <c r="GT2">
        <v>454.40000000049997</v>
      </c>
      <c r="GU2">
        <v>454.30000000119998</v>
      </c>
      <c r="GV2">
        <v>454.20000000009998</v>
      </c>
      <c r="GW2">
        <v>1</v>
      </c>
      <c r="GX2">
        <v>105.49999999969999</v>
      </c>
      <c r="GY2">
        <v>104.2000000016</v>
      </c>
      <c r="GZ2">
        <v>104.2000000016</v>
      </c>
      <c r="HA2">
        <v>108.0000000002</v>
      </c>
      <c r="HB2">
        <v>105.08708470969999</v>
      </c>
      <c r="HC2">
        <v>-3.7999999986000002</v>
      </c>
      <c r="HD2">
        <v>454.20005500560001</v>
      </c>
      <c r="HE2">
        <v>308.57092409149999</v>
      </c>
      <c r="HF2">
        <v>88.538514852299997</v>
      </c>
      <c r="HG2">
        <v>454.60000000090002</v>
      </c>
      <c r="HH2">
        <v>454.40000000049997</v>
      </c>
      <c r="HI2">
        <v>454.60000000090002</v>
      </c>
      <c r="HJ2">
        <v>454.40000000049997</v>
      </c>
      <c r="HK2">
        <v>114.9560117302</v>
      </c>
      <c r="HL2">
        <v>3.4056607423999998</v>
      </c>
      <c r="HM2">
        <v>3.3217669811000001</v>
      </c>
      <c r="HN2">
        <v>3.3846462584000001</v>
      </c>
      <c r="HO2">
        <v>3.3305858957000001</v>
      </c>
      <c r="HP2">
        <v>3.5956208354000001</v>
      </c>
      <c r="HQ2">
        <v>2.3800082804999998</v>
      </c>
      <c r="HR2">
        <v>16.548569857499999</v>
      </c>
      <c r="HS2">
        <v>-25.806451612899998</v>
      </c>
      <c r="HT2">
        <v>-176</v>
      </c>
      <c r="HU2">
        <v>413.65800880130001</v>
      </c>
      <c r="HV2">
        <v>93.841642228699996</v>
      </c>
      <c r="HW2">
        <v>640</v>
      </c>
      <c r="HX2">
        <v>16.548569857499999</v>
      </c>
      <c r="HY2">
        <v>-25.806451612899998</v>
      </c>
      <c r="HZ2">
        <v>-176</v>
      </c>
      <c r="IA2">
        <v>413.65800880130001</v>
      </c>
      <c r="IB2">
        <v>93.841642228699996</v>
      </c>
      <c r="IC2">
        <v>640</v>
      </c>
      <c r="ID2">
        <v>40.741991199300003</v>
      </c>
      <c r="IE2">
        <v>0.1015731584</v>
      </c>
      <c r="IF2">
        <v>-35.190615835800003</v>
      </c>
      <c r="IG2">
        <v>-240</v>
      </c>
      <c r="IH2">
        <v>436.04125412659999</v>
      </c>
      <c r="II2">
        <v>103.22580645159999</v>
      </c>
      <c r="IJ2">
        <v>704</v>
      </c>
      <c r="IK2">
        <v>397.1094389438</v>
      </c>
      <c r="IL2">
        <v>119.6480938416</v>
      </c>
      <c r="IM2">
        <v>422.11801980180002</v>
      </c>
      <c r="IN2">
        <v>129.03225806450001</v>
      </c>
      <c r="IO2">
        <v>7.3999999986000002</v>
      </c>
      <c r="IP2">
        <v>6.4000000002000004</v>
      </c>
      <c r="IQ2">
        <v>9</v>
      </c>
      <c r="IR2">
        <v>6.1540583400999997</v>
      </c>
      <c r="IS2">
        <v>6.1540583400999997</v>
      </c>
      <c r="IT2">
        <v>3.6999999993000001</v>
      </c>
      <c r="IU2">
        <v>-28.152492668600001</v>
      </c>
      <c r="IV2">
        <v>7.4000000004000004</v>
      </c>
      <c r="IW2">
        <v>82.1114369501</v>
      </c>
      <c r="IX2">
        <v>6.9000000003000004</v>
      </c>
      <c r="IY2">
        <v>100.87976539589999</v>
      </c>
      <c r="IZ2">
        <v>-30.910904716800001</v>
      </c>
      <c r="JA2">
        <v>0.31713123440000002</v>
      </c>
      <c r="JB2">
        <v>-2.8003590000000002E-4</v>
      </c>
      <c r="JC2">
        <v>5.8530000000000003E-7</v>
      </c>
      <c r="JD2">
        <v>0.29362877739999999</v>
      </c>
      <c r="JE2">
        <v>0.1958781591</v>
      </c>
      <c r="JF2">
        <v>7.4467929599999996E-2</v>
      </c>
      <c r="JG2">
        <v>105.5467257042</v>
      </c>
      <c r="JH2">
        <v>3.5956208354000001</v>
      </c>
      <c r="JI2">
        <v>2.6305056000000002E-3</v>
      </c>
      <c r="JJ2">
        <v>-6.4700800000000002E-5</v>
      </c>
      <c r="JK2">
        <v>3.4056607423999998</v>
      </c>
      <c r="JL2">
        <v>1.1019747821000001</v>
      </c>
      <c r="JM2">
        <v>0.50442686309999996</v>
      </c>
      <c r="JN2" t="s">
        <v>545</v>
      </c>
      <c r="JQ2">
        <v>1</v>
      </c>
    </row>
    <row r="3" spans="1:277">
      <c r="A3" t="s">
        <v>546</v>
      </c>
      <c r="B3" t="s">
        <v>547</v>
      </c>
      <c r="C3" t="s">
        <v>212</v>
      </c>
      <c r="D3">
        <v>3</v>
      </c>
      <c r="E3" t="s">
        <v>213</v>
      </c>
      <c r="F3" t="s">
        <v>214</v>
      </c>
      <c r="G3" t="s">
        <v>544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0.19999999860000001</v>
      </c>
      <c r="R3">
        <v>0.19999999860000001</v>
      </c>
      <c r="S3">
        <v>9.9999999300000003E-2</v>
      </c>
      <c r="T3">
        <v>0.29999999970000002</v>
      </c>
      <c r="U3">
        <v>0.19999999860000001</v>
      </c>
      <c r="V3">
        <v>0.39999999899999999</v>
      </c>
      <c r="W3">
        <v>0</v>
      </c>
      <c r="X3">
        <v>0.19999999860000001</v>
      </c>
      <c r="Y3">
        <v>0.19999999860000001</v>
      </c>
      <c r="Z3">
        <v>0.19999999860000001</v>
      </c>
      <c r="AA3">
        <v>0.19999999860000001</v>
      </c>
      <c r="AB3">
        <v>9.9999999300000003E-2</v>
      </c>
      <c r="AC3">
        <v>0.29999999970000002</v>
      </c>
      <c r="AD3">
        <v>9.9999999300000003E-2</v>
      </c>
      <c r="AE3">
        <v>9.9999999300000003E-2</v>
      </c>
      <c r="AF3">
        <v>0.19999999860000001</v>
      </c>
      <c r="AG3">
        <v>9.9999999300000003E-2</v>
      </c>
      <c r="AH3">
        <v>0.19999999860000001</v>
      </c>
      <c r="AI3">
        <v>9.9999999300000003E-2</v>
      </c>
      <c r="AJ3">
        <v>1.3999999992000001</v>
      </c>
      <c r="AK3">
        <v>7.0999999989000004</v>
      </c>
      <c r="AL3">
        <v>14.0999999985</v>
      </c>
      <c r="AM3">
        <v>22.599999998400001</v>
      </c>
      <c r="AN3">
        <v>30.699999999300001</v>
      </c>
      <c r="AO3">
        <v>38.799999998399997</v>
      </c>
      <c r="AP3">
        <v>45.999999998500002</v>
      </c>
      <c r="AQ3">
        <v>54.299999999800001</v>
      </c>
      <c r="AR3">
        <v>61.799999999500002</v>
      </c>
      <c r="AS3">
        <v>70.599999999100007</v>
      </c>
      <c r="AT3">
        <v>79.200000000100005</v>
      </c>
      <c r="AU3">
        <v>87.799999999299999</v>
      </c>
      <c r="AV3">
        <v>95.699999999900001</v>
      </c>
      <c r="AW3">
        <v>105.2999999993</v>
      </c>
      <c r="AX3">
        <v>114.2999999993</v>
      </c>
      <c r="AY3">
        <v>123.7000000001</v>
      </c>
      <c r="AZ3">
        <v>132.599999999</v>
      </c>
      <c r="BA3">
        <v>141.09999999889999</v>
      </c>
      <c r="BB3">
        <v>150.19999999999999</v>
      </c>
      <c r="BC3">
        <v>158.1999999999</v>
      </c>
      <c r="BD3">
        <v>165.9</v>
      </c>
      <c r="BE3">
        <v>174.9</v>
      </c>
      <c r="BF3">
        <v>184.0999999986</v>
      </c>
      <c r="BG3">
        <v>193.0999999986</v>
      </c>
      <c r="BH3">
        <v>201.59999999850001</v>
      </c>
      <c r="BI3">
        <v>209.69999999940001</v>
      </c>
      <c r="BJ3">
        <v>217.49999999880001</v>
      </c>
      <c r="BK3">
        <v>226.49999999889999</v>
      </c>
      <c r="BL3">
        <v>235.09999999990001</v>
      </c>
      <c r="BM3">
        <v>243.59999999979999</v>
      </c>
      <c r="BN3">
        <v>251.8</v>
      </c>
      <c r="BO3">
        <v>259.39999999899999</v>
      </c>
      <c r="BP3">
        <v>266.99999999980002</v>
      </c>
      <c r="BQ3">
        <v>275.09999999889999</v>
      </c>
      <c r="BR3">
        <v>283.29999999910001</v>
      </c>
      <c r="BS3">
        <v>291.09999999860003</v>
      </c>
      <c r="BT3">
        <v>299.1000000002</v>
      </c>
      <c r="BU3">
        <v>306.30000000019999</v>
      </c>
      <c r="BV3">
        <v>313.00000000009999</v>
      </c>
      <c r="BW3">
        <v>320.20000000009998</v>
      </c>
      <c r="BX3">
        <v>327.79999999910001</v>
      </c>
      <c r="BY3">
        <v>335.09999999839999</v>
      </c>
      <c r="BZ3">
        <v>342.29999999839998</v>
      </c>
      <c r="CA3">
        <v>349.09999999950003</v>
      </c>
      <c r="CB3">
        <v>355.89999999870003</v>
      </c>
      <c r="CC3">
        <v>362.90000000010002</v>
      </c>
      <c r="CD3">
        <v>369.19999999919997</v>
      </c>
      <c r="CE3">
        <v>375.0999999993</v>
      </c>
      <c r="CF3">
        <v>381.5999999988</v>
      </c>
      <c r="CG3">
        <v>387.89999999970001</v>
      </c>
      <c r="CH3">
        <v>394.39999999920002</v>
      </c>
      <c r="CI3">
        <v>400.59999999899998</v>
      </c>
      <c r="CJ3">
        <v>407.09999999849998</v>
      </c>
      <c r="CK3">
        <v>413.30000000019999</v>
      </c>
      <c r="CL3">
        <v>418.39999999870003</v>
      </c>
      <c r="CM3">
        <v>424.19999999949999</v>
      </c>
      <c r="CN3">
        <v>429.59999999950003</v>
      </c>
      <c r="CO3">
        <v>435.59999999889999</v>
      </c>
      <c r="CP3">
        <v>440.59999999989998</v>
      </c>
      <c r="CQ3">
        <v>445.09999999899998</v>
      </c>
      <c r="CR3">
        <v>448.4999999986</v>
      </c>
      <c r="CS3">
        <v>450.49999999900001</v>
      </c>
      <c r="CT3">
        <v>450.60000000010001</v>
      </c>
      <c r="CU3">
        <v>450.60000000010001</v>
      </c>
      <c r="CV3">
        <v>450.69999999940001</v>
      </c>
      <c r="CW3">
        <v>450.69999999940001</v>
      </c>
      <c r="CX3">
        <v>450.69999999940001</v>
      </c>
      <c r="CY3">
        <v>450.69999999940001</v>
      </c>
      <c r="CZ3">
        <v>450.8999999998</v>
      </c>
      <c r="DA3">
        <v>450.7999999987</v>
      </c>
      <c r="DB3">
        <v>450.69999999940001</v>
      </c>
      <c r="DC3">
        <v>450.8999999998</v>
      </c>
      <c r="DD3">
        <v>450.9999999991</v>
      </c>
      <c r="DE3">
        <v>450.9999999991</v>
      </c>
      <c r="DF3">
        <v>450.7999999987</v>
      </c>
      <c r="DG3">
        <v>0.79999999980000003</v>
      </c>
      <c r="DH3">
        <v>1.0000000002</v>
      </c>
      <c r="DI3">
        <v>0.89999999909999995</v>
      </c>
      <c r="DJ3">
        <v>1.0999999995</v>
      </c>
      <c r="DK3">
        <v>1.1999999988000001</v>
      </c>
      <c r="DL3">
        <v>0.89999999909999995</v>
      </c>
      <c r="DM3">
        <v>0.79999999980000003</v>
      </c>
      <c r="DN3">
        <v>0.89999999909999995</v>
      </c>
      <c r="DO3">
        <v>1.0999999995</v>
      </c>
      <c r="DP3">
        <v>1.0999999995</v>
      </c>
      <c r="DQ3">
        <v>1.0000000002</v>
      </c>
      <c r="DR3">
        <v>0.79999999980000003</v>
      </c>
      <c r="DS3">
        <v>1.0000000002</v>
      </c>
      <c r="DT3">
        <v>0.89999999909999995</v>
      </c>
      <c r="DU3">
        <v>0.79999999980000003</v>
      </c>
      <c r="DV3">
        <v>0.59999999940000004</v>
      </c>
      <c r="DW3">
        <v>1.0000000002</v>
      </c>
      <c r="DX3">
        <v>1.0000000002</v>
      </c>
      <c r="DY3">
        <v>0.59999999940000004</v>
      </c>
      <c r="DZ3">
        <v>3.6999999993000001</v>
      </c>
      <c r="EA3">
        <v>10.5999999996</v>
      </c>
      <c r="EB3">
        <v>18.799999999800001</v>
      </c>
      <c r="EC3">
        <v>26.799999999600001</v>
      </c>
      <c r="ED3">
        <v>35.199999998400003</v>
      </c>
      <c r="EE3">
        <v>42.7</v>
      </c>
      <c r="EF3">
        <v>50.4000000001</v>
      </c>
      <c r="EG3">
        <v>58.299999998799997</v>
      </c>
      <c r="EH3">
        <v>65.799999998499999</v>
      </c>
      <c r="EI3">
        <v>75.099999999999994</v>
      </c>
      <c r="EJ3">
        <v>83.699999999200003</v>
      </c>
      <c r="EK3">
        <v>92.499999998800007</v>
      </c>
      <c r="EL3">
        <v>100.4999999986</v>
      </c>
      <c r="EM3">
        <v>109.5999999998</v>
      </c>
      <c r="EN3">
        <v>118.8000000002</v>
      </c>
      <c r="EO3">
        <v>128.09999999990001</v>
      </c>
      <c r="EP3">
        <v>137.2999999985</v>
      </c>
      <c r="EQ3">
        <v>146.1999999992</v>
      </c>
      <c r="ER3">
        <v>154.0999999997</v>
      </c>
      <c r="ES3">
        <v>162.69999999890001</v>
      </c>
      <c r="ET3">
        <v>171.8000000001</v>
      </c>
      <c r="EU3">
        <v>180.39999999930001</v>
      </c>
      <c r="EV3">
        <v>189.3</v>
      </c>
      <c r="EW3">
        <v>198.39999999930001</v>
      </c>
      <c r="EX3">
        <v>206.5999999995</v>
      </c>
      <c r="EY3">
        <v>214.5999999993</v>
      </c>
      <c r="EZ3">
        <v>223.50000000009999</v>
      </c>
      <c r="FA3">
        <v>232.0999999993</v>
      </c>
      <c r="FB3">
        <v>240.7999999996</v>
      </c>
      <c r="FC3">
        <v>249.39999999880001</v>
      </c>
      <c r="FD3">
        <v>257.09999999889999</v>
      </c>
      <c r="FE3">
        <v>265.09999999870001</v>
      </c>
      <c r="FF3">
        <v>273.79999999900002</v>
      </c>
      <c r="FG3">
        <v>281.59999999839999</v>
      </c>
      <c r="FH3">
        <v>289.79999999860001</v>
      </c>
      <c r="FI3">
        <v>297.59999999989998</v>
      </c>
      <c r="FJ3">
        <v>305.5999999997</v>
      </c>
      <c r="FK3">
        <v>312.69999999859999</v>
      </c>
      <c r="FL3">
        <v>319.99999999969998</v>
      </c>
      <c r="FM3">
        <v>327.79999999910001</v>
      </c>
      <c r="FN3">
        <v>335.09999999839999</v>
      </c>
      <c r="FO3">
        <v>342.59999999989998</v>
      </c>
      <c r="FP3">
        <v>349.69999999880002</v>
      </c>
      <c r="FQ3">
        <v>356.6999999985</v>
      </c>
      <c r="FR3">
        <v>363.7999999992</v>
      </c>
      <c r="FS3">
        <v>369.49999999890002</v>
      </c>
      <c r="FT3">
        <v>376.49999999850002</v>
      </c>
      <c r="FU3">
        <v>383.20000000020002</v>
      </c>
      <c r="FV3">
        <v>389.79999999900002</v>
      </c>
      <c r="FW3">
        <v>396.09999999989998</v>
      </c>
      <c r="FX3">
        <v>402.50000000009999</v>
      </c>
      <c r="FY3">
        <v>408.7999999992</v>
      </c>
      <c r="FZ3">
        <v>414.79999999860001</v>
      </c>
      <c r="GA3">
        <v>420.39999999909998</v>
      </c>
      <c r="GB3">
        <v>425.69999999980001</v>
      </c>
      <c r="GC3">
        <v>431.19999999909999</v>
      </c>
      <c r="GD3">
        <v>436.70000000020002</v>
      </c>
      <c r="GE3">
        <v>440.89999999960003</v>
      </c>
      <c r="GF3">
        <v>445.20000000009998</v>
      </c>
      <c r="GG3">
        <v>448.39999999930001</v>
      </c>
      <c r="GH3">
        <v>450.49999999900001</v>
      </c>
      <c r="GI3">
        <v>450.60000000010001</v>
      </c>
      <c r="GJ3">
        <v>450.69999999940001</v>
      </c>
      <c r="GK3">
        <v>450.60000000010001</v>
      </c>
      <c r="GL3">
        <v>450.7999999987</v>
      </c>
      <c r="GM3">
        <v>450.7999999987</v>
      </c>
      <c r="GN3">
        <v>450.7999999987</v>
      </c>
      <c r="GO3">
        <v>450.7999999987</v>
      </c>
      <c r="GP3">
        <v>450.7999999987</v>
      </c>
      <c r="GQ3">
        <v>450.7999999987</v>
      </c>
      <c r="GR3">
        <v>450.7999999987</v>
      </c>
      <c r="GS3">
        <v>450.7999999987</v>
      </c>
      <c r="GT3">
        <v>450.8999999998</v>
      </c>
      <c r="GU3">
        <v>450.8999999998</v>
      </c>
      <c r="GV3">
        <v>450.7999999987</v>
      </c>
      <c r="GW3">
        <v>1</v>
      </c>
      <c r="GX3">
        <v>106.7999999996</v>
      </c>
      <c r="GY3">
        <v>105.2999999993</v>
      </c>
      <c r="GZ3">
        <v>105.2999999993</v>
      </c>
      <c r="HA3">
        <v>109.5999999998</v>
      </c>
      <c r="HB3">
        <v>106.32458143860001</v>
      </c>
      <c r="HC3">
        <v>-4.3000000004999999</v>
      </c>
      <c r="HD3">
        <v>450.7999999987</v>
      </c>
      <c r="HE3">
        <v>307.79241600990002</v>
      </c>
      <c r="HF3">
        <v>92.053132277100005</v>
      </c>
      <c r="HG3">
        <v>450.9999999991</v>
      </c>
      <c r="HH3">
        <v>450.8999999998</v>
      </c>
      <c r="HI3">
        <v>450.9999999991</v>
      </c>
      <c r="HJ3">
        <v>450.8999999998</v>
      </c>
      <c r="HK3">
        <v>110.26392961880001</v>
      </c>
      <c r="HL3">
        <v>3.4906168076999999</v>
      </c>
      <c r="HM3">
        <v>3.3956095085000002</v>
      </c>
      <c r="HN3">
        <v>3.4637769343999998</v>
      </c>
      <c r="HO3">
        <v>3.4846231939000001</v>
      </c>
      <c r="HP3">
        <v>3.7199118001000002</v>
      </c>
      <c r="HQ3">
        <v>2.4057585254</v>
      </c>
      <c r="HR3">
        <v>14.2714491614</v>
      </c>
      <c r="HS3">
        <v>-25.806451612899998</v>
      </c>
      <c r="HT3">
        <v>-176</v>
      </c>
      <c r="HU3">
        <v>414.1169974485</v>
      </c>
      <c r="HV3">
        <v>91.495601172999997</v>
      </c>
      <c r="HW3">
        <v>624</v>
      </c>
      <c r="HX3">
        <v>14.2714491614</v>
      </c>
      <c r="HY3">
        <v>-25.806451612899998</v>
      </c>
      <c r="HZ3">
        <v>-176</v>
      </c>
      <c r="IA3">
        <v>414.1169974485</v>
      </c>
      <c r="IB3">
        <v>91.495601172999997</v>
      </c>
      <c r="IC3">
        <v>624</v>
      </c>
      <c r="ID3">
        <v>36.783002551400003</v>
      </c>
      <c r="IE3">
        <v>0.2010644181</v>
      </c>
      <c r="IF3">
        <v>-35.190615835800003</v>
      </c>
      <c r="IG3">
        <v>-240</v>
      </c>
      <c r="IH3">
        <v>436.41974720050001</v>
      </c>
      <c r="II3">
        <v>100.87976539589999</v>
      </c>
      <c r="IJ3">
        <v>688</v>
      </c>
      <c r="IK3">
        <v>399.84554828699999</v>
      </c>
      <c r="IL3">
        <v>117.3020527859</v>
      </c>
      <c r="IM3">
        <v>423.81915955260001</v>
      </c>
      <c r="IN3">
        <v>126.6862170088</v>
      </c>
      <c r="IO3">
        <v>8.2000000001999993</v>
      </c>
      <c r="IP3">
        <v>5.9999999994</v>
      </c>
      <c r="IQ3">
        <v>9.5999999993999996</v>
      </c>
      <c r="IR3">
        <v>6.8653772592999998</v>
      </c>
      <c r="IS3">
        <v>6.8653772592999998</v>
      </c>
      <c r="IT3">
        <v>3.5000000007000001</v>
      </c>
      <c r="IU3">
        <v>-28.152492668600001</v>
      </c>
      <c r="IV3">
        <v>8.2000000001999993</v>
      </c>
      <c r="IW3">
        <v>82.1114369501</v>
      </c>
      <c r="IX3">
        <v>7.1000000006999997</v>
      </c>
      <c r="IY3">
        <v>100.87976539589999</v>
      </c>
      <c r="IZ3">
        <v>-30.109667079000001</v>
      </c>
      <c r="JA3">
        <v>0.3036061464</v>
      </c>
      <c r="JB3">
        <v>-2.5737820000000002E-4</v>
      </c>
      <c r="JC3">
        <v>5.6380000000000001E-7</v>
      </c>
      <c r="JD3">
        <v>0.28648231959999998</v>
      </c>
      <c r="JE3">
        <v>0.30909457670000001</v>
      </c>
      <c r="JF3">
        <v>0.1242360795</v>
      </c>
      <c r="JG3">
        <v>107.06445156949999</v>
      </c>
      <c r="JH3">
        <v>3.7199118001000002</v>
      </c>
      <c r="JI3">
        <v>1.9758667E-3</v>
      </c>
      <c r="JJ3">
        <v>-6.6723600000000006E-5</v>
      </c>
      <c r="JK3">
        <v>3.4906168076999999</v>
      </c>
      <c r="JL3">
        <v>1.6049267277999999</v>
      </c>
      <c r="JM3">
        <v>0.65743852940000003</v>
      </c>
      <c r="JN3" t="s">
        <v>545</v>
      </c>
      <c r="JQ3">
        <v>1</v>
      </c>
    </row>
    <row r="4" spans="1:277">
      <c r="A4" t="s">
        <v>580</v>
      </c>
      <c r="B4" t="s">
        <v>581</v>
      </c>
      <c r="C4" t="s">
        <v>212</v>
      </c>
      <c r="D4">
        <v>3</v>
      </c>
      <c r="E4" t="s">
        <v>213</v>
      </c>
      <c r="F4" t="s">
        <v>214</v>
      </c>
      <c r="G4" t="s">
        <v>544</v>
      </c>
      <c r="H4" t="s">
        <v>216</v>
      </c>
      <c r="J4" t="s">
        <v>550</v>
      </c>
      <c r="K4" t="s">
        <v>551</v>
      </c>
      <c r="L4" t="s">
        <v>552</v>
      </c>
      <c r="M4" t="s">
        <v>553</v>
      </c>
      <c r="N4" t="s">
        <v>554</v>
      </c>
      <c r="O4">
        <v>0</v>
      </c>
      <c r="P4">
        <v>0</v>
      </c>
      <c r="Q4">
        <v>0.19999999860000001</v>
      </c>
      <c r="R4">
        <v>0.59999999940000004</v>
      </c>
      <c r="S4">
        <v>0.39999999899999999</v>
      </c>
      <c r="T4">
        <v>0.79999999980000003</v>
      </c>
      <c r="U4">
        <v>0.59999999940000004</v>
      </c>
      <c r="V4">
        <v>0.59999999940000004</v>
      </c>
      <c r="W4">
        <v>0.69999999869999996</v>
      </c>
      <c r="X4">
        <v>0.69999999869999996</v>
      </c>
      <c r="Y4">
        <v>0.79999999980000003</v>
      </c>
      <c r="Z4">
        <v>0.79999999980000003</v>
      </c>
      <c r="AA4">
        <v>0.89999999909999995</v>
      </c>
      <c r="AB4">
        <v>0.69999999869999996</v>
      </c>
      <c r="AC4">
        <v>0.79999999980000003</v>
      </c>
      <c r="AD4">
        <v>0.79999999980000003</v>
      </c>
      <c r="AE4">
        <v>0.79999999980000003</v>
      </c>
      <c r="AF4">
        <v>0.69999999869999996</v>
      </c>
      <c r="AG4">
        <v>9.9999999300000003E-2</v>
      </c>
      <c r="AH4">
        <v>0</v>
      </c>
      <c r="AI4">
        <v>4.4999999990999999</v>
      </c>
      <c r="AJ4">
        <v>11.300000000100001</v>
      </c>
      <c r="AK4">
        <v>17.299999999499999</v>
      </c>
      <c r="AL4">
        <v>24.799999999200001</v>
      </c>
      <c r="AM4">
        <v>31.799999998800001</v>
      </c>
      <c r="AN4">
        <v>38.999999998900002</v>
      </c>
      <c r="AO4">
        <v>47.099999999799998</v>
      </c>
      <c r="AP4">
        <v>55.599999999700003</v>
      </c>
      <c r="AQ4">
        <v>63.699999998800003</v>
      </c>
      <c r="AR4">
        <v>70.499999999799996</v>
      </c>
      <c r="AS4">
        <v>78.799999999299999</v>
      </c>
      <c r="AT4">
        <v>86.699999999799999</v>
      </c>
      <c r="AU4">
        <v>94.4</v>
      </c>
      <c r="AV4">
        <v>103.90000000009999</v>
      </c>
      <c r="AW4">
        <v>112.79999999899999</v>
      </c>
      <c r="AX4">
        <v>120.6000000002</v>
      </c>
      <c r="AY4">
        <v>128.69999999929999</v>
      </c>
      <c r="AZ4">
        <v>136.99999999880001</v>
      </c>
      <c r="BA4">
        <v>144.9999999986</v>
      </c>
      <c r="BB4">
        <v>154.59999999979999</v>
      </c>
      <c r="BC4">
        <v>163.09999999979999</v>
      </c>
      <c r="BD4">
        <v>170.89999999919999</v>
      </c>
      <c r="BE4">
        <v>178.69999999859999</v>
      </c>
      <c r="BF4">
        <v>187.5999999993</v>
      </c>
      <c r="BG4">
        <v>195.2999999994</v>
      </c>
      <c r="BH4">
        <v>203.79999999930001</v>
      </c>
      <c r="BI4">
        <v>213.099999999</v>
      </c>
      <c r="BJ4">
        <v>220.79999999910001</v>
      </c>
      <c r="BK4">
        <v>228.4999999993</v>
      </c>
      <c r="BL4">
        <v>236.79999999879999</v>
      </c>
      <c r="BM4">
        <v>244.09999999990001</v>
      </c>
      <c r="BN4">
        <v>252.3000000001</v>
      </c>
      <c r="BO4">
        <v>261.0999999997</v>
      </c>
      <c r="BP4">
        <v>268.69999999869998</v>
      </c>
      <c r="BQ4">
        <v>276.09999999910002</v>
      </c>
      <c r="BR4">
        <v>283.49999999950001</v>
      </c>
      <c r="BS4">
        <v>291.49999999940002</v>
      </c>
      <c r="BT4">
        <v>297.89999999960003</v>
      </c>
      <c r="BU4">
        <v>305.39999999930001</v>
      </c>
      <c r="BV4">
        <v>313.59999999950003</v>
      </c>
      <c r="BW4">
        <v>320.99999999990001</v>
      </c>
      <c r="BX4">
        <v>327.40000000010002</v>
      </c>
      <c r="BY4">
        <v>334.1</v>
      </c>
      <c r="BZ4">
        <v>341.09999999960002</v>
      </c>
      <c r="CA4">
        <v>346.70000000009998</v>
      </c>
      <c r="CB4">
        <v>353.4</v>
      </c>
      <c r="CC4">
        <v>360.09999999989998</v>
      </c>
      <c r="CD4">
        <v>367.39999999920002</v>
      </c>
      <c r="CE4">
        <v>373.39999999859998</v>
      </c>
      <c r="CF4">
        <v>378.99999999900001</v>
      </c>
      <c r="CG4">
        <v>384.89999999909998</v>
      </c>
      <c r="CH4">
        <v>390.9000000003</v>
      </c>
      <c r="CI4">
        <v>396.19999999919997</v>
      </c>
      <c r="CJ4">
        <v>402</v>
      </c>
      <c r="CK4">
        <v>407.99999999940002</v>
      </c>
      <c r="CL4">
        <v>413.99999999890002</v>
      </c>
      <c r="CM4">
        <v>419.89999999899999</v>
      </c>
      <c r="CN4">
        <v>425.40000000010002</v>
      </c>
      <c r="CO4">
        <v>430.39999999930001</v>
      </c>
      <c r="CP4">
        <v>435.7</v>
      </c>
      <c r="CQ4">
        <v>441.19999999930002</v>
      </c>
      <c r="CR4">
        <v>445.59999999910002</v>
      </c>
      <c r="CS4">
        <v>450.1</v>
      </c>
      <c r="CT4">
        <v>450.69999999940001</v>
      </c>
      <c r="CU4">
        <v>450.8999999998</v>
      </c>
      <c r="CV4">
        <v>450.8999999998</v>
      </c>
      <c r="CW4">
        <v>450.8999999998</v>
      </c>
      <c r="CX4">
        <v>450.8999999998</v>
      </c>
      <c r="CY4">
        <v>450.8999999998</v>
      </c>
      <c r="CZ4">
        <v>451.1000000002</v>
      </c>
      <c r="DA4">
        <v>450.9999999991</v>
      </c>
      <c r="DB4">
        <v>450.9999999991</v>
      </c>
      <c r="DC4">
        <v>450.7999999987</v>
      </c>
      <c r="DD4">
        <v>450.9999999991</v>
      </c>
      <c r="DE4">
        <v>451.1000000002</v>
      </c>
      <c r="DF4">
        <v>451.29999999879999</v>
      </c>
      <c r="DG4">
        <v>0.79999999980000003</v>
      </c>
      <c r="DH4">
        <v>1.3999999992000001</v>
      </c>
      <c r="DI4">
        <v>1.3999999992000001</v>
      </c>
      <c r="DJ4">
        <v>1.3999999992000001</v>
      </c>
      <c r="DK4">
        <v>1.5999999996000001</v>
      </c>
      <c r="DL4">
        <v>1.6999999989000001</v>
      </c>
      <c r="DM4">
        <v>1.5999999996000001</v>
      </c>
      <c r="DN4">
        <v>1.5999999996000001</v>
      </c>
      <c r="DO4">
        <v>1.5999999996000001</v>
      </c>
      <c r="DP4">
        <v>1.8999999993000001</v>
      </c>
      <c r="DQ4">
        <v>1.8</v>
      </c>
      <c r="DR4">
        <v>1.8999999993000001</v>
      </c>
      <c r="DS4">
        <v>1.8</v>
      </c>
      <c r="DT4">
        <v>1.6999999989000001</v>
      </c>
      <c r="DU4">
        <v>1.6999999989000001</v>
      </c>
      <c r="DV4">
        <v>1.3999999992000001</v>
      </c>
      <c r="DW4">
        <v>1.0000000002</v>
      </c>
      <c r="DX4">
        <v>2.4999999986999999</v>
      </c>
      <c r="DY4">
        <v>7.9999999998</v>
      </c>
      <c r="DZ4">
        <v>14.699999999699999</v>
      </c>
      <c r="EA4">
        <v>21.6</v>
      </c>
      <c r="EB4">
        <v>29.199999998999999</v>
      </c>
      <c r="EC4">
        <v>35.799999999699999</v>
      </c>
      <c r="ED4">
        <v>43.499999999800004</v>
      </c>
      <c r="EE4">
        <v>52.200000000099998</v>
      </c>
      <c r="EF4">
        <v>60.400000000299997</v>
      </c>
      <c r="EG4">
        <v>67.4999999992</v>
      </c>
      <c r="EH4">
        <v>75.199999999300005</v>
      </c>
      <c r="EI4">
        <v>83.300000000200001</v>
      </c>
      <c r="EJ4">
        <v>90.699999998799996</v>
      </c>
      <c r="EK4">
        <v>99.999999998500002</v>
      </c>
      <c r="EL4">
        <v>108.39999999920001</v>
      </c>
      <c r="EM4">
        <v>117.0999999995</v>
      </c>
      <c r="EN4">
        <v>125</v>
      </c>
      <c r="EO4">
        <v>133.70000000030001</v>
      </c>
      <c r="EP4">
        <v>141.29999999930001</v>
      </c>
      <c r="EQ4">
        <v>150.8999999987</v>
      </c>
      <c r="ER4">
        <v>159.29999999930001</v>
      </c>
      <c r="ES4">
        <v>168.099999999</v>
      </c>
      <c r="ET4">
        <v>175.69999999980001</v>
      </c>
      <c r="EU4">
        <v>184.29999999899999</v>
      </c>
      <c r="EV4">
        <v>192.19999999949999</v>
      </c>
      <c r="EW4">
        <v>200.7999999987</v>
      </c>
      <c r="EX4">
        <v>210.49999999920001</v>
      </c>
      <c r="EY4">
        <v>218.69999999940001</v>
      </c>
      <c r="EZ4">
        <v>226.1999999992</v>
      </c>
      <c r="FA4">
        <v>234.59999999979999</v>
      </c>
      <c r="FB4">
        <v>242.1999999988</v>
      </c>
      <c r="FC4">
        <v>250.59999999940001</v>
      </c>
      <c r="FD4">
        <v>260.00000000019998</v>
      </c>
      <c r="FE4">
        <v>268.0999999993</v>
      </c>
      <c r="FF4">
        <v>275.2</v>
      </c>
      <c r="FG4">
        <v>282.69999999970003</v>
      </c>
      <c r="FH4">
        <v>289.49999999900001</v>
      </c>
      <c r="FI4">
        <v>297.99999999890002</v>
      </c>
      <c r="FJ4">
        <v>305.4999999986</v>
      </c>
      <c r="FK4">
        <v>314.00000000030002</v>
      </c>
      <c r="FL4">
        <v>321.2999999996</v>
      </c>
      <c r="FM4">
        <v>327.79999999910001</v>
      </c>
      <c r="FN4">
        <v>334.8999999998</v>
      </c>
      <c r="FO4">
        <v>341.3</v>
      </c>
      <c r="FP4">
        <v>348.50000000009999</v>
      </c>
      <c r="FQ4">
        <v>355.49999999969998</v>
      </c>
      <c r="FR4">
        <v>363.09999999870001</v>
      </c>
      <c r="FS4">
        <v>369.99999999900001</v>
      </c>
      <c r="FT4">
        <v>375.89999999909998</v>
      </c>
      <c r="FU4">
        <v>381.9000000003</v>
      </c>
      <c r="FV4">
        <v>388.2999999987</v>
      </c>
      <c r="FW4">
        <v>393.59999999939998</v>
      </c>
      <c r="FX4">
        <v>399.9000000003</v>
      </c>
      <c r="FY4">
        <v>405.99999999900001</v>
      </c>
      <c r="FZ4">
        <v>412.8000000001</v>
      </c>
      <c r="GA4">
        <v>418.49999999980002</v>
      </c>
      <c r="GB4">
        <v>424.19999999949999</v>
      </c>
      <c r="GC4">
        <v>428.89999999899999</v>
      </c>
      <c r="GD4">
        <v>433.99999999929997</v>
      </c>
      <c r="GE4">
        <v>438.89999999920002</v>
      </c>
      <c r="GF4">
        <v>443.29999999900002</v>
      </c>
      <c r="GG4">
        <v>447.79999999990002</v>
      </c>
      <c r="GH4">
        <v>450.69999999940001</v>
      </c>
      <c r="GI4">
        <v>450.7999999987</v>
      </c>
      <c r="GJ4">
        <v>450.7999999987</v>
      </c>
      <c r="GK4">
        <v>450.7999999987</v>
      </c>
      <c r="GL4">
        <v>450.8999999998</v>
      </c>
      <c r="GM4">
        <v>450.9999999991</v>
      </c>
      <c r="GN4">
        <v>450.9999999991</v>
      </c>
      <c r="GO4">
        <v>450.69999999940001</v>
      </c>
      <c r="GP4">
        <v>450.9999999991</v>
      </c>
      <c r="GQ4">
        <v>451.1000000002</v>
      </c>
      <c r="GR4">
        <v>451.1000000002</v>
      </c>
      <c r="GS4">
        <v>451.1000000002</v>
      </c>
      <c r="GT4">
        <v>451.1000000002</v>
      </c>
      <c r="GU4">
        <v>451.1000000002</v>
      </c>
      <c r="GV4">
        <v>451.1000000002</v>
      </c>
      <c r="GW4">
        <v>1</v>
      </c>
      <c r="GX4">
        <v>113.9000000003</v>
      </c>
      <c r="GY4">
        <v>112.79999999899999</v>
      </c>
      <c r="GZ4">
        <v>112.79999999899999</v>
      </c>
      <c r="HA4">
        <v>117.0999999995</v>
      </c>
      <c r="HB4">
        <v>113.8954898041</v>
      </c>
      <c r="HC4">
        <v>-4.3000000004999999</v>
      </c>
      <c r="HD4">
        <v>451.1000000002</v>
      </c>
      <c r="HE4">
        <v>291.01634530140001</v>
      </c>
      <c r="HF4">
        <v>96.410128545700005</v>
      </c>
      <c r="HG4">
        <v>451.29999999879999</v>
      </c>
      <c r="HH4">
        <v>451.1000000002</v>
      </c>
      <c r="HI4">
        <v>451.29999999879999</v>
      </c>
      <c r="HJ4">
        <v>451.1000000002</v>
      </c>
      <c r="HK4">
        <v>110.26392961880001</v>
      </c>
      <c r="HL4">
        <v>3.3969824874999999</v>
      </c>
      <c r="HM4">
        <v>3.296037756</v>
      </c>
      <c r="HN4">
        <v>3.3737052474000002</v>
      </c>
      <c r="HO4">
        <v>3.2371435478000001</v>
      </c>
      <c r="HP4">
        <v>3.5753150967999998</v>
      </c>
      <c r="HQ4">
        <v>2.3713490627999998</v>
      </c>
      <c r="HR4">
        <v>17.485361258400001</v>
      </c>
      <c r="HS4">
        <v>-28.152492668600001</v>
      </c>
      <c r="HT4">
        <v>-192</v>
      </c>
      <c r="HU4">
        <v>404.91183510539997</v>
      </c>
      <c r="HV4">
        <v>89.149560117299998</v>
      </c>
      <c r="HW4">
        <v>608</v>
      </c>
      <c r="HX4">
        <v>17.485361258400001</v>
      </c>
      <c r="HY4">
        <v>-28.152492668600001</v>
      </c>
      <c r="HZ4">
        <v>-192</v>
      </c>
      <c r="IA4">
        <v>404.91183510539997</v>
      </c>
      <c r="IB4">
        <v>89.149560117299998</v>
      </c>
      <c r="IC4">
        <v>608</v>
      </c>
      <c r="ID4">
        <v>46.188164894800003</v>
      </c>
      <c r="IE4">
        <v>0.10109707380000001</v>
      </c>
      <c r="IF4">
        <v>-37.536656891500002</v>
      </c>
      <c r="IG4">
        <v>-256</v>
      </c>
      <c r="IH4">
        <v>428.36542553089998</v>
      </c>
      <c r="II4">
        <v>98.533724340199996</v>
      </c>
      <c r="IJ4">
        <v>672</v>
      </c>
      <c r="IK4">
        <v>387.42647384700001</v>
      </c>
      <c r="IL4">
        <v>117.3020527859</v>
      </c>
      <c r="IM4">
        <v>413.06837322759998</v>
      </c>
      <c r="IN4">
        <v>126.6862170088</v>
      </c>
      <c r="IO4">
        <v>6.8000000009999999</v>
      </c>
      <c r="IP4">
        <v>5.9000000001000004</v>
      </c>
      <c r="IQ4">
        <v>9.7000000004999993</v>
      </c>
      <c r="IR4">
        <v>5.0061769848999997</v>
      </c>
      <c r="IS4">
        <v>5.0061769848999997</v>
      </c>
      <c r="IT4">
        <v>3.5000000007000001</v>
      </c>
      <c r="IU4">
        <v>-32.844574780099997</v>
      </c>
      <c r="IV4">
        <v>10.8</v>
      </c>
      <c r="IW4">
        <v>91.495601172999997</v>
      </c>
      <c r="IX4">
        <v>10.200000000599999</v>
      </c>
      <c r="IY4">
        <v>96.187683284499997</v>
      </c>
      <c r="IZ4">
        <v>-33.699071196600002</v>
      </c>
      <c r="JA4">
        <v>0.32584648929999999</v>
      </c>
      <c r="JB4">
        <v>-3.1773560000000002E-4</v>
      </c>
      <c r="JC4">
        <v>6.454E-7</v>
      </c>
      <c r="JD4">
        <v>0.2943789094</v>
      </c>
      <c r="JE4">
        <v>0.31194779090000002</v>
      </c>
      <c r="JF4">
        <v>0.14203783580000001</v>
      </c>
      <c r="JG4">
        <v>113.4264508513</v>
      </c>
      <c r="JH4">
        <v>3.5753150967999998</v>
      </c>
      <c r="JI4">
        <v>2.9440096999999998E-3</v>
      </c>
      <c r="JJ4">
        <v>-7.2511199999999998E-5</v>
      </c>
      <c r="JK4">
        <v>3.3969824874999999</v>
      </c>
      <c r="JL4">
        <v>1.1167004565</v>
      </c>
      <c r="JM4">
        <v>0.51047968420000001</v>
      </c>
      <c r="JN4" t="s">
        <v>545</v>
      </c>
      <c r="JQ4">
        <v>1</v>
      </c>
    </row>
    <row r="5" spans="1:277">
      <c r="A5" t="s">
        <v>582</v>
      </c>
      <c r="B5" t="s">
        <v>583</v>
      </c>
      <c r="C5" t="s">
        <v>212</v>
      </c>
      <c r="D5">
        <v>3</v>
      </c>
      <c r="E5" t="s">
        <v>213</v>
      </c>
      <c r="F5" t="s">
        <v>214</v>
      </c>
      <c r="G5" t="s">
        <v>544</v>
      </c>
      <c r="H5" t="s">
        <v>216</v>
      </c>
      <c r="J5" t="s">
        <v>557</v>
      </c>
      <c r="K5" t="s">
        <v>558</v>
      </c>
      <c r="L5" t="s">
        <v>559</v>
      </c>
      <c r="M5" t="s">
        <v>560</v>
      </c>
      <c r="N5" t="s">
        <v>561</v>
      </c>
      <c r="O5">
        <v>0</v>
      </c>
      <c r="P5">
        <v>0</v>
      </c>
      <c r="Q5">
        <v>0</v>
      </c>
      <c r="R5">
        <v>0.29999999970000002</v>
      </c>
      <c r="S5">
        <v>0.20000000039999999</v>
      </c>
      <c r="T5">
        <v>0.20000000039999999</v>
      </c>
      <c r="U5">
        <v>0</v>
      </c>
      <c r="V5">
        <v>9.9999999300000003E-2</v>
      </c>
      <c r="W5">
        <v>0.20000000039999999</v>
      </c>
      <c r="X5">
        <v>0.29999999970000002</v>
      </c>
      <c r="Y5">
        <v>0.50000000010000001</v>
      </c>
      <c r="Z5">
        <v>0.29999999970000002</v>
      </c>
      <c r="AA5">
        <v>0.50000000010000001</v>
      </c>
      <c r="AB5">
        <v>9.9999999300000003E-2</v>
      </c>
      <c r="AC5">
        <v>0.20000000039999999</v>
      </c>
      <c r="AD5">
        <v>0.50000000010000001</v>
      </c>
      <c r="AE5">
        <v>0.50000000010000001</v>
      </c>
      <c r="AF5">
        <v>0.40000000079999998</v>
      </c>
      <c r="AG5">
        <v>0.40000000079999998</v>
      </c>
      <c r="AH5">
        <v>0.29999999970000002</v>
      </c>
      <c r="AI5">
        <v>2.5000000005</v>
      </c>
      <c r="AJ5">
        <v>6.4999999995</v>
      </c>
      <c r="AK5">
        <v>14.1000000003</v>
      </c>
      <c r="AL5">
        <v>22.0000000008</v>
      </c>
      <c r="AM5">
        <v>29.000000000499998</v>
      </c>
      <c r="AN5">
        <v>36.5999999995</v>
      </c>
      <c r="AO5">
        <v>44.200000000300001</v>
      </c>
      <c r="AP5">
        <v>52.4000000005</v>
      </c>
      <c r="AQ5">
        <v>60.799999999299999</v>
      </c>
      <c r="AR5">
        <v>69.199999999900001</v>
      </c>
      <c r="AS5">
        <v>77.800000000899999</v>
      </c>
      <c r="AT5">
        <v>85.199999999499994</v>
      </c>
      <c r="AU5">
        <v>93.699999999400006</v>
      </c>
      <c r="AV5">
        <v>102.19999999940001</v>
      </c>
      <c r="AW5">
        <v>110.5000000007</v>
      </c>
      <c r="AX5">
        <v>120.6000000002</v>
      </c>
      <c r="AY5">
        <v>130.00000000099999</v>
      </c>
      <c r="AZ5">
        <v>137.80000000039999</v>
      </c>
      <c r="BA5">
        <v>146.3000000003</v>
      </c>
      <c r="BB5">
        <v>154.89999999950001</v>
      </c>
      <c r="BC5">
        <v>163.30000000019999</v>
      </c>
      <c r="BD5">
        <v>172.8000000003</v>
      </c>
      <c r="BE5">
        <v>181.50000000060001</v>
      </c>
      <c r="BF5">
        <v>189.7000000008</v>
      </c>
      <c r="BG5">
        <v>198.3</v>
      </c>
      <c r="BH5">
        <v>206.7000000006</v>
      </c>
      <c r="BI5">
        <v>215.2000000006</v>
      </c>
      <c r="BJ5">
        <v>224.2000000006</v>
      </c>
      <c r="BK5">
        <v>233.0999999995</v>
      </c>
      <c r="BL5">
        <v>240.49999999990001</v>
      </c>
      <c r="BM5">
        <v>248.9000000005</v>
      </c>
      <c r="BN5">
        <v>257.2</v>
      </c>
      <c r="BO5">
        <v>265.49999999950001</v>
      </c>
      <c r="BP5">
        <v>273.69999999970003</v>
      </c>
      <c r="BQ5">
        <v>281.60000000029999</v>
      </c>
      <c r="BR5">
        <v>289.20000000110002</v>
      </c>
      <c r="BS5">
        <v>296.89999999939999</v>
      </c>
      <c r="BT5">
        <v>304.79999999990002</v>
      </c>
      <c r="BU5">
        <v>311.90000000060002</v>
      </c>
      <c r="BV5">
        <v>318.99999999950001</v>
      </c>
      <c r="BW5">
        <v>326.89999999999998</v>
      </c>
      <c r="BX5">
        <v>334.80000000050001</v>
      </c>
      <c r="BY5">
        <v>341.50000000049999</v>
      </c>
      <c r="BZ5">
        <v>348.2000000004</v>
      </c>
      <c r="CA5">
        <v>355.2</v>
      </c>
      <c r="CB5">
        <v>361.80000000059999</v>
      </c>
      <c r="CC5">
        <v>368.89999999949998</v>
      </c>
      <c r="CD5">
        <v>375.40000000079999</v>
      </c>
      <c r="CE5">
        <v>382.29999999929998</v>
      </c>
      <c r="CF5">
        <v>388.6000000002</v>
      </c>
      <c r="CG5">
        <v>394.59999999960002</v>
      </c>
      <c r="CH5">
        <v>400.79999999939997</v>
      </c>
      <c r="CI5">
        <v>406.69999999949999</v>
      </c>
      <c r="CJ5">
        <v>412.89999999939999</v>
      </c>
      <c r="CK5">
        <v>419.10000000100001</v>
      </c>
      <c r="CL5">
        <v>425.10000000039997</v>
      </c>
      <c r="CM5">
        <v>430.89999999939999</v>
      </c>
      <c r="CN5">
        <v>436.60000000090002</v>
      </c>
      <c r="CO5">
        <v>441.8999999998</v>
      </c>
      <c r="CP5">
        <v>446.20000000030001</v>
      </c>
      <c r="CQ5">
        <v>449.59999999989998</v>
      </c>
      <c r="CR5">
        <v>449.70000000099998</v>
      </c>
      <c r="CS5">
        <v>449.59999999989998</v>
      </c>
      <c r="CT5">
        <v>449.80000000029997</v>
      </c>
      <c r="CU5">
        <v>449.89999999960003</v>
      </c>
      <c r="CV5">
        <v>449.80000000029997</v>
      </c>
      <c r="CW5">
        <v>449.89999999960003</v>
      </c>
      <c r="CX5">
        <v>449.59999999989998</v>
      </c>
      <c r="CY5">
        <v>449.70000000099998</v>
      </c>
      <c r="CZ5">
        <v>449.80000000029997</v>
      </c>
      <c r="DA5">
        <v>450.00000000070003</v>
      </c>
      <c r="DB5">
        <v>449.89999999960003</v>
      </c>
      <c r="DC5">
        <v>449.89999999960003</v>
      </c>
      <c r="DD5">
        <v>449.89999999960003</v>
      </c>
      <c r="DE5">
        <v>449.70000000099998</v>
      </c>
      <c r="DF5">
        <v>449.70000000099998</v>
      </c>
      <c r="DG5">
        <v>0.79999999980000003</v>
      </c>
      <c r="DH5">
        <v>1.2000000006</v>
      </c>
      <c r="DI5">
        <v>1.2000000006</v>
      </c>
      <c r="DJ5">
        <v>1.400000001</v>
      </c>
      <c r="DK5">
        <v>1.2000000006</v>
      </c>
      <c r="DL5">
        <v>1.2000000006</v>
      </c>
      <c r="DM5">
        <v>1.2000000006</v>
      </c>
      <c r="DN5">
        <v>1.2000000006</v>
      </c>
      <c r="DO5">
        <v>1.400000001</v>
      </c>
      <c r="DP5">
        <v>1.2999999999</v>
      </c>
      <c r="DQ5">
        <v>1.2000000006</v>
      </c>
      <c r="DR5">
        <v>1.2999999999</v>
      </c>
      <c r="DS5">
        <v>1.2999999999</v>
      </c>
      <c r="DT5">
        <v>1.2000000006</v>
      </c>
      <c r="DU5">
        <v>1.5999999996000001</v>
      </c>
      <c r="DV5">
        <v>1.5000000003</v>
      </c>
      <c r="DW5">
        <v>1.400000001</v>
      </c>
      <c r="DX5">
        <v>1.2999999999</v>
      </c>
      <c r="DY5">
        <v>4.1999999994000001</v>
      </c>
      <c r="DZ5">
        <v>10.200000000599999</v>
      </c>
      <c r="EA5">
        <v>18.200000000399999</v>
      </c>
      <c r="EB5">
        <v>25.600000000800001</v>
      </c>
      <c r="EC5">
        <v>32.4000000001</v>
      </c>
      <c r="ED5">
        <v>40.500000000999997</v>
      </c>
      <c r="EE5">
        <v>48.3999999997</v>
      </c>
      <c r="EF5">
        <v>56.899999999599999</v>
      </c>
      <c r="EG5">
        <v>65.099999999800005</v>
      </c>
      <c r="EH5">
        <v>73.700000000800003</v>
      </c>
      <c r="EI5">
        <v>81.500000000200004</v>
      </c>
      <c r="EJ5">
        <v>89.200000000299994</v>
      </c>
      <c r="EK5">
        <v>98.1000000011</v>
      </c>
      <c r="EL5">
        <v>106.4000000006</v>
      </c>
      <c r="EM5">
        <v>115.7999999996</v>
      </c>
      <c r="EN5">
        <v>125.29999999970001</v>
      </c>
      <c r="EO5">
        <v>133.60000000100001</v>
      </c>
      <c r="EP5">
        <v>142.1000000009</v>
      </c>
      <c r="EQ5">
        <v>150.60000000080001</v>
      </c>
      <c r="ER5">
        <v>159.70000000019999</v>
      </c>
      <c r="ES5">
        <v>168.6000000009</v>
      </c>
      <c r="ET5">
        <v>177.6000000009</v>
      </c>
      <c r="EU5">
        <v>185.79999999930001</v>
      </c>
      <c r="EV5">
        <v>194.60000000069999</v>
      </c>
      <c r="EW5">
        <v>203.300000001</v>
      </c>
      <c r="EX5">
        <v>211.1000000004</v>
      </c>
      <c r="EY5">
        <v>220.60000000060001</v>
      </c>
      <c r="EZ5">
        <v>229.9000000003</v>
      </c>
      <c r="FA5">
        <v>237.8000000008</v>
      </c>
      <c r="FB5">
        <v>245.80000000059999</v>
      </c>
      <c r="FC5">
        <v>254.5000000009</v>
      </c>
      <c r="FD5">
        <v>262.89999999970001</v>
      </c>
      <c r="FE5">
        <v>271.09999999989998</v>
      </c>
      <c r="FF5">
        <v>279.50000000059998</v>
      </c>
      <c r="FG5">
        <v>287.3</v>
      </c>
      <c r="FH5">
        <v>295.29999999979998</v>
      </c>
      <c r="FI5">
        <v>302.90000000060002</v>
      </c>
      <c r="FJ5">
        <v>310.60000000069999</v>
      </c>
      <c r="FK5">
        <v>317.50000000099999</v>
      </c>
      <c r="FL5">
        <v>326.19999999949999</v>
      </c>
      <c r="FM5">
        <v>333.80000000029997</v>
      </c>
      <c r="FN5">
        <v>340.79999999990002</v>
      </c>
      <c r="FO5">
        <v>347.70000000030001</v>
      </c>
      <c r="FP5">
        <v>354.9000000003</v>
      </c>
      <c r="FQ5">
        <v>361.69999999949999</v>
      </c>
      <c r="FR5">
        <v>368.59999999979999</v>
      </c>
      <c r="FS5">
        <v>375.40000000079999</v>
      </c>
      <c r="FT5">
        <v>382.49999999969998</v>
      </c>
      <c r="FU5">
        <v>389.00000000099999</v>
      </c>
      <c r="FV5">
        <v>395.00000000040001</v>
      </c>
      <c r="FW5">
        <v>401.49999999990001</v>
      </c>
      <c r="FX5">
        <v>407.49999999929997</v>
      </c>
      <c r="FY5">
        <v>413.30000000019999</v>
      </c>
      <c r="FZ5">
        <v>419.6000000011</v>
      </c>
      <c r="GA5">
        <v>425.49999999940002</v>
      </c>
      <c r="GB5">
        <v>431.00000000049999</v>
      </c>
      <c r="GC5">
        <v>436.99999999990001</v>
      </c>
      <c r="GD5">
        <v>442.0000000009</v>
      </c>
      <c r="GE5">
        <v>445.90000000060002</v>
      </c>
      <c r="GF5">
        <v>449.09999999979999</v>
      </c>
      <c r="GG5">
        <v>449.59999999989998</v>
      </c>
      <c r="GH5">
        <v>449.39999999949998</v>
      </c>
      <c r="GI5">
        <v>449.39999999949998</v>
      </c>
      <c r="GJ5">
        <v>449.39999999949998</v>
      </c>
      <c r="GK5">
        <v>449.39999999949998</v>
      </c>
      <c r="GL5">
        <v>449.30000000019999</v>
      </c>
      <c r="GM5">
        <v>449.39999999949998</v>
      </c>
      <c r="GN5">
        <v>449.70000000099998</v>
      </c>
      <c r="GO5">
        <v>449.70000000099998</v>
      </c>
      <c r="GP5">
        <v>449.70000000099998</v>
      </c>
      <c r="GQ5">
        <v>449.59999999989998</v>
      </c>
      <c r="GR5">
        <v>449.80000000029997</v>
      </c>
      <c r="GS5">
        <v>449.59999999989998</v>
      </c>
      <c r="GT5">
        <v>449.50000000059998</v>
      </c>
      <c r="GU5">
        <v>449.59999999989998</v>
      </c>
      <c r="GV5">
        <v>449.80000000029997</v>
      </c>
      <c r="GW5">
        <v>1</v>
      </c>
      <c r="GX5">
        <v>113.1000000005</v>
      </c>
      <c r="GY5">
        <v>110.5000000007</v>
      </c>
      <c r="GZ5">
        <v>110.5000000007</v>
      </c>
      <c r="HA5">
        <v>115.7999999996</v>
      </c>
      <c r="HB5">
        <v>111.8330999226</v>
      </c>
      <c r="HC5">
        <v>-5.2999999988999997</v>
      </c>
      <c r="HD5">
        <v>449.79997777070002</v>
      </c>
      <c r="HE5">
        <v>307.2664666005</v>
      </c>
      <c r="HF5">
        <v>97.585906413299995</v>
      </c>
      <c r="HG5">
        <v>450.00000000070003</v>
      </c>
      <c r="HH5">
        <v>449.80000000029997</v>
      </c>
      <c r="HI5">
        <v>450.00000000070003</v>
      </c>
      <c r="HJ5">
        <v>449.80000000029997</v>
      </c>
      <c r="HK5">
        <v>105.57184750730001</v>
      </c>
      <c r="HL5">
        <v>3.4846445143000002</v>
      </c>
      <c r="HM5">
        <v>3.4151073011999999</v>
      </c>
      <c r="HN5">
        <v>3.4579435723</v>
      </c>
      <c r="HO5">
        <v>3.3462472695000001</v>
      </c>
      <c r="HP5">
        <v>3.6905287285999999</v>
      </c>
      <c r="HQ5">
        <v>2.3479486818000002</v>
      </c>
      <c r="HR5">
        <v>14.247193509300001</v>
      </c>
      <c r="HS5">
        <v>-28.152492668600001</v>
      </c>
      <c r="HT5">
        <v>-192</v>
      </c>
      <c r="HU5">
        <v>419.09956652310001</v>
      </c>
      <c r="HV5">
        <v>91.495601172999997</v>
      </c>
      <c r="HW5">
        <v>624</v>
      </c>
      <c r="HX5">
        <v>14.247193509300001</v>
      </c>
      <c r="HY5">
        <v>-28.152492668600001</v>
      </c>
      <c r="HZ5">
        <v>-192</v>
      </c>
      <c r="IA5">
        <v>419.09956652310001</v>
      </c>
      <c r="IB5">
        <v>91.495601172999997</v>
      </c>
      <c r="IC5">
        <v>624</v>
      </c>
      <c r="ID5">
        <v>30.700433477200001</v>
      </c>
      <c r="IE5">
        <v>0.40200066769999998</v>
      </c>
      <c r="IF5">
        <v>-37.536656891500002</v>
      </c>
      <c r="IG5">
        <v>-256</v>
      </c>
      <c r="IH5">
        <v>441.87335778689999</v>
      </c>
      <c r="II5">
        <v>100.87976539589999</v>
      </c>
      <c r="IJ5">
        <v>688</v>
      </c>
      <c r="IK5">
        <v>404.85237301389998</v>
      </c>
      <c r="IL5">
        <v>119.6480938416</v>
      </c>
      <c r="IM5">
        <v>428.20142269640002</v>
      </c>
      <c r="IN5">
        <v>129.03225806450001</v>
      </c>
      <c r="IO5">
        <v>7.9999999998</v>
      </c>
      <c r="IP5">
        <v>5.9999999994</v>
      </c>
      <c r="IQ5">
        <v>10.0999999995</v>
      </c>
      <c r="IR5">
        <v>6.2312871192000001</v>
      </c>
      <c r="IS5">
        <v>6.2312871192000001</v>
      </c>
      <c r="IT5">
        <v>3.7000000010999998</v>
      </c>
      <c r="IU5">
        <v>-30.4985337243</v>
      </c>
      <c r="IV5">
        <v>7.2</v>
      </c>
      <c r="IW5">
        <v>58.651026393000002</v>
      </c>
      <c r="IX5">
        <v>6.1000000004999997</v>
      </c>
      <c r="IY5">
        <v>98.533724340199996</v>
      </c>
      <c r="IZ5">
        <v>-32.458121961099998</v>
      </c>
      <c r="JA5">
        <v>0.31529794820000001</v>
      </c>
      <c r="JB5">
        <v>-3.0593089999999997E-4</v>
      </c>
      <c r="JC5">
        <v>6.1790000000000005E-7</v>
      </c>
      <c r="JD5">
        <v>0.28697331850000002</v>
      </c>
      <c r="JE5">
        <v>0.30742400590000002</v>
      </c>
      <c r="JF5">
        <v>0.11048057880000001</v>
      </c>
      <c r="JG5">
        <v>112.95083047439999</v>
      </c>
      <c r="JH5">
        <v>3.6905287285999999</v>
      </c>
      <c r="JI5">
        <v>2.9495379999999998E-3</v>
      </c>
      <c r="JJ5">
        <v>-7.4950000000000006E-5</v>
      </c>
      <c r="JK5">
        <v>3.4846445143000002</v>
      </c>
      <c r="JL5">
        <v>1.2266509328999999</v>
      </c>
      <c r="JM5">
        <v>0.59600555440000003</v>
      </c>
      <c r="JN5" t="s">
        <v>545</v>
      </c>
      <c r="JQ5">
        <v>1</v>
      </c>
    </row>
    <row r="6" spans="1:277">
      <c r="A6" t="s">
        <v>584</v>
      </c>
      <c r="B6" t="s">
        <v>585</v>
      </c>
      <c r="C6" t="s">
        <v>212</v>
      </c>
      <c r="D6">
        <v>3</v>
      </c>
      <c r="E6" t="s">
        <v>213</v>
      </c>
      <c r="F6" t="s">
        <v>214</v>
      </c>
      <c r="G6" t="s">
        <v>544</v>
      </c>
      <c r="H6" t="s">
        <v>216</v>
      </c>
      <c r="J6" t="s">
        <v>564</v>
      </c>
      <c r="K6" t="s">
        <v>565</v>
      </c>
      <c r="L6" t="s">
        <v>566</v>
      </c>
      <c r="M6" t="s">
        <v>567</v>
      </c>
      <c r="N6" t="s">
        <v>568</v>
      </c>
      <c r="O6">
        <v>0</v>
      </c>
      <c r="P6">
        <v>0</v>
      </c>
      <c r="Q6">
        <v>0</v>
      </c>
      <c r="R6">
        <v>0.79999999980000003</v>
      </c>
      <c r="S6">
        <v>1.0000000002</v>
      </c>
      <c r="T6">
        <v>0.90000000089999999</v>
      </c>
      <c r="U6">
        <v>0.79999999980000003</v>
      </c>
      <c r="V6">
        <v>1.2000000006</v>
      </c>
      <c r="W6">
        <v>1.0999999995</v>
      </c>
      <c r="X6">
        <v>1.0999999995</v>
      </c>
      <c r="Y6">
        <v>0.79999999980000003</v>
      </c>
      <c r="Z6">
        <v>1.0999999995</v>
      </c>
      <c r="AA6">
        <v>1.2999999999</v>
      </c>
      <c r="AB6">
        <v>1.0999999995</v>
      </c>
      <c r="AC6">
        <v>1.2000000006</v>
      </c>
      <c r="AD6">
        <v>1.5000000003</v>
      </c>
      <c r="AE6">
        <v>1.400000001</v>
      </c>
      <c r="AF6">
        <v>1.5999999996000001</v>
      </c>
      <c r="AG6">
        <v>1.400000001</v>
      </c>
      <c r="AH6">
        <v>4.6999999995000001</v>
      </c>
      <c r="AI6">
        <v>9</v>
      </c>
      <c r="AJ6">
        <v>14.300000000700001</v>
      </c>
      <c r="AK6">
        <v>19.0000000002</v>
      </c>
      <c r="AL6">
        <v>26.200000000199999</v>
      </c>
      <c r="AM6">
        <v>33.6000000007</v>
      </c>
      <c r="AN6">
        <v>40.6000000003</v>
      </c>
      <c r="AO6">
        <v>48.3999999997</v>
      </c>
      <c r="AP6">
        <v>56.5999999999</v>
      </c>
      <c r="AQ6">
        <v>65.200000000900005</v>
      </c>
      <c r="AR6">
        <v>73.599999999700003</v>
      </c>
      <c r="AS6">
        <v>82.000000000300005</v>
      </c>
      <c r="AT6">
        <v>89.5</v>
      </c>
      <c r="AU6">
        <v>97.700000000299994</v>
      </c>
      <c r="AV6">
        <v>106.4000000006</v>
      </c>
      <c r="AW6">
        <v>116</v>
      </c>
      <c r="AX6">
        <v>125.5999999994</v>
      </c>
      <c r="AY6">
        <v>134.50000000009999</v>
      </c>
      <c r="AZ6">
        <v>142.60000000100001</v>
      </c>
      <c r="BA6">
        <v>150.7999999994</v>
      </c>
      <c r="BB6">
        <v>159.6000000009</v>
      </c>
      <c r="BC6">
        <v>168.6000000009</v>
      </c>
      <c r="BD6">
        <v>177.2000000001</v>
      </c>
      <c r="BE6">
        <v>185.90000000040001</v>
      </c>
      <c r="BF6">
        <v>194.300000001</v>
      </c>
      <c r="BG6">
        <v>202.40000000009999</v>
      </c>
      <c r="BH6">
        <v>211.3000000008</v>
      </c>
      <c r="BI6">
        <v>219.8000000008</v>
      </c>
      <c r="BJ6">
        <v>228.50000000110001</v>
      </c>
      <c r="BK6">
        <v>236.89999999989999</v>
      </c>
      <c r="BL6">
        <v>245.00000000079999</v>
      </c>
      <c r="BM6">
        <v>252.70000000089999</v>
      </c>
      <c r="BN6">
        <v>261.00000000040001</v>
      </c>
      <c r="BO6">
        <v>269.40000000100002</v>
      </c>
      <c r="BP6">
        <v>277.70000000060003</v>
      </c>
      <c r="BQ6">
        <v>285.4000000007</v>
      </c>
      <c r="BR6">
        <v>292.80000000109999</v>
      </c>
      <c r="BS6">
        <v>300.30000000080003</v>
      </c>
      <c r="BT6">
        <v>307.60000000010001</v>
      </c>
      <c r="BU6">
        <v>315.39999999949998</v>
      </c>
      <c r="BV6">
        <v>323.00000000030002</v>
      </c>
      <c r="BW6">
        <v>330.20000000030001</v>
      </c>
      <c r="BX6">
        <v>337.30000000109999</v>
      </c>
      <c r="BY6">
        <v>344.00000000099999</v>
      </c>
      <c r="BZ6">
        <v>351.20000000099998</v>
      </c>
      <c r="CA6">
        <v>357.50000000009999</v>
      </c>
      <c r="CB6">
        <v>364.2</v>
      </c>
      <c r="CC6">
        <v>371.10000000029999</v>
      </c>
      <c r="CD6">
        <v>377.50000000049999</v>
      </c>
      <c r="CE6">
        <v>384.29999999969999</v>
      </c>
      <c r="CF6">
        <v>390.800000001</v>
      </c>
      <c r="CG6">
        <v>396.39999999960003</v>
      </c>
      <c r="CH6">
        <v>402.59999999939998</v>
      </c>
      <c r="CI6">
        <v>408.300000001</v>
      </c>
      <c r="CJ6">
        <v>414.39999999970001</v>
      </c>
      <c r="CK6">
        <v>420.59999999950003</v>
      </c>
      <c r="CL6">
        <v>426.49999999959999</v>
      </c>
      <c r="CM6">
        <v>432.20000000110002</v>
      </c>
      <c r="CN6">
        <v>437.7000000004</v>
      </c>
      <c r="CO6">
        <v>442.69999999959998</v>
      </c>
      <c r="CP6">
        <v>444.7</v>
      </c>
      <c r="CQ6">
        <v>445.79999999950002</v>
      </c>
      <c r="CR6">
        <v>446.7000000004</v>
      </c>
      <c r="CS6">
        <v>447.59999999950003</v>
      </c>
      <c r="CT6">
        <v>448.20000000070002</v>
      </c>
      <c r="CU6">
        <v>448.50000000040001</v>
      </c>
      <c r="CV6">
        <v>448.50000000040001</v>
      </c>
      <c r="CW6">
        <v>448.3</v>
      </c>
      <c r="CX6">
        <v>448.40000000110001</v>
      </c>
      <c r="CY6">
        <v>448.09999999960002</v>
      </c>
      <c r="CZ6">
        <v>448.3</v>
      </c>
      <c r="DA6">
        <v>448.3</v>
      </c>
      <c r="DB6">
        <v>448.3</v>
      </c>
      <c r="DC6">
        <v>448.40000000110001</v>
      </c>
      <c r="DD6">
        <v>448.20000000070002</v>
      </c>
      <c r="DE6">
        <v>448.3</v>
      </c>
      <c r="DF6">
        <v>448.20000000070002</v>
      </c>
      <c r="DG6">
        <v>1.2000000006</v>
      </c>
      <c r="DH6">
        <v>1.9000000011</v>
      </c>
      <c r="DI6">
        <v>2.0999999997000001</v>
      </c>
      <c r="DJ6">
        <v>2.0000000004</v>
      </c>
      <c r="DK6">
        <v>2.2000000007999998</v>
      </c>
      <c r="DL6">
        <v>2.0999999997000001</v>
      </c>
      <c r="DM6">
        <v>2.2000000007999998</v>
      </c>
      <c r="DN6">
        <v>2.3000000000999998</v>
      </c>
      <c r="DO6">
        <v>2.3000000000999998</v>
      </c>
      <c r="DP6">
        <v>2.2000000007999998</v>
      </c>
      <c r="DQ6">
        <v>2.3999999993999999</v>
      </c>
      <c r="DR6">
        <v>2.5000000005</v>
      </c>
      <c r="DS6">
        <v>2.5000000005</v>
      </c>
      <c r="DT6">
        <v>2.3999999993999999</v>
      </c>
      <c r="DU6">
        <v>2.3000000000999998</v>
      </c>
      <c r="DV6">
        <v>2.3000000000999998</v>
      </c>
      <c r="DW6">
        <v>2.5000000005</v>
      </c>
      <c r="DX6">
        <v>6.4999999995</v>
      </c>
      <c r="DY6">
        <v>11.5999999998</v>
      </c>
      <c r="DZ6">
        <v>16.600000000800001</v>
      </c>
      <c r="EA6">
        <v>22.0000000008</v>
      </c>
      <c r="EB6">
        <v>29.599999999800001</v>
      </c>
      <c r="EC6">
        <v>37.000000000299998</v>
      </c>
      <c r="ED6">
        <v>44.5</v>
      </c>
      <c r="EE6">
        <v>52.299999999400001</v>
      </c>
      <c r="EF6">
        <v>60.4999999996</v>
      </c>
      <c r="EG6">
        <v>68.999999999500005</v>
      </c>
      <c r="EH6">
        <v>77.499999999400004</v>
      </c>
      <c r="EI6">
        <v>85.6000000003</v>
      </c>
      <c r="EJ6">
        <v>93.200000001199996</v>
      </c>
      <c r="EK6">
        <v>101.70000000109999</v>
      </c>
      <c r="EL6">
        <v>110.3999999996</v>
      </c>
      <c r="EM6">
        <v>120.3999999998</v>
      </c>
      <c r="EN6">
        <v>130.00000000099999</v>
      </c>
      <c r="EO6">
        <v>138.30000000050001</v>
      </c>
      <c r="EP6">
        <v>146.70000000109999</v>
      </c>
      <c r="EQ6">
        <v>154.8000000003</v>
      </c>
      <c r="ER6">
        <v>164.20000000109999</v>
      </c>
      <c r="ES6">
        <v>173.1</v>
      </c>
      <c r="ET6">
        <v>182.20000000109999</v>
      </c>
      <c r="EU6">
        <v>190.30000000019999</v>
      </c>
      <c r="EV6">
        <v>198.8000000001</v>
      </c>
      <c r="EW6">
        <v>207.3</v>
      </c>
      <c r="EX6">
        <v>216.4000000012</v>
      </c>
      <c r="EY6">
        <v>225.00000000040001</v>
      </c>
      <c r="EZ6">
        <v>233.70000000069999</v>
      </c>
      <c r="FA6">
        <v>241.79999999980001</v>
      </c>
      <c r="FB6">
        <v>250</v>
      </c>
      <c r="FC6">
        <v>257.90000000049997</v>
      </c>
      <c r="FD6">
        <v>266.79999999939997</v>
      </c>
      <c r="FE6">
        <v>275.10000000069999</v>
      </c>
      <c r="FF6">
        <v>283.4000000003</v>
      </c>
      <c r="FG6">
        <v>291.00000000109998</v>
      </c>
      <c r="FH6">
        <v>298.70000000120001</v>
      </c>
      <c r="FI6">
        <v>306.00000000049999</v>
      </c>
      <c r="FJ6">
        <v>314.09999999960002</v>
      </c>
      <c r="FK6">
        <v>321.90000000079999</v>
      </c>
      <c r="FL6">
        <v>329.40000000049997</v>
      </c>
      <c r="FM6">
        <v>336.99999999950001</v>
      </c>
      <c r="FN6">
        <v>343.69999999940001</v>
      </c>
      <c r="FO6">
        <v>350.80000000019999</v>
      </c>
      <c r="FP6">
        <v>357.60000000119999</v>
      </c>
      <c r="FQ6">
        <v>364.79999999939997</v>
      </c>
      <c r="FR6">
        <v>371.80000000080003</v>
      </c>
      <c r="FS6">
        <v>378.6</v>
      </c>
      <c r="FT6">
        <v>385.20000000060003</v>
      </c>
      <c r="FU6">
        <v>391.70000000009998</v>
      </c>
      <c r="FV6">
        <v>397.80000000059999</v>
      </c>
      <c r="FW6">
        <v>403.8</v>
      </c>
      <c r="FX6">
        <v>409.70000000020002</v>
      </c>
      <c r="FY6">
        <v>415.9</v>
      </c>
      <c r="FZ6">
        <v>421.9000000012</v>
      </c>
      <c r="GA6">
        <v>427.90000000060002</v>
      </c>
      <c r="GB6">
        <v>433.39999999989999</v>
      </c>
      <c r="GC6">
        <v>438.79999999990002</v>
      </c>
      <c r="GD6">
        <v>442.9</v>
      </c>
      <c r="GE6">
        <v>444.60000000069999</v>
      </c>
      <c r="GF6">
        <v>445.90000000060002</v>
      </c>
      <c r="GG6">
        <v>446.79999999969999</v>
      </c>
      <c r="GH6">
        <v>447.50000000019998</v>
      </c>
      <c r="GI6">
        <v>448.20000000070002</v>
      </c>
      <c r="GJ6">
        <v>448.20000000070002</v>
      </c>
      <c r="GK6">
        <v>448.40000000110001</v>
      </c>
      <c r="GL6">
        <v>448.3</v>
      </c>
      <c r="GM6">
        <v>448.3</v>
      </c>
      <c r="GN6">
        <v>448.20000000070002</v>
      </c>
      <c r="GO6">
        <v>448.20000000070002</v>
      </c>
      <c r="GP6">
        <v>448.3</v>
      </c>
      <c r="GQ6">
        <v>448.3</v>
      </c>
      <c r="GR6">
        <v>448.40000000110001</v>
      </c>
      <c r="GS6">
        <v>448.20000000070002</v>
      </c>
      <c r="GT6">
        <v>448.3</v>
      </c>
      <c r="GU6">
        <v>448.20000000070002</v>
      </c>
      <c r="GV6">
        <v>448.00000000030002</v>
      </c>
      <c r="GW6">
        <v>1</v>
      </c>
      <c r="GX6">
        <v>117.400000001</v>
      </c>
      <c r="GY6">
        <v>116</v>
      </c>
      <c r="GZ6">
        <v>116</v>
      </c>
      <c r="HA6">
        <v>120.3999999998</v>
      </c>
      <c r="HB6">
        <v>117.15972795179999</v>
      </c>
      <c r="HC6">
        <v>-4.3999999998000003</v>
      </c>
      <c r="HD6">
        <v>448.00015609349998</v>
      </c>
      <c r="HE6">
        <v>298.12423904569999</v>
      </c>
      <c r="HF6">
        <v>90.748199353000004</v>
      </c>
      <c r="HG6">
        <v>448.50000000040001</v>
      </c>
      <c r="HH6">
        <v>448.40000000110001</v>
      </c>
      <c r="HI6">
        <v>448.50000000040001</v>
      </c>
      <c r="HJ6">
        <v>448.40000000110001</v>
      </c>
      <c r="HK6">
        <v>110.26392961880001</v>
      </c>
      <c r="HL6">
        <v>3.4788077159999999</v>
      </c>
      <c r="HM6">
        <v>3.4018105995000001</v>
      </c>
      <c r="HN6">
        <v>3.4558241776999998</v>
      </c>
      <c r="HO6">
        <v>3.4444196392999999</v>
      </c>
      <c r="HP6">
        <v>3.7021711547999998</v>
      </c>
      <c r="HQ6">
        <v>2.3870580834999999</v>
      </c>
      <c r="HR6">
        <v>26.411528598699999</v>
      </c>
      <c r="HS6">
        <v>-25.806451612899998</v>
      </c>
      <c r="HT6">
        <v>-176</v>
      </c>
      <c r="HU6">
        <v>415.28396699749999</v>
      </c>
      <c r="HV6">
        <v>89.149560117299998</v>
      </c>
      <c r="HW6">
        <v>608</v>
      </c>
      <c r="HX6">
        <v>26.411528598699999</v>
      </c>
      <c r="HY6">
        <v>-25.806451612899998</v>
      </c>
      <c r="HZ6">
        <v>-176</v>
      </c>
      <c r="IA6">
        <v>415.28396699749999</v>
      </c>
      <c r="IB6">
        <v>89.149560117299998</v>
      </c>
      <c r="IC6">
        <v>608</v>
      </c>
      <c r="ID6">
        <v>33.116033003699997</v>
      </c>
      <c r="IE6">
        <v>4.7224774216999998</v>
      </c>
      <c r="IF6">
        <v>-35.190615835800003</v>
      </c>
      <c r="IG6">
        <v>-240</v>
      </c>
      <c r="IH6">
        <v>438.60941019059999</v>
      </c>
      <c r="II6">
        <v>98.533724340199996</v>
      </c>
      <c r="IJ6">
        <v>672</v>
      </c>
      <c r="IK6">
        <v>388.8724383988</v>
      </c>
      <c r="IL6">
        <v>114.9560117302</v>
      </c>
      <c r="IM6">
        <v>413.12682573289999</v>
      </c>
      <c r="IN6">
        <v>124.3401759531</v>
      </c>
      <c r="IO6">
        <v>7.5999999989999996</v>
      </c>
      <c r="IP6">
        <v>5.9999999994</v>
      </c>
      <c r="IQ6">
        <v>10.0000000002</v>
      </c>
      <c r="IR6">
        <v>6.0607379850000003</v>
      </c>
      <c r="IS6">
        <v>6.0607379850000003</v>
      </c>
      <c r="IT6">
        <v>3.0000000006</v>
      </c>
      <c r="IU6">
        <v>-28.152492668600001</v>
      </c>
      <c r="IV6">
        <v>7.7000000001000002</v>
      </c>
      <c r="IW6">
        <v>77.419354838700002</v>
      </c>
      <c r="IX6">
        <v>7.3000000010999999</v>
      </c>
      <c r="IY6">
        <v>93.841642228699996</v>
      </c>
      <c r="IZ6">
        <v>-33.612668590399998</v>
      </c>
      <c r="JA6">
        <v>0.31360630389999999</v>
      </c>
      <c r="JB6">
        <v>-2.9680400000000001E-4</v>
      </c>
      <c r="JC6">
        <v>6.088E-7</v>
      </c>
      <c r="JD6">
        <v>0.28745480680000002</v>
      </c>
      <c r="JE6">
        <v>0.3038147611</v>
      </c>
      <c r="JF6">
        <v>0.12944848680000001</v>
      </c>
      <c r="JG6">
        <v>117.5295565365</v>
      </c>
      <c r="JH6">
        <v>3.7021711547999998</v>
      </c>
      <c r="JI6">
        <v>2.2170380000000002E-3</v>
      </c>
      <c r="JJ6">
        <v>-7.17365E-5</v>
      </c>
      <c r="JK6">
        <v>3.4788077159999999</v>
      </c>
      <c r="JL6">
        <v>1.7124930447</v>
      </c>
      <c r="JM6">
        <v>0.62170027839999997</v>
      </c>
      <c r="JN6" t="s">
        <v>545</v>
      </c>
      <c r="JQ6">
        <v>1</v>
      </c>
    </row>
    <row r="7" spans="1:277">
      <c r="A7" t="s">
        <v>594</v>
      </c>
      <c r="B7" t="s">
        <v>595</v>
      </c>
      <c r="C7" t="s">
        <v>212</v>
      </c>
      <c r="D7">
        <v>3</v>
      </c>
      <c r="E7" t="s">
        <v>213</v>
      </c>
      <c r="F7" t="s">
        <v>214</v>
      </c>
      <c r="G7" t="s">
        <v>544</v>
      </c>
      <c r="H7" t="s">
        <v>216</v>
      </c>
      <c r="J7" t="s">
        <v>588</v>
      </c>
      <c r="K7" t="s">
        <v>589</v>
      </c>
      <c r="L7" t="s">
        <v>590</v>
      </c>
      <c r="M7" t="s">
        <v>591</v>
      </c>
      <c r="N7" t="s">
        <v>592</v>
      </c>
      <c r="O7">
        <v>0</v>
      </c>
      <c r="P7">
        <v>0</v>
      </c>
      <c r="Q7">
        <v>0</v>
      </c>
      <c r="R7">
        <v>0.60000000119999997</v>
      </c>
      <c r="S7">
        <v>0.7000000005</v>
      </c>
      <c r="T7">
        <v>1.2000000006</v>
      </c>
      <c r="U7">
        <v>1.2999999999</v>
      </c>
      <c r="V7">
        <v>1.0000000002</v>
      </c>
      <c r="W7">
        <v>1.0000000002</v>
      </c>
      <c r="X7">
        <v>1.0000000002</v>
      </c>
      <c r="Y7">
        <v>1.2000000006</v>
      </c>
      <c r="Z7">
        <v>1.2000000006</v>
      </c>
      <c r="AA7">
        <v>1.400000001</v>
      </c>
      <c r="AB7">
        <v>1.1000000013</v>
      </c>
      <c r="AC7">
        <v>1.5999999996000001</v>
      </c>
      <c r="AD7">
        <v>1.0000000002</v>
      </c>
      <c r="AE7">
        <v>1.0000000002</v>
      </c>
      <c r="AF7">
        <v>1.0000000002</v>
      </c>
      <c r="AG7">
        <v>1.0000000002</v>
      </c>
      <c r="AH7">
        <v>1.2000000006</v>
      </c>
      <c r="AI7">
        <v>1.2999999999</v>
      </c>
      <c r="AJ7">
        <v>3.0000000006</v>
      </c>
      <c r="AK7">
        <v>9.7999999998000007</v>
      </c>
      <c r="AL7">
        <v>16.600000000800001</v>
      </c>
      <c r="AM7">
        <v>23.600000000400001</v>
      </c>
      <c r="AN7">
        <v>30.800000000499999</v>
      </c>
      <c r="AO7">
        <v>39.5000000008</v>
      </c>
      <c r="AP7">
        <v>47.800000000300003</v>
      </c>
      <c r="AQ7">
        <v>56.4000000013</v>
      </c>
      <c r="AR7">
        <v>64.3</v>
      </c>
      <c r="AS7">
        <v>72.700000000599999</v>
      </c>
      <c r="AT7">
        <v>79.600000000899996</v>
      </c>
      <c r="AU7">
        <v>89.1000000011</v>
      </c>
      <c r="AV7">
        <v>97.800000001399994</v>
      </c>
      <c r="AW7">
        <v>106.7999999996</v>
      </c>
      <c r="AX7">
        <v>114.9999999998</v>
      </c>
      <c r="AY7">
        <v>124.20000000020001</v>
      </c>
      <c r="AZ7">
        <v>131.6999999999</v>
      </c>
      <c r="BA7">
        <v>141.49999999970001</v>
      </c>
      <c r="BB7">
        <v>150.40000000040001</v>
      </c>
      <c r="BC7">
        <v>159.2000000001</v>
      </c>
      <c r="BD7">
        <v>167.4000000003</v>
      </c>
      <c r="BE7">
        <v>176.300000001</v>
      </c>
      <c r="BF7">
        <v>183.39999999989999</v>
      </c>
      <c r="BG7">
        <v>193.50000000119999</v>
      </c>
      <c r="BH7">
        <v>202.50000000119999</v>
      </c>
      <c r="BI7">
        <v>211.1999999997</v>
      </c>
      <c r="BJ7">
        <v>219.4</v>
      </c>
      <c r="BK7">
        <v>227.89999999989999</v>
      </c>
      <c r="BL7">
        <v>235.09999999990001</v>
      </c>
      <c r="BM7">
        <v>244.5000000007</v>
      </c>
      <c r="BN7">
        <v>252.90000000129999</v>
      </c>
      <c r="BO7">
        <v>261.00000000040001</v>
      </c>
      <c r="BP7">
        <v>269.10000000129997</v>
      </c>
      <c r="BQ7">
        <v>277.40000000089998</v>
      </c>
      <c r="BR7">
        <v>284.70000000020002</v>
      </c>
      <c r="BS7">
        <v>292.49999999959999</v>
      </c>
      <c r="BT7">
        <v>301.00000000130001</v>
      </c>
      <c r="BU7">
        <v>308.30000000059999</v>
      </c>
      <c r="BV7">
        <v>315.89999999960003</v>
      </c>
      <c r="BW7">
        <v>322.70000000060003</v>
      </c>
      <c r="BX7">
        <v>330.5</v>
      </c>
      <c r="BY7">
        <v>336.50000000130001</v>
      </c>
      <c r="BZ7">
        <v>343.6000000002</v>
      </c>
      <c r="CA7">
        <v>351.6</v>
      </c>
      <c r="CB7">
        <v>358.59999999960002</v>
      </c>
      <c r="CC7">
        <v>365.49999999990001</v>
      </c>
      <c r="CD7">
        <v>371.4</v>
      </c>
      <c r="CE7">
        <v>378.09999999989998</v>
      </c>
      <c r="CF7">
        <v>384.2000000004</v>
      </c>
      <c r="CG7">
        <v>389.50000000109998</v>
      </c>
      <c r="CH7">
        <v>396.09999999989998</v>
      </c>
      <c r="CI7">
        <v>403.20000000070002</v>
      </c>
      <c r="CJ7">
        <v>409.80000000130002</v>
      </c>
      <c r="CK7">
        <v>416.00000000109998</v>
      </c>
      <c r="CL7">
        <v>421.20000000070002</v>
      </c>
      <c r="CM7">
        <v>426.99999999969998</v>
      </c>
      <c r="CN7">
        <v>432.80000000050001</v>
      </c>
      <c r="CO7">
        <v>437.5</v>
      </c>
      <c r="CP7">
        <v>442.1000000002</v>
      </c>
      <c r="CQ7">
        <v>445.80000000130002</v>
      </c>
      <c r="CR7">
        <v>449.59999999989998</v>
      </c>
      <c r="CS7">
        <v>452.50000000120002</v>
      </c>
      <c r="CT7">
        <v>452.60000000050002</v>
      </c>
      <c r="CU7">
        <v>452.50000000120002</v>
      </c>
      <c r="CV7">
        <v>452.60000000050002</v>
      </c>
      <c r="CW7">
        <v>452.40000000010002</v>
      </c>
      <c r="CX7">
        <v>452.19999999970003</v>
      </c>
      <c r="CY7">
        <v>452.19999999970003</v>
      </c>
      <c r="CZ7">
        <v>452.19999999970003</v>
      </c>
      <c r="DA7">
        <v>452.50000000120002</v>
      </c>
      <c r="DB7">
        <v>452.50000000120002</v>
      </c>
      <c r="DC7">
        <v>452.50000000120002</v>
      </c>
      <c r="DD7">
        <v>452.60000000050002</v>
      </c>
      <c r="DE7">
        <v>452.60000000050002</v>
      </c>
      <c r="DF7">
        <v>452.50000000120002</v>
      </c>
      <c r="DG7">
        <v>1.2000000006</v>
      </c>
      <c r="DH7">
        <v>1.400000001</v>
      </c>
      <c r="DI7">
        <v>1.5000000003</v>
      </c>
      <c r="DJ7">
        <v>2.0000000004</v>
      </c>
      <c r="DK7">
        <v>2.3000000000999998</v>
      </c>
      <c r="DL7">
        <v>2.4000000012</v>
      </c>
      <c r="DM7">
        <v>2.2000000007999998</v>
      </c>
      <c r="DN7">
        <v>2.2000000007999998</v>
      </c>
      <c r="DO7">
        <v>2.0000000004</v>
      </c>
      <c r="DP7">
        <v>1.9000000011</v>
      </c>
      <c r="DQ7">
        <v>1.9000000011</v>
      </c>
      <c r="DR7">
        <v>1.8</v>
      </c>
      <c r="DS7">
        <v>2.0999999997000001</v>
      </c>
      <c r="DT7">
        <v>2.3000000000999998</v>
      </c>
      <c r="DU7">
        <v>2.2000000007999998</v>
      </c>
      <c r="DV7">
        <v>2.3000000000999998</v>
      </c>
      <c r="DW7">
        <v>2.0999999997000001</v>
      </c>
      <c r="DX7">
        <v>2.0000000004</v>
      </c>
      <c r="DY7">
        <v>2.3000000000999998</v>
      </c>
      <c r="DZ7">
        <v>5.1999999996000001</v>
      </c>
      <c r="EA7">
        <v>12.5000000007</v>
      </c>
      <c r="EB7">
        <v>20.200000000799999</v>
      </c>
      <c r="EC7">
        <v>27.100000001200002</v>
      </c>
      <c r="ED7">
        <v>35.6000000011</v>
      </c>
      <c r="EE7">
        <v>44.100000000999998</v>
      </c>
      <c r="EF7">
        <v>52.4000000005</v>
      </c>
      <c r="EG7">
        <v>60.4999999996</v>
      </c>
      <c r="EH7">
        <v>68.500000001199993</v>
      </c>
      <c r="EI7">
        <v>76.100000000199998</v>
      </c>
      <c r="EJ7">
        <v>83.800000000300003</v>
      </c>
      <c r="EK7">
        <v>93.300000000500006</v>
      </c>
      <c r="EL7">
        <v>102.30000000050001</v>
      </c>
      <c r="EM7">
        <v>111.3999999998</v>
      </c>
      <c r="EN7">
        <v>119.8000000004</v>
      </c>
      <c r="EO7">
        <v>128.09999999990001</v>
      </c>
      <c r="EP7">
        <v>136.3000000001</v>
      </c>
      <c r="EQ7">
        <v>145.90000000129999</v>
      </c>
      <c r="ER7">
        <v>154.9000000014</v>
      </c>
      <c r="ES7">
        <v>163.8000000003</v>
      </c>
      <c r="ET7">
        <v>172.09999999979999</v>
      </c>
      <c r="EU7">
        <v>180.3</v>
      </c>
      <c r="EV7">
        <v>188.7999999999</v>
      </c>
      <c r="EW7">
        <v>198.8000000001</v>
      </c>
      <c r="EX7">
        <v>208.09999999979999</v>
      </c>
      <c r="EY7">
        <v>216.2000000008</v>
      </c>
      <c r="EZ7">
        <v>225.0999999997</v>
      </c>
      <c r="FA7">
        <v>232.70000000050001</v>
      </c>
      <c r="FB7">
        <v>241.2000000004</v>
      </c>
      <c r="FC7">
        <v>250.50000000009999</v>
      </c>
      <c r="FD7">
        <v>259.1000000011</v>
      </c>
      <c r="FE7">
        <v>266.80000000119998</v>
      </c>
      <c r="FF7">
        <v>275.40000000039998</v>
      </c>
      <c r="FG7">
        <v>283.00000000130001</v>
      </c>
      <c r="FH7">
        <v>290.80000000069998</v>
      </c>
      <c r="FI7">
        <v>299.60000000029999</v>
      </c>
      <c r="FJ7">
        <v>307.50000000080001</v>
      </c>
      <c r="FK7">
        <v>315.50000000059998</v>
      </c>
      <c r="FL7">
        <v>322.40000000089998</v>
      </c>
      <c r="FM7">
        <v>329.99999999990001</v>
      </c>
      <c r="FN7">
        <v>336.40000000010002</v>
      </c>
      <c r="FO7">
        <v>343.8999999998</v>
      </c>
      <c r="FP7">
        <v>352.00000000080001</v>
      </c>
      <c r="FQ7">
        <v>359.2000000008</v>
      </c>
      <c r="FR7">
        <v>366.70000000049998</v>
      </c>
      <c r="FS7">
        <v>372.60000000060001</v>
      </c>
      <c r="FT7">
        <v>379.89999999989999</v>
      </c>
      <c r="FU7">
        <v>385.59999999960002</v>
      </c>
      <c r="FV7">
        <v>391.49999999969998</v>
      </c>
      <c r="FW7">
        <v>398.60000000039997</v>
      </c>
      <c r="FX7">
        <v>404.80000000029997</v>
      </c>
      <c r="FY7">
        <v>411.20000000049998</v>
      </c>
      <c r="FZ7">
        <v>417.4000000003</v>
      </c>
      <c r="GA7">
        <v>422.89999999960003</v>
      </c>
      <c r="GB7">
        <v>429.00000000009999</v>
      </c>
      <c r="GC7">
        <v>434.40000000010002</v>
      </c>
      <c r="GD7">
        <v>438.90000000100002</v>
      </c>
      <c r="GE7">
        <v>443.50000000120002</v>
      </c>
      <c r="GF7">
        <v>446.6000000011</v>
      </c>
      <c r="GG7">
        <v>449.59999999989998</v>
      </c>
      <c r="GH7">
        <v>451.9</v>
      </c>
      <c r="GI7">
        <v>451.9</v>
      </c>
      <c r="GJ7">
        <v>452.10000000039997</v>
      </c>
      <c r="GK7">
        <v>452.10000000039997</v>
      </c>
      <c r="GL7">
        <v>452.19999999970003</v>
      </c>
      <c r="GM7">
        <v>452.30000000080003</v>
      </c>
      <c r="GN7">
        <v>452.40000000010002</v>
      </c>
      <c r="GO7">
        <v>452.40000000010002</v>
      </c>
      <c r="GP7">
        <v>452.30000000080003</v>
      </c>
      <c r="GQ7">
        <v>452.40000000010002</v>
      </c>
      <c r="GR7">
        <v>452.19999999970003</v>
      </c>
      <c r="GS7">
        <v>452.10000000039997</v>
      </c>
      <c r="GT7">
        <v>452.19999999970003</v>
      </c>
      <c r="GU7">
        <v>452.19999999970003</v>
      </c>
      <c r="GV7">
        <v>452.40000000010002</v>
      </c>
      <c r="GW7">
        <v>1</v>
      </c>
      <c r="GX7">
        <v>108.9000000011</v>
      </c>
      <c r="GY7">
        <v>106.7999999996</v>
      </c>
      <c r="GZ7">
        <v>106.7999999996</v>
      </c>
      <c r="HA7">
        <v>111.3999999998</v>
      </c>
      <c r="HB7">
        <v>107.90920543670001</v>
      </c>
      <c r="HC7">
        <v>-4.6000000001999997</v>
      </c>
      <c r="HD7">
        <v>452.40000000010002</v>
      </c>
      <c r="HE7">
        <v>308.83821416810002</v>
      </c>
      <c r="HF7">
        <v>91.162802518399999</v>
      </c>
      <c r="HG7">
        <v>452.60000000050002</v>
      </c>
      <c r="HH7">
        <v>452.40000000010002</v>
      </c>
      <c r="HI7">
        <v>452.60000000050002</v>
      </c>
      <c r="HJ7">
        <v>452.40000000010002</v>
      </c>
      <c r="HK7">
        <v>110.26392961880001</v>
      </c>
      <c r="HL7">
        <v>3.5046983969999999</v>
      </c>
      <c r="HM7">
        <v>3.4245146258000001</v>
      </c>
      <c r="HN7">
        <v>3.4947956061999998</v>
      </c>
      <c r="HO7">
        <v>3.3991366466000001</v>
      </c>
      <c r="HP7">
        <v>3.7039853044000002</v>
      </c>
      <c r="HQ7">
        <v>2.3986717658000001</v>
      </c>
      <c r="HR7">
        <v>16.746402918299999</v>
      </c>
      <c r="HS7">
        <v>-25.806451612899998</v>
      </c>
      <c r="HT7">
        <v>-176</v>
      </c>
      <c r="HU7">
        <v>416.74741960469999</v>
      </c>
      <c r="HV7">
        <v>91.495601172999997</v>
      </c>
      <c r="HW7">
        <v>624</v>
      </c>
      <c r="HX7">
        <v>16.746402918299999</v>
      </c>
      <c r="HY7">
        <v>-25.806451612899998</v>
      </c>
      <c r="HZ7">
        <v>-176</v>
      </c>
      <c r="IA7">
        <v>416.74741960469999</v>
      </c>
      <c r="IB7">
        <v>91.495601172999997</v>
      </c>
      <c r="IC7">
        <v>624</v>
      </c>
      <c r="ID7">
        <v>35.652580395400001</v>
      </c>
      <c r="IE7">
        <v>1.2028290424999999</v>
      </c>
      <c r="IF7">
        <v>-35.190615835800003</v>
      </c>
      <c r="IG7">
        <v>-240</v>
      </c>
      <c r="IH7">
        <v>438.6761962658</v>
      </c>
      <c r="II7">
        <v>100.87976539589999</v>
      </c>
      <c r="IJ7">
        <v>688</v>
      </c>
      <c r="IK7">
        <v>400.00101668640002</v>
      </c>
      <c r="IL7">
        <v>117.3020527859</v>
      </c>
      <c r="IM7">
        <v>425.50856448180002</v>
      </c>
      <c r="IN7">
        <v>126.6862170088</v>
      </c>
      <c r="IO7">
        <v>7.7000000001000002</v>
      </c>
      <c r="IP7">
        <v>6.1000000004999997</v>
      </c>
      <c r="IQ7">
        <v>10.1000000013</v>
      </c>
      <c r="IR7">
        <v>6.2790996823</v>
      </c>
      <c r="IS7">
        <v>6.2790996823</v>
      </c>
      <c r="IT7">
        <v>2.7000000008999998</v>
      </c>
      <c r="IU7">
        <v>-28.152492668600001</v>
      </c>
      <c r="IV7">
        <v>9.0999999992999996</v>
      </c>
      <c r="IW7">
        <v>84.457478005900001</v>
      </c>
      <c r="IX7">
        <v>7.7999999993999998</v>
      </c>
      <c r="IY7">
        <v>96.187683284499997</v>
      </c>
      <c r="IZ7">
        <v>-30.799387595199999</v>
      </c>
      <c r="JA7">
        <v>0.31138168710000003</v>
      </c>
      <c r="JB7">
        <v>-2.9169990000000001E-4</v>
      </c>
      <c r="JC7">
        <v>5.9709999999999997E-7</v>
      </c>
      <c r="JD7">
        <v>0.28533125729999997</v>
      </c>
      <c r="JE7">
        <v>0.34632024760000002</v>
      </c>
      <c r="JF7">
        <v>0.14047692270000001</v>
      </c>
      <c r="JG7">
        <v>107.8371274042</v>
      </c>
      <c r="JH7">
        <v>3.7039853044000002</v>
      </c>
      <c r="JI7">
        <v>3.0377205E-3</v>
      </c>
      <c r="JJ7">
        <v>-7.4108699999999997E-5</v>
      </c>
      <c r="JK7">
        <v>3.5046983969999999</v>
      </c>
      <c r="JL7">
        <v>1.5859292518000001</v>
      </c>
      <c r="JM7">
        <v>0.59254740890000002</v>
      </c>
      <c r="JN7" t="s">
        <v>545</v>
      </c>
      <c r="JQ7">
        <v>1</v>
      </c>
    </row>
    <row r="8" spans="1:277">
      <c r="A8" t="s">
        <v>607</v>
      </c>
      <c r="B8" t="s">
        <v>608</v>
      </c>
      <c r="C8" t="s">
        <v>212</v>
      </c>
      <c r="D8">
        <v>3</v>
      </c>
      <c r="E8" t="s">
        <v>213</v>
      </c>
      <c r="F8" t="s">
        <v>214</v>
      </c>
      <c r="G8" t="s">
        <v>544</v>
      </c>
      <c r="H8" t="s">
        <v>216</v>
      </c>
      <c r="J8" t="s">
        <v>602</v>
      </c>
      <c r="K8" t="s">
        <v>603</v>
      </c>
      <c r="L8" t="s">
        <v>604</v>
      </c>
      <c r="M8" t="s">
        <v>605</v>
      </c>
      <c r="N8" t="s">
        <v>606</v>
      </c>
      <c r="O8">
        <v>0</v>
      </c>
      <c r="P8">
        <v>0</v>
      </c>
      <c r="Q8">
        <v>0</v>
      </c>
      <c r="R8">
        <v>0.59999999940000004</v>
      </c>
      <c r="S8">
        <v>0.59999999940000004</v>
      </c>
      <c r="T8">
        <v>0.50000000010000001</v>
      </c>
      <c r="U8">
        <v>0.39999999899999999</v>
      </c>
      <c r="V8">
        <v>0.50000000010000001</v>
      </c>
      <c r="W8">
        <v>0.59999999940000004</v>
      </c>
      <c r="X8">
        <v>0.7000000005</v>
      </c>
      <c r="Y8">
        <v>0.79999999980000003</v>
      </c>
      <c r="Z8">
        <v>0.59999999940000004</v>
      </c>
      <c r="AA8">
        <v>0.7000000005</v>
      </c>
      <c r="AB8">
        <v>0.7000000005</v>
      </c>
      <c r="AC8">
        <v>0.79999999980000003</v>
      </c>
      <c r="AD8">
        <v>0.89999999909999995</v>
      </c>
      <c r="AE8">
        <v>1.0000000002</v>
      </c>
      <c r="AF8">
        <v>1.5000000003</v>
      </c>
      <c r="AG8">
        <v>1.1999999988000001</v>
      </c>
      <c r="AH8">
        <v>3.6999999993000001</v>
      </c>
      <c r="AI8">
        <v>6.4000000002000004</v>
      </c>
      <c r="AJ8">
        <v>15.1000000005</v>
      </c>
      <c r="AK8">
        <v>20.399999999399999</v>
      </c>
      <c r="AL8">
        <v>28.8999999993</v>
      </c>
      <c r="AM8">
        <v>36.200000000499998</v>
      </c>
      <c r="AN8">
        <v>44.899999999000002</v>
      </c>
      <c r="AO8">
        <v>51.999999999700002</v>
      </c>
      <c r="AP8">
        <v>60.199999999900001</v>
      </c>
      <c r="AQ8">
        <v>68.299999998999994</v>
      </c>
      <c r="AR8">
        <v>75.499999998999996</v>
      </c>
      <c r="AS8">
        <v>85.999999999300002</v>
      </c>
      <c r="AT8">
        <v>92.999999998899995</v>
      </c>
      <c r="AU8">
        <v>101.8999999997</v>
      </c>
      <c r="AV8">
        <v>108.0999999995</v>
      </c>
      <c r="AW8">
        <v>119.8000000004</v>
      </c>
      <c r="AX8">
        <v>126.6999999989</v>
      </c>
      <c r="AY8">
        <v>136.199999999</v>
      </c>
      <c r="AZ8">
        <v>145.00000000040001</v>
      </c>
      <c r="BA8">
        <v>153.50000000029999</v>
      </c>
      <c r="BB8">
        <v>161.89999999919999</v>
      </c>
      <c r="BC8">
        <v>170.89999999919999</v>
      </c>
      <c r="BD8">
        <v>178.5999999993</v>
      </c>
      <c r="BE8">
        <v>187.5999999993</v>
      </c>
      <c r="BF8">
        <v>196.89999999899999</v>
      </c>
      <c r="BG8">
        <v>204.89999999880001</v>
      </c>
      <c r="BH8">
        <v>213.79999999949999</v>
      </c>
      <c r="BI8">
        <v>221.9000000005</v>
      </c>
      <c r="BJ8">
        <v>229.9000000003</v>
      </c>
      <c r="BK8">
        <v>238.5999999988</v>
      </c>
      <c r="BL8">
        <v>247.9000000003</v>
      </c>
      <c r="BM8">
        <v>255.90000000009999</v>
      </c>
      <c r="BN8">
        <v>263.89999999989999</v>
      </c>
      <c r="BO8">
        <v>271.60000000000002</v>
      </c>
      <c r="BP8">
        <v>279.199999999</v>
      </c>
      <c r="BQ8">
        <v>286.89999999920002</v>
      </c>
      <c r="BR8">
        <v>296.39999999930001</v>
      </c>
      <c r="BS8">
        <v>304.29999999979998</v>
      </c>
      <c r="BT8">
        <v>310.90000000039998</v>
      </c>
      <c r="BU8">
        <v>318.49999999940002</v>
      </c>
      <c r="BV8">
        <v>326.19999999949999</v>
      </c>
      <c r="BW8">
        <v>332.09999999960002</v>
      </c>
      <c r="BX8">
        <v>338.89999999880001</v>
      </c>
      <c r="BY8">
        <v>347.20000000020002</v>
      </c>
      <c r="BZ8">
        <v>354.9000000003</v>
      </c>
      <c r="CA8">
        <v>360.6</v>
      </c>
      <c r="CB8">
        <v>368.00000000040001</v>
      </c>
      <c r="CC8">
        <v>373.99999999980002</v>
      </c>
      <c r="CD8">
        <v>380.4</v>
      </c>
      <c r="CE8">
        <v>386.50000000049999</v>
      </c>
      <c r="CF8">
        <v>393.0999999993</v>
      </c>
      <c r="CG8">
        <v>399.5999999988</v>
      </c>
      <c r="CH8">
        <v>406.1000000002</v>
      </c>
      <c r="CI8">
        <v>411.79999999990002</v>
      </c>
      <c r="CJ8">
        <v>417.90000000039998</v>
      </c>
      <c r="CK8">
        <v>424.39999999989999</v>
      </c>
      <c r="CL8">
        <v>429.59999999950003</v>
      </c>
      <c r="CM8">
        <v>435.1999999999</v>
      </c>
      <c r="CN8">
        <v>440.59999999989998</v>
      </c>
      <c r="CO8">
        <v>446.2999999996</v>
      </c>
      <c r="CP8">
        <v>452.49999999940002</v>
      </c>
      <c r="CQ8">
        <v>458.69999999919997</v>
      </c>
      <c r="CR8">
        <v>460.9</v>
      </c>
      <c r="CS8">
        <v>461.49999999940002</v>
      </c>
      <c r="CT8">
        <v>461.40000000010002</v>
      </c>
      <c r="CU8">
        <v>460.9</v>
      </c>
      <c r="CV8">
        <v>461.29999999900002</v>
      </c>
      <c r="CW8">
        <v>460.99999999929997</v>
      </c>
      <c r="CX8">
        <v>460.99999999929997</v>
      </c>
      <c r="CY8">
        <v>460.99999999929997</v>
      </c>
      <c r="CZ8">
        <v>461.10000000039997</v>
      </c>
      <c r="DA8">
        <v>461.19999999970003</v>
      </c>
      <c r="DB8">
        <v>461.29999999900002</v>
      </c>
      <c r="DC8">
        <v>461.19999999970003</v>
      </c>
      <c r="DD8">
        <v>460.99999999929997</v>
      </c>
      <c r="DE8">
        <v>461.19999999970003</v>
      </c>
      <c r="DF8">
        <v>461.10000000039997</v>
      </c>
      <c r="DG8">
        <v>0.89999999909999995</v>
      </c>
      <c r="DH8">
        <v>1.3999999992000001</v>
      </c>
      <c r="DI8">
        <v>1.3999999992000001</v>
      </c>
      <c r="DJ8">
        <v>1.5999999996000001</v>
      </c>
      <c r="DK8">
        <v>1.6999999989000001</v>
      </c>
      <c r="DL8">
        <v>1.6999999989000001</v>
      </c>
      <c r="DM8">
        <v>1.5000000003</v>
      </c>
      <c r="DN8">
        <v>2.1999999990000001</v>
      </c>
      <c r="DO8">
        <v>1.5000000003</v>
      </c>
      <c r="DP8">
        <v>2.0000000004</v>
      </c>
      <c r="DQ8">
        <v>1.5999999996000001</v>
      </c>
      <c r="DR8">
        <v>2.8000000001999998</v>
      </c>
      <c r="DS8">
        <v>0.89999999909999995</v>
      </c>
      <c r="DT8">
        <v>1.8999999993000001</v>
      </c>
      <c r="DU8">
        <v>2.0000000004</v>
      </c>
      <c r="DV8">
        <v>2.0999999997000001</v>
      </c>
      <c r="DW8">
        <v>2.3000000000999998</v>
      </c>
      <c r="DX8">
        <v>5.9000000001000004</v>
      </c>
      <c r="DY8">
        <v>11.8999999995</v>
      </c>
      <c r="DZ8">
        <v>18.799999999800001</v>
      </c>
      <c r="EA8">
        <v>25.9999999998</v>
      </c>
      <c r="EB8">
        <v>33.700000000000003</v>
      </c>
      <c r="EC8">
        <v>42.199999999900001</v>
      </c>
      <c r="ED8">
        <v>49.399999999899997</v>
      </c>
      <c r="EE8">
        <v>57.499999999000003</v>
      </c>
      <c r="EF8">
        <v>65.699999999200003</v>
      </c>
      <c r="EG8">
        <v>72.899999999200006</v>
      </c>
      <c r="EH8">
        <v>81.399999999100004</v>
      </c>
      <c r="EI8">
        <v>89.899999999000002</v>
      </c>
      <c r="EJ8">
        <v>98</v>
      </c>
      <c r="EK8">
        <v>106.70000000029999</v>
      </c>
      <c r="EL8">
        <v>115.4999999999</v>
      </c>
      <c r="EM8">
        <v>123.599999999</v>
      </c>
      <c r="EN8">
        <v>132.7000000001</v>
      </c>
      <c r="EO8">
        <v>141.9000000005</v>
      </c>
      <c r="EP8">
        <v>150.09999999889999</v>
      </c>
      <c r="EQ8">
        <v>159.09999999889999</v>
      </c>
      <c r="ER8">
        <v>168.099999999</v>
      </c>
      <c r="ES8">
        <v>176.0999999988</v>
      </c>
      <c r="ET8">
        <v>184.90000000020001</v>
      </c>
      <c r="EU8">
        <v>194.2999999992</v>
      </c>
      <c r="EV8">
        <v>202.79999999910001</v>
      </c>
      <c r="EW8">
        <v>211.69999999980001</v>
      </c>
      <c r="EX8">
        <v>220.1999999997</v>
      </c>
      <c r="EY8">
        <v>228.10000000030001</v>
      </c>
      <c r="EZ8">
        <v>236.89999999989999</v>
      </c>
      <c r="FA8">
        <v>246.4</v>
      </c>
      <c r="FB8">
        <v>254.99999999920001</v>
      </c>
      <c r="FC8">
        <v>262.89999999970001</v>
      </c>
      <c r="FD8">
        <v>271.19999999919997</v>
      </c>
      <c r="FE8">
        <v>278.8</v>
      </c>
      <c r="FF8">
        <v>287.00000000030002</v>
      </c>
      <c r="FG8">
        <v>295.79999999990002</v>
      </c>
      <c r="FH8">
        <v>304.20000000049998</v>
      </c>
      <c r="FI8">
        <v>311.70000000020002</v>
      </c>
      <c r="FJ8">
        <v>320.09999999899998</v>
      </c>
      <c r="FK8">
        <v>326.89999999999998</v>
      </c>
      <c r="FL8">
        <v>333.99999999890002</v>
      </c>
      <c r="FM8">
        <v>341.50000000049999</v>
      </c>
      <c r="FN8">
        <v>349.59999999960002</v>
      </c>
      <c r="FO8">
        <v>357.2000000004</v>
      </c>
      <c r="FP8">
        <v>363.9000000003</v>
      </c>
      <c r="FQ8">
        <v>371.4</v>
      </c>
      <c r="FR8">
        <v>377.99999999879998</v>
      </c>
      <c r="FS8">
        <v>384.2000000004</v>
      </c>
      <c r="FT8">
        <v>390.49999999950001</v>
      </c>
      <c r="FU8">
        <v>397.6000000002</v>
      </c>
      <c r="FV8">
        <v>404.3000000001</v>
      </c>
      <c r="FW8">
        <v>410.8999999989</v>
      </c>
      <c r="FX8">
        <v>417.1999999999</v>
      </c>
      <c r="FY8">
        <v>423.39999999970001</v>
      </c>
      <c r="FZ8">
        <v>429.00000000009999</v>
      </c>
      <c r="GA8">
        <v>434.10000000039997</v>
      </c>
      <c r="GB8">
        <v>439.5999999997</v>
      </c>
      <c r="GC8">
        <v>444.99999999969998</v>
      </c>
      <c r="GD8">
        <v>451.19999999949999</v>
      </c>
      <c r="GE8">
        <v>456.39999999909998</v>
      </c>
      <c r="GF8">
        <v>460.39999999989999</v>
      </c>
      <c r="GG8">
        <v>461.10000000039997</v>
      </c>
      <c r="GH8">
        <v>460.9</v>
      </c>
      <c r="GI8">
        <v>460.79999999889998</v>
      </c>
      <c r="GJ8">
        <v>460.69999999959998</v>
      </c>
      <c r="GK8">
        <v>460.79999999889998</v>
      </c>
      <c r="GL8">
        <v>461.19999999970003</v>
      </c>
      <c r="GM8">
        <v>461.29999999900002</v>
      </c>
      <c r="GN8">
        <v>461.29999999900002</v>
      </c>
      <c r="GO8">
        <v>461.19999999970003</v>
      </c>
      <c r="GP8">
        <v>461.19999999970003</v>
      </c>
      <c r="GQ8">
        <v>460.9</v>
      </c>
      <c r="GR8">
        <v>461.10000000039997</v>
      </c>
      <c r="GS8">
        <v>461.29999999900002</v>
      </c>
      <c r="GT8">
        <v>461.19999999970003</v>
      </c>
      <c r="GU8">
        <v>461.19999999970003</v>
      </c>
      <c r="GV8">
        <v>461.49999999940002</v>
      </c>
      <c r="GW8">
        <v>1</v>
      </c>
      <c r="GX8">
        <v>120.4999999991</v>
      </c>
      <c r="GY8">
        <v>119.8000000004</v>
      </c>
      <c r="GZ8">
        <v>119.8000000004</v>
      </c>
      <c r="HA8">
        <v>123.599999999</v>
      </c>
      <c r="HB8">
        <v>120.80251463259999</v>
      </c>
      <c r="HC8">
        <v>-3.7999999986000002</v>
      </c>
      <c r="HD8">
        <v>461.49999999940002</v>
      </c>
      <c r="HE8">
        <v>312.62355300270002</v>
      </c>
      <c r="HF8">
        <v>105.5665618898</v>
      </c>
      <c r="HG8">
        <v>461.49999999940002</v>
      </c>
      <c r="HH8">
        <v>461.49999999940002</v>
      </c>
      <c r="HI8">
        <v>461.49999999940002</v>
      </c>
      <c r="HJ8">
        <v>461.49999999940002</v>
      </c>
      <c r="HK8">
        <v>107.91788856300001</v>
      </c>
      <c r="HL8">
        <v>3.4811212758000001</v>
      </c>
      <c r="HM8">
        <v>3.3652350094000001</v>
      </c>
      <c r="HN8">
        <v>3.4524154087999999</v>
      </c>
      <c r="HO8">
        <v>3.2780962605999999</v>
      </c>
      <c r="HP8">
        <v>3.6786648711000001</v>
      </c>
      <c r="HQ8">
        <v>2.3276049972999999</v>
      </c>
      <c r="HR8">
        <v>15.2359527428</v>
      </c>
      <c r="HS8">
        <v>-30.4985337243</v>
      </c>
      <c r="HT8">
        <v>-208</v>
      </c>
      <c r="HU8">
        <v>433.4260676353</v>
      </c>
      <c r="HV8">
        <v>93.841642228699996</v>
      </c>
      <c r="HW8">
        <v>640</v>
      </c>
      <c r="HX8">
        <v>15.2359527428</v>
      </c>
      <c r="HY8">
        <v>-30.4985337243</v>
      </c>
      <c r="HZ8">
        <v>-208</v>
      </c>
      <c r="IA8">
        <v>433.4260676353</v>
      </c>
      <c r="IB8">
        <v>93.841642228699996</v>
      </c>
      <c r="IC8">
        <v>640</v>
      </c>
      <c r="ID8">
        <v>28.073932364099999</v>
      </c>
      <c r="IE8">
        <v>1.5023412099</v>
      </c>
      <c r="IF8">
        <v>-39.8826979472</v>
      </c>
      <c r="IG8">
        <v>-272</v>
      </c>
      <c r="IH8">
        <v>456.1821482757</v>
      </c>
      <c r="II8">
        <v>103.22580645159999</v>
      </c>
      <c r="IJ8">
        <v>704</v>
      </c>
      <c r="IK8">
        <v>418.19011489259998</v>
      </c>
      <c r="IL8">
        <v>124.3401759531</v>
      </c>
      <c r="IM8">
        <v>440.82672881029998</v>
      </c>
      <c r="IN8">
        <v>133.724340176</v>
      </c>
      <c r="IO8">
        <v>8.7000000002999993</v>
      </c>
      <c r="IP8">
        <v>6.1999999998000002</v>
      </c>
      <c r="IQ8">
        <v>11.700000000899999</v>
      </c>
      <c r="IR8">
        <v>5.9096112756999997</v>
      </c>
      <c r="IS8">
        <v>5.9096112756999997</v>
      </c>
      <c r="IT8">
        <v>5.4999999992999999</v>
      </c>
      <c r="IU8">
        <v>-32.844574780099997</v>
      </c>
      <c r="IV8">
        <v>11.5999999998</v>
      </c>
      <c r="IW8">
        <v>89.149560117299998</v>
      </c>
      <c r="IX8">
        <v>10.5999999996</v>
      </c>
      <c r="IY8">
        <v>100.87976539589999</v>
      </c>
      <c r="IZ8">
        <v>-34.945860530499999</v>
      </c>
      <c r="JA8">
        <v>0.3207815618</v>
      </c>
      <c r="JB8">
        <v>-3.172211E-4</v>
      </c>
      <c r="JC8">
        <v>6.0220000000000003E-7</v>
      </c>
      <c r="JD8">
        <v>0.28726376380000002</v>
      </c>
      <c r="JE8">
        <v>0.37983083369999998</v>
      </c>
      <c r="JF8">
        <v>0.15214693470000001</v>
      </c>
      <c r="JG8">
        <v>120.4528520373</v>
      </c>
      <c r="JH8">
        <v>3.6786648711000001</v>
      </c>
      <c r="JI8">
        <v>3.1905389E-3</v>
      </c>
      <c r="JJ8">
        <v>-7.3806299999999998E-5</v>
      </c>
      <c r="JK8">
        <v>3.4811212758000001</v>
      </c>
      <c r="JL8">
        <v>1.9476133865</v>
      </c>
      <c r="JM8">
        <v>0.67147616170000002</v>
      </c>
      <c r="JN8" t="s">
        <v>545</v>
      </c>
      <c r="JQ8">
        <v>1</v>
      </c>
    </row>
    <row r="9" spans="1:277">
      <c r="A9" t="s">
        <v>632</v>
      </c>
      <c r="B9" t="s">
        <v>633</v>
      </c>
      <c r="C9" t="s">
        <v>212</v>
      </c>
      <c r="D9">
        <v>3</v>
      </c>
      <c r="E9" t="s">
        <v>213</v>
      </c>
      <c r="F9" t="s">
        <v>214</v>
      </c>
      <c r="G9" t="s">
        <v>544</v>
      </c>
      <c r="H9" t="s">
        <v>216</v>
      </c>
      <c r="J9" t="s">
        <v>611</v>
      </c>
      <c r="K9" t="s">
        <v>612</v>
      </c>
      <c r="L9" t="s">
        <v>613</v>
      </c>
      <c r="M9" t="s">
        <v>614</v>
      </c>
      <c r="N9" t="s">
        <v>615</v>
      </c>
      <c r="O9">
        <v>0</v>
      </c>
      <c r="P9">
        <v>0</v>
      </c>
      <c r="Q9">
        <v>0</v>
      </c>
      <c r="R9">
        <v>0.20000000039999999</v>
      </c>
      <c r="S9">
        <v>0.3000000015</v>
      </c>
      <c r="T9">
        <v>0.20000000039999999</v>
      </c>
      <c r="U9">
        <v>0.3000000015</v>
      </c>
      <c r="V9">
        <v>0.50000000010000001</v>
      </c>
      <c r="W9">
        <v>0.3000000015</v>
      </c>
      <c r="X9">
        <v>0.60000000119999997</v>
      </c>
      <c r="Y9">
        <v>0.50000000010000001</v>
      </c>
      <c r="Z9">
        <v>0.50000000010000001</v>
      </c>
      <c r="AA9">
        <v>0.3000000015</v>
      </c>
      <c r="AB9">
        <v>0.60000000119999997</v>
      </c>
      <c r="AC9">
        <v>0.60000000119999997</v>
      </c>
      <c r="AD9">
        <v>0.7000000005</v>
      </c>
      <c r="AE9">
        <v>0.7000000005</v>
      </c>
      <c r="AF9">
        <v>0.79999999980000003</v>
      </c>
      <c r="AG9">
        <v>0.50000000010000001</v>
      </c>
      <c r="AH9">
        <v>1.5000000003</v>
      </c>
      <c r="AI9">
        <v>5.2000000014000003</v>
      </c>
      <c r="AJ9">
        <v>11.800000000200001</v>
      </c>
      <c r="AK9">
        <v>19.200000000599999</v>
      </c>
      <c r="AL9">
        <v>26.800000001499999</v>
      </c>
      <c r="AM9">
        <v>34.000000001499998</v>
      </c>
      <c r="AN9">
        <v>41.000000001099998</v>
      </c>
      <c r="AO9">
        <v>49.700000001399999</v>
      </c>
      <c r="AP9">
        <v>59.4000000001</v>
      </c>
      <c r="AQ9">
        <v>65.700000001000006</v>
      </c>
      <c r="AR9">
        <v>70.200000000100005</v>
      </c>
      <c r="AS9">
        <v>81.900000000999995</v>
      </c>
      <c r="AT9">
        <v>89.800000001599997</v>
      </c>
      <c r="AU9">
        <v>95.500000001299995</v>
      </c>
      <c r="AV9">
        <v>104.00000000119999</v>
      </c>
      <c r="AW9">
        <v>115.20000000020001</v>
      </c>
      <c r="AX9">
        <v>123.9999999998</v>
      </c>
      <c r="AY9">
        <v>132.10000000069999</v>
      </c>
      <c r="AZ9">
        <v>139.50000000110001</v>
      </c>
      <c r="BA9">
        <v>148.4</v>
      </c>
      <c r="BB9">
        <v>156.80000000070001</v>
      </c>
      <c r="BC9">
        <v>166.2000000015</v>
      </c>
      <c r="BD9">
        <v>173.60000000010001</v>
      </c>
      <c r="BE9">
        <v>181.9000000014</v>
      </c>
      <c r="BF9">
        <v>190.50000000060001</v>
      </c>
      <c r="BG9">
        <v>198.7000000008</v>
      </c>
      <c r="BH9">
        <v>207.10000000139999</v>
      </c>
      <c r="BI9">
        <v>216.00000000029999</v>
      </c>
      <c r="BJ9">
        <v>224.400000001</v>
      </c>
      <c r="BK9">
        <v>232.70000000050001</v>
      </c>
      <c r="BL9">
        <v>240.70000000030001</v>
      </c>
      <c r="BM9">
        <v>248.40000000040001</v>
      </c>
      <c r="BN9">
        <v>256.50000000130001</v>
      </c>
      <c r="BO9">
        <v>265.00000000120002</v>
      </c>
      <c r="BP9">
        <v>272.89999999989999</v>
      </c>
      <c r="BQ9">
        <v>280.80000000050001</v>
      </c>
      <c r="BR9">
        <v>288.10000000159999</v>
      </c>
      <c r="BS9">
        <v>295.40000000089998</v>
      </c>
      <c r="BT9">
        <v>302.70000000020002</v>
      </c>
      <c r="BU9">
        <v>309.90000000020001</v>
      </c>
      <c r="BV9">
        <v>317.89999999999998</v>
      </c>
      <c r="BW9">
        <v>325.20000000110002</v>
      </c>
      <c r="BX9">
        <v>332.40000000110001</v>
      </c>
      <c r="BY9">
        <v>339.1000000011</v>
      </c>
      <c r="BZ9">
        <v>345.60000000060001</v>
      </c>
      <c r="CA9">
        <v>352.10000000010001</v>
      </c>
      <c r="CB9">
        <v>358.8</v>
      </c>
      <c r="CC9">
        <v>365.20000000020002</v>
      </c>
      <c r="CD9">
        <v>372.19999999980001</v>
      </c>
      <c r="CE9">
        <v>378.70000000110002</v>
      </c>
      <c r="CF9">
        <v>384.90000000089998</v>
      </c>
      <c r="CG9">
        <v>390.800000001</v>
      </c>
      <c r="CH9">
        <v>396.6</v>
      </c>
      <c r="CI9">
        <v>402.30000000159998</v>
      </c>
      <c r="CJ9">
        <v>408.5000000014</v>
      </c>
      <c r="CK9">
        <v>414.1</v>
      </c>
      <c r="CL9">
        <v>420.20000000049998</v>
      </c>
      <c r="CM9">
        <v>426.10000000060001</v>
      </c>
      <c r="CN9">
        <v>431.80000000029997</v>
      </c>
      <c r="CO9">
        <v>437.4000000007</v>
      </c>
      <c r="CP9">
        <v>442.9</v>
      </c>
      <c r="CQ9">
        <v>447.60000000129997</v>
      </c>
      <c r="CR9">
        <v>451.2000000013</v>
      </c>
      <c r="CS9">
        <v>451.9</v>
      </c>
      <c r="CT9">
        <v>451.9</v>
      </c>
      <c r="CU9">
        <v>451.9</v>
      </c>
      <c r="CV9">
        <v>451.9</v>
      </c>
      <c r="CW9">
        <v>452.00000000109998</v>
      </c>
      <c r="CX9">
        <v>451.9</v>
      </c>
      <c r="CY9">
        <v>452.20000000149997</v>
      </c>
      <c r="CZ9">
        <v>452.20000000149997</v>
      </c>
      <c r="DA9">
        <v>452.20000000149997</v>
      </c>
      <c r="DB9">
        <v>452.10000000039997</v>
      </c>
      <c r="DC9">
        <v>452.10000000039997</v>
      </c>
      <c r="DD9">
        <v>452.10000000039997</v>
      </c>
      <c r="DE9">
        <v>452.30000000080003</v>
      </c>
      <c r="DF9">
        <v>452.20000000149997</v>
      </c>
      <c r="DG9">
        <v>0.50000000010000001</v>
      </c>
      <c r="DH9">
        <v>1.0000000002</v>
      </c>
      <c r="DI9">
        <v>1.0000000002</v>
      </c>
      <c r="DJ9">
        <v>0.90000000089999999</v>
      </c>
      <c r="DK9">
        <v>1.0000000002</v>
      </c>
      <c r="DL9">
        <v>1.1000000013</v>
      </c>
      <c r="DM9">
        <v>0.90000000089999999</v>
      </c>
      <c r="DN9">
        <v>1.1000000013</v>
      </c>
      <c r="DO9">
        <v>1.2999999999</v>
      </c>
      <c r="DP9">
        <v>1.2000000006</v>
      </c>
      <c r="DQ9">
        <v>1.2999999999</v>
      </c>
      <c r="DR9">
        <v>1.2000000006</v>
      </c>
      <c r="DS9">
        <v>1.2999999999</v>
      </c>
      <c r="DT9">
        <v>1.400000001</v>
      </c>
      <c r="DU9">
        <v>1.5000000003</v>
      </c>
      <c r="DV9">
        <v>1.2999999999</v>
      </c>
      <c r="DW9">
        <v>1.1000000013</v>
      </c>
      <c r="DX9">
        <v>3.6</v>
      </c>
      <c r="DY9">
        <v>8.8000000014000008</v>
      </c>
      <c r="DZ9">
        <v>16.1000000007</v>
      </c>
      <c r="EA9">
        <v>23.800000000800001</v>
      </c>
      <c r="EB9">
        <v>30.900000001599999</v>
      </c>
      <c r="EC9">
        <v>37.800000000099999</v>
      </c>
      <c r="ED9">
        <v>45.799999999900002</v>
      </c>
      <c r="EE9">
        <v>54.000000000100002</v>
      </c>
      <c r="EF9">
        <v>61.600000000900003</v>
      </c>
      <c r="EG9">
        <v>69.7</v>
      </c>
      <c r="EH9">
        <v>78.300000001000001</v>
      </c>
      <c r="EI9">
        <v>85.6000000003</v>
      </c>
      <c r="EJ9">
        <v>92.900000001500004</v>
      </c>
      <c r="EK9">
        <v>102.40000000160001</v>
      </c>
      <c r="EL9">
        <v>110.4000000014</v>
      </c>
      <c r="EM9">
        <v>119.0000000006</v>
      </c>
      <c r="EN9">
        <v>128.5000000007</v>
      </c>
      <c r="EO9">
        <v>136.50000000049999</v>
      </c>
      <c r="EP9">
        <v>144.2000000006</v>
      </c>
      <c r="EQ9">
        <v>153.10000000139999</v>
      </c>
      <c r="ER9">
        <v>162.00000000029999</v>
      </c>
      <c r="ES9">
        <v>170.900000001</v>
      </c>
      <c r="ET9">
        <v>179.7000000006</v>
      </c>
      <c r="EU9">
        <v>187.6000000011</v>
      </c>
      <c r="EV9">
        <v>195.4000000005</v>
      </c>
      <c r="EW9">
        <v>204.00000000150001</v>
      </c>
      <c r="EX9">
        <v>213.4000000005</v>
      </c>
      <c r="EY9">
        <v>221.60000000080001</v>
      </c>
      <c r="EZ9">
        <v>230.7000000001</v>
      </c>
      <c r="FA9">
        <v>238.50000000130001</v>
      </c>
      <c r="FB9">
        <v>246.30000000070001</v>
      </c>
      <c r="FC9">
        <v>254.6000000002</v>
      </c>
      <c r="FD9">
        <v>263.5000000009</v>
      </c>
      <c r="FE9">
        <v>271.70000000110002</v>
      </c>
      <c r="FF9">
        <v>279.80000000029997</v>
      </c>
      <c r="FG9">
        <v>287.50000000040001</v>
      </c>
      <c r="FH9">
        <v>294.5</v>
      </c>
      <c r="FI9">
        <v>302.50000000159997</v>
      </c>
      <c r="FJ9">
        <v>309.90000000020001</v>
      </c>
      <c r="FK9">
        <v>318.10000000039997</v>
      </c>
      <c r="FL9">
        <v>325.8999999998</v>
      </c>
      <c r="FM9">
        <v>333.20000000089999</v>
      </c>
      <c r="FN9">
        <v>340.00000000009999</v>
      </c>
      <c r="FO9">
        <v>346.60000000079998</v>
      </c>
      <c r="FP9">
        <v>354.00000000120002</v>
      </c>
      <c r="FQ9">
        <v>360.70000000110002</v>
      </c>
      <c r="FR9">
        <v>367.90000000110001</v>
      </c>
      <c r="FS9">
        <v>374.49999999990001</v>
      </c>
      <c r="FT9">
        <v>380.60000000039997</v>
      </c>
      <c r="FU9">
        <v>387.70000000110002</v>
      </c>
      <c r="FV9">
        <v>394.00000000019998</v>
      </c>
      <c r="FW9">
        <v>399.19999999980001</v>
      </c>
      <c r="FX9">
        <v>405.40000000150002</v>
      </c>
      <c r="FY9">
        <v>412.20000000070002</v>
      </c>
      <c r="FZ9">
        <v>418.30000000119998</v>
      </c>
      <c r="GA9">
        <v>423.40000000150002</v>
      </c>
      <c r="GB9">
        <v>430.40000000110001</v>
      </c>
      <c r="GC9">
        <v>436.00000000149998</v>
      </c>
      <c r="GD9">
        <v>437.20000000030001</v>
      </c>
      <c r="GE9">
        <v>444.7</v>
      </c>
      <c r="GF9">
        <v>448.9000000012</v>
      </c>
      <c r="GG9">
        <v>451.30000000059999</v>
      </c>
      <c r="GH9">
        <v>451.80000000069998</v>
      </c>
      <c r="GI9">
        <v>451.70000000139999</v>
      </c>
      <c r="GJ9">
        <v>452.10000000039997</v>
      </c>
      <c r="GK9">
        <v>452.00000000109998</v>
      </c>
      <c r="GL9">
        <v>451.80000000069998</v>
      </c>
      <c r="GM9">
        <v>451.60000000029999</v>
      </c>
      <c r="GN9">
        <v>451.9</v>
      </c>
      <c r="GO9">
        <v>452.00000000109998</v>
      </c>
      <c r="GP9">
        <v>452.30000000080003</v>
      </c>
      <c r="GQ9">
        <v>452.40000000010002</v>
      </c>
      <c r="GR9">
        <v>452.10000000039997</v>
      </c>
      <c r="GS9">
        <v>452.00000000109998</v>
      </c>
      <c r="GT9">
        <v>452.10000000039997</v>
      </c>
      <c r="GU9">
        <v>452.40000000010002</v>
      </c>
      <c r="GV9">
        <v>452.30000000080003</v>
      </c>
      <c r="GW9">
        <v>1</v>
      </c>
      <c r="GX9">
        <v>116.79999999979999</v>
      </c>
      <c r="GY9">
        <v>115.20000000020001</v>
      </c>
      <c r="GZ9">
        <v>115.20000000020001</v>
      </c>
      <c r="HA9">
        <v>119.0000000006</v>
      </c>
      <c r="HB9">
        <v>116.1837073066</v>
      </c>
      <c r="HC9">
        <v>-3.8000000003999999</v>
      </c>
      <c r="HD9">
        <v>452.29997789409998</v>
      </c>
      <c r="HE9">
        <v>295.02924726480001</v>
      </c>
      <c r="HF9">
        <v>96.765071293999995</v>
      </c>
      <c r="HG9">
        <v>452.40000000010002</v>
      </c>
      <c r="HH9">
        <v>452.40000000010002</v>
      </c>
      <c r="HI9">
        <v>452.30000000080003</v>
      </c>
      <c r="HJ9">
        <v>452.40000000010002</v>
      </c>
      <c r="HK9">
        <v>110.26392961880001</v>
      </c>
      <c r="HL9">
        <v>3.4331025114</v>
      </c>
      <c r="HM9">
        <v>3.3175475366999998</v>
      </c>
      <c r="HN9">
        <v>3.4092921914000001</v>
      </c>
      <c r="HO9">
        <v>3.2332071177000001</v>
      </c>
      <c r="HP9">
        <v>3.6038189039000001</v>
      </c>
      <c r="HQ9">
        <v>2.3876139708999999</v>
      </c>
      <c r="HR9">
        <v>19.4186360126</v>
      </c>
      <c r="HS9">
        <v>-28.152492668600001</v>
      </c>
      <c r="HT9">
        <v>-192</v>
      </c>
      <c r="HU9">
        <v>411.21295457129997</v>
      </c>
      <c r="HV9">
        <v>89.149560117299998</v>
      </c>
      <c r="HW9">
        <v>608</v>
      </c>
      <c r="HX9">
        <v>19.4186360126</v>
      </c>
      <c r="HY9">
        <v>-28.152492668600001</v>
      </c>
      <c r="HZ9">
        <v>-192</v>
      </c>
      <c r="IA9">
        <v>411.21295457129997</v>
      </c>
      <c r="IB9">
        <v>89.149560117299998</v>
      </c>
      <c r="IC9">
        <v>608</v>
      </c>
      <c r="ID9">
        <v>41.187045428799998</v>
      </c>
      <c r="IE9">
        <v>0.50106112530000002</v>
      </c>
      <c r="IF9">
        <v>-37.536656891500002</v>
      </c>
      <c r="IG9">
        <v>-256</v>
      </c>
      <c r="IH9">
        <v>435.53383442170002</v>
      </c>
      <c r="II9">
        <v>98.533724340199996</v>
      </c>
      <c r="IJ9">
        <v>672</v>
      </c>
      <c r="IK9">
        <v>391.7943185588</v>
      </c>
      <c r="IL9">
        <v>117.3020527859</v>
      </c>
      <c r="IM9">
        <v>417.45349839720001</v>
      </c>
      <c r="IN9">
        <v>126.6862170088</v>
      </c>
      <c r="IO9">
        <v>7.4000000004000004</v>
      </c>
      <c r="IP9">
        <v>7.4999999997</v>
      </c>
      <c r="IQ9">
        <v>11.700000000899999</v>
      </c>
      <c r="IR9">
        <v>5.9604610279000001</v>
      </c>
      <c r="IS9">
        <v>5.9604610279000001</v>
      </c>
      <c r="IT9">
        <v>4.3000000004999999</v>
      </c>
      <c r="IU9">
        <v>-30.4985337243</v>
      </c>
      <c r="IV9">
        <v>10.200000000599999</v>
      </c>
      <c r="IW9">
        <v>96.187683284499997</v>
      </c>
      <c r="IX9">
        <v>9.9000000009000004</v>
      </c>
      <c r="IY9">
        <v>98.533724340199996</v>
      </c>
      <c r="IZ9">
        <v>-34.354624821999998</v>
      </c>
      <c r="JA9">
        <v>0.32698683550000002</v>
      </c>
      <c r="JB9">
        <v>-3.2961129999999999E-4</v>
      </c>
      <c r="JC9">
        <v>6.4460000000000004E-7</v>
      </c>
      <c r="JD9">
        <v>0.29128171870000003</v>
      </c>
      <c r="JE9">
        <v>0.68574240389999996</v>
      </c>
      <c r="JF9">
        <v>0.19315263890000001</v>
      </c>
      <c r="JG9">
        <v>115.8832639142</v>
      </c>
      <c r="JH9">
        <v>3.6038189039000001</v>
      </c>
      <c r="JI9">
        <v>3.3654112000000001E-3</v>
      </c>
      <c r="JJ9">
        <v>-7.6175799999999997E-5</v>
      </c>
      <c r="JK9">
        <v>3.4331025114</v>
      </c>
      <c r="JL9">
        <v>2.6661960444999999</v>
      </c>
      <c r="JM9">
        <v>0.75209632859999997</v>
      </c>
      <c r="JN9" t="s">
        <v>545</v>
      </c>
      <c r="JQ9">
        <v>1</v>
      </c>
    </row>
    <row r="10" spans="1:277">
      <c r="A10" t="s">
        <v>634</v>
      </c>
      <c r="B10" t="s">
        <v>635</v>
      </c>
      <c r="C10" t="s">
        <v>212</v>
      </c>
      <c r="D10">
        <v>3</v>
      </c>
      <c r="E10" t="s">
        <v>213</v>
      </c>
      <c r="F10" t="s">
        <v>214</v>
      </c>
      <c r="G10" t="s">
        <v>544</v>
      </c>
      <c r="H10" t="s">
        <v>216</v>
      </c>
      <c r="J10" t="s">
        <v>621</v>
      </c>
      <c r="K10" t="s">
        <v>622</v>
      </c>
      <c r="L10" t="s">
        <v>623</v>
      </c>
      <c r="M10" t="s">
        <v>624</v>
      </c>
      <c r="N10" t="s">
        <v>625</v>
      </c>
      <c r="O10">
        <v>0</v>
      </c>
      <c r="P10">
        <v>0</v>
      </c>
      <c r="Q10">
        <v>0</v>
      </c>
      <c r="R10">
        <v>0.29999999970000002</v>
      </c>
      <c r="S10">
        <v>0.29999999970000002</v>
      </c>
      <c r="T10">
        <v>0.19999999860000001</v>
      </c>
      <c r="U10">
        <v>0.29999999970000002</v>
      </c>
      <c r="V10">
        <v>0.29999999970000002</v>
      </c>
      <c r="W10">
        <v>0.39999999899999999</v>
      </c>
      <c r="X10">
        <v>0.19999999860000001</v>
      </c>
      <c r="Y10">
        <v>0.29999999970000002</v>
      </c>
      <c r="Z10">
        <v>0.39999999899999999</v>
      </c>
      <c r="AA10">
        <v>0.50000000010000001</v>
      </c>
      <c r="AB10">
        <v>0.50000000010000001</v>
      </c>
      <c r="AC10">
        <v>0.39999999899999999</v>
      </c>
      <c r="AD10">
        <v>0.39999999899999999</v>
      </c>
      <c r="AE10">
        <v>0.50000000010000001</v>
      </c>
      <c r="AF10">
        <v>0.59999999940000004</v>
      </c>
      <c r="AG10">
        <v>0.69999999869999996</v>
      </c>
      <c r="AH10">
        <v>0.79999999980000003</v>
      </c>
      <c r="AI10">
        <v>0.59999999940000004</v>
      </c>
      <c r="AJ10">
        <v>2.0999999997000001</v>
      </c>
      <c r="AK10">
        <v>7.2</v>
      </c>
      <c r="AL10">
        <v>14.299999998900001</v>
      </c>
      <c r="AM10">
        <v>22.1000000001</v>
      </c>
      <c r="AN10">
        <v>28.8999999993</v>
      </c>
      <c r="AO10">
        <v>37.3999999993</v>
      </c>
      <c r="AP10">
        <v>45.999999998500002</v>
      </c>
      <c r="AQ10">
        <v>54.099999999399998</v>
      </c>
      <c r="AR10">
        <v>61.699999998400003</v>
      </c>
      <c r="AS10">
        <v>70.200000000100005</v>
      </c>
      <c r="AT10">
        <v>78.399999998499993</v>
      </c>
      <c r="AU10">
        <v>86.299999998999994</v>
      </c>
      <c r="AV10">
        <v>95.999999999500005</v>
      </c>
      <c r="AW10">
        <v>104.7999999992</v>
      </c>
      <c r="AX10">
        <v>113.1999999998</v>
      </c>
      <c r="AY10">
        <v>121.79999999899999</v>
      </c>
      <c r="AZ10">
        <v>130.4</v>
      </c>
      <c r="BA10">
        <v>138.59999999839999</v>
      </c>
      <c r="BB10">
        <v>148.4</v>
      </c>
      <c r="BC10">
        <v>157.19999999960001</v>
      </c>
      <c r="BD10">
        <v>165.59999999839999</v>
      </c>
      <c r="BE10">
        <v>174.09999999839999</v>
      </c>
      <c r="BF10">
        <v>182.60000000010001</v>
      </c>
      <c r="BG10">
        <v>190.99999999889999</v>
      </c>
      <c r="BH10">
        <v>200.7999999987</v>
      </c>
      <c r="BI10">
        <v>208.99999999889999</v>
      </c>
      <c r="BJ10">
        <v>217.49999999880001</v>
      </c>
      <c r="BK10">
        <v>225.89999999950001</v>
      </c>
      <c r="BL10">
        <v>234.3000000001</v>
      </c>
      <c r="BM10">
        <v>241.9999999984</v>
      </c>
      <c r="BN10">
        <v>251.2999999999</v>
      </c>
      <c r="BO10">
        <v>259.39999999899999</v>
      </c>
      <c r="BP10">
        <v>267.49999999990001</v>
      </c>
      <c r="BQ10">
        <v>275.49999999969998</v>
      </c>
      <c r="BR10">
        <v>283.1999999999</v>
      </c>
      <c r="BS10">
        <v>290.69999999959998</v>
      </c>
      <c r="BT10">
        <v>299.19999999949999</v>
      </c>
      <c r="BU10">
        <v>306.89999999960003</v>
      </c>
      <c r="BV10">
        <v>314.3</v>
      </c>
      <c r="BW10">
        <v>321.5999999993</v>
      </c>
      <c r="BX10">
        <v>329.09999999899998</v>
      </c>
      <c r="BY10">
        <v>335.99999999929997</v>
      </c>
      <c r="BZ10">
        <v>343.1</v>
      </c>
      <c r="CA10">
        <v>350.59999999979999</v>
      </c>
      <c r="CB10">
        <v>357.59999999939998</v>
      </c>
      <c r="CC10">
        <v>364.29999999929998</v>
      </c>
      <c r="CD10">
        <v>370.89999999989999</v>
      </c>
      <c r="CE10">
        <v>377.39999999939999</v>
      </c>
      <c r="CF10">
        <v>383.7999999996</v>
      </c>
      <c r="CG10">
        <v>389.90000000010002</v>
      </c>
      <c r="CH10">
        <v>395.99999999879998</v>
      </c>
      <c r="CI10">
        <v>402.89999999909998</v>
      </c>
      <c r="CJ10">
        <v>409.09999999889999</v>
      </c>
      <c r="CK10">
        <v>415.19999999949999</v>
      </c>
      <c r="CL10">
        <v>420.79999999990002</v>
      </c>
      <c r="CM10">
        <v>426.59999999889999</v>
      </c>
      <c r="CN10">
        <v>432.29999999860001</v>
      </c>
      <c r="CO10">
        <v>437.89999999899999</v>
      </c>
      <c r="CP10">
        <v>442.49999999919999</v>
      </c>
      <c r="CQ10">
        <v>445.29999999939997</v>
      </c>
      <c r="CR10">
        <v>448.699999999</v>
      </c>
      <c r="CS10">
        <v>449.29999999839998</v>
      </c>
      <c r="CT10">
        <v>449.49999999879998</v>
      </c>
      <c r="CU10">
        <v>449.29999999839998</v>
      </c>
      <c r="CV10">
        <v>449.29999999839998</v>
      </c>
      <c r="CW10">
        <v>449.19999999909999</v>
      </c>
      <c r="CX10">
        <v>449.39999999949998</v>
      </c>
      <c r="CY10">
        <v>449.29999999839998</v>
      </c>
      <c r="CZ10">
        <v>449.39999999949998</v>
      </c>
      <c r="DA10">
        <v>449.59999999989998</v>
      </c>
      <c r="DB10">
        <v>449.39999999949998</v>
      </c>
      <c r="DC10">
        <v>449.49999999879998</v>
      </c>
      <c r="DD10">
        <v>449.29999999839998</v>
      </c>
      <c r="DE10">
        <v>449.29999999839998</v>
      </c>
      <c r="DF10">
        <v>449.49999999879998</v>
      </c>
      <c r="DG10">
        <v>0.69999999869999996</v>
      </c>
      <c r="DH10">
        <v>1.2999999999</v>
      </c>
      <c r="DI10">
        <v>1.3999999992000001</v>
      </c>
      <c r="DJ10">
        <v>1.3999999992000001</v>
      </c>
      <c r="DK10">
        <v>1.0999999995</v>
      </c>
      <c r="DL10">
        <v>0.99999999839999998</v>
      </c>
      <c r="DM10">
        <v>1.5999999996000001</v>
      </c>
      <c r="DN10">
        <v>1.2999999999</v>
      </c>
      <c r="DO10">
        <v>1.3999999992000001</v>
      </c>
      <c r="DP10">
        <v>1.3999999992000001</v>
      </c>
      <c r="DQ10">
        <v>1.4999999985000001</v>
      </c>
      <c r="DR10">
        <v>1.4999999985000001</v>
      </c>
      <c r="DS10">
        <v>1.2999999999</v>
      </c>
      <c r="DT10">
        <v>1.5999999996000001</v>
      </c>
      <c r="DU10">
        <v>1.5999999996000001</v>
      </c>
      <c r="DV10">
        <v>1.8</v>
      </c>
      <c r="DW10">
        <v>1.8999999993000001</v>
      </c>
      <c r="DX10">
        <v>1.5999999996000001</v>
      </c>
      <c r="DY10">
        <v>1.4999999985000001</v>
      </c>
      <c r="DZ10">
        <v>3.7999999986000002</v>
      </c>
      <c r="EA10">
        <v>10.9999999986</v>
      </c>
      <c r="EB10">
        <v>18.399999998999998</v>
      </c>
      <c r="EC10">
        <v>25.399999998599998</v>
      </c>
      <c r="ED10">
        <v>33.499999999499998</v>
      </c>
      <c r="EE10">
        <v>41.999999999499998</v>
      </c>
      <c r="EF10">
        <v>50.5999999987</v>
      </c>
      <c r="EG10">
        <v>58.099999998400001</v>
      </c>
      <c r="EH10">
        <v>66.499999998999996</v>
      </c>
      <c r="EI10">
        <v>74.599999999900007</v>
      </c>
      <c r="EJ10">
        <v>82.199999998899997</v>
      </c>
      <c r="EK10">
        <v>90.899999999200006</v>
      </c>
      <c r="EL10">
        <v>100.5999999998</v>
      </c>
      <c r="EM10">
        <v>108.89999999929999</v>
      </c>
      <c r="EN10">
        <v>117.5999999996</v>
      </c>
      <c r="EO10">
        <v>126.1999999988</v>
      </c>
      <c r="EP10">
        <v>134</v>
      </c>
      <c r="EQ10">
        <v>143.9999999984</v>
      </c>
      <c r="ER10">
        <v>152.8999999991</v>
      </c>
      <c r="ES10">
        <v>161.49999999830001</v>
      </c>
      <c r="ET10">
        <v>170.00000000009999</v>
      </c>
      <c r="EU10">
        <v>178.89999999899999</v>
      </c>
      <c r="EV10">
        <v>186.89999999880001</v>
      </c>
      <c r="EW10">
        <v>197.00000000009999</v>
      </c>
      <c r="EX10">
        <v>205.89999999899999</v>
      </c>
      <c r="EY10">
        <v>214.09999999920001</v>
      </c>
      <c r="EZ10">
        <v>222.89999999880001</v>
      </c>
      <c r="FA10">
        <v>231.39999999880001</v>
      </c>
      <c r="FB10">
        <v>239.39999999860001</v>
      </c>
      <c r="FC10">
        <v>248.7000000001</v>
      </c>
      <c r="FD10">
        <v>257.09999999889999</v>
      </c>
      <c r="FE10">
        <v>265.19999999980001</v>
      </c>
      <c r="FF10">
        <v>273.29999999889998</v>
      </c>
      <c r="FG10">
        <v>281.3999999998</v>
      </c>
      <c r="FH10">
        <v>288.69999999919997</v>
      </c>
      <c r="FI10">
        <v>297.79999999850003</v>
      </c>
      <c r="FJ10">
        <v>305.99999999869999</v>
      </c>
      <c r="FK10">
        <v>313.09999999939998</v>
      </c>
      <c r="FL10">
        <v>320.59999999910002</v>
      </c>
      <c r="FM10">
        <v>328.2999999992</v>
      </c>
      <c r="FN10">
        <v>335.79999999889998</v>
      </c>
      <c r="FO10">
        <v>342.59999999989998</v>
      </c>
      <c r="FP10">
        <v>350.7999999983</v>
      </c>
      <c r="FQ10">
        <v>357.59999999939998</v>
      </c>
      <c r="FR10">
        <v>364.49999999969998</v>
      </c>
      <c r="FS10">
        <v>370.99999999919999</v>
      </c>
      <c r="FT10">
        <v>377.69999999909999</v>
      </c>
      <c r="FU10">
        <v>384.50000000009999</v>
      </c>
      <c r="FV10">
        <v>390.89999999849999</v>
      </c>
      <c r="FW10">
        <v>397.10000000010001</v>
      </c>
      <c r="FX10">
        <v>403.89999999930001</v>
      </c>
      <c r="FY10">
        <v>410.19999999840002</v>
      </c>
      <c r="FZ10">
        <v>416.09999999860003</v>
      </c>
      <c r="GA10">
        <v>421.8000000001</v>
      </c>
      <c r="GB10">
        <v>427.59999999910002</v>
      </c>
      <c r="GC10">
        <v>433.29999999879999</v>
      </c>
      <c r="GD10">
        <v>438.69999999880002</v>
      </c>
      <c r="GE10">
        <v>442.9</v>
      </c>
      <c r="GF10">
        <v>445.39999999870003</v>
      </c>
      <c r="GG10">
        <v>448.19999999890001</v>
      </c>
      <c r="GH10">
        <v>449.09999999979999</v>
      </c>
      <c r="GI10">
        <v>449.09999999979999</v>
      </c>
      <c r="GJ10">
        <v>449.19999999909999</v>
      </c>
      <c r="GK10">
        <v>449.29999999839998</v>
      </c>
      <c r="GL10">
        <v>449.29999999839998</v>
      </c>
      <c r="GM10">
        <v>449.29999999839998</v>
      </c>
      <c r="GN10">
        <v>449.29999999839998</v>
      </c>
      <c r="GO10">
        <v>449.39999999949998</v>
      </c>
      <c r="GP10">
        <v>449.09999999979999</v>
      </c>
      <c r="GQ10">
        <v>449.29999999839998</v>
      </c>
      <c r="GR10">
        <v>449.19999999909999</v>
      </c>
      <c r="GS10">
        <v>449.39999999949998</v>
      </c>
      <c r="GT10">
        <v>449.69999999919997</v>
      </c>
      <c r="GU10">
        <v>449.29999999839998</v>
      </c>
      <c r="GV10">
        <v>449.49999999879998</v>
      </c>
      <c r="GW10">
        <v>1</v>
      </c>
      <c r="GX10">
        <v>106.1999999984</v>
      </c>
      <c r="GY10">
        <v>104.7999999992</v>
      </c>
      <c r="GZ10">
        <v>104.7999999992</v>
      </c>
      <c r="HA10">
        <v>108.89999999929999</v>
      </c>
      <c r="HB10">
        <v>105.774605116</v>
      </c>
      <c r="HC10">
        <v>-4.1000000000999997</v>
      </c>
      <c r="HD10">
        <v>449.49999999879998</v>
      </c>
      <c r="HE10">
        <v>309.7507563954</v>
      </c>
      <c r="HF10">
        <v>91.325472747800006</v>
      </c>
      <c r="HG10">
        <v>449.69999999919997</v>
      </c>
      <c r="HH10">
        <v>449.69999999919997</v>
      </c>
      <c r="HI10">
        <v>449.59999999989998</v>
      </c>
      <c r="HJ10">
        <v>449.69999999919997</v>
      </c>
      <c r="HK10">
        <v>110.26392961880001</v>
      </c>
      <c r="HL10">
        <v>3.5139350515999999</v>
      </c>
      <c r="HM10">
        <v>3.4398753468000001</v>
      </c>
      <c r="HN10">
        <v>3.486616991</v>
      </c>
      <c r="HO10">
        <v>3.3939270490000002</v>
      </c>
      <c r="HP10">
        <v>3.7055965422999999</v>
      </c>
      <c r="HQ10">
        <v>2.4201768054000001</v>
      </c>
      <c r="HR10">
        <v>14.449132368200001</v>
      </c>
      <c r="HS10">
        <v>-25.806451612899998</v>
      </c>
      <c r="HT10">
        <v>-176</v>
      </c>
      <c r="HU10">
        <v>415.52536151139998</v>
      </c>
      <c r="HV10">
        <v>91.495601172999997</v>
      </c>
      <c r="HW10">
        <v>624</v>
      </c>
      <c r="HX10">
        <v>14.449132368200001</v>
      </c>
      <c r="HY10">
        <v>-25.806451612899998</v>
      </c>
      <c r="HZ10">
        <v>-176</v>
      </c>
      <c r="IA10">
        <v>415.52536151139998</v>
      </c>
      <c r="IB10">
        <v>91.495601172999997</v>
      </c>
      <c r="IC10">
        <v>624</v>
      </c>
      <c r="ID10">
        <v>34.174638487800003</v>
      </c>
      <c r="IE10">
        <v>0.80213570609999996</v>
      </c>
      <c r="IF10">
        <v>-35.190615835800003</v>
      </c>
      <c r="IG10">
        <v>-240</v>
      </c>
      <c r="IH10">
        <v>438.50066740699998</v>
      </c>
      <c r="II10">
        <v>100.87976539589999</v>
      </c>
      <c r="IJ10">
        <v>688</v>
      </c>
      <c r="IK10">
        <v>401.07622914320001</v>
      </c>
      <c r="IL10">
        <v>117.3020527859</v>
      </c>
      <c r="IM10">
        <v>425.10610678479998</v>
      </c>
      <c r="IN10">
        <v>126.6862170088</v>
      </c>
      <c r="IO10">
        <v>7.4000000004000004</v>
      </c>
      <c r="IP10">
        <v>5.7999999989999997</v>
      </c>
      <c r="IQ10">
        <v>10.1000000013</v>
      </c>
      <c r="IR10">
        <v>5.8538996667000003</v>
      </c>
      <c r="IS10">
        <v>5.8538996667000003</v>
      </c>
      <c r="IT10">
        <v>3.7999999986000002</v>
      </c>
      <c r="IU10">
        <v>-28.152492668600001</v>
      </c>
      <c r="IV10">
        <v>7.9000000005000004</v>
      </c>
      <c r="IW10">
        <v>86.803519061599999</v>
      </c>
      <c r="IX10">
        <v>6.7999999991999998</v>
      </c>
      <c r="IY10">
        <v>96.187683284499997</v>
      </c>
      <c r="IZ10">
        <v>-30.164067902700001</v>
      </c>
      <c r="JA10">
        <v>0.31016887679999999</v>
      </c>
      <c r="JB10">
        <v>-2.8672460000000002E-4</v>
      </c>
      <c r="JC10">
        <v>5.8859999999999996E-7</v>
      </c>
      <c r="JD10">
        <v>0.28458124159999998</v>
      </c>
      <c r="JE10">
        <v>0.21689827959999999</v>
      </c>
      <c r="JF10">
        <v>9.3172116799999996E-2</v>
      </c>
      <c r="JG10">
        <v>105.7729164333</v>
      </c>
      <c r="JH10">
        <v>3.7055965422999999</v>
      </c>
      <c r="JI10">
        <v>3.1647175999999998E-3</v>
      </c>
      <c r="JJ10">
        <v>-7.4241900000000005E-5</v>
      </c>
      <c r="JK10">
        <v>3.5139350515999999</v>
      </c>
      <c r="JL10">
        <v>1.2565992454999999</v>
      </c>
      <c r="JM10">
        <v>0.49256880240000001</v>
      </c>
      <c r="JN10" t="s">
        <v>545</v>
      </c>
      <c r="JQ10">
        <v>1</v>
      </c>
    </row>
    <row r="11" spans="1:277">
      <c r="A11" t="s">
        <v>666</v>
      </c>
      <c r="B11" t="s">
        <v>667</v>
      </c>
      <c r="C11" t="s">
        <v>212</v>
      </c>
      <c r="D11">
        <v>3</v>
      </c>
      <c r="E11" t="s">
        <v>213</v>
      </c>
      <c r="F11" t="s">
        <v>214</v>
      </c>
      <c r="G11" t="s">
        <v>544</v>
      </c>
      <c r="H11" t="s">
        <v>216</v>
      </c>
      <c r="J11" t="s">
        <v>638</v>
      </c>
      <c r="K11" t="s">
        <v>639</v>
      </c>
      <c r="L11" t="s">
        <v>640</v>
      </c>
      <c r="M11" t="s">
        <v>641</v>
      </c>
      <c r="N11" t="s">
        <v>642</v>
      </c>
      <c r="O11">
        <v>0</v>
      </c>
      <c r="P11">
        <v>0</v>
      </c>
      <c r="Q11">
        <v>2.8999999994999999</v>
      </c>
      <c r="R11">
        <v>0.89999999909999995</v>
      </c>
      <c r="S11">
        <v>1.0999999995</v>
      </c>
      <c r="T11">
        <v>1.0999999995</v>
      </c>
      <c r="U11">
        <v>1.1999999988000001</v>
      </c>
      <c r="V11">
        <v>0.89999999909999995</v>
      </c>
      <c r="W11">
        <v>0.79999999980000003</v>
      </c>
      <c r="X11">
        <v>1.0999999995</v>
      </c>
      <c r="Y11">
        <v>0.79999999980000003</v>
      </c>
      <c r="Z11">
        <v>0.79999999980000003</v>
      </c>
      <c r="AA11">
        <v>0.59999999940000004</v>
      </c>
      <c r="AB11">
        <v>0.79999999980000003</v>
      </c>
      <c r="AC11">
        <v>0.59999999940000004</v>
      </c>
      <c r="AD11">
        <v>0.59999999940000004</v>
      </c>
      <c r="AE11">
        <v>9.9999999300000003E-2</v>
      </c>
      <c r="AF11">
        <v>0</v>
      </c>
      <c r="AG11">
        <v>0</v>
      </c>
      <c r="AH11">
        <v>0.39999999899999999</v>
      </c>
      <c r="AI11">
        <v>1.8999999993000001</v>
      </c>
      <c r="AJ11">
        <v>5.9000000001000004</v>
      </c>
      <c r="AK11">
        <v>13.199999999399999</v>
      </c>
      <c r="AL11">
        <v>20.0999999997</v>
      </c>
      <c r="AM11">
        <v>28.199999998799999</v>
      </c>
      <c r="AN11">
        <v>35.5</v>
      </c>
      <c r="AO11">
        <v>42.900000000399999</v>
      </c>
      <c r="AP11">
        <v>51.199999999900001</v>
      </c>
      <c r="AQ11">
        <v>59.799999999100002</v>
      </c>
      <c r="AR11">
        <v>67.4999999992</v>
      </c>
      <c r="AS11">
        <v>75.600000000099996</v>
      </c>
      <c r="AT11">
        <v>83.499999998800007</v>
      </c>
      <c r="AU11">
        <v>91.800000000099999</v>
      </c>
      <c r="AV11">
        <v>100.0999999997</v>
      </c>
      <c r="AW11">
        <v>109.6999999991</v>
      </c>
      <c r="AX11">
        <v>118.8000000002</v>
      </c>
      <c r="AY11">
        <v>127.00000000039999</v>
      </c>
      <c r="AZ11">
        <v>135.1999999988</v>
      </c>
      <c r="BA11">
        <v>143.50000000009999</v>
      </c>
      <c r="BB11">
        <v>152.2000000004</v>
      </c>
      <c r="BC11">
        <v>161.09999999940001</v>
      </c>
      <c r="BD11">
        <v>170.29999999980001</v>
      </c>
      <c r="BE11">
        <v>178.5999999993</v>
      </c>
      <c r="BF11">
        <v>186.3999999987</v>
      </c>
      <c r="BG11">
        <v>194.79999999930001</v>
      </c>
      <c r="BH11">
        <v>203.7</v>
      </c>
      <c r="BI11">
        <v>212.49999999959999</v>
      </c>
      <c r="BJ11">
        <v>220.99999999950001</v>
      </c>
      <c r="BK11">
        <v>229.40000000020001</v>
      </c>
      <c r="BL11">
        <v>237.4999999993</v>
      </c>
      <c r="BM11">
        <v>245.69999999949999</v>
      </c>
      <c r="BN11">
        <v>253.6</v>
      </c>
      <c r="BO11">
        <v>262.09999999989998</v>
      </c>
      <c r="BP11">
        <v>270.00000000040001</v>
      </c>
      <c r="BQ11">
        <v>278.00000000019998</v>
      </c>
      <c r="BR11">
        <v>285.7000000004</v>
      </c>
      <c r="BS11">
        <v>293.49999999980002</v>
      </c>
      <c r="BT11">
        <v>301.2999999992</v>
      </c>
      <c r="BU11">
        <v>308.49999999919999</v>
      </c>
      <c r="BV11">
        <v>316.39999999970001</v>
      </c>
      <c r="BW11">
        <v>323.50000000040001</v>
      </c>
      <c r="BX11">
        <v>331.09999999939998</v>
      </c>
      <c r="BY11">
        <v>337.99999999969998</v>
      </c>
      <c r="BZ11">
        <v>345.19999999970003</v>
      </c>
      <c r="CA11">
        <v>351.89999999970001</v>
      </c>
      <c r="CB11">
        <v>358.89999999930001</v>
      </c>
      <c r="CC11">
        <v>365.7999999996</v>
      </c>
      <c r="CD11">
        <v>372.99999999959999</v>
      </c>
      <c r="CE11">
        <v>378.99999999900001</v>
      </c>
      <c r="CF11">
        <v>385.39999999920002</v>
      </c>
      <c r="CG11">
        <v>391.99999999980002</v>
      </c>
      <c r="CH11">
        <v>398.10000000029999</v>
      </c>
      <c r="CI11">
        <v>404.3000000001</v>
      </c>
      <c r="CJ11">
        <v>410.39999999880001</v>
      </c>
      <c r="CK11">
        <v>416.60000000050002</v>
      </c>
      <c r="CL11">
        <v>422.30000000019999</v>
      </c>
      <c r="CM11">
        <v>428.20000000030001</v>
      </c>
      <c r="CN11">
        <v>434.19999999970003</v>
      </c>
      <c r="CO11">
        <v>439.99999999869999</v>
      </c>
      <c r="CP11">
        <v>444.90000000039998</v>
      </c>
      <c r="CQ11">
        <v>449.30000000019999</v>
      </c>
      <c r="CR11">
        <v>453.7</v>
      </c>
      <c r="CS11">
        <v>455.7000000004</v>
      </c>
      <c r="CT11">
        <v>455.7000000004</v>
      </c>
      <c r="CU11">
        <v>455.89999999899999</v>
      </c>
      <c r="CV11">
        <v>455.89999999899999</v>
      </c>
      <c r="CW11">
        <v>456.09999999939998</v>
      </c>
      <c r="CX11">
        <v>456.09999999939998</v>
      </c>
      <c r="CY11">
        <v>456.19999999869998</v>
      </c>
      <c r="CZ11">
        <v>455.89999999899999</v>
      </c>
      <c r="DA11">
        <v>455.89999999899999</v>
      </c>
      <c r="DB11">
        <v>455.89999999899999</v>
      </c>
      <c r="DC11">
        <v>456.09999999939998</v>
      </c>
      <c r="DD11">
        <v>456.09999999939998</v>
      </c>
      <c r="DE11">
        <v>456.19999999869998</v>
      </c>
      <c r="DF11">
        <v>455.89999999899999</v>
      </c>
      <c r="DG11">
        <v>3.8999999996999999</v>
      </c>
      <c r="DH11">
        <v>2.0999999997000001</v>
      </c>
      <c r="DI11">
        <v>2.3999999993999999</v>
      </c>
      <c r="DJ11">
        <v>2.6999999991000001</v>
      </c>
      <c r="DK11">
        <v>1.8</v>
      </c>
      <c r="DL11">
        <v>1.5999999996000001</v>
      </c>
      <c r="DM11">
        <v>1.5999999996000001</v>
      </c>
      <c r="DN11">
        <v>1.5999999996000001</v>
      </c>
      <c r="DO11">
        <v>1.5999999996000001</v>
      </c>
      <c r="DP11">
        <v>1.5000000003</v>
      </c>
      <c r="DQ11">
        <v>1.5000000003</v>
      </c>
      <c r="DR11">
        <v>1.5999999996000001</v>
      </c>
      <c r="DS11">
        <v>1.5000000003</v>
      </c>
      <c r="DT11">
        <v>1.3999999992000001</v>
      </c>
      <c r="DU11">
        <v>1.0999999995</v>
      </c>
      <c r="DV11">
        <v>1.1999999988000001</v>
      </c>
      <c r="DW11">
        <v>1.1999999988000001</v>
      </c>
      <c r="DX11">
        <v>1.1999999988000001</v>
      </c>
      <c r="DY11">
        <v>3.0999999999000001</v>
      </c>
      <c r="DZ11">
        <v>8.7999999996000007</v>
      </c>
      <c r="EA11">
        <v>16.299999999299999</v>
      </c>
      <c r="EB11">
        <v>23.600000000400001</v>
      </c>
      <c r="EC11">
        <v>30.999999999</v>
      </c>
      <c r="ED11">
        <v>38.300000000200001</v>
      </c>
      <c r="EE11">
        <v>45.799999999900002</v>
      </c>
      <c r="EF11">
        <v>54.5999999995</v>
      </c>
      <c r="EG11">
        <v>63.299999999800001</v>
      </c>
      <c r="EH11">
        <v>71.200000000299994</v>
      </c>
      <c r="EI11">
        <v>79.200000000100005</v>
      </c>
      <c r="EJ11">
        <v>86.799999999099995</v>
      </c>
      <c r="EK11">
        <v>94.900000000099993</v>
      </c>
      <c r="EL11">
        <v>103.6999999997</v>
      </c>
      <c r="EM11">
        <v>113.1999999998</v>
      </c>
      <c r="EN11">
        <v>122.4000000002</v>
      </c>
      <c r="EO11">
        <v>130.79999999899999</v>
      </c>
      <c r="EP11">
        <v>138.89999999989999</v>
      </c>
      <c r="EQ11">
        <v>147.2999999987</v>
      </c>
      <c r="ER11">
        <v>155.80000000050001</v>
      </c>
      <c r="ES11">
        <v>164.80000000050001</v>
      </c>
      <c r="ET11">
        <v>173.39999999969999</v>
      </c>
      <c r="EU11">
        <v>182.19999999929999</v>
      </c>
      <c r="EV11">
        <v>190.6999999992</v>
      </c>
      <c r="EW11">
        <v>199.30000000019999</v>
      </c>
      <c r="EX11">
        <v>208.19999999909999</v>
      </c>
      <c r="EY11">
        <v>216.8000000001</v>
      </c>
      <c r="EZ11">
        <v>225.00000000040001</v>
      </c>
      <c r="FA11">
        <v>233.1999999988</v>
      </c>
      <c r="FB11">
        <v>241.39999999899999</v>
      </c>
      <c r="FC11">
        <v>249.59999999920001</v>
      </c>
      <c r="FD11">
        <v>257.79999999939997</v>
      </c>
      <c r="FE11">
        <v>266.79999999939997</v>
      </c>
      <c r="FF11">
        <v>274.9000000003</v>
      </c>
      <c r="FG11">
        <v>282.49999999929997</v>
      </c>
      <c r="FH11">
        <v>290.1000000002</v>
      </c>
      <c r="FI11">
        <v>297.80000000029997</v>
      </c>
      <c r="FJ11">
        <v>305.50000000040001</v>
      </c>
      <c r="FK11">
        <v>312.79999999969999</v>
      </c>
      <c r="FL11">
        <v>320.89999999880001</v>
      </c>
      <c r="FM11">
        <v>328.1999999999</v>
      </c>
      <c r="FN11">
        <v>335.39999999989999</v>
      </c>
      <c r="FO11">
        <v>342.80000000040002</v>
      </c>
      <c r="FP11">
        <v>349.69999999880002</v>
      </c>
      <c r="FQ11">
        <v>356.20000000020002</v>
      </c>
      <c r="FR11">
        <v>363.40000000020001</v>
      </c>
      <c r="FS11">
        <v>370.2999999987</v>
      </c>
      <c r="FT11">
        <v>376.8</v>
      </c>
      <c r="FU11">
        <v>383.20000000020002</v>
      </c>
      <c r="FV11">
        <v>389.90000000010002</v>
      </c>
      <c r="FW11">
        <v>396.19999999919997</v>
      </c>
      <c r="FX11">
        <v>402.29999999969999</v>
      </c>
      <c r="FY11">
        <v>408.1999999999</v>
      </c>
      <c r="FZ11">
        <v>414.60000000010001</v>
      </c>
      <c r="GA11">
        <v>420.89999999920002</v>
      </c>
      <c r="GB11">
        <v>426.2999999992</v>
      </c>
      <c r="GC11">
        <v>432.60000000010001</v>
      </c>
      <c r="GD11">
        <v>438.39999999909998</v>
      </c>
      <c r="GE11">
        <v>442.79999999889998</v>
      </c>
      <c r="GF11">
        <v>447.00000000009999</v>
      </c>
      <c r="GG11">
        <v>451.39999999989999</v>
      </c>
      <c r="GH11">
        <v>455.5999999993</v>
      </c>
      <c r="GI11">
        <v>455.7000000004</v>
      </c>
      <c r="GJ11">
        <v>455.79999999969999</v>
      </c>
      <c r="GK11">
        <v>455.79999999969999</v>
      </c>
      <c r="GL11">
        <v>455.79999999969999</v>
      </c>
      <c r="GM11">
        <v>455.89999999899999</v>
      </c>
      <c r="GN11">
        <v>455.89999999899999</v>
      </c>
      <c r="GO11">
        <v>455.79999999969999</v>
      </c>
      <c r="GP11">
        <v>455.79999999969999</v>
      </c>
      <c r="GQ11">
        <v>455.89999999899999</v>
      </c>
      <c r="GR11">
        <v>455.89999999899999</v>
      </c>
      <c r="GS11">
        <v>456.00000000009999</v>
      </c>
      <c r="GT11">
        <v>456.09999999939998</v>
      </c>
      <c r="GU11">
        <v>456.00000000009999</v>
      </c>
      <c r="GV11">
        <v>456.09999999939998</v>
      </c>
      <c r="GW11">
        <v>1</v>
      </c>
      <c r="GX11">
        <v>108.0000000002</v>
      </c>
      <c r="GY11">
        <v>109.6999999991</v>
      </c>
      <c r="GZ11">
        <v>109.6999999991</v>
      </c>
      <c r="HA11">
        <v>113.1999999998</v>
      </c>
      <c r="HB11">
        <v>110.5552400782</v>
      </c>
      <c r="HC11">
        <v>-3.5000000007000001</v>
      </c>
      <c r="HD11">
        <v>456.09995614939999</v>
      </c>
      <c r="HE11">
        <v>309.9926331945</v>
      </c>
      <c r="HF11">
        <v>97.254987941099998</v>
      </c>
      <c r="HG11">
        <v>456.19999999869998</v>
      </c>
      <c r="HH11">
        <v>456.09999999939998</v>
      </c>
      <c r="HI11">
        <v>456.19999999869998</v>
      </c>
      <c r="HJ11">
        <v>456.09999999939998</v>
      </c>
      <c r="HK11">
        <v>110.26392961880001</v>
      </c>
      <c r="HL11">
        <v>3.4336928309000001</v>
      </c>
      <c r="HM11">
        <v>3.3858336478000002</v>
      </c>
      <c r="HN11">
        <v>3.4110895118000002</v>
      </c>
      <c r="HO11">
        <v>3.3249767865000002</v>
      </c>
      <c r="HP11">
        <v>3.6403163540999999</v>
      </c>
      <c r="HQ11">
        <v>2.3219817314000002</v>
      </c>
      <c r="HR11">
        <v>13.300252137099999</v>
      </c>
      <c r="HS11">
        <v>-28.152492668600001</v>
      </c>
      <c r="HT11">
        <v>-192</v>
      </c>
      <c r="HU11">
        <v>420.54787327269997</v>
      </c>
      <c r="HV11">
        <v>93.841642228699996</v>
      </c>
      <c r="HW11">
        <v>640</v>
      </c>
      <c r="HX11">
        <v>13.300252137099999</v>
      </c>
      <c r="HY11">
        <v>-28.152492668600001</v>
      </c>
      <c r="HZ11">
        <v>-192</v>
      </c>
      <c r="IA11">
        <v>420.54787327269997</v>
      </c>
      <c r="IB11">
        <v>93.841642228699996</v>
      </c>
      <c r="IC11">
        <v>640</v>
      </c>
      <c r="ID11">
        <v>35.552126726700003</v>
      </c>
      <c r="IE11">
        <v>1.5786012000000001E-3</v>
      </c>
      <c r="IF11">
        <v>-37.536656891500002</v>
      </c>
      <c r="IG11">
        <v>-256</v>
      </c>
      <c r="IH11">
        <v>442.70975663119998</v>
      </c>
      <c r="II11">
        <v>103.22580645159999</v>
      </c>
      <c r="IJ11">
        <v>704</v>
      </c>
      <c r="IK11">
        <v>407.24762113560001</v>
      </c>
      <c r="IL11">
        <v>121.9941348974</v>
      </c>
      <c r="IM11">
        <v>430.44549440989999</v>
      </c>
      <c r="IN11">
        <v>131.37829912020001</v>
      </c>
      <c r="IO11">
        <v>7.4999999997</v>
      </c>
      <c r="IP11">
        <v>6.3000000008999999</v>
      </c>
      <c r="IQ11">
        <v>9.5999999993999996</v>
      </c>
      <c r="IR11">
        <v>6.2621011803000002</v>
      </c>
      <c r="IS11">
        <v>6.2621011803000002</v>
      </c>
      <c r="IT11">
        <v>2.8999999994999999</v>
      </c>
      <c r="IU11">
        <v>-30.4985337243</v>
      </c>
      <c r="IV11">
        <v>4.8999999999000003</v>
      </c>
      <c r="IW11">
        <v>44.5747800587</v>
      </c>
      <c r="IX11">
        <v>4.3999999998000003</v>
      </c>
      <c r="IY11">
        <v>98.533724340199996</v>
      </c>
      <c r="IZ11">
        <v>-32.131994530699998</v>
      </c>
      <c r="JA11">
        <v>0.31686953569999998</v>
      </c>
      <c r="JB11">
        <v>-2.9608759999999999E-4</v>
      </c>
      <c r="JC11">
        <v>6.0729999999999999E-7</v>
      </c>
      <c r="JD11">
        <v>0.29123164159999998</v>
      </c>
      <c r="JE11">
        <v>0.26447742559999998</v>
      </c>
      <c r="JF11">
        <v>9.5637188400000003E-2</v>
      </c>
      <c r="JG11">
        <v>110.7197604947</v>
      </c>
      <c r="JH11">
        <v>3.6403163540999999</v>
      </c>
      <c r="JI11">
        <v>2.6871435000000001E-3</v>
      </c>
      <c r="JJ11">
        <v>-6.8991400000000005E-5</v>
      </c>
      <c r="JK11">
        <v>3.4336928309000001</v>
      </c>
      <c r="JL11">
        <v>1.5651871694999999</v>
      </c>
      <c r="JM11">
        <v>0.59646777070000001</v>
      </c>
      <c r="JN11" t="s">
        <v>545</v>
      </c>
      <c r="JQ11">
        <v>1</v>
      </c>
    </row>
    <row r="12" spans="1:277">
      <c r="A12" t="s">
        <v>668</v>
      </c>
      <c r="B12" t="s">
        <v>669</v>
      </c>
      <c r="C12" t="s">
        <v>212</v>
      </c>
      <c r="D12">
        <v>3</v>
      </c>
      <c r="E12" t="s">
        <v>213</v>
      </c>
      <c r="F12" t="s">
        <v>214</v>
      </c>
      <c r="G12" t="s">
        <v>544</v>
      </c>
      <c r="H12" t="s">
        <v>216</v>
      </c>
      <c r="J12" t="s">
        <v>645</v>
      </c>
      <c r="K12" t="s">
        <v>646</v>
      </c>
      <c r="L12" t="s">
        <v>647</v>
      </c>
      <c r="M12" t="s">
        <v>648</v>
      </c>
      <c r="N12" t="s">
        <v>649</v>
      </c>
      <c r="O12">
        <v>0</v>
      </c>
      <c r="P12">
        <v>0</v>
      </c>
      <c r="Q12">
        <v>1.3999999992000001</v>
      </c>
      <c r="R12">
        <v>0.39999999899999999</v>
      </c>
      <c r="S12">
        <v>0.39999999899999999</v>
      </c>
      <c r="T12">
        <v>0.39999999899999999</v>
      </c>
      <c r="U12">
        <v>0</v>
      </c>
      <c r="V12">
        <v>0.29999999970000002</v>
      </c>
      <c r="W12">
        <v>0.39999999899999999</v>
      </c>
      <c r="X12">
        <v>0.29999999970000002</v>
      </c>
      <c r="Y12">
        <v>0.29999999970000002</v>
      </c>
      <c r="Z12">
        <v>0.29999999970000002</v>
      </c>
      <c r="AA12">
        <v>0.29999999970000002</v>
      </c>
      <c r="AB12">
        <v>0.20000000039999999</v>
      </c>
      <c r="AC12">
        <v>0.20000000039999999</v>
      </c>
      <c r="AD12">
        <v>0</v>
      </c>
      <c r="AE12">
        <v>0.29999999970000002</v>
      </c>
      <c r="AF12">
        <v>0.20000000039999999</v>
      </c>
      <c r="AG12">
        <v>0.50000000010000001</v>
      </c>
      <c r="AH12">
        <v>0.29999999970000002</v>
      </c>
      <c r="AI12">
        <v>9.9999999300000003E-2</v>
      </c>
      <c r="AJ12">
        <v>1.5999999996000001</v>
      </c>
      <c r="AK12">
        <v>8.3999999988000003</v>
      </c>
      <c r="AL12">
        <v>15.699999999899999</v>
      </c>
      <c r="AM12">
        <v>23.499999999300002</v>
      </c>
      <c r="AN12">
        <v>32.100000000400001</v>
      </c>
      <c r="AO12">
        <v>40.299999998799997</v>
      </c>
      <c r="AP12">
        <v>48.1</v>
      </c>
      <c r="AQ12">
        <v>55.599999999700003</v>
      </c>
      <c r="AR12">
        <v>63.5999999995</v>
      </c>
      <c r="AS12">
        <v>72.299999999799994</v>
      </c>
      <c r="AT12">
        <v>81.199999998699994</v>
      </c>
      <c r="AU12">
        <v>89.799999999700006</v>
      </c>
      <c r="AV12">
        <v>98.299999999700006</v>
      </c>
      <c r="AW12">
        <v>107.399999999</v>
      </c>
      <c r="AX12">
        <v>116.7000000005</v>
      </c>
      <c r="AY12">
        <v>125.8999999991</v>
      </c>
      <c r="AZ12">
        <v>134.50000000009999</v>
      </c>
      <c r="BA12">
        <v>143.29999999969999</v>
      </c>
      <c r="BB12">
        <v>152</v>
      </c>
      <c r="BC12">
        <v>160.5</v>
      </c>
      <c r="BD12">
        <v>168.89999999880001</v>
      </c>
      <c r="BE12">
        <v>178.09999999920001</v>
      </c>
      <c r="BF12">
        <v>186.99999999990001</v>
      </c>
      <c r="BG12">
        <v>195.70000000019999</v>
      </c>
      <c r="BH12">
        <v>204.2000000001</v>
      </c>
      <c r="BI12">
        <v>212.2999999992</v>
      </c>
      <c r="BJ12">
        <v>220.40000000020001</v>
      </c>
      <c r="BK12">
        <v>229.10000000049999</v>
      </c>
      <c r="BL12">
        <v>237.99999999939999</v>
      </c>
      <c r="BM12">
        <v>246.4999999993</v>
      </c>
      <c r="BN12">
        <v>254.99999999920001</v>
      </c>
      <c r="BO12">
        <v>262.49999999890002</v>
      </c>
      <c r="BP12">
        <v>270.199999999</v>
      </c>
      <c r="BQ12">
        <v>278.50000000030002</v>
      </c>
      <c r="BR12">
        <v>286.79999999990002</v>
      </c>
      <c r="BS12">
        <v>294.3999999989</v>
      </c>
      <c r="BT12">
        <v>302.09999999899998</v>
      </c>
      <c r="BU12">
        <v>309.29999999900002</v>
      </c>
      <c r="BV12">
        <v>317.1000000002</v>
      </c>
      <c r="BW12">
        <v>324.09999999979999</v>
      </c>
      <c r="BX12">
        <v>331.59999999950003</v>
      </c>
      <c r="BY12">
        <v>338.99999999990001</v>
      </c>
      <c r="BZ12">
        <v>346.0999999988</v>
      </c>
      <c r="CA12">
        <v>353.4</v>
      </c>
      <c r="CB12">
        <v>359.80000000019999</v>
      </c>
      <c r="CC12">
        <v>366.0999999993</v>
      </c>
      <c r="CD12">
        <v>372.5999999988</v>
      </c>
      <c r="CE12">
        <v>379.2999999987</v>
      </c>
      <c r="CF12">
        <v>386.00000000040001</v>
      </c>
      <c r="CG12">
        <v>392.49999999990001</v>
      </c>
      <c r="CH12">
        <v>398.60000000039997</v>
      </c>
      <c r="CI12">
        <v>405.19999999919997</v>
      </c>
      <c r="CJ12">
        <v>411.00000000009999</v>
      </c>
      <c r="CK12">
        <v>416.79999999910001</v>
      </c>
      <c r="CL12">
        <v>422.30000000019999</v>
      </c>
      <c r="CM12">
        <v>427.89999999880001</v>
      </c>
      <c r="CN12">
        <v>433.9</v>
      </c>
      <c r="CO12">
        <v>439.699999999</v>
      </c>
      <c r="CP12">
        <v>445.39999999870003</v>
      </c>
      <c r="CQ12">
        <v>450.7999999987</v>
      </c>
      <c r="CR12">
        <v>455.89999999899999</v>
      </c>
      <c r="CS12">
        <v>457.50000000040001</v>
      </c>
      <c r="CT12">
        <v>457.3</v>
      </c>
      <c r="CU12">
        <v>457.09999999960002</v>
      </c>
      <c r="CV12">
        <v>457.09999999960002</v>
      </c>
      <c r="CW12">
        <v>457.19999999890001</v>
      </c>
      <c r="CX12">
        <v>457.19999999890001</v>
      </c>
      <c r="CY12">
        <v>457.5999999997</v>
      </c>
      <c r="CZ12">
        <v>457.39999999930001</v>
      </c>
      <c r="DA12">
        <v>457.699999999</v>
      </c>
      <c r="DB12">
        <v>457.50000000040001</v>
      </c>
      <c r="DC12">
        <v>457.39999999930001</v>
      </c>
      <c r="DD12">
        <v>456.89999999920002</v>
      </c>
      <c r="DE12">
        <v>457.19999999890001</v>
      </c>
      <c r="DF12">
        <v>457.39999999930001</v>
      </c>
      <c r="DG12">
        <v>1.6999999989000001</v>
      </c>
      <c r="DH12">
        <v>1.2999999999</v>
      </c>
      <c r="DI12">
        <v>1.1999999988000001</v>
      </c>
      <c r="DJ12">
        <v>1.1999999988000001</v>
      </c>
      <c r="DK12">
        <v>1.1999999988000001</v>
      </c>
      <c r="DL12">
        <v>0.89999999909999995</v>
      </c>
      <c r="DM12">
        <v>1.2999999999</v>
      </c>
      <c r="DN12">
        <v>1.0000000002</v>
      </c>
      <c r="DO12">
        <v>1.0000000002</v>
      </c>
      <c r="DP12">
        <v>1.0999999995</v>
      </c>
      <c r="DQ12">
        <v>1.0000000002</v>
      </c>
      <c r="DR12">
        <v>1.0999999995</v>
      </c>
      <c r="DS12">
        <v>1.0000000002</v>
      </c>
      <c r="DT12">
        <v>1.0999999995</v>
      </c>
      <c r="DU12">
        <v>1.0999999995</v>
      </c>
      <c r="DV12">
        <v>1.0000000002</v>
      </c>
      <c r="DW12">
        <v>0.89999999909999995</v>
      </c>
      <c r="DX12">
        <v>0.89999999909999995</v>
      </c>
      <c r="DY12">
        <v>0.89999999909999995</v>
      </c>
      <c r="DZ12">
        <v>4.1999999994000001</v>
      </c>
      <c r="EA12">
        <v>11.3999999994</v>
      </c>
      <c r="EB12">
        <v>19.500000000299998</v>
      </c>
      <c r="EC12">
        <v>27.799999999800001</v>
      </c>
      <c r="ED12">
        <v>35.8999999989</v>
      </c>
      <c r="EE12">
        <v>44.200000000300001</v>
      </c>
      <c r="EF12">
        <v>51.900000000399999</v>
      </c>
      <c r="EG12">
        <v>59.799999999100002</v>
      </c>
      <c r="EH12">
        <v>67.999999999300002</v>
      </c>
      <c r="EI12">
        <v>76.699999999599996</v>
      </c>
      <c r="EJ12">
        <v>85.100000000199998</v>
      </c>
      <c r="EK12">
        <v>93.799999998700002</v>
      </c>
      <c r="EL12">
        <v>102.19999999940001</v>
      </c>
      <c r="EM12">
        <v>111.30000000050001</v>
      </c>
      <c r="EN12">
        <v>120.9999999992</v>
      </c>
      <c r="EO12">
        <v>130.29999999890001</v>
      </c>
      <c r="EP12">
        <v>139.29999999890001</v>
      </c>
      <c r="EQ12">
        <v>148.19999999960001</v>
      </c>
      <c r="ER12">
        <v>156.3999999998</v>
      </c>
      <c r="ES12">
        <v>164.69999999940001</v>
      </c>
      <c r="ET12">
        <v>173.49999999900001</v>
      </c>
      <c r="EU12">
        <v>182.49999999900001</v>
      </c>
      <c r="EV12">
        <v>191.69999999940001</v>
      </c>
      <c r="EW12">
        <v>200.8999999998</v>
      </c>
      <c r="EX12">
        <v>208.99999999889999</v>
      </c>
      <c r="EY12">
        <v>217.3000000003</v>
      </c>
      <c r="EZ12">
        <v>226.3999999996</v>
      </c>
      <c r="FA12">
        <v>235.1999999992</v>
      </c>
      <c r="FB12">
        <v>243.80000000019999</v>
      </c>
      <c r="FC12">
        <v>251.69999999890001</v>
      </c>
      <c r="FD12">
        <v>259.79999999979998</v>
      </c>
      <c r="FE12">
        <v>267.59999999920001</v>
      </c>
      <c r="FF12">
        <v>275.79999999939997</v>
      </c>
      <c r="FG12">
        <v>284.40000000049997</v>
      </c>
      <c r="FH12">
        <v>292.59999999889999</v>
      </c>
      <c r="FI12">
        <v>300.79999999910001</v>
      </c>
      <c r="FJ12">
        <v>308.29999999879999</v>
      </c>
      <c r="FK12">
        <v>315.80000000029997</v>
      </c>
      <c r="FL12">
        <v>322.89999999920002</v>
      </c>
      <c r="FM12">
        <v>330.20000000030001</v>
      </c>
      <c r="FN12">
        <v>337.99999999969998</v>
      </c>
      <c r="FO12">
        <v>344.90000000010002</v>
      </c>
      <c r="FP12">
        <v>352.30000000050001</v>
      </c>
      <c r="FQ12">
        <v>359.199999999</v>
      </c>
      <c r="FR12">
        <v>366.0999999993</v>
      </c>
      <c r="FS12">
        <v>372.7999999992</v>
      </c>
      <c r="FT12">
        <v>379.2999999987</v>
      </c>
      <c r="FU12">
        <v>386.00000000040001</v>
      </c>
      <c r="FV12">
        <v>392.09999999910002</v>
      </c>
      <c r="FW12">
        <v>398.60000000039997</v>
      </c>
      <c r="FX12">
        <v>405.39999999960003</v>
      </c>
      <c r="FY12">
        <v>411.09999999939998</v>
      </c>
      <c r="FZ12">
        <v>416.79999999910001</v>
      </c>
      <c r="GA12">
        <v>422.99999999890002</v>
      </c>
      <c r="GB12">
        <v>428.3999999989</v>
      </c>
      <c r="GC12">
        <v>434.19999999970003</v>
      </c>
      <c r="GD12">
        <v>439.8000000001</v>
      </c>
      <c r="GE12">
        <v>444.79999999929998</v>
      </c>
      <c r="GF12">
        <v>450.1</v>
      </c>
      <c r="GG12">
        <v>454.29999999939997</v>
      </c>
      <c r="GH12">
        <v>457.19999999890001</v>
      </c>
      <c r="GI12">
        <v>457.09999999960002</v>
      </c>
      <c r="GJ12">
        <v>457.5999999997</v>
      </c>
      <c r="GK12">
        <v>457.50000000040001</v>
      </c>
      <c r="GL12">
        <v>457.3</v>
      </c>
      <c r="GM12">
        <v>457.3</v>
      </c>
      <c r="GN12">
        <v>457.19999999890001</v>
      </c>
      <c r="GO12">
        <v>457.00000000030002</v>
      </c>
      <c r="GP12">
        <v>457.00000000030002</v>
      </c>
      <c r="GQ12">
        <v>457.19999999890001</v>
      </c>
      <c r="GR12">
        <v>457.09999999960002</v>
      </c>
      <c r="GS12">
        <v>457.50000000040001</v>
      </c>
      <c r="GT12">
        <v>457.39999999930001</v>
      </c>
      <c r="GU12">
        <v>457.5999999997</v>
      </c>
      <c r="GV12">
        <v>457.3</v>
      </c>
      <c r="GW12">
        <v>1</v>
      </c>
      <c r="GX12">
        <v>107.40000000080001</v>
      </c>
      <c r="GY12">
        <v>107.399999999</v>
      </c>
      <c r="GZ12">
        <v>107.399999999</v>
      </c>
      <c r="HA12">
        <v>111.30000000050001</v>
      </c>
      <c r="HB12">
        <v>108.3322658207</v>
      </c>
      <c r="HC12">
        <v>-3.9000000015</v>
      </c>
      <c r="HD12">
        <v>457.30002186029998</v>
      </c>
      <c r="HE12">
        <v>314.1588042404</v>
      </c>
      <c r="HF12">
        <v>92.486064050099998</v>
      </c>
      <c r="HG12">
        <v>457.699999999</v>
      </c>
      <c r="HH12">
        <v>457.5999999997</v>
      </c>
      <c r="HI12">
        <v>457.699999999</v>
      </c>
      <c r="HJ12">
        <v>457.5999999997</v>
      </c>
      <c r="HK12">
        <v>110.26392961880001</v>
      </c>
      <c r="HL12">
        <v>3.4868612650999999</v>
      </c>
      <c r="HM12">
        <v>3.4029193919999998</v>
      </c>
      <c r="HN12">
        <v>3.4604145340999999</v>
      </c>
      <c r="HO12">
        <v>3.5247466501</v>
      </c>
      <c r="HP12">
        <v>3.7464968667999998</v>
      </c>
      <c r="HQ12">
        <v>2.3224952572999999</v>
      </c>
      <c r="HR12">
        <v>15.8462017706</v>
      </c>
      <c r="HS12">
        <v>-25.806451612899998</v>
      </c>
      <c r="HT12">
        <v>-176</v>
      </c>
      <c r="HU12">
        <v>422.49107006119999</v>
      </c>
      <c r="HV12">
        <v>93.841642228699996</v>
      </c>
      <c r="HW12">
        <v>640</v>
      </c>
      <c r="HX12">
        <v>15.8462017706</v>
      </c>
      <c r="HY12">
        <v>-25.806451612899998</v>
      </c>
      <c r="HZ12">
        <v>-176</v>
      </c>
      <c r="IA12">
        <v>422.49107006119999</v>
      </c>
      <c r="IB12">
        <v>93.841642228699996</v>
      </c>
      <c r="IC12">
        <v>640</v>
      </c>
      <c r="ID12">
        <v>35.108929938599999</v>
      </c>
      <c r="IE12">
        <v>0.30078697090000001</v>
      </c>
      <c r="IF12">
        <v>-35.190615835800003</v>
      </c>
      <c r="IG12">
        <v>-240</v>
      </c>
      <c r="IH12">
        <v>444.63053885599999</v>
      </c>
      <c r="II12">
        <v>103.22580645159999</v>
      </c>
      <c r="IJ12">
        <v>704</v>
      </c>
      <c r="IK12">
        <v>406.64486829050003</v>
      </c>
      <c r="IL12">
        <v>119.6480938416</v>
      </c>
      <c r="IM12">
        <v>432.21993660509997</v>
      </c>
      <c r="IN12">
        <v>129.03225806450001</v>
      </c>
      <c r="IO12">
        <v>8.1000000008999997</v>
      </c>
      <c r="IP12">
        <v>5.8000000007999999</v>
      </c>
      <c r="IQ12">
        <v>9.6999999986999992</v>
      </c>
      <c r="IR12">
        <v>7.2919507946</v>
      </c>
      <c r="IS12">
        <v>7.2919507946</v>
      </c>
      <c r="IT12">
        <v>3.0000000006</v>
      </c>
      <c r="IU12">
        <v>-28.152492668600001</v>
      </c>
      <c r="IV12">
        <v>6.7999999991999998</v>
      </c>
      <c r="IW12">
        <v>86.803519061599999</v>
      </c>
      <c r="IX12">
        <v>5.9000000001000004</v>
      </c>
      <c r="IY12">
        <v>100.87976539589999</v>
      </c>
      <c r="IZ12">
        <v>-30.5219728858</v>
      </c>
      <c r="JA12">
        <v>0.30332602390000002</v>
      </c>
      <c r="JB12">
        <v>-2.6657100000000001E-4</v>
      </c>
      <c r="JC12">
        <v>5.7980000000000004E-7</v>
      </c>
      <c r="JD12">
        <v>0.28679087689999999</v>
      </c>
      <c r="JE12">
        <v>0.25443625060000002</v>
      </c>
      <c r="JF12">
        <v>0.1099830703</v>
      </c>
      <c r="JG12">
        <v>109.15184798</v>
      </c>
      <c r="JH12">
        <v>3.7464968667999998</v>
      </c>
      <c r="JI12">
        <v>1.7332661000000001E-3</v>
      </c>
      <c r="JJ12">
        <v>-6.6214600000000001E-5</v>
      </c>
      <c r="JK12">
        <v>3.4868612650999999</v>
      </c>
      <c r="JL12">
        <v>1.317137926</v>
      </c>
      <c r="JM12">
        <v>0.62960161569999995</v>
      </c>
      <c r="JN12" t="s">
        <v>545</v>
      </c>
      <c r="JQ12">
        <v>1</v>
      </c>
    </row>
    <row r="13" spans="1:277">
      <c r="A13" t="s">
        <v>670</v>
      </c>
      <c r="B13" t="s">
        <v>671</v>
      </c>
      <c r="C13" t="s">
        <v>212</v>
      </c>
      <c r="D13">
        <v>3</v>
      </c>
      <c r="E13" t="s">
        <v>213</v>
      </c>
      <c r="F13" t="s">
        <v>214</v>
      </c>
      <c r="G13" t="s">
        <v>544</v>
      </c>
      <c r="H13" t="s">
        <v>216</v>
      </c>
      <c r="J13" t="s">
        <v>652</v>
      </c>
      <c r="K13" t="s">
        <v>653</v>
      </c>
      <c r="L13" t="s">
        <v>654</v>
      </c>
      <c r="M13" t="s">
        <v>655</v>
      </c>
      <c r="N13" t="s">
        <v>656</v>
      </c>
      <c r="O13">
        <v>0</v>
      </c>
      <c r="P13">
        <v>0</v>
      </c>
      <c r="Q13">
        <v>0</v>
      </c>
      <c r="R13">
        <v>0.50000000010000001</v>
      </c>
      <c r="S13">
        <v>0.50000000010000001</v>
      </c>
      <c r="T13">
        <v>0.50000000010000001</v>
      </c>
      <c r="U13">
        <v>0.90000000089999999</v>
      </c>
      <c r="V13">
        <v>0.90000000089999999</v>
      </c>
      <c r="W13">
        <v>1.0000000002</v>
      </c>
      <c r="X13">
        <v>1.0000000002</v>
      </c>
      <c r="Y13">
        <v>1.1000000013</v>
      </c>
      <c r="Z13">
        <v>1.0000000002</v>
      </c>
      <c r="AA13">
        <v>1.0000000002</v>
      </c>
      <c r="AB13">
        <v>0.7000000005</v>
      </c>
      <c r="AC13">
        <v>0.90000000089999999</v>
      </c>
      <c r="AD13">
        <v>0.7000000005</v>
      </c>
      <c r="AE13">
        <v>1.1000000013</v>
      </c>
      <c r="AF13">
        <v>1.1000000013</v>
      </c>
      <c r="AG13">
        <v>1.400000001</v>
      </c>
      <c r="AH13">
        <v>1.8</v>
      </c>
      <c r="AI13">
        <v>2.0000000004</v>
      </c>
      <c r="AJ13">
        <v>3.9000000015</v>
      </c>
      <c r="AK13">
        <v>9.3000000015000008</v>
      </c>
      <c r="AL13">
        <v>16.700000000100001</v>
      </c>
      <c r="AM13">
        <v>24.5000000014</v>
      </c>
      <c r="AN13">
        <v>32.5000000012</v>
      </c>
      <c r="AO13">
        <v>39.900000001599999</v>
      </c>
      <c r="AP13">
        <v>47.100000001600002</v>
      </c>
      <c r="AQ13">
        <v>56.100000001600002</v>
      </c>
      <c r="AR13">
        <v>64.600000001500007</v>
      </c>
      <c r="AS13">
        <v>73.000000000300005</v>
      </c>
      <c r="AT13">
        <v>81.600000001300003</v>
      </c>
      <c r="AU13">
        <v>89.5</v>
      </c>
      <c r="AV13">
        <v>97.499999999899998</v>
      </c>
      <c r="AW13">
        <v>105.7000000001</v>
      </c>
      <c r="AX13">
        <v>115.4999999999</v>
      </c>
      <c r="AY13">
        <v>124.9000000007</v>
      </c>
      <c r="AZ13">
        <v>134.1000000011</v>
      </c>
      <c r="BA13">
        <v>142.20000000019999</v>
      </c>
      <c r="BB13">
        <v>150.40000000040001</v>
      </c>
      <c r="BC13">
        <v>158.60000000069999</v>
      </c>
      <c r="BD13">
        <v>168.2000000001</v>
      </c>
      <c r="BE13">
        <v>176.80000000109999</v>
      </c>
      <c r="BF13">
        <v>186.00000000150001</v>
      </c>
      <c r="BG13">
        <v>194.300000001</v>
      </c>
      <c r="BH13">
        <v>202.40000000009999</v>
      </c>
      <c r="BI13">
        <v>211.1000000004</v>
      </c>
      <c r="BJ13">
        <v>220.30000000090001</v>
      </c>
      <c r="BK13">
        <v>228.90000000009999</v>
      </c>
      <c r="BL13">
        <v>237.20000000140001</v>
      </c>
      <c r="BM13">
        <v>245.30000000050001</v>
      </c>
      <c r="BN13">
        <v>253.00000000060001</v>
      </c>
      <c r="BO13">
        <v>261.2000000008</v>
      </c>
      <c r="BP13">
        <v>270.10000000150001</v>
      </c>
      <c r="BQ13">
        <v>278.50000000030002</v>
      </c>
      <c r="BR13">
        <v>286.30000000159998</v>
      </c>
      <c r="BS13">
        <v>293.99999999990001</v>
      </c>
      <c r="BT13">
        <v>301.7</v>
      </c>
      <c r="BU13">
        <v>308.30000000059999</v>
      </c>
      <c r="BV13">
        <v>316.30000000040002</v>
      </c>
      <c r="BW13">
        <v>324.09999999979999</v>
      </c>
      <c r="BX13">
        <v>331.79999999990002</v>
      </c>
      <c r="BY13">
        <v>338.80000000140001</v>
      </c>
      <c r="BZ13">
        <v>346.30000000109999</v>
      </c>
      <c r="CA13">
        <v>353.4</v>
      </c>
      <c r="CB13">
        <v>359.3000000001</v>
      </c>
      <c r="CC13">
        <v>366.1000000011</v>
      </c>
      <c r="CD13">
        <v>373.10000000069999</v>
      </c>
      <c r="CE13">
        <v>379.7000000013</v>
      </c>
      <c r="CF13">
        <v>386.4000000012</v>
      </c>
      <c r="CG13">
        <v>393</v>
      </c>
      <c r="CH13">
        <v>399.6999999999</v>
      </c>
      <c r="CI13">
        <v>405.70000000120001</v>
      </c>
      <c r="CJ13">
        <v>411.10000000119999</v>
      </c>
      <c r="CK13">
        <v>417.5000000014</v>
      </c>
      <c r="CL13">
        <v>423.60000000010001</v>
      </c>
      <c r="CM13">
        <v>429.70000000060003</v>
      </c>
      <c r="CN13">
        <v>435.7</v>
      </c>
      <c r="CO13">
        <v>440.80000000029997</v>
      </c>
      <c r="CP13">
        <v>446.5</v>
      </c>
      <c r="CQ13">
        <v>451.0000000009</v>
      </c>
      <c r="CR13">
        <v>452.69999999980001</v>
      </c>
      <c r="CS13">
        <v>452.80000000090001</v>
      </c>
      <c r="CT13">
        <v>452.90000000020001</v>
      </c>
      <c r="CU13">
        <v>453.00000000130001</v>
      </c>
      <c r="CV13">
        <v>453.00000000130001</v>
      </c>
      <c r="CW13">
        <v>453.10000000060001</v>
      </c>
      <c r="CX13">
        <v>452.80000000090001</v>
      </c>
      <c r="CY13">
        <v>452.90000000020001</v>
      </c>
      <c r="CZ13">
        <v>452.69999999980001</v>
      </c>
      <c r="DA13">
        <v>452.69999999980001</v>
      </c>
      <c r="DB13">
        <v>452.50000000120002</v>
      </c>
      <c r="DC13">
        <v>452.90000000020001</v>
      </c>
      <c r="DD13">
        <v>452.90000000020001</v>
      </c>
      <c r="DE13">
        <v>453.00000000130001</v>
      </c>
      <c r="DF13">
        <v>453.00000000130001</v>
      </c>
      <c r="DG13">
        <v>1.0000000002</v>
      </c>
      <c r="DH13">
        <v>2.1000000015000002</v>
      </c>
      <c r="DI13">
        <v>1.8</v>
      </c>
      <c r="DJ13">
        <v>2.0000000004</v>
      </c>
      <c r="DK13">
        <v>1.8</v>
      </c>
      <c r="DL13">
        <v>1.9000000011</v>
      </c>
      <c r="DM13">
        <v>1.8</v>
      </c>
      <c r="DN13">
        <v>1.8</v>
      </c>
      <c r="DO13">
        <v>1.6000000014</v>
      </c>
      <c r="DP13">
        <v>1.8</v>
      </c>
      <c r="DQ13">
        <v>1.9000000011</v>
      </c>
      <c r="DR13">
        <v>2.2000000007999998</v>
      </c>
      <c r="DS13">
        <v>2.4000000012</v>
      </c>
      <c r="DT13">
        <v>2.4000000012</v>
      </c>
      <c r="DU13">
        <v>2.5000000005</v>
      </c>
      <c r="DV13">
        <v>2.2000000007999998</v>
      </c>
      <c r="DW13">
        <v>2.4000000012</v>
      </c>
      <c r="DX13">
        <v>2.1000000015000002</v>
      </c>
      <c r="DY13">
        <v>2.8000000001999998</v>
      </c>
      <c r="DZ13">
        <v>5.0000000010000001</v>
      </c>
      <c r="EA13">
        <v>12.5000000007</v>
      </c>
      <c r="EB13">
        <v>20.500000000499998</v>
      </c>
      <c r="EC13">
        <v>28.500000000299998</v>
      </c>
      <c r="ED13">
        <v>36.799999999900002</v>
      </c>
      <c r="EE13">
        <v>43.700000000199999</v>
      </c>
      <c r="EF13">
        <v>50.900000000200002</v>
      </c>
      <c r="EG13">
        <v>59.700000001600003</v>
      </c>
      <c r="EH13">
        <v>68.000000001100005</v>
      </c>
      <c r="EI13">
        <v>76.700000001399999</v>
      </c>
      <c r="EJ13">
        <v>85.6000000003</v>
      </c>
      <c r="EK13">
        <v>93.600000000199998</v>
      </c>
      <c r="EL13">
        <v>101.4000000014</v>
      </c>
      <c r="EM13">
        <v>111.2000000012</v>
      </c>
      <c r="EN13">
        <v>120.30000000050001</v>
      </c>
      <c r="EO13">
        <v>129.20000000120001</v>
      </c>
      <c r="EP13">
        <v>137.5000000007</v>
      </c>
      <c r="EQ13">
        <v>146.00000000060001</v>
      </c>
      <c r="ER13">
        <v>154.10000000159999</v>
      </c>
      <c r="ES13">
        <v>163.8000000003</v>
      </c>
      <c r="ET13">
        <v>172.9000000014</v>
      </c>
      <c r="EU13">
        <v>182.20000000109999</v>
      </c>
      <c r="EV13">
        <v>190.70000000100001</v>
      </c>
      <c r="EW13">
        <v>199.50000000060001</v>
      </c>
      <c r="EX13">
        <v>207.00000000029999</v>
      </c>
      <c r="EY13">
        <v>216.4000000012</v>
      </c>
      <c r="EZ13">
        <v>225.2000000008</v>
      </c>
      <c r="FA13">
        <v>234.00000000040001</v>
      </c>
      <c r="FB13">
        <v>242.400000001</v>
      </c>
      <c r="FC13">
        <v>251.0000000002</v>
      </c>
      <c r="FD13">
        <v>258.60000000100001</v>
      </c>
      <c r="FE13">
        <v>267.60000000100001</v>
      </c>
      <c r="FF13">
        <v>276.10000000100001</v>
      </c>
      <c r="FG13">
        <v>284.40000000049997</v>
      </c>
      <c r="FH13">
        <v>292.00000000130001</v>
      </c>
      <c r="FI13">
        <v>299.80000000069998</v>
      </c>
      <c r="FJ13">
        <v>306.70000000099998</v>
      </c>
      <c r="FK13">
        <v>314.60000000150001</v>
      </c>
      <c r="FL13">
        <v>322.90000000100002</v>
      </c>
      <c r="FM13">
        <v>330.90000000079999</v>
      </c>
      <c r="FN13">
        <v>338.60000000100001</v>
      </c>
      <c r="FO13">
        <v>345.50000000130001</v>
      </c>
      <c r="FP13">
        <v>352.7000000013</v>
      </c>
      <c r="FQ13">
        <v>359.00000000040001</v>
      </c>
      <c r="FR13">
        <v>366.40000000079999</v>
      </c>
      <c r="FS13">
        <v>373.30000000109999</v>
      </c>
      <c r="FT13">
        <v>380.20000000139999</v>
      </c>
      <c r="FU13">
        <v>387.00000000059998</v>
      </c>
      <c r="FV13">
        <v>393.3000000015</v>
      </c>
      <c r="FW13">
        <v>400.10000000069999</v>
      </c>
      <c r="FX13">
        <v>406.1000000002</v>
      </c>
      <c r="FY13">
        <v>412.10000000140002</v>
      </c>
      <c r="FZ13">
        <v>418.40000000049997</v>
      </c>
      <c r="GA13">
        <v>424.50000000099999</v>
      </c>
      <c r="GB13">
        <v>430.50000000040001</v>
      </c>
      <c r="GC13">
        <v>436.50000000159997</v>
      </c>
      <c r="GD13">
        <v>441.50000000080001</v>
      </c>
      <c r="GE13">
        <v>446.5</v>
      </c>
      <c r="GF13">
        <v>450.60000000010001</v>
      </c>
      <c r="GG13">
        <v>452.60000000050002</v>
      </c>
      <c r="GH13">
        <v>452.80000000090001</v>
      </c>
      <c r="GI13">
        <v>452.69999999980001</v>
      </c>
      <c r="GJ13">
        <v>452.69999999980001</v>
      </c>
      <c r="GK13">
        <v>452.69999999980001</v>
      </c>
      <c r="GL13">
        <v>452.69999999980001</v>
      </c>
      <c r="GM13">
        <v>452.69999999980001</v>
      </c>
      <c r="GN13">
        <v>452.50000000120002</v>
      </c>
      <c r="GO13">
        <v>452.50000000120002</v>
      </c>
      <c r="GP13">
        <v>452.60000000050002</v>
      </c>
      <c r="GQ13">
        <v>452.50000000120002</v>
      </c>
      <c r="GR13">
        <v>452.60000000050002</v>
      </c>
      <c r="GS13">
        <v>452.69999999980001</v>
      </c>
      <c r="GT13">
        <v>452.90000000020001</v>
      </c>
      <c r="GU13">
        <v>452.90000000020001</v>
      </c>
      <c r="GV13">
        <v>453.00000000130001</v>
      </c>
      <c r="GW13">
        <v>1</v>
      </c>
      <c r="GX13">
        <v>107.79999999979999</v>
      </c>
      <c r="GY13">
        <v>105.7000000001</v>
      </c>
      <c r="GZ13">
        <v>105.7000000001</v>
      </c>
      <c r="HA13">
        <v>111.2000000012</v>
      </c>
      <c r="HB13">
        <v>107.01672185459999</v>
      </c>
      <c r="HC13">
        <v>-5.5000000011000001</v>
      </c>
      <c r="HD13">
        <v>453.00000000130001</v>
      </c>
      <c r="HE13">
        <v>316.98879691019999</v>
      </c>
      <c r="HF13">
        <v>90.160695364399999</v>
      </c>
      <c r="HG13">
        <v>453.10000000060001</v>
      </c>
      <c r="HH13">
        <v>453.00000000130001</v>
      </c>
      <c r="HI13">
        <v>453.10000000060001</v>
      </c>
      <c r="HJ13">
        <v>453.00000000130001</v>
      </c>
      <c r="HK13">
        <v>107.91788856300001</v>
      </c>
      <c r="HL13">
        <v>3.4971289629000002</v>
      </c>
      <c r="HM13">
        <v>3.4252153584</v>
      </c>
      <c r="HN13">
        <v>3.4870683145000001</v>
      </c>
      <c r="HO13">
        <v>3.4194120351000001</v>
      </c>
      <c r="HP13">
        <v>3.7076389107000001</v>
      </c>
      <c r="HQ13">
        <v>2.3697837225999998</v>
      </c>
      <c r="HR13">
        <v>16.856026490200001</v>
      </c>
      <c r="HS13">
        <v>-25.806451612899998</v>
      </c>
      <c r="HT13">
        <v>-176</v>
      </c>
      <c r="HU13">
        <v>424.0055187648</v>
      </c>
      <c r="HV13">
        <v>93.841642228699996</v>
      </c>
      <c r="HW13">
        <v>640</v>
      </c>
      <c r="HX13">
        <v>16.856026490200001</v>
      </c>
      <c r="HY13">
        <v>-25.806451612899998</v>
      </c>
      <c r="HZ13">
        <v>-176</v>
      </c>
      <c r="IA13">
        <v>424.0055187648</v>
      </c>
      <c r="IB13">
        <v>93.841642228699996</v>
      </c>
      <c r="IC13">
        <v>640</v>
      </c>
      <c r="ID13">
        <v>28.9944812365</v>
      </c>
      <c r="IE13">
        <v>1.8012913907000001</v>
      </c>
      <c r="IF13">
        <v>-35.190615835800003</v>
      </c>
      <c r="IG13">
        <v>-240</v>
      </c>
      <c r="IH13">
        <v>446.3823509934</v>
      </c>
      <c r="II13">
        <v>103.22580645159999</v>
      </c>
      <c r="IJ13">
        <v>704</v>
      </c>
      <c r="IK13">
        <v>407.14949227459999</v>
      </c>
      <c r="IL13">
        <v>119.6480938416</v>
      </c>
      <c r="IM13">
        <v>432.29047461369998</v>
      </c>
      <c r="IN13">
        <v>129.03225806450001</v>
      </c>
      <c r="IO13">
        <v>7.9999999998</v>
      </c>
      <c r="IP13">
        <v>6.0000000012000001</v>
      </c>
      <c r="IQ13">
        <v>9.7999999998000007</v>
      </c>
      <c r="IR13">
        <v>6.5536741524000002</v>
      </c>
      <c r="IS13">
        <v>6.5536741524000002</v>
      </c>
      <c r="IT13">
        <v>3.1999999992000001</v>
      </c>
      <c r="IU13">
        <v>-28.152492668600001</v>
      </c>
      <c r="IV13">
        <v>7.2999999992999998</v>
      </c>
      <c r="IW13">
        <v>79.765395894400001</v>
      </c>
      <c r="IX13">
        <v>6.8000000009999999</v>
      </c>
      <c r="IY13">
        <v>98.533724340199996</v>
      </c>
      <c r="IZ13">
        <v>-30.8947353342</v>
      </c>
      <c r="JA13">
        <v>0.31067578689999997</v>
      </c>
      <c r="JB13">
        <v>-2.8686640000000002E-4</v>
      </c>
      <c r="JC13">
        <v>5.8419999999999995E-7</v>
      </c>
      <c r="JD13">
        <v>0.28594884850000002</v>
      </c>
      <c r="JE13">
        <v>0.29680671800000002</v>
      </c>
      <c r="JF13">
        <v>0.1172246258</v>
      </c>
      <c r="JG13">
        <v>108.3742212116</v>
      </c>
      <c r="JH13">
        <v>3.7076389107000001</v>
      </c>
      <c r="JI13">
        <v>2.8424504E-3</v>
      </c>
      <c r="JJ13">
        <v>-7.0833600000000006E-5</v>
      </c>
      <c r="JK13">
        <v>3.4971289629000002</v>
      </c>
      <c r="JL13">
        <v>1.357499357</v>
      </c>
      <c r="JM13">
        <v>0.61521501300000003</v>
      </c>
      <c r="JN13" t="s">
        <v>545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82.3803399536</v>
      </c>
      <c r="D16" s="9">
        <f>AVERAGE(C18:C20)</f>
        <v>81.355216454233343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85.7297801964</v>
      </c>
      <c r="D17" s="9">
        <f>AVERAGE(C21:C23)</f>
        <v>84.340308505500005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81.087401425199999</v>
      </c>
      <c r="D18" s="11">
        <f>AVERAGE(C24:C26)</f>
        <v>107.58838414436666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83.174891226900002</v>
      </c>
      <c r="D19" s="6">
        <f>AVERAGE('Summary(3pcs)'!E34:E35)</f>
        <v>142.9193279503379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79.803356710599999</v>
      </c>
      <c r="D20" s="9">
        <f>AVERAGE('Summary(3pcs)'!E36:E38)</f>
        <v>140.85877304223789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77.617955424900003</v>
      </c>
      <c r="D21" s="9">
        <f>AVERAGE('Summary(3pcs)'!E39:E41)</f>
        <v>145.84057229373789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89.765795841900001</v>
      </c>
      <c r="D22" s="11">
        <f>AVERAGE('Summary(3pcs)'!E42:E44)</f>
        <v>125.89808312200455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85.637174249699996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84.325988252100004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90.645294555199996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147.7938696258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10.75248242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1.9242593130000001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3.3646890439999999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-1.4285639960000001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-2.4802697149999999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-7.0101892081999999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-2.7581038801000002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1.8353395675999999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3.6532166952499998</v>
      </c>
      <c r="C39" s="5">
        <f>'Summary(3pcs)'!M34</f>
        <v>10.75248242</v>
      </c>
      <c r="D39" s="11">
        <f t="shared" si="0"/>
        <v>-1.9452072995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1.9242593130000001</v>
      </c>
      <c r="D40" s="6">
        <f t="shared" si="0"/>
        <v>-1.9163720517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3.3646890439999999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-1.4285639960000001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-2.6033058089250001</v>
      </c>
      <c r="C43" s="8">
        <f>'Summary(3pcs)'!M39</f>
        <v>-2.4802697149999999</v>
      </c>
      <c r="D43" s="6">
        <f t="shared" ref="D43:D54" si="2">C55</f>
        <v>5.4259680320000001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-7.0101892081999999</v>
      </c>
      <c r="D44" s="9">
        <f t="shared" si="2"/>
        <v>1.0395855520000001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-2.7581038801000002</v>
      </c>
      <c r="D45" s="11">
        <f t="shared" si="2"/>
        <v>-5.4925603600000006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1.8353395675999999</v>
      </c>
      <c r="D46" s="6">
        <f t="shared" si="2"/>
        <v>-1.7525664320000001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-1.9452072995</v>
      </c>
      <c r="D47" s="9">
        <f t="shared" si="2"/>
        <v>0.90844321000000017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-1.9163720517</v>
      </c>
      <c r="D48" s="11">
        <f t="shared" si="2"/>
        <v>-0.82765019130000006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-3.0632325337999999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5.7923018826000003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-1.0677332839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-1.3456541051000004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-0.1948933020000001</v>
      </c>
      <c r="C55" s="5">
        <f>'Summary(3pcs)'!N34</f>
        <v>5.4259680320000001</v>
      </c>
      <c r="D55" s="6">
        <f>AVERAGE(D31:D33)</f>
        <v>5.3471435923333326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1.0395855520000001</v>
      </c>
      <c r="D56" s="9">
        <f>AVERAGE(D34:D36)</f>
        <v>-3.6396743063999999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-5.4925603600000006</v>
      </c>
      <c r="D57" s="9">
        <f>AVERAGE(D37:D39)</f>
        <v>-0.95599053733333339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-1.7525664320000001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0.70246559187500013</v>
      </c>
      <c r="C59" s="8">
        <f>'Summary(3pcs)'!N39</f>
        <v>0.90844321000000017</v>
      </c>
      <c r="D59" s="9">
        <f>AVERAGE(D43:D45)</f>
        <v>0.32433107466666655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-0.82765019130000006</v>
      </c>
      <c r="D60" s="9">
        <f>AVERAGE(D46:D48)</f>
        <v>-0.55725780443333328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-3.0632325337999999</v>
      </c>
      <c r="D61" s="9">
        <f>AVERAGE(D49:D51)</f>
        <v>0.5537786883000001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5.7923018826000003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-1.0677332839</v>
      </c>
      <c r="D63" s="6">
        <f>AVERAGE(C71:C73)</f>
        <v>-0.84183808170000007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-1.3456541051000004</v>
      </c>
      <c r="D64" s="9">
        <f>AVERAGE(C74:C76)</f>
        <v>-5.523666302333333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2.7899481455333333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-5.1005669434999996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1.2454380393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1.7672630150999999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5.1118543942666665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2.1092861692000002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-0.46064043049999981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-4.2057324648000005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2.1408586502000002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-7.2063040733000001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-3.3098540305999999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-6.0548408030999994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5.4228572844999992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1.6571712494000002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1.2898159027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-3.9847369194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-3.1198627949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-8.1971011161999989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2.2703409194999997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3.7442960739000002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-2.2783228754999998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-4.1516835690000002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2.8341965675000003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6.6192760467999996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6.7493858336999999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9.0175371169999998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-0.43135976790000008</v>
      </c>
    </row>
    <row r="96" spans="1:7">
      <c r="A96" s="1" t="s">
        <v>87</v>
      </c>
      <c r="C96" s="5">
        <f>'Summary(3pcs)'!W43</f>
        <v>6.0540218353000004</v>
      </c>
    </row>
    <row r="97" spans="1:3">
      <c r="A97" s="1" t="s">
        <v>87</v>
      </c>
      <c r="C97" s="8">
        <f>'Summary(3pcs)'!W44</f>
        <v>3.7843976021000003</v>
      </c>
    </row>
    <row r="98" spans="1:3" ht="17.25" thickBot="1">
      <c r="A98" s="1" t="s">
        <v>87</v>
      </c>
      <c r="C98" s="10">
        <f>'Summary(3pcs)'!W45</f>
        <v>-3.5105609298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2022-09-23T10:21:01Z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