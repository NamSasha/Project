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P38" i="1" l="1"/>
  <c r="P41" i="1"/>
  <c r="N43" i="1" l="1"/>
  <c r="N41" i="1"/>
  <c r="W39" i="1"/>
  <c r="N35" i="1" l="1"/>
  <c r="N36" i="1"/>
  <c r="L39" i="1" l="1"/>
  <c r="B41" i="1"/>
  <c r="U44" i="1"/>
  <c r="L45" i="1"/>
  <c r="B44" i="1"/>
  <c r="N42" i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O58" i="1" s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N55" i="1" l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<sst xmlns="http://schemas.openxmlformats.org/spreadsheetml/2006/main" count="924" uniqueCount="575">
  <si>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</si>
  <si>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</si>
  <si>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</si>
  <si>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</si>
  <si>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</si>
  <si>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</si>
  <si>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</si>
  <si>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</si>
  <si>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</si>
  <si>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</si>
  <si>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</si>
  <si>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</si>
  <si>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</si>
  <si>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</si>
  <si>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</si>
  <si>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</si>
  <si>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</si>
  <si>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</si>
  <si>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</si>
  <si>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</si>
  <si>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</si>
  <si>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</si>
  <si>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</si>
  <si>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</si>
  <si>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</si>
  <si>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</si>
  <si>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</si>
  <si>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</si>
  <si>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</si>
  <si>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</si>
  <si>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</si>
  <si>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</si>
  <si>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</si>
  <si>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</si>
  <si>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</si>
  <si>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</si>
  <si>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</si>
  <si>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</si>
  <si>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</si>
  <si>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</si>
  <si>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</si>
  <si>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</si>
  <si>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</si>
  <si>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</si>
  <si>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</si>
  <si>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</si>
  <si>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</si>
  <si>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</si>
  <si>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</si>
  <si>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</si>
  <si>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</si>
  <si>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</si>
  <si>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</si>
  <si>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</si>
  <si>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</si>
  <si>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</si>
  <si>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</si>
  <si>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</si>
  <si>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</si>
  <si>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</si>
  <si>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</si>
  <si>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</si>
  <si>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</si>
  <si>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</si>
  <si>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</si>
  <si>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</si>
  <si>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</si>
  <si>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</si>
  <si>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</si>
  <si>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</si>
  <si>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</si>
  <si>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</si>
  <si>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</si>
  <si>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</si>
  <si>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</si>
  <si>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</si>
  <si>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</si>
  <si>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</si>
  <si>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</si>
  <si>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</si>
  <si>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</si>
  <si>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</si>
  <si>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</si>
  <si>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</si>
  <si>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</si>
  <si>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</si>
  <si>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</si>
  <si>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</si>
  <si>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</si>
  <si>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</si>
  <si>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</si>
  <si>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</si>
  <si>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</si>
  <si>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</si>
  <si>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</si>
  <si>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</si>
  <si>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</si>
  <si>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</si>
  <si>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</si>
  <si>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</si>
  <si>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</si>
  <si>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</si>
  <si>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</si>
  <si>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</si>
  <si>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</si>
  <si>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</si>
  <si>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</si>
  <si>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</si>
  <si>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</si>
  <si>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</si>
  <si>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</si>
  <si>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</si>
  <si>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</si>
  <si>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</si>
  <si>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</si>
  <si>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</si>
  <si>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</si>
  <si>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</si>
  <si>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</si>
  <si>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</si>
  <si>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</si>
  <si>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</si>
  <si>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</si>
  <si>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</si>
  <si>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</si>
  <si>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</si>
  <si>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</si>
  <si>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</si>
  <si>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</si>
  <si>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</si>
  <si>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</si>
  <si>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</si>
  <si>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</si>
  <si>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</si>
  <si>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</si>
  <si>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</si>
  <si>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</si>
  <si>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</si>
  <si>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</si>
  <si>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</si>
  <si>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</si>
  <si>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</si>
  <si>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</si>
  <si>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</si>
  <si>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</si>
  <si>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</si>
  <si>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</si>
  <si>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</si>
  <si>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</si>
  <si>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</si>
  <si>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</si>
  <si>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</si>
  <si>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</si>
  <si>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</si>
  <si>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</si>
  <si>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</si>
  <si>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</si>
  <si>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</si>
  <si>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</si>
  <si>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</si>
  <si>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</si>
  <si>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</si>
  <si>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</si>
  <si>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</si>
  <si>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</si>
  <si>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</si>
  <si>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</si>
  <si>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</si>
  <si>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</si>
  <si>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</si>
  <si>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</si>
  <si>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</si>
  <si>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D:\EVMS\TP\ELOG\VSY841XN9NFU_2022092322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</si>
  <si>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</si>
  <si>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</si>
  <si>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</si>
  <si>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</si>
  <si>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</si>
  <si>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</si>
  <si>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</si>
  <si>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</si>
  <si>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</si>
  <si>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</si>
  <si>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</si>
  <si>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</si>
  <si>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</si>
  <si>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</si>
  <si>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</si>
  <si>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</si>
  <si>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</si>
  <si>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</si>
  <si>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</si>
  <si>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</si>
  <si>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</si>
  <si>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</si>
  <si>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</si>
  <si>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</si>
  <si>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</si>
  <si>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</si>
  <si>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</si>
  <si>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</si>
  <si>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</si>
  <si>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</si>
  <si>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</si>
  <si>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</si>
  <si>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</si>
  <si>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</si>
  <si>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</si>
  <si>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</si>
  <si>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</si>
  <si>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T220923221837502VCMLEBC040</t>
  </si>
  <si>
    <t>'20220923221839</t>
  </si>
  <si>
    <t>'2022-09-23 22:18:46:727</t>
  </si>
  <si>
    <t>VCMLEBC040A</t>
  </si>
  <si>
    <t>DB_M_C2001</t>
  </si>
  <si>
    <t>220217A</t>
  </si>
  <si>
    <t>EPSSWEXCEPTION_POR_R22A_OC_MFG_C20_22051701_5d43eac</t>
  </si>
  <si>
    <t>VSY841XN9NFU</t>
  </si>
  <si>
    <t>1aca35090595</t>
  </si>
  <si>
    <t>0x5280156292277e08</t>
  </si>
  <si>
    <t>MFEC381EA4MPB1B6B937046125</t>
  </si>
  <si>
    <t>MF7C3457A1NW14A7A638</t>
  </si>
  <si>
    <t>DNA22301050990D13A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</si>
  <si>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</si>
  <si>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</si>
  <si>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</si>
  <si>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</si>
  <si>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</si>
  <si>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</si>
  <si>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T220923222000850VCMLEBC040</t>
  </si>
  <si>
    <t>'20220923222002</t>
  </si>
  <si>
    <t>'2022-09-23 22:20:09:690</t>
  </si>
  <si>
    <t>1aca35090768</t>
  </si>
  <si>
    <t>0x5280156292272605</t>
  </si>
  <si>
    <t>MFEC381EA4MLB1B6B540003120</t>
  </si>
  <si>
    <t>MF7C3457A1NP14A7A648</t>
  </si>
  <si>
    <t>DNA22301050990D09A</t>
  </si>
  <si>
    <t>T220923222126792VCMLEBC040</t>
  </si>
  <si>
    <t>'20220923222128</t>
  </si>
  <si>
    <t>'2022-09-23 22:21:35:705</t>
  </si>
  <si>
    <t>1aca35090908</t>
  </si>
  <si>
    <t>0x528015629226c602</t>
  </si>
  <si>
    <t>MFEC381EA4MNB1B6B739024115</t>
  </si>
  <si>
    <t>MF7C3457A0J914A7A637</t>
  </si>
  <si>
    <t>DNA22301022970L14A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</si>
  <si>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</si>
  <si>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</si>
  <si>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</si>
  <si>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</si>
  <si>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</si>
  <si>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</si>
  <si>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</si>
  <si>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</si>
  <si>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</si>
  <si>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</si>
  <si>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</si>
  <si>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</si>
  <si>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</si>
  <si>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</si>
  <si>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</si>
  <si>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</si>
  <si>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</si>
  <si>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</si>
  <si>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</si>
  <si>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</si>
  <si>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</si>
  <si>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</si>
  <si>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</si>
  <si>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</si>
  <si>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</si>
  <si>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</si>
  <si>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</si>
  <si>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</si>
  <si>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</si>
  <si>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</si>
  <si>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</si>
  <si>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T220923221904286VCMLEBC040</t>
  </si>
  <si>
    <t>'20220923221905</t>
  </si>
  <si>
    <t>'2022-09-23 22:19:36:894</t>
  </si>
  <si>
    <t>EPSSWEXCEPTION_POR_R22A_IPQC_MFG_SFRInfinity_C20_22051701_5d43eac</t>
  </si>
  <si>
    <t>D6x_Wide</t>
  </si>
  <si>
    <t>Normal</t>
  </si>
  <si>
    <t>T220923222027292VCMLEBC040</t>
  </si>
  <si>
    <t>'20220923222028</t>
  </si>
  <si>
    <t>'2022-09-23 22:20:56:947</t>
  </si>
  <si>
    <t>T220923222153365VCMLEBC040</t>
  </si>
  <si>
    <t>'20220923222155</t>
  </si>
  <si>
    <t>'2022-09-23 22:22:22:183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</si>
  <si>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</si>
  <si>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</si>
  <si>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</si>
  <si>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</si>
  <si>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</si>
  <si>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</si>
  <si>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</si>
  <si>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</si>
  <si>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</si>
  <si>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</si>
  <si>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</si>
  <si>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</si>
  <si>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</si>
  <si>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22:19:26:867</t>
  </si>
  <si>
    <t>'2022-09-23 22:20:46:921</t>
  </si>
  <si>
    <t>'2022-09-23 22:22:12:160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</si>
  <si>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</si>
  <si>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</si>
  <si>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</si>
  <si>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</si>
  <si>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</si>
  <si>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</si>
  <si>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</si>
  <si>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</si>
  <si>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</si>
  <si>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</si>
  <si>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</si>
  <si>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</si>
  <si>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</si>
  <si>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</si>
  <si>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</si>
  <si>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</si>
  <si>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</si>
  <si>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</si>
  <si>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</si>
  <si>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</si>
  <si>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</si>
  <si>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</si>
  <si>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</si>
  <si>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</si>
  <si>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</si>
  <si>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</si>
  <si>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</si>
  <si>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</si>
  <si>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</si>
  <si>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</si>
  <si>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</si>
  <si>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</si>
  <si>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</si>
  <si>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</si>
  <si>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</si>
  <si>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</si>
  <si>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</si>
  <si>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</si>
  <si>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</si>
  <si>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</si>
  <si>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</si>
  <si>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</si>
  <si>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</si>
  <si>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</si>
  <si>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</si>
  <si>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</si>
  <si>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</si>
  <si>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</si>
  <si>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</si>
  <si>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</si>
  <si>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</si>
  <si>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</si>
  <si>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</si>
  <si>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</si>
  <si>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</si>
  <si>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</si>
  <si>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</si>
  <si>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</si>
  <si>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</si>
  <si>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</si>
  <si>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</si>
  <si>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</si>
  <si>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</si>
  <si>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</si>
  <si>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</si>
  <si>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</si>
  <si>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</si>
  <si>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</si>
  <si>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</si>
  <si>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</si>
  <si>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</si>
  <si>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</si>
  <si>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</si>
  <si>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</si>
  <si>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</si>
  <si>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</si>
  <si>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</si>
  <si>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</si>
  <si>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</si>
  <si>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</si>
  <si>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</si>
  <si>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</si>
  <si>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</si>
  <si>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</si>
  <si>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</si>
  <si>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</si>
  <si>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</si>
  <si>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</si>
  <si>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</si>
  <si>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</si>
  <si>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</si>
  <si>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</si>
  <si>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</si>
  <si>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</si>
  <si>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</si>
  <si>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</si>
  <si>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</si>
  <si>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</si>
  <si>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</si>
  <si>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</si>
  <si>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</si>
  <si>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</si>
  <si>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</si>
  <si>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</si>
  <si>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</si>
  <si>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</si>
  <si>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</si>
  <si>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</si>
  <si>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</si>
  <si>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</si>
  <si>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</si>
  <si>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</si>
  <si>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</si>
  <si>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</si>
  <si>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</si>
  <si>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</si>
  <si>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</si>
  <si>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</si>
  <si>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</si>
  <si>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</si>
  <si>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</si>
  <si>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</si>
  <si>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</si>
  <si>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</si>
  <si>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</si>
  <si>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</si>
  <si>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</si>
  <si>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</si>
  <si>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</si>
  <si>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</si>
  <si>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</si>
  <si>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</si>
  <si>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</si>
  <si>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</si>
  <si>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</si>
  <si>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</si>
  <si>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</si>
  <si>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</si>
  <si>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</si>
  <si>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</si>
  <si>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</si>
  <si>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</si>
  <si>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</si>
  <si>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</si>
  <si>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</si>
  <si>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</si>
  <si>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</si>
  <si>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</si>
  <si>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</si>
  <si>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</si>
  <si>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</si>
  <si>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</si>
  <si>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</si>
  <si>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</si>
  <si>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</si>
  <si>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</si>
  <si>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</si>
  <si>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</si>
  <si>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</si>
  <si>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</si>
  <si>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</si>
  <si>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</si>
  <si>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</si>
  <si>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</si>
  <si>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</si>
  <si>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</si>
  <si>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</si>
  <si>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</si>
  <si>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</si>
  <si>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</si>
  <si>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</si>
  <si>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</si>
  <si>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</si>
  <si>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</si>
  <si>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</si>
  <si>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</si>
  <si>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</si>
  <si>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</si>
  <si>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</si>
  <si>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</si>
  <si>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</si>
  <si>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</si>
  <si>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</si>
  <si>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</si>
  <si>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</si>
  <si>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</si>
  <si>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</si>
  <si>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</si>
  <si>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</si>
  <si>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</si>
  <si>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</si>
  <si>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</si>
  <si>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</si>
  <si>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</si>
  <si>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</si>
  <si>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</si>
  <si>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</si>
  <si>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</si>
  <si>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</si>
  <si>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</si>
  <si>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</si>
  <si>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</si>
  <si>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</si>
  <si>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</si>
  <si>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</si>
  <si>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</si>
  <si>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</si>
  <si>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</si>
  <si>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</si>
  <si>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</si>
  <si>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</si>
  <si>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</si>
  <si>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</si>
  <si>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</si>
  <si>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</si>
  <si>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</si>
  <si>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</si>
  <si>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</si>
  <si>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</si>
  <si>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</si>
  <si>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</si>
  <si>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</si>
  <si>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</si>
  <si>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</si>
  <si>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</si>
  <si>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</si>
  <si>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</si>
  <si>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</si>
  <si>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</si>
  <si>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</si>
  <si>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</si>
  <si>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</si>
  <si>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</si>
  <si>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</si>
  <si>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</si>
  <si>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</si>
  <si>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</si>
  <si>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</si>
  <si>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</si>
  <si>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</si>
  <si>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</si>
  <si>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</si>
  <si>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</si>
  <si>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</si>
  <si>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</si>
  <si>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</si>
  <si>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</si>
  <si>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</si>
  <si>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</si>
  <si>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</si>
  <si>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</si>
  <si>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</si>
  <si>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</si>
  <si>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</si>
  <si>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</si>
  <si>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</si>
  <si>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</si>
  <si>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</si>
  <si>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</si>
  <si>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</si>
  <si>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T220923221849483VCMLEBC040</t>
  </si>
  <si>
    <t>'20220923221851</t>
  </si>
  <si>
    <t>'2022-09-23 22:19:02:037</t>
  </si>
  <si>
    <t>EPSSWEXCEPTION_POR_R22A_IPQC_MFG_Laser_C20_22051701_5d43eac</t>
  </si>
  <si>
    <t>v9p402</t>
  </si>
  <si>
    <t>T220923222012489VCMLEBC040</t>
  </si>
  <si>
    <t>'20220923222014</t>
  </si>
  <si>
    <t>'2022-09-23 22:20:25:049</t>
  </si>
  <si>
    <t>T220923222138561VCMLEBC040</t>
  </si>
  <si>
    <t>'20220923222140</t>
  </si>
  <si>
    <t>'2022-09-23 22:21:51:116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</si>
</sst>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-3.1133445242</c:v>
                </c:pt>
                <c:pt idx="1">
                  <c:v>-0.430091271</c:v>
                </c:pt>
                <c:pt idx="2">
                  <c:v>-6.1808691940999996</c:v>
                </c:pt>
                <c:pt idx="3">
                  <c:v>0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-1.8180682286999996</c:v>
                </c:pt>
                <c:pt idx="1">
                  <c:v>2.3129493846</c:v>
                </c:pt>
                <c:pt idx="2">
                  <c:v>-0.52256577689999961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-3.2414349964333327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-9.2282069999997472E-3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97056"/>
        <c:axId val="60398592"/>
      </c:scatterChart>
      <c:valAx>
        <c:axId val="603970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98592"/>
        <c:crosses val="autoZero"/>
        <c:crossBetween val="midCat"/>
        <c:majorUnit val="10"/>
      </c:valAx>
      <c:valAx>
        <c:axId val="603985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97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26848"/>
        <c:axId val="59736832"/>
      </c:scatterChart>
      <c:valAx>
        <c:axId val="597268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736832"/>
        <c:crosses val="autoZero"/>
        <c:crossBetween val="midCat"/>
        <c:majorUnit val="10"/>
      </c:valAx>
      <c:valAx>
        <c:axId val="5973683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72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'Summary(3pcs)'!$N$43:$N$45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65504"/>
        <c:axId val="59767040"/>
      </c:scatterChart>
      <c:valAx>
        <c:axId val="597655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767040"/>
        <c:crosses val="autoZero"/>
        <c:crossBetween val="midCat"/>
        <c:majorUnit val="10"/>
      </c:valAx>
      <c:valAx>
        <c:axId val="597670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76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'Summary(3pcs)'!$N$46:$N$46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181184"/>
        <c:axId val="105182720"/>
      </c:scatterChart>
      <c:valAx>
        <c:axId val="1051811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182720"/>
        <c:crosses val="autoZero"/>
        <c:crossBetween val="midCat"/>
        <c:majorUnit val="10"/>
      </c:valAx>
      <c:valAx>
        <c:axId val="1051827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518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98.324897061200005</c:v>
                </c:pt>
                <c:pt idx="1">
                  <c:v>99.030487739799995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98.437139094633338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48480"/>
        <c:axId val="132550016"/>
      </c:scatterChart>
      <c:valAx>
        <c:axId val="132548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550016"/>
        <c:crosses val="autoZero"/>
        <c:crossBetween val="midCat"/>
      </c:valAx>
      <c:valAx>
        <c:axId val="13255001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5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97.9560324829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049728"/>
        <c:axId val="133055616"/>
      </c:scatterChart>
      <c:valAx>
        <c:axId val="13304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55616"/>
        <c:crosses val="autoZero"/>
        <c:crossBetween val="midCat"/>
      </c:valAx>
      <c:valAx>
        <c:axId val="13305561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49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098880"/>
        <c:axId val="133117056"/>
      </c:scatterChart>
      <c:valAx>
        <c:axId val="13309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117056"/>
        <c:crosses val="autoZero"/>
        <c:crossBetween val="midCat"/>
      </c:valAx>
      <c:valAx>
        <c:axId val="1331170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098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45344"/>
        <c:axId val="133146880"/>
      </c:scatterChart>
      <c:valAx>
        <c:axId val="1331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146880"/>
        <c:crosses val="autoZero"/>
        <c:crossBetween val="midCat"/>
      </c:valAx>
      <c:valAx>
        <c:axId val="13314688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145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-3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13856"/>
        <c:axId val="134315392"/>
      </c:scatterChart>
      <c:valAx>
        <c:axId val="1343138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315392"/>
        <c:crosses val="autoZero"/>
        <c:crossBetween val="midCat"/>
        <c:majorUnit val="10"/>
      </c:valAx>
      <c:valAx>
        <c:axId val="1343153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31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-3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56352"/>
        <c:axId val="134374528"/>
      </c:scatterChart>
      <c:valAx>
        <c:axId val="1343563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374528"/>
        <c:crosses val="autoZero"/>
        <c:crossBetween val="midCat"/>
        <c:majorUnit val="10"/>
      </c:valAx>
      <c:valAx>
        <c:axId val="1343745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35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-3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11392"/>
        <c:axId val="134412928"/>
      </c:scatterChart>
      <c:valAx>
        <c:axId val="1344113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412928"/>
        <c:crosses val="autoZero"/>
        <c:crossBetween val="midCat"/>
        <c:majorUnit val="10"/>
      </c:valAx>
      <c:valAx>
        <c:axId val="1344129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41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-2.1886119843</c:v>
                </c:pt>
                <c:pt idx="1">
                  <c:v>-2.5757715702000001</c:v>
                </c:pt>
                <c:pt idx="2">
                  <c:v>-3.9156360626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6.8316593169999997</c:v>
                </c:pt>
                <c:pt idx="1">
                  <c:v>12.8397960663</c:v>
                </c:pt>
                <c:pt idx="2">
                  <c:v>5.3814086914000008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-2.893339872366667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8.3509546915666668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74368"/>
        <c:axId val="134545792"/>
      </c:scatterChart>
      <c:valAx>
        <c:axId val="1344743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545792"/>
        <c:crosses val="autoZero"/>
        <c:crossBetween val="midCat"/>
        <c:majorUnit val="10"/>
      </c:valAx>
      <c:valAx>
        <c:axId val="1345457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474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D:\EVMS\TP\ELOG\VSY841XN9NFU_2022092322_D50_ON_OC.csv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D:\EVMS\TP\ELOG\VSY841XN9NFU_2022092322_FPDC_INFD_normal.csv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D:\EVMS\TP\ELOG\VSY841XN9NFU_2022092322_INFDMargin_IPQC.csv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D:\EVMS\TP\ELOG\VSY841XN9NFU_2022092322_VCM_MEASURE.csv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172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R32" sqref="R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157</v>
      </c>
      <c r="S32" s="83" t="s">
        <v>159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1aca35090595</v>
      </c>
      <c r="C35" s="50">
        <f>IPQC!T2+VLOOKUP($R$32,$AD$39:$AK$43,6,FALSE)+VLOOKUP('File location'!$B$1,'Tester offset'!$A$2:$D$4,2,FALSE)</f>
        <v>98.324897061200005</v>
      </c>
      <c r="D35" s="50">
        <f>IPQC!AA2+VLOOKUP($R$32,$AD$39:$AK$43,6,FALSE)</f>
        <v>75.343575377600004</v>
      </c>
      <c r="E35" s="50">
        <f>VCM!HV2-'Summary(3pcs)'!C35-'Summary(3pcs)'!$D$33</f>
        <v>142.49310057193793</v>
      </c>
      <c r="F35" s="86">
        <f>AVERAGEIF($A$35:$A$46,1,$C$35:$C$46)</f>
        <v>98.437139094633338</v>
      </c>
      <c r="G35" s="90">
        <f>AVERAGEIF($A$35:$A$46,1,$D$35:$D$46)</f>
        <v>79.033157324633336</v>
      </c>
      <c r="H35" s="90">
        <f>AVERAGEIF($A$35:$A$46,1,$E$35:$E$46)</f>
        <v>140.00086974640456</v>
      </c>
      <c r="I35" s="90">
        <f>85-F35</f>
        <v>-13.437139094633338</v>
      </c>
      <c r="K35" s="78">
        <f>T35</f>
        <v>1</v>
      </c>
      <c r="L35" s="79" t="str">
        <f>OC!K2</f>
        <v>1aca35090595</v>
      </c>
      <c r="M35" s="50">
        <f>OC!T2+VLOOKUP($R$32,$AD$39:$AK$43,4,FALSE)</f>
        <v>-3.1133445242</v>
      </c>
      <c r="N35" s="50">
        <f>OC!U2+VLOOKUP($R$32,$AD$39:$AK$43,5,FALSE)</f>
        <v>-1.8180682286999996</v>
      </c>
      <c r="O35" s="85">
        <f>AVERAGEIF($K$35:$K$46,1,$M$35:$M$46)</f>
        <v>-3.2414349964333327</v>
      </c>
      <c r="P35" s="85">
        <f>AVERAGEIF($K$35:$K$46,1,$N$35:$N$46)</f>
        <v>-9.2282069999997472E-3</v>
      </c>
      <c r="Q35" s="86">
        <f>P35*0.001</f>
        <v>-9.2282069999997476E-6</v>
      </c>
      <c r="R35" s="86">
        <f>O35*0.001</f>
        <v>-3.2414349964333326E-3</v>
      </c>
      <c r="S35" s="34"/>
      <c r="T35" s="78">
        <v>1</v>
      </c>
      <c r="U35" s="79" t="str">
        <f>FPDC!K2</f>
        <v>1aca35090595</v>
      </c>
      <c r="V35" s="76">
        <f>FPDC!S2+VLOOKUP($R$32,$AD$39:$AK$43,2,FALSE)+VLOOKUP($R$32,$AD$39:$AK$43,7,FALSE)+VLOOKUP('File location'!$B$1,'Tester offset'!$A$2:$D$4,3,FALSE)</f>
        <v>-2.1886119843</v>
      </c>
      <c r="W35" s="77">
        <f>FPDC!T2+VLOOKUP($R$32,$AD$39:$AK$43,3,FALSE)+VLOOKUP($R$32,$AD$39:$AK$43,8,FALSE)+VLOOKUP('File location'!$B$1,'Tester offset'!$A$2:$D$4,4,FALSE)</f>
        <v>6.8316593169999997</v>
      </c>
      <c r="X35" s="85">
        <f>AVERAGEIF($T$35:$T$46,1,$V$35:$V$46)</f>
        <v>-2.893339872366667</v>
      </c>
      <c r="Y35" s="85">
        <f>AVERAGEIF($T$35:$T$46,1,$W$35:$W$46)</f>
        <v>8.3509546915666668</v>
      </c>
      <c r="Z35" s="86">
        <f>(X35*-0.01)/4</f>
        <v>7.2333496809166677E-3</v>
      </c>
      <c r="AA35" s="86">
        <f>(Y35*-0.01)/4</f>
        <v>-2.0877386728916668E-2</v>
      </c>
    </row>
    <row r="36" spans="1:37" ht="17.100000000000001" customHeight="1">
      <c r="A36" s="78">
        <f t="shared" ref="A36:A46" si="0">T36</f>
        <v>1</v>
      </c>
      <c r="B36" s="79" t="str">
        <f>IPQC!K3</f>
        <v>1aca35090768</v>
      </c>
      <c r="C36" s="50">
        <f>IPQC!T3+VLOOKUP($R$32,$AD$39:$AK$43,6,FALSE)+VLOOKUP('File location'!$B$1,'Tester offset'!$A$2:$D$4,2,FALSE)</f>
        <v>99.030487739799995</v>
      </c>
      <c r="D36" s="50">
        <f>IPQC!AA3+VLOOKUP($R$32,$AD$39:$AK$43,6,FALSE)</f>
        <v>81.9275078971</v>
      </c>
      <c r="E36" s="50">
        <f>VCM!HV3-'Summary(3pcs)'!C36-'Summary(3pcs)'!$D$33</f>
        <v>138.5985714378379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1aca35090768</v>
      </c>
      <c r="M36" s="50">
        <f>OC!T3+VLOOKUP($R$32,$AD$39:$AK$43,4,FALSE)</f>
        <v>-0.430091271</v>
      </c>
      <c r="N36" s="50">
        <f>OC!U3+VLOOKUP($R$32,$AD$39:$AK$43,5,FALSE)</f>
        <v>2.3129493846</v>
      </c>
      <c r="O36" s="85"/>
      <c r="P36" s="85"/>
      <c r="Q36" s="86"/>
      <c r="R36" s="86"/>
      <c r="S36" s="34"/>
      <c r="T36" s="78">
        <v>1</v>
      </c>
      <c r="U36" s="79" t="str">
        <f>FPDC!K3</f>
        <v>1aca35090768</v>
      </c>
      <c r="V36" s="76">
        <f>FPDC!S3+VLOOKUP($R$32,$AD$39:$AK$43,2,FALSE)+VLOOKUP($R$32,$AD$39:$AK$43,7,FALSE)+VLOOKUP('File location'!$B$1,'Tester offset'!$A$2:$D$4,3,FALSE)</f>
        <v>-2.5757715702000001</v>
      </c>
      <c r="W36" s="77">
        <f>FPDC!T3+VLOOKUP($R$32,$AD$39:$AK$43,3,FALSE)+VLOOKUP($R$32,$AD$39:$AK$43,8,FALSE)+VLOOKUP('File location'!$B$1,'Tester offset'!$A$2:$D$4,4,FALSE)</f>
        <v>12.8397960663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1aca35090908</v>
      </c>
      <c r="C37" s="50">
        <f>IPQC!T4+VLOOKUP($R$32,$AD$39:$AK$43,6,FALSE)+VLOOKUP('File location'!$B$1,'Tester offset'!$A$2:$D$4,2,FALSE)</f>
        <v>97.9560324829</v>
      </c>
      <c r="D37" s="50">
        <f>IPQC!AA4+VLOOKUP($R$32,$AD$39:$AK$43,6,FALSE)</f>
        <v>79.828388699200005</v>
      </c>
      <c r="E37" s="50">
        <f>VCM!HV4-'Summary(3pcs)'!C37-'Summary(3pcs)'!$D$33</f>
        <v>138.91093722943788</v>
      </c>
      <c r="F37" s="86"/>
      <c r="G37" s="90"/>
      <c r="H37" s="90"/>
      <c r="I37" s="90"/>
      <c r="K37" s="78">
        <f t="shared" si="1"/>
        <v>1</v>
      </c>
      <c r="L37" s="79" t="str">
        <f>OC!K4</f>
        <v>1aca35090908</v>
      </c>
      <c r="M37" s="50">
        <f>OC!T4+VLOOKUP($R$32,$AD$39:$AK$43,4,FALSE)</f>
        <v>-6.1808691940999996</v>
      </c>
      <c r="N37" s="50">
        <f>OC!U4+VLOOKUP($R$32,$AD$39:$AK$43,5,FALSE)</f>
        <v>-0.52256577689999961</v>
      </c>
      <c r="O37" s="85"/>
      <c r="P37" s="85"/>
      <c r="Q37" s="86"/>
      <c r="R37" s="86"/>
      <c r="S37" s="34"/>
      <c r="T37" s="78">
        <v>1</v>
      </c>
      <c r="U37" s="79" t="str">
        <f>FPDC!K4</f>
        <v>1aca35090908</v>
      </c>
      <c r="V37" s="76">
        <f>FPDC!S4+VLOOKUP($R$32,$AD$39:$AK$43,2,FALSE)+VLOOKUP($R$32,$AD$39:$AK$43,7,FALSE)+VLOOKUP('File location'!$B$1,'Tester offset'!$A$2:$D$4,3,FALSE)</f>
        <v>-3.9156360626</v>
      </c>
      <c r="W37" s="77">
        <f>FPDC!T4+VLOOKUP($R$32,$AD$39:$AK$43,3,FALSE)+VLOOKUP($R$32,$AD$39:$AK$43,8,FALSE)+VLOOKUP('File location'!$B$1,'Tester offset'!$A$2:$D$4,4,FALSE)</f>
        <v>5.3814086914000008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>
        <f>IPQC!K5</f>
        <v>0</v>
      </c>
      <c r="C38" s="50">
        <f>IPQC!T5+VLOOKUP($R$32,$AD$39:$AK$43,6,FALSE)+VLOOKUP('File location'!$B$1,'Tester offset'!$A$2:$D$4,2,FALSE)</f>
        <v>6</v>
      </c>
      <c r="D38" s="50">
        <f>IPQC!AA5+VLOOKUP($R$32,$AD$39:$AK$43,6,FALSE)</f>
        <v>6</v>
      </c>
      <c r="E38" s="50">
        <f>VCM!HV5-'Summary(3pcs)'!C38-'Summary(3pcs)'!$D$33</f>
        <v>-185.50310559006209</v>
      </c>
      <c r="F38" s="86">
        <f>AVERAGEIF($A$35:$A$46,2,$C$35:$C$46)</f>
        <v>6</v>
      </c>
      <c r="G38" s="90">
        <f>AVERAGEIF($A$35:$A$46,2,$D$35:$D$46)</f>
        <v>6</v>
      </c>
      <c r="H38" s="90">
        <f>AVERAGEIF($A$35:$A$46,2,$E$35:$E$46)</f>
        <v>-185.50310559006209</v>
      </c>
      <c r="I38" s="90">
        <f>85-F38</f>
        <v>79</v>
      </c>
      <c r="K38" s="78">
        <f t="shared" si="1"/>
        <v>2</v>
      </c>
      <c r="L38" s="79">
        <f>OC!K5</f>
        <v>0</v>
      </c>
      <c r="M38" s="50">
        <f>OC!T5+VLOOKUP($R$32,$AD$39:$AK$43,4,FALSE)</f>
        <v>0</v>
      </c>
      <c r="N38" s="50">
        <f>OC!U5+VLOOKUP($R$32,$AD$39:$AK$43,5,FALSE)</f>
        <v>4</v>
      </c>
      <c r="O38" s="85">
        <f>AVERAGEIF($K$35:$K$46,2,$M$35:$M$46)</f>
        <v>0</v>
      </c>
      <c r="P38" s="85">
        <f>AVERAGEIF($K$35:$K$46,2,$N$35:$N$46)</f>
        <v>4</v>
      </c>
      <c r="Q38" s="86">
        <f>P38*0.001</f>
        <v>4.0000000000000001E-3</v>
      </c>
      <c r="R38" s="86">
        <f>O38*0.001</f>
        <v>0</v>
      </c>
      <c r="S38" s="34"/>
      <c r="T38" s="78">
        <v>2</v>
      </c>
      <c r="U38" s="79">
        <f>FPDC!K5</f>
        <v>0</v>
      </c>
      <c r="V38" s="76">
        <f>FPDC!S5+VLOOKUP($R$32,$AD$39:$AK$43,2,FALSE)+VLOOKUP($R$32,$AD$39:$AK$43,7,FALSE)+VLOOKUP('File location'!$B$1,'Tester offset'!$A$2:$D$4,3,FALSE)</f>
        <v>-3</v>
      </c>
      <c r="W38" s="77">
        <f>FPDC!T5+VLOOKUP($R$32,$AD$39:$AK$43,3,FALSE)+VLOOKUP($R$32,$AD$39:$AK$43,8,FALSE)+VLOOKUP('File location'!$B$1,'Tester offset'!$A$2:$D$4,4,FALSE)</f>
        <v>-3</v>
      </c>
      <c r="X38" s="85">
        <f>AVERAGEIF($T$35:$T$46,2,$V$35:$V$46)</f>
        <v>-3</v>
      </c>
      <c r="Y38" s="85">
        <f>AVERAGEIF($T$35:$T$46,2,$W$35:$W$46)</f>
        <v>-3</v>
      </c>
      <c r="Z38" s="86">
        <f>(X38*-0.01)/4</f>
        <v>7.4999999999999997E-3</v>
      </c>
      <c r="AA38" s="86">
        <f>(Y38*-0.01)/4</f>
        <v>7.4999999999999997E-3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>
        <f>IPQC!K6</f>
        <v>0</v>
      </c>
      <c r="C39" s="50">
        <f>IPQC!T6+VLOOKUP($R$32,$AD$39:$AK$43,6,FALSE)+VLOOKUP('File location'!$B$1,'Tester offset'!$A$2:$D$4,2,FALSE)</f>
        <v>6</v>
      </c>
      <c r="D39" s="50">
        <f>IPQC!AA6+VLOOKUP($R$32,$AD$39:$AK$43,6,FALSE)</f>
        <v>6</v>
      </c>
      <c r="E39" s="50">
        <f>VCM!HV6-'Summary(3pcs)'!C39-'Summary(3pcs)'!$D$33</f>
        <v>-185.50310559006209</v>
      </c>
      <c r="F39" s="86"/>
      <c r="G39" s="90"/>
      <c r="H39" s="90"/>
      <c r="I39" s="90"/>
      <c r="K39" s="78">
        <f t="shared" si="1"/>
        <v>2</v>
      </c>
      <c r="L39" s="79">
        <f>OC!K6</f>
        <v>0</v>
      </c>
      <c r="M39" s="50">
        <f>OC!T6+VLOOKUP($R$32,$AD$39:$AK$43,4,FALSE)</f>
        <v>0</v>
      </c>
      <c r="N39" s="50">
        <f>OC!U6+VLOOKUP($R$32,$AD$39:$AK$43,5,FALSE)</f>
        <v>4</v>
      </c>
      <c r="O39" s="85"/>
      <c r="P39" s="85"/>
      <c r="Q39" s="86"/>
      <c r="R39" s="86"/>
      <c r="S39" s="34"/>
      <c r="T39" s="78">
        <v>2</v>
      </c>
      <c r="U39" s="79">
        <f>FPDC!K6</f>
        <v>0</v>
      </c>
      <c r="V39" s="76">
        <f>FPDC!S6+VLOOKUP($R$32,$AD$39:$AK$43,2,FALSE)+VLOOKUP($R$32,$AD$39:$AK$43,7,FALSE)+VLOOKUP('File location'!$B$1,'Tester offset'!$A$2:$D$4,3,FALSE)</f>
        <v>-3</v>
      </c>
      <c r="W39" s="77">
        <f>FPDC!T6+VLOOKUP($R$32,$AD$39:$AK$43,3,FALSE)+VLOOKUP($R$32,$AD$39:$AK$43,8,FALSE)+VLOOKUP('File location'!$B$1,'Tester offset'!$A$2:$D$4,4,FALSE)</f>
        <v>-3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>
        <f>IPQC!K7</f>
        <v>0</v>
      </c>
      <c r="C40" s="50">
        <f>IPQC!T7+VLOOKUP($R$32,$AD$39:$AK$43,6,FALSE)+VLOOKUP('File location'!$B$1,'Tester offset'!$A$2:$D$4,2,FALSE)</f>
        <v>6</v>
      </c>
      <c r="D40" s="50">
        <f>IPQC!AA7+VLOOKUP($R$32,$AD$39:$AK$43,6,FALSE)</f>
        <v>6</v>
      </c>
      <c r="E40" s="50">
        <f>VCM!HV7-'Summary(3pcs)'!C40-'Summary(3pcs)'!$D$33</f>
        <v>-185.50310559006209</v>
      </c>
      <c r="F40" s="86"/>
      <c r="G40" s="90"/>
      <c r="H40" s="90"/>
      <c r="I40" s="90"/>
      <c r="K40" s="78">
        <f t="shared" si="1"/>
        <v>2</v>
      </c>
      <c r="L40" s="79">
        <f>OC!K7</f>
        <v>0</v>
      </c>
      <c r="M40" s="50">
        <f>OC!T7+VLOOKUP($R$32,$AD$39:$AK$43,4,FALSE)</f>
        <v>0</v>
      </c>
      <c r="N40" s="50">
        <f>OC!U7+VLOOKUP($R$32,$AD$39:$AK$43,5,FALSE)</f>
        <v>4</v>
      </c>
      <c r="O40" s="85"/>
      <c r="P40" s="85"/>
      <c r="Q40" s="86"/>
      <c r="R40" s="86"/>
      <c r="S40" s="34"/>
      <c r="T40" s="78">
        <v>2</v>
      </c>
      <c r="U40" s="79">
        <f>FPDC!K7</f>
        <v>0</v>
      </c>
      <c r="V40" s="76">
        <f>FPDC!S7+VLOOKUP($R$32,$AD$39:$AK$43,2,FALSE)+VLOOKUP($R$32,$AD$39:$AK$43,7,FALSE)+VLOOKUP('File location'!$B$1,'Tester offset'!$A$2:$D$4,3,FALSE)</f>
        <v>-3</v>
      </c>
      <c r="W40" s="77">
        <f>FPDC!T7+VLOOKUP($R$32,$AD$39:$AK$43,3,FALSE)+VLOOKUP($R$32,$AD$39:$AK$43,8,FALSE)+VLOOKUP('File location'!$B$1,'Tester offset'!$A$2:$D$4,4,FALSE)</f>
        <v>-3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>
        <f>IPQC!K8</f>
        <v>0</v>
      </c>
      <c r="C41" s="50">
        <f>IPQC!T8+VLOOKUP($R$32,$AD$39:$AK$43,6,FALSE)+VLOOKUP('File location'!$B$1,'Tester offset'!$A$2:$D$4,2,FALSE)</f>
        <v>6</v>
      </c>
      <c r="D41" s="50">
        <f>IPQC!AA8+VLOOKUP($R$32,$AD$39:$AK$43,6,FALSE)</f>
        <v>6</v>
      </c>
      <c r="E41" s="50">
        <f>VCM!HV8-'Summary(3pcs)'!C41-'Summary(3pcs)'!$D$33</f>
        <v>-185.50310559006209</v>
      </c>
      <c r="F41" s="86">
        <f>AVERAGEIF($A$35:$A$46,3,$C$35:$C$46)</f>
        <v>6</v>
      </c>
      <c r="G41" s="90">
        <f>AVERAGEIF($A$35:$A$46,3,$D$35:$D$46)</f>
        <v>6</v>
      </c>
      <c r="H41" s="90">
        <f>AVERAGEIF($A$35:$A$46,3,$E$35:$E$46)</f>
        <v>-185.50310559006209</v>
      </c>
      <c r="I41" s="90">
        <f>85-F41</f>
        <v>79</v>
      </c>
      <c r="K41" s="78">
        <f t="shared" si="1"/>
        <v>3</v>
      </c>
      <c r="L41" s="79">
        <f>OC!K8</f>
        <v>0</v>
      </c>
      <c r="M41" s="50">
        <f>OC!T8+VLOOKUP($R$32,$AD$39:$AK$43,4,FALSE)</f>
        <v>0</v>
      </c>
      <c r="N41" s="50">
        <f>OC!U8+VLOOKUP($R$32,$AD$39:$AK$43,5,FALSE)</f>
        <v>4</v>
      </c>
      <c r="O41" s="85">
        <f>AVERAGEIF($K$35:$K$46,3,$M$35:$M$46)</f>
        <v>0</v>
      </c>
      <c r="P41" s="85">
        <f>AVERAGEIF($K$35:$K$46,3,$N$35:$N$46)</f>
        <v>4</v>
      </c>
      <c r="Q41" s="86">
        <f>P41*0.001</f>
        <v>4.0000000000000001E-3</v>
      </c>
      <c r="R41" s="86">
        <f>O41*0.001</f>
        <v>0</v>
      </c>
      <c r="S41" s="34"/>
      <c r="T41" s="78">
        <v>3</v>
      </c>
      <c r="U41" s="79">
        <f>FPDC!K8</f>
        <v>0</v>
      </c>
      <c r="V41" s="76">
        <f>FPDC!S8+VLOOKUP($R$32,$AD$39:$AK$43,2,FALSE)+VLOOKUP($R$32,$AD$39:$AK$43,7,FALSE)+VLOOKUP('File location'!$B$1,'Tester offset'!$A$2:$D$4,3,FALSE)</f>
        <v>-3</v>
      </c>
      <c r="W41" s="77">
        <f>FPDC!T8+VLOOKUP($R$32,$AD$39:$AK$43,3,FALSE)+VLOOKUP($R$32,$AD$39:$AK$43,8,FALSE)+VLOOKUP('File location'!$B$1,'Tester offset'!$A$2:$D$4,4,FALSE)</f>
        <v>-3</v>
      </c>
      <c r="X41" s="85">
        <f>AVERAGEIF($T$35:$T$46,3,$V$35:$V$46)</f>
        <v>-3</v>
      </c>
      <c r="Y41" s="85">
        <f>AVERAGEIF($T$35:$T$46,3,$W$35:$W$46)</f>
        <v>-3</v>
      </c>
      <c r="Z41" s="86">
        <f>(X41*-0.01)/4</f>
        <v>7.4999999999999997E-3</v>
      </c>
      <c r="AA41" s="86">
        <f>(Y41*-0.01)/4</f>
        <v>7.4999999999999997E-3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>
        <f>IPQC!K9</f>
        <v>0</v>
      </c>
      <c r="C42" s="50">
        <f>IPQC!T9+VLOOKUP($R$32,$AD$39:$AK$43,6,FALSE)+VLOOKUP('File location'!$B$1,'Tester offset'!$A$2:$D$4,2,FALSE)</f>
        <v>6</v>
      </c>
      <c r="D42" s="50">
        <f>IPQC!AA9+VLOOKUP($R$32,$AD$39:$AK$43,6,FALSE)</f>
        <v>6</v>
      </c>
      <c r="E42" s="50">
        <f>VCM!HV9-'Summary(3pcs)'!C42-'Summary(3pcs)'!$D$33</f>
        <v>-185.50310559006209</v>
      </c>
      <c r="F42" s="86"/>
      <c r="G42" s="90"/>
      <c r="H42" s="90"/>
      <c r="I42" s="90"/>
      <c r="K42" s="78">
        <f t="shared" si="1"/>
        <v>3</v>
      </c>
      <c r="L42" s="79">
        <f>OC!K9</f>
        <v>0</v>
      </c>
      <c r="M42" s="50">
        <f>OC!T9+VLOOKUP($R$32,$AD$39:$AK$43,4,FALSE)</f>
        <v>0</v>
      </c>
      <c r="N42" s="50">
        <f>OC!U9+VLOOKUP($R$32,$AD$39:$AK$43,5,FALSE)</f>
        <v>4</v>
      </c>
      <c r="O42" s="85"/>
      <c r="P42" s="85"/>
      <c r="Q42" s="86"/>
      <c r="R42" s="86"/>
      <c r="S42" s="34"/>
      <c r="T42" s="78">
        <v>3</v>
      </c>
      <c r="U42" s="79">
        <f>FPDC!K9</f>
        <v>0</v>
      </c>
      <c r="V42" s="76">
        <f>FPDC!S9+VLOOKUP($R$32,$AD$39:$AK$43,2,FALSE)+VLOOKUP($R$32,$AD$39:$AK$43,7,FALSE)+VLOOKUP('File location'!$B$1,'Tester offset'!$A$2:$D$4,3,FALSE)</f>
        <v>-3</v>
      </c>
      <c r="W42" s="77">
        <f>FPDC!T9+VLOOKUP($R$32,$AD$39:$AK$43,3,FALSE)+VLOOKUP($R$32,$AD$39:$AK$43,8,FALSE)+VLOOKUP('File location'!$B$1,'Tester offset'!$A$2:$D$4,4,FALSE)</f>
        <v>-3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>
        <f>IPQC!K10</f>
        <v>0</v>
      </c>
      <c r="C43" s="50">
        <f>IPQC!T10+VLOOKUP($R$32,$AD$39:$AK$43,6,FALSE)+VLOOKUP('File location'!$B$1,'Tester offset'!$A$2:$D$4,2,FALSE)</f>
        <v>6</v>
      </c>
      <c r="D43" s="50">
        <f>IPQC!AA10+VLOOKUP($R$32,$AD$39:$AK$43,6,FALSE)</f>
        <v>6</v>
      </c>
      <c r="E43" s="50">
        <f>VCM!HV10-'Summary(3pcs)'!C43-'Summary(3pcs)'!$D$33</f>
        <v>-185.50310559006209</v>
      </c>
      <c r="F43" s="86"/>
      <c r="G43" s="90"/>
      <c r="H43" s="90"/>
      <c r="I43" s="90"/>
      <c r="K43" s="78">
        <f t="shared" si="1"/>
        <v>3</v>
      </c>
      <c r="L43" s="79">
        <f>OC!K10</f>
        <v>0</v>
      </c>
      <c r="M43" s="50">
        <f>OC!T10+VLOOKUP($R$32,$AD$39:$AK$43,4,FALSE)</f>
        <v>0</v>
      </c>
      <c r="N43" s="50">
        <f>OC!U10+VLOOKUP($R$32,$AD$39:$AK$43,5,FALSE)</f>
        <v>4</v>
      </c>
      <c r="O43" s="85"/>
      <c r="P43" s="85"/>
      <c r="Q43" s="86"/>
      <c r="R43" s="86"/>
      <c r="S43" s="34"/>
      <c r="T43" s="78">
        <v>3</v>
      </c>
      <c r="U43" s="79">
        <f>FPDC!K10</f>
        <v>0</v>
      </c>
      <c r="V43" s="76">
        <f>FPDC!S10+VLOOKUP($R$32,$AD$39:$AK$43,2,FALSE)+VLOOKUP($R$32,$AD$39:$AK$43,7,FALSE)+VLOOKUP('File location'!$B$1,'Tester offset'!$A$2:$D$4,3,FALSE)</f>
        <v>-3</v>
      </c>
      <c r="W43" s="77">
        <f>FPDC!T10+VLOOKUP($R$32,$AD$39:$AK$43,3,FALSE)+VLOOKUP($R$32,$AD$39:$AK$43,8,FALSE)+VLOOKUP('File location'!$B$1,'Tester offset'!$A$2:$D$4,4,FALSE)</f>
        <v>-3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>
        <f>IPQC!K11</f>
        <v>0</v>
      </c>
      <c r="C44" s="50">
        <f>IPQC!T11+VLOOKUP($R$32,$AD$39:$AK$43,6,FALSE)+VLOOKUP('File location'!$B$1,'Tester offset'!$A$2:$D$4,2,FALSE)</f>
        <v>6</v>
      </c>
      <c r="D44" s="50">
        <f>IPQC!AA11+VLOOKUP($R$32,$AD$39:$AK$43,6,FALSE)</f>
        <v>6</v>
      </c>
      <c r="E44" s="50">
        <f>VCM!HV11-'Summary(3pcs)'!C44-'Summary(3pcs)'!$D$33</f>
        <v>-185.50310559006209</v>
      </c>
      <c r="F44" s="86">
        <f>AVERAGEIF($A$35:$A$46,4,$C$35:$C$46)</f>
        <v>6</v>
      </c>
      <c r="G44" s="90">
        <f>AVERAGEIF($A$35:$A$46,4,$D$35:$D$46)</f>
        <v>6</v>
      </c>
      <c r="H44" s="90">
        <f>AVERAGEIF($A$35:$A$46,4,$E$35:$E$46)</f>
        <v>-185.50310559006209</v>
      </c>
      <c r="I44" s="90">
        <f>85-F44</f>
        <v>79</v>
      </c>
      <c r="K44" s="78">
        <f t="shared" si="1"/>
        <v>4</v>
      </c>
      <c r="L44" s="79">
        <f>OC!K11</f>
        <v>0</v>
      </c>
      <c r="M44" s="50">
        <f>OC!T11+VLOOKUP($R$32,$AD$39:$AK$43,4,FALSE)</f>
        <v>0</v>
      </c>
      <c r="N44" s="50">
        <f>OC!U11+VLOOKUP($R$32,$AD$39:$AK$43,5,FALSE)</f>
        <v>4</v>
      </c>
      <c r="O44" s="85">
        <f>AVERAGEIF($K$35:$K$46,4,$M$35:$M$46)</f>
        <v>0</v>
      </c>
      <c r="P44" s="85">
        <f>AVERAGEIF($K$35:$K$46,4,$N$35:$N$46)</f>
        <v>4</v>
      </c>
      <c r="Q44" s="86">
        <f>P44*0.001</f>
        <v>4.0000000000000001E-3</v>
      </c>
      <c r="R44" s="86">
        <f>O44*0.001</f>
        <v>0</v>
      </c>
      <c r="S44" s="34"/>
      <c r="T44" s="78">
        <v>4</v>
      </c>
      <c r="U44" s="79">
        <f>FPDC!K11</f>
        <v>0</v>
      </c>
      <c r="V44" s="76">
        <f>FPDC!S11+VLOOKUP($R$32,$AD$39:$AK$43,2,FALSE)+VLOOKUP($R$32,$AD$39:$AK$43,7,FALSE)+VLOOKUP('File location'!$B$1,'Tester offset'!$A$2:$D$4,3,FALSE)</f>
        <v>-3</v>
      </c>
      <c r="W44" s="77">
        <f>FPDC!T11+VLOOKUP($R$32,$AD$39:$AK$43,3,FALSE)+VLOOKUP($R$32,$AD$39:$AK$43,8,FALSE)+VLOOKUP('File location'!$B$1,'Tester offset'!$A$2:$D$4,4,FALSE)</f>
        <v>-3</v>
      </c>
      <c r="X44" s="85">
        <f>AVERAGEIF($T$35:$T$46,4,$V$35:$V$46)</f>
        <v>-3</v>
      </c>
      <c r="Y44" s="85">
        <f>AVERAGEIF($T$35:$T$46,4,$W$35:$W$46)</f>
        <v>-3</v>
      </c>
      <c r="Z44" s="86">
        <f>(X44*-0.01)/4</f>
        <v>7.4999999999999997E-3</v>
      </c>
      <c r="AA44" s="86">
        <f>(Y44*-0.01)/4</f>
        <v>7.4999999999999997E-3</v>
      </c>
    </row>
    <row r="45" spans="1:37" ht="17.100000000000001" customHeight="1">
      <c r="A45" s="78">
        <f t="shared" si="0"/>
        <v>4</v>
      </c>
      <c r="B45" s="79">
        <f>IPQC!K12</f>
        <v>0</v>
      </c>
      <c r="C45" s="50">
        <f>IPQC!T12+VLOOKUP($R$32,$AD$39:$AK$43,6,FALSE)+VLOOKUP('File location'!$B$1,'Tester offset'!$A$2:$D$4,2,FALSE)</f>
        <v>6</v>
      </c>
      <c r="D45" s="50">
        <f>IPQC!AA12+VLOOKUP($R$32,$AD$39:$AK$43,6,FALSE)</f>
        <v>6</v>
      </c>
      <c r="E45" s="50">
        <f>VCM!HV12-'Summary(3pcs)'!C45-'Summary(3pcs)'!$D$33</f>
        <v>-185.50310559006209</v>
      </c>
      <c r="F45" s="86"/>
      <c r="G45" s="90"/>
      <c r="H45" s="90"/>
      <c r="I45" s="90"/>
      <c r="K45" s="78">
        <f t="shared" si="1"/>
        <v>4</v>
      </c>
      <c r="L45" s="79">
        <f>OC!K12</f>
        <v>0</v>
      </c>
      <c r="M45" s="50">
        <f>OC!T12+VLOOKUP($R$32,$AD$39:$AK$43,4,FALSE)</f>
        <v>0</v>
      </c>
      <c r="N45" s="50">
        <f>OC!U12+VLOOKUP($R$32,$AD$39:$AK$43,5,FALSE)</f>
        <v>4</v>
      </c>
      <c r="O45" s="85"/>
      <c r="P45" s="85"/>
      <c r="Q45" s="86"/>
      <c r="R45" s="86"/>
      <c r="S45" s="34"/>
      <c r="T45" s="78">
        <v>4</v>
      </c>
      <c r="U45" s="79">
        <f>FPDC!K12</f>
        <v>0</v>
      </c>
      <c r="V45" s="76">
        <f>FPDC!S12+VLOOKUP($R$32,$AD$39:$AK$43,2,FALSE)+VLOOKUP($R$32,$AD$39:$AK$43,7,FALSE)+VLOOKUP('File location'!$B$1,'Tester offset'!$A$2:$D$4,3,FALSE)</f>
        <v>-3</v>
      </c>
      <c r="W45" s="77">
        <f>FPDC!T12+VLOOKUP($R$32,$AD$39:$AK$43,3,FALSE)+VLOOKUP($R$32,$AD$39:$AK$43,8,FALSE)+VLOOKUP('File location'!$B$1,'Tester offset'!$A$2:$D$4,4,FALSE)</f>
        <v>-3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>
        <f>IPQC!K13</f>
        <v>0</v>
      </c>
      <c r="C46" s="50">
        <f>IPQC!T13+VLOOKUP($R$32,$AD$39:$AK$43,6,FALSE)+VLOOKUP('File location'!$B$1,'Tester offset'!$A$2:$D$4,2,FALSE)</f>
        <v>6</v>
      </c>
      <c r="D46" s="50">
        <f>IPQC!AA13+VLOOKUP($R$32,$AD$39:$AK$43,6,FALSE)</f>
        <v>6</v>
      </c>
      <c r="E46" s="50">
        <f>VCM!HV13-'Summary(3pcs)'!C46-'Summary(3pcs)'!$D$33</f>
        <v>-185.50310559006209</v>
      </c>
      <c r="F46" s="86"/>
      <c r="G46" s="90"/>
      <c r="H46" s="90"/>
      <c r="I46" s="90"/>
      <c r="K46" s="78">
        <f t="shared" si="1"/>
        <v>4</v>
      </c>
      <c r="L46" s="79">
        <f>OC!K13</f>
        <v>0</v>
      </c>
      <c r="M46" s="50">
        <f>OC!T13+VLOOKUP($R$32,$AD$39:$AK$43,4,FALSE)</f>
        <v>0</v>
      </c>
      <c r="N46" s="50">
        <f>OC!U13+VLOOKUP($R$32,$AD$39:$AK$43,5,FALSE)</f>
        <v>4</v>
      </c>
      <c r="O46" s="85"/>
      <c r="P46" s="85"/>
      <c r="Q46" s="86"/>
      <c r="R46" s="86"/>
      <c r="S46" s="34"/>
      <c r="T46" s="78">
        <v>4</v>
      </c>
      <c r="U46" s="79">
        <f>FPDC!K13</f>
        <v>0</v>
      </c>
      <c r="V46" s="76">
        <f>FPDC!S13+VLOOKUP($R$32,$AD$39:$AK$43,2,FALSE)+VLOOKUP($R$32,$AD$39:$AK$43,7,FALSE)+VLOOKUP('File location'!$B$1,'Tester offset'!$A$2:$D$4,3,FALSE)</f>
        <v>-3</v>
      </c>
      <c r="W46" s="77">
        <f>FPDC!T13+VLOOKUP($R$32,$AD$39:$AK$43,3,FALSE)+VLOOKUP($R$32,$AD$39:$AK$43,8,FALSE)+VLOOKUP('File location'!$B$1,'Tester offset'!$A$2:$D$4,4,FALSE)</f>
        <v>-3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163</v>
      </c>
      <c r="G49" s="91"/>
      <c r="H49" s="49" t="s">
        <v>148</v>
      </c>
      <c r="O49" s="93" t="s">
        <v>165</v>
      </c>
      <c r="P49" s="91"/>
      <c r="Q49" s="49" t="s">
        <v>162</v>
      </c>
      <c r="Y49" s="93" t="s">
        <v>165</v>
      </c>
      <c r="Z49" s="91"/>
      <c r="AA49" s="49" t="s">
        <v>104</v>
      </c>
    </row>
    <row r="50" spans="6:27" ht="17.25">
      <c r="F50" s="91" t="s">
        <v>164</v>
      </c>
      <c r="G50" s="91"/>
      <c r="H50" s="49" t="s">
        <v>107</v>
      </c>
      <c r="O50" s="93" t="s">
        <v>171</v>
      </c>
      <c r="P50" s="91"/>
      <c r="Q50" s="49" t="s">
        <v>169</v>
      </c>
      <c r="Y50" s="93" t="s">
        <v>167</v>
      </c>
      <c r="Z50" s="91"/>
      <c r="AA50" s="49" t="s">
        <v>168</v>
      </c>
    </row>
    <row r="51" spans="6:27" ht="17.25">
      <c r="F51" s="91" t="s">
        <v>16</v>
      </c>
      <c r="G51" s="91"/>
      <c r="H51" s="49" t="s">
        <v>106</v>
      </c>
      <c r="O51" s="93" t="s">
        <v>171</v>
      </c>
      <c r="P51" s="91"/>
      <c r="Q51" s="79" t="s">
        <v>170</v>
      </c>
      <c r="Y51" s="93" t="s">
        <v>166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98.324897061200005</v>
      </c>
      <c r="L55" s="52">
        <f t="shared" ref="L55:L66" si="4">D35</f>
        <v>75.343575377600004</v>
      </c>
      <c r="M55" s="52">
        <f t="shared" ref="M55:M66" si="5">E35</f>
        <v>142.49310057193793</v>
      </c>
      <c r="N55" s="52">
        <f t="shared" ref="N55:O66" si="6">M35</f>
        <v>-3.1133445242</v>
      </c>
      <c r="O55" s="52">
        <f t="shared" si="6"/>
        <v>-1.8180682286999996</v>
      </c>
      <c r="P55" s="52">
        <f t="shared" ref="P55:P66" si="7">V35</f>
        <v>-2.1886119843</v>
      </c>
      <c r="Q55" s="53">
        <f t="shared" ref="Q55:Q66" si="8">W35</f>
        <v>6.8316593169999997</v>
      </c>
    </row>
    <row r="56" spans="6:27" ht="19.5">
      <c r="I56" s="43">
        <f t="shared" si="2"/>
        <v>1</v>
      </c>
      <c r="J56" s="44"/>
      <c r="K56" s="54">
        <f t="shared" si="3"/>
        <v>99.030487739799995</v>
      </c>
      <c r="L56" s="55">
        <f t="shared" si="4"/>
        <v>81.9275078971</v>
      </c>
      <c r="M56" s="55">
        <f t="shared" si="5"/>
        <v>138.5985714378379</v>
      </c>
      <c r="N56" s="55">
        <f t="shared" si="6"/>
        <v>-0.430091271</v>
      </c>
      <c r="O56" s="55">
        <f t="shared" si="6"/>
        <v>2.3129493846</v>
      </c>
      <c r="P56" s="55">
        <f t="shared" si="7"/>
        <v>-2.5757715702000001</v>
      </c>
      <c r="Q56" s="56">
        <f t="shared" si="8"/>
        <v>12.8397960663</v>
      </c>
    </row>
    <row r="57" spans="6:27" ht="19.5">
      <c r="I57" s="43">
        <f t="shared" si="2"/>
        <v>1</v>
      </c>
      <c r="J57" s="44"/>
      <c r="K57" s="57">
        <f t="shared" si="3"/>
        <v>97.9560324829</v>
      </c>
      <c r="L57" s="58">
        <f t="shared" si="4"/>
        <v>79.828388699200005</v>
      </c>
      <c r="M57" s="58">
        <f t="shared" si="5"/>
        <v>138.91093722943788</v>
      </c>
      <c r="N57" s="58">
        <f t="shared" si="6"/>
        <v>-6.1808691940999996</v>
      </c>
      <c r="O57" s="58">
        <f t="shared" si="6"/>
        <v>-0.52256577689999961</v>
      </c>
      <c r="P57" s="58">
        <f t="shared" si="7"/>
        <v>-3.9156360626</v>
      </c>
      <c r="Q57" s="59">
        <f t="shared" si="8"/>
        <v>5.3814086914000008</v>
      </c>
    </row>
    <row r="58" spans="6:27" ht="19.5">
      <c r="I58" s="43">
        <f t="shared" si="2"/>
        <v>2</v>
      </c>
      <c r="J58" s="44"/>
      <c r="K58" s="60">
        <f t="shared" si="3"/>
        <v>6</v>
      </c>
      <c r="L58" s="61">
        <f t="shared" si="4"/>
        <v>6</v>
      </c>
      <c r="M58" s="61">
        <f t="shared" si="5"/>
        <v>-185.50310559006209</v>
      </c>
      <c r="N58" s="61">
        <f t="shared" si="6"/>
        <v>0</v>
      </c>
      <c r="O58" s="61">
        <f t="shared" si="6"/>
        <v>4</v>
      </c>
      <c r="P58" s="61">
        <f t="shared" si="7"/>
        <v>-3</v>
      </c>
      <c r="Q58" s="62">
        <f t="shared" si="8"/>
        <v>-3</v>
      </c>
    </row>
    <row r="59" spans="6:27" ht="19.5">
      <c r="I59" s="43">
        <f t="shared" si="2"/>
        <v>2</v>
      </c>
      <c r="J59" s="44"/>
      <c r="K59" s="60">
        <f t="shared" si="3"/>
        <v>6</v>
      </c>
      <c r="L59" s="61">
        <f t="shared" si="4"/>
        <v>6</v>
      </c>
      <c r="M59" s="61">
        <f t="shared" si="5"/>
        <v>-185.50310559006209</v>
      </c>
      <c r="N59" s="61">
        <f t="shared" si="6"/>
        <v>0</v>
      </c>
      <c r="O59" s="61">
        <f t="shared" si="6"/>
        <v>4</v>
      </c>
      <c r="P59" s="61">
        <f t="shared" si="7"/>
        <v>-3</v>
      </c>
      <c r="Q59" s="62">
        <f t="shared" si="8"/>
        <v>-3</v>
      </c>
    </row>
    <row r="60" spans="6:27" ht="19.5">
      <c r="I60" s="43">
        <f t="shared" si="2"/>
        <v>2</v>
      </c>
      <c r="J60" s="44"/>
      <c r="K60" s="60">
        <f t="shared" si="3"/>
        <v>6</v>
      </c>
      <c r="L60" s="61">
        <f t="shared" si="4"/>
        <v>6</v>
      </c>
      <c r="M60" s="61">
        <f t="shared" si="5"/>
        <v>-185.50310559006209</v>
      </c>
      <c r="N60" s="61">
        <f t="shared" si="6"/>
        <v>0</v>
      </c>
      <c r="O60" s="61">
        <f t="shared" si="6"/>
        <v>4</v>
      </c>
      <c r="P60" s="61">
        <f t="shared" si="7"/>
        <v>-3</v>
      </c>
      <c r="Q60" s="62">
        <f t="shared" si="8"/>
        <v>-3</v>
      </c>
    </row>
    <row r="61" spans="6:27" ht="19.5">
      <c r="I61" s="43">
        <f t="shared" si="2"/>
        <v>3</v>
      </c>
      <c r="J61" s="44"/>
      <c r="K61" s="66">
        <f t="shared" si="3"/>
        <v>6</v>
      </c>
      <c r="L61" s="67">
        <f t="shared" si="4"/>
        <v>6</v>
      </c>
      <c r="M61" s="67">
        <f t="shared" si="5"/>
        <v>-185.50310559006209</v>
      </c>
      <c r="N61" s="67">
        <f t="shared" si="6"/>
        <v>0</v>
      </c>
      <c r="O61" s="67">
        <f t="shared" si="6"/>
        <v>4</v>
      </c>
      <c r="P61" s="67">
        <f t="shared" si="7"/>
        <v>-3</v>
      </c>
      <c r="Q61" s="68">
        <f t="shared" si="8"/>
        <v>-3</v>
      </c>
    </row>
    <row r="62" spans="6:27" ht="19.5">
      <c r="I62" s="43">
        <f t="shared" si="2"/>
        <v>3</v>
      </c>
      <c r="J62" s="44"/>
      <c r="K62" s="69">
        <f t="shared" si="3"/>
        <v>6</v>
      </c>
      <c r="L62" s="70">
        <f t="shared" si="4"/>
        <v>6</v>
      </c>
      <c r="M62" s="70">
        <f t="shared" si="5"/>
        <v>-185.50310559006209</v>
      </c>
      <c r="N62" s="70">
        <f t="shared" si="6"/>
        <v>0</v>
      </c>
      <c r="O62" s="70">
        <f t="shared" si="6"/>
        <v>4</v>
      </c>
      <c r="P62" s="70">
        <f t="shared" si="7"/>
        <v>-3</v>
      </c>
      <c r="Q62" s="71">
        <f t="shared" si="8"/>
        <v>-3</v>
      </c>
    </row>
    <row r="63" spans="6:27" ht="19.5">
      <c r="I63" s="43">
        <f t="shared" si="2"/>
        <v>3</v>
      </c>
      <c r="J63" s="44"/>
      <c r="K63" s="72">
        <f t="shared" si="3"/>
        <v>6</v>
      </c>
      <c r="L63" s="73">
        <f t="shared" si="4"/>
        <v>6</v>
      </c>
      <c r="M63" s="73">
        <f t="shared" si="5"/>
        <v>-185.50310559006209</v>
      </c>
      <c r="N63" s="73">
        <f t="shared" si="6"/>
        <v>0</v>
      </c>
      <c r="O63" s="73">
        <f t="shared" si="6"/>
        <v>4</v>
      </c>
      <c r="P63" s="73">
        <f t="shared" si="7"/>
        <v>-3</v>
      </c>
      <c r="Q63" s="74">
        <f t="shared" si="8"/>
        <v>-3</v>
      </c>
    </row>
    <row r="64" spans="6:27" ht="19.5">
      <c r="I64" s="43">
        <f t="shared" si="2"/>
        <v>4</v>
      </c>
      <c r="J64" s="44"/>
      <c r="K64" s="60">
        <f t="shared" si="3"/>
        <v>6</v>
      </c>
      <c r="L64" s="61">
        <f t="shared" si="4"/>
        <v>6</v>
      </c>
      <c r="M64" s="61">
        <f t="shared" si="5"/>
        <v>-185.50310559006209</v>
      </c>
      <c r="N64" s="61">
        <f t="shared" si="6"/>
        <v>0</v>
      </c>
      <c r="O64" s="61">
        <f t="shared" si="6"/>
        <v>4</v>
      </c>
      <c r="P64" s="61">
        <f t="shared" si="7"/>
        <v>-3</v>
      </c>
      <c r="Q64" s="62">
        <f t="shared" si="8"/>
        <v>-3</v>
      </c>
    </row>
    <row r="65" spans="9:17" ht="19.5">
      <c r="I65" s="43">
        <f t="shared" si="2"/>
        <v>4</v>
      </c>
      <c r="J65" s="44"/>
      <c r="K65" s="60">
        <f t="shared" si="3"/>
        <v>6</v>
      </c>
      <c r="L65" s="61">
        <f t="shared" si="4"/>
        <v>6</v>
      </c>
      <c r="M65" s="61">
        <f t="shared" si="5"/>
        <v>-185.50310559006209</v>
      </c>
      <c r="N65" s="61">
        <f t="shared" si="6"/>
        <v>0</v>
      </c>
      <c r="O65" s="61">
        <f t="shared" si="6"/>
        <v>4</v>
      </c>
      <c r="P65" s="61">
        <f t="shared" si="7"/>
        <v>-3</v>
      </c>
      <c r="Q65" s="62">
        <f t="shared" si="8"/>
        <v>-3</v>
      </c>
    </row>
    <row r="66" spans="9:17" ht="20.25" thickBot="1">
      <c r="I66" s="43">
        <f t="shared" si="2"/>
        <v>4</v>
      </c>
      <c r="J66" s="44"/>
      <c r="K66" s="63">
        <f t="shared" si="3"/>
        <v>6</v>
      </c>
      <c r="L66" s="64">
        <f t="shared" si="4"/>
        <v>6</v>
      </c>
      <c r="M66" s="64">
        <f t="shared" si="5"/>
        <v>-185.50310559006209</v>
      </c>
      <c r="N66" s="64">
        <f t="shared" si="6"/>
        <v>0</v>
      </c>
      <c r="O66" s="64">
        <f t="shared" si="6"/>
        <v>4</v>
      </c>
      <c r="P66" s="64">
        <f t="shared" si="7"/>
        <v>-3</v>
      </c>
      <c r="Q66" s="65">
        <f t="shared" si="8"/>
        <v>-3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s="17" t="s">
        <v>209</v>
      </c>
    </row>
    <row r="2" spans="1:37">
      <c r="A2" t="s">
        <v>210</v>
      </c>
      <c r="B2" t="s">
        <v>211</v>
      </c>
      <c r="C2" t="s">
        <v>212</v>
      </c>
      <c r="D2" t="s">
        <v>213</v>
      </c>
      <c r="E2">
        <v>3</v>
      </c>
      <c r="F2" t="s">
        <v>214</v>
      </c>
      <c r="G2" t="s">
        <v>215</v>
      </c>
      <c r="H2" t="s">
        <v>216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2109.3866554758001</v>
      </c>
      <c r="S2">
        <v>1518.3180682287</v>
      </c>
      <c r="T2">
        <v>-3.1133445242</v>
      </c>
      <c r="U2">
        <v>-5.8180682286999996</v>
      </c>
      <c r="V2">
        <v>6.5986992687999999</v>
      </c>
      <c r="W2">
        <v>732.12750000000005</v>
      </c>
      <c r="X2">
        <v>388.27289999999999</v>
      </c>
      <c r="Y2">
        <v>396.03550000000001</v>
      </c>
      <c r="Z2">
        <v>391.20479999999998</v>
      </c>
      <c r="AA2">
        <v>388.97300000000001</v>
      </c>
      <c r="AB2">
        <v>561.62452499999995</v>
      </c>
      <c r="AC2" t="s">
        <v>223</v>
      </c>
      <c r="AD2" t="s">
        <v>224</v>
      </c>
      <c r="AE2" t="s">
        <v>225</v>
      </c>
      <c r="AF2" t="s">
        <v>226</v>
      </c>
      <c r="AG2" t="s">
        <v>227</v>
      </c>
      <c r="AH2">
        <v>8</v>
      </c>
      <c r="AI2" t="s">
        <v>228</v>
      </c>
      <c r="AK2" s="17">
        <v>1</v>
      </c>
    </row>
    <row r="3" spans="1:37">
      <c r="A3" t="s">
        <v>229</v>
      </c>
      <c r="B3" t="s">
        <v>230</v>
      </c>
      <c r="C3" t="s">
        <v>231</v>
      </c>
      <c r="D3" t="s">
        <v>213</v>
      </c>
      <c r="E3">
        <v>3</v>
      </c>
      <c r="F3" t="s">
        <v>214</v>
      </c>
      <c r="G3" t="s">
        <v>215</v>
      </c>
      <c r="H3" t="s">
        <v>216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2112.069908729</v>
      </c>
      <c r="S3">
        <v>1514.1870506154</v>
      </c>
      <c r="T3">
        <v>-0.430091271</v>
      </c>
      <c r="U3">
        <v>-1.6870506154</v>
      </c>
      <c r="V3">
        <v>1.7410107066</v>
      </c>
      <c r="W3">
        <v>722.70889999999997</v>
      </c>
      <c r="X3">
        <v>383.60309999999998</v>
      </c>
      <c r="Y3">
        <v>391.64870000000002</v>
      </c>
      <c r="Z3">
        <v>386.81540000000001</v>
      </c>
      <c r="AA3">
        <v>385.81330000000003</v>
      </c>
      <c r="AB3">
        <v>554.83951249999996</v>
      </c>
      <c r="AC3" t="s">
        <v>223</v>
      </c>
      <c r="AD3" t="s">
        <v>224</v>
      </c>
      <c r="AE3" t="s">
        <v>225</v>
      </c>
      <c r="AF3" t="s">
        <v>226</v>
      </c>
      <c r="AG3" t="s">
        <v>227</v>
      </c>
      <c r="AH3">
        <v>8</v>
      </c>
      <c r="AI3" t="s">
        <v>228</v>
      </c>
      <c r="AK3" s="17">
        <v>1</v>
      </c>
    </row>
    <row r="4" spans="1:37">
      <c r="A4" t="s">
        <v>237</v>
      </c>
      <c r="B4" t="s">
        <v>238</v>
      </c>
      <c r="C4" t="s">
        <v>239</v>
      </c>
      <c r="D4" t="s">
        <v>213</v>
      </c>
      <c r="E4">
        <v>3</v>
      </c>
      <c r="F4" t="s">
        <v>214</v>
      </c>
      <c r="G4" t="s">
        <v>215</v>
      </c>
      <c r="H4" t="s">
        <v>216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2106.3191308058999</v>
      </c>
      <c r="S4">
        <v>1517.0225657768999</v>
      </c>
      <c r="T4">
        <v>-6.1808691940999996</v>
      </c>
      <c r="U4">
        <v>-4.5225657768999996</v>
      </c>
      <c r="V4">
        <v>7.6587691701000002</v>
      </c>
      <c r="W4">
        <v>723.83069999999998</v>
      </c>
      <c r="X4">
        <v>386.10140000000001</v>
      </c>
      <c r="Y4">
        <v>393.78800000000001</v>
      </c>
      <c r="Z4">
        <v>389.84350000000001</v>
      </c>
      <c r="AA4">
        <v>387.3356</v>
      </c>
      <c r="AB4">
        <v>556.54891250000003</v>
      </c>
      <c r="AC4" t="s">
        <v>223</v>
      </c>
      <c r="AD4" t="s">
        <v>224</v>
      </c>
      <c r="AE4" t="s">
        <v>225</v>
      </c>
      <c r="AF4" t="s">
        <v>226</v>
      </c>
      <c r="AG4" t="s">
        <v>227</v>
      </c>
      <c r="AH4">
        <v>8</v>
      </c>
      <c r="AI4" t="s">
        <v>228</v>
      </c>
      <c r="AK4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245</v>
      </c>
      <c r="S1" t="s">
        <v>246</v>
      </c>
      <c r="T1" t="s">
        <v>247</v>
      </c>
      <c r="U1" t="s">
        <v>248</v>
      </c>
      <c r="V1" t="s">
        <v>249</v>
      </c>
      <c r="W1" t="s">
        <v>250</v>
      </c>
      <c r="X1" t="s">
        <v>251</v>
      </c>
      <c r="Y1" t="s">
        <v>252</v>
      </c>
      <c r="Z1" t="s">
        <v>253</v>
      </c>
      <c r="AA1" t="s">
        <v>254</v>
      </c>
      <c r="AB1" t="s">
        <v>255</v>
      </c>
      <c r="AC1" t="s">
        <v>256</v>
      </c>
      <c r="AD1" t="s">
        <v>257</v>
      </c>
      <c r="AE1" t="s">
        <v>258</v>
      </c>
      <c r="AF1" t="s">
        <v>259</v>
      </c>
      <c r="AG1" t="s">
        <v>260</v>
      </c>
      <c r="AH1" t="s">
        <v>261</v>
      </c>
      <c r="AI1" t="s">
        <v>262</v>
      </c>
      <c r="AJ1" t="s">
        <v>263</v>
      </c>
      <c r="AK1" t="s">
        <v>264</v>
      </c>
      <c r="AL1" t="s">
        <v>265</v>
      </c>
      <c r="AM1" t="s">
        <v>266</v>
      </c>
      <c r="AN1" t="s">
        <v>267</v>
      </c>
      <c r="AO1" t="s">
        <v>268</v>
      </c>
      <c r="AP1" t="s">
        <v>269</v>
      </c>
      <c r="AQ1" t="s">
        <v>270</v>
      </c>
      <c r="AR1" t="s">
        <v>271</v>
      </c>
      <c r="AS1" t="s">
        <v>272</v>
      </c>
      <c r="AT1" t="s">
        <v>273</v>
      </c>
      <c r="AU1" t="s">
        <v>274</v>
      </c>
      <c r="AV1" t="s">
        <v>275</v>
      </c>
      <c r="AW1" t="s">
        <v>207</v>
      </c>
      <c r="AX1" t="s">
        <v>208</v>
      </c>
      <c r="AY1" s="17" t="s">
        <v>209</v>
      </c>
    </row>
    <row r="2" spans="1:51">
      <c r="A2" t="s">
        <v>276</v>
      </c>
      <c r="B2" t="s">
        <v>277</v>
      </c>
      <c r="C2" t="s">
        <v>278</v>
      </c>
      <c r="D2" t="s">
        <v>213</v>
      </c>
      <c r="E2">
        <v>3</v>
      </c>
      <c r="F2" t="s">
        <v>214</v>
      </c>
      <c r="G2" t="s">
        <v>215</v>
      </c>
      <c r="H2" t="s">
        <v>279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-1.40667E-5</v>
      </c>
      <c r="S2">
        <v>0.81138801569999996</v>
      </c>
      <c r="T2">
        <v>9.8316593169999997</v>
      </c>
      <c r="U2">
        <v>6.3117947578000004</v>
      </c>
      <c r="V2">
        <v>9.6567096709999998</v>
      </c>
      <c r="W2">
        <v>-8.1268854141000002</v>
      </c>
      <c r="X2">
        <v>-2.3407344818000002</v>
      </c>
      <c r="Y2">
        <v>-2.6154870987000001</v>
      </c>
      <c r="Z2">
        <v>-1.3163063526000001</v>
      </c>
      <c r="AA2">
        <v>-0.2647776604</v>
      </c>
      <c r="AB2">
        <v>1.0032401085</v>
      </c>
      <c r="AC2">
        <v>-2.3879010677000001</v>
      </c>
      <c r="AD2">
        <v>2.6568119526</v>
      </c>
      <c r="AE2">
        <v>1.0530114174</v>
      </c>
      <c r="AF2">
        <v>1.2697148323</v>
      </c>
      <c r="AG2">
        <v>0.29086974259999998</v>
      </c>
      <c r="AH2">
        <v>0.26075148580000002</v>
      </c>
      <c r="AI2">
        <v>-0.78359401230000003</v>
      </c>
      <c r="AJ2">
        <v>-0.10823225979999999</v>
      </c>
      <c r="AK2">
        <v>7.5448303999999999E-3</v>
      </c>
      <c r="AL2">
        <v>2.1960839999999999E-4</v>
      </c>
      <c r="AM2">
        <v>4.8182584299999998E-2</v>
      </c>
      <c r="AN2">
        <v>0.1414302737</v>
      </c>
      <c r="AO2">
        <v>0.239685595</v>
      </c>
      <c r="AP2">
        <v>0.29269170760000002</v>
      </c>
      <c r="AQ2">
        <v>0.29269170760000002</v>
      </c>
      <c r="AR2">
        <v>9.8650836508000008</v>
      </c>
      <c r="AS2" t="s">
        <v>280</v>
      </c>
      <c r="AT2" t="s">
        <v>281</v>
      </c>
      <c r="AU2">
        <v>4</v>
      </c>
      <c r="AV2">
        <v>2.9</v>
      </c>
      <c r="AY2" s="17">
        <v>1</v>
      </c>
    </row>
    <row r="3" spans="1:51">
      <c r="A3" t="s">
        <v>282</v>
      </c>
      <c r="B3" t="s">
        <v>283</v>
      </c>
      <c r="C3" t="s">
        <v>284</v>
      </c>
      <c r="D3" t="s">
        <v>213</v>
      </c>
      <c r="E3">
        <v>3</v>
      </c>
      <c r="F3" t="s">
        <v>214</v>
      </c>
      <c r="G3" t="s">
        <v>215</v>
      </c>
      <c r="H3" t="s">
        <v>279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-1.4304999999999999E-6</v>
      </c>
      <c r="S3">
        <v>0.42422842979999997</v>
      </c>
      <c r="T3">
        <v>15.8397960663</v>
      </c>
      <c r="U3">
        <v>4.2582693100000002</v>
      </c>
      <c r="V3">
        <v>6.0097794533000002</v>
      </c>
      <c r="W3">
        <v>-10.63712883</v>
      </c>
      <c r="X3">
        <v>-1.0006479024999999</v>
      </c>
      <c r="Y3">
        <v>-3.9582676887999999</v>
      </c>
      <c r="Z3">
        <v>-0.56326085329999998</v>
      </c>
      <c r="AA3">
        <v>0.2160785794</v>
      </c>
      <c r="AB3">
        <v>1.4199664593000001</v>
      </c>
      <c r="AC3">
        <v>-2.0384175777000002</v>
      </c>
      <c r="AD3">
        <v>2.7684226035999999</v>
      </c>
      <c r="AE3">
        <v>0.60194575790000004</v>
      </c>
      <c r="AF3">
        <v>1.5278792380999999</v>
      </c>
      <c r="AG3">
        <v>0.4723812342</v>
      </c>
      <c r="AH3">
        <v>-0.1772896051</v>
      </c>
      <c r="AI3">
        <v>-1.1093118191</v>
      </c>
      <c r="AJ3">
        <v>-0.81710362430000005</v>
      </c>
      <c r="AK3">
        <v>-0.58127009870000002</v>
      </c>
      <c r="AL3">
        <v>1.8487239999999999E-4</v>
      </c>
      <c r="AM3">
        <v>4.4479597400000001E-2</v>
      </c>
      <c r="AN3">
        <v>0.14867681260000001</v>
      </c>
      <c r="AO3">
        <v>0.35582017900000001</v>
      </c>
      <c r="AP3">
        <v>0.35582017900000001</v>
      </c>
      <c r="AQ3">
        <v>0.35582017900000001</v>
      </c>
      <c r="AR3">
        <v>15.8454759847</v>
      </c>
      <c r="AS3" t="s">
        <v>280</v>
      </c>
      <c r="AT3" t="s">
        <v>281</v>
      </c>
      <c r="AU3">
        <v>3</v>
      </c>
      <c r="AV3">
        <v>2.9</v>
      </c>
      <c r="AY3" s="17">
        <v>1</v>
      </c>
    </row>
    <row r="4" spans="1:51">
      <c r="A4" t="s">
        <v>285</v>
      </c>
      <c r="B4" t="s">
        <v>286</v>
      </c>
      <c r="C4" t="s">
        <v>287</v>
      </c>
      <c r="D4" t="s">
        <v>213</v>
      </c>
      <c r="E4">
        <v>3</v>
      </c>
      <c r="F4" t="s">
        <v>214</v>
      </c>
      <c r="G4" t="s">
        <v>215</v>
      </c>
      <c r="H4" t="s">
        <v>279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1.43051E-5</v>
      </c>
      <c r="S4">
        <v>-0.91563606259999997</v>
      </c>
      <c r="T4">
        <v>8.3814086914000008</v>
      </c>
      <c r="U4">
        <v>4.5842108726999999</v>
      </c>
      <c r="V4">
        <v>5.8153524398999998</v>
      </c>
      <c r="W4">
        <v>-11.459298133900001</v>
      </c>
      <c r="X4">
        <v>-1.8195725679000001</v>
      </c>
      <c r="Y4">
        <v>-3.4285910130000001</v>
      </c>
      <c r="Z4">
        <v>-1.2579092978999999</v>
      </c>
      <c r="AA4">
        <v>0.36916196350000002</v>
      </c>
      <c r="AB4">
        <v>9.9225044299999995E-2</v>
      </c>
      <c r="AC4">
        <v>-1.3914881944999999</v>
      </c>
      <c r="AD4">
        <v>2.6894674301000001</v>
      </c>
      <c r="AE4">
        <v>1.0308188199999999</v>
      </c>
      <c r="AF4">
        <v>1.3542670012</v>
      </c>
      <c r="AG4">
        <v>0.70008993149999998</v>
      </c>
      <c r="AH4">
        <v>0.39193055030000001</v>
      </c>
      <c r="AI4">
        <v>-0.61982250210000001</v>
      </c>
      <c r="AJ4">
        <v>-0.61543190479999998</v>
      </c>
      <c r="AK4">
        <v>0.60097312930000002</v>
      </c>
      <c r="AL4">
        <v>1.8367939999999999E-4</v>
      </c>
      <c r="AM4">
        <v>4.40939069E-2</v>
      </c>
      <c r="AN4">
        <v>0.16197578609999999</v>
      </c>
      <c r="AO4">
        <v>0.26250565050000002</v>
      </c>
      <c r="AP4">
        <v>0.26250565050000002</v>
      </c>
      <c r="AQ4">
        <v>0.26250565050000002</v>
      </c>
      <c r="AR4">
        <v>8.4312751734999996</v>
      </c>
      <c r="AS4" t="s">
        <v>280</v>
      </c>
      <c r="AT4" t="s">
        <v>281</v>
      </c>
      <c r="AU4">
        <v>3</v>
      </c>
      <c r="AV4">
        <v>2.9</v>
      </c>
      <c r="AY4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288</v>
      </c>
      <c r="S1" t="s">
        <v>289</v>
      </c>
      <c r="T1" t="s">
        <v>290</v>
      </c>
      <c r="U1" t="s">
        <v>291</v>
      </c>
      <c r="V1" t="s">
        <v>292</v>
      </c>
      <c r="W1" t="s">
        <v>293</v>
      </c>
      <c r="X1" t="s">
        <v>294</v>
      </c>
      <c r="Y1" t="s">
        <v>295</v>
      </c>
      <c r="Z1" t="s">
        <v>296</v>
      </c>
      <c r="AA1" t="s">
        <v>297</v>
      </c>
      <c r="AB1" t="s">
        <v>298</v>
      </c>
      <c r="AC1" t="s">
        <v>299</v>
      </c>
      <c r="AD1" t="s">
        <v>300</v>
      </c>
      <c r="AE1" t="s">
        <v>207</v>
      </c>
      <c r="AF1" t="s">
        <v>208</v>
      </c>
      <c r="AG1" s="17" t="s">
        <v>209</v>
      </c>
    </row>
    <row r="2" spans="1:33">
      <c r="A2" t="s">
        <v>276</v>
      </c>
      <c r="B2" t="s">
        <v>277</v>
      </c>
      <c r="C2" t="s">
        <v>301</v>
      </c>
      <c r="D2" t="s">
        <v>213</v>
      </c>
      <c r="E2">
        <v>3</v>
      </c>
      <c r="F2" t="s">
        <v>214</v>
      </c>
      <c r="G2" t="s">
        <v>215</v>
      </c>
      <c r="H2" t="s">
        <v>279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-7.0381231672000002</v>
      </c>
      <c r="S2">
        <v>-48</v>
      </c>
      <c r="T2">
        <v>92.324897061200005</v>
      </c>
      <c r="U2">
        <v>116.969547676</v>
      </c>
      <c r="V2">
        <v>3.5229791966000001</v>
      </c>
      <c r="W2">
        <v>2.5627504000000001E-3</v>
      </c>
      <c r="X2">
        <v>-6.7591100000000004E-5</v>
      </c>
      <c r="Y2">
        <v>3.3000987183000001</v>
      </c>
      <c r="Z2">
        <v>89.9027779993</v>
      </c>
      <c r="AA2">
        <v>69.343575377600004</v>
      </c>
      <c r="AB2">
        <v>327.99620616210001</v>
      </c>
      <c r="AC2">
        <v>349.51635908330002</v>
      </c>
      <c r="AD2">
        <v>1</v>
      </c>
      <c r="AG2" s="17">
        <v>1</v>
      </c>
    </row>
    <row r="3" spans="1:33">
      <c r="A3" t="s">
        <v>282</v>
      </c>
      <c r="B3" t="s">
        <v>283</v>
      </c>
      <c r="C3" t="s">
        <v>302</v>
      </c>
      <c r="D3" t="s">
        <v>213</v>
      </c>
      <c r="E3">
        <v>3</v>
      </c>
      <c r="F3" t="s">
        <v>214</v>
      </c>
      <c r="G3" t="s">
        <v>215</v>
      </c>
      <c r="H3" t="s">
        <v>279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-7.0381231672000002</v>
      </c>
      <c r="S3">
        <v>-48</v>
      </c>
      <c r="T3">
        <v>93.030487739799995</v>
      </c>
      <c r="U3">
        <v>117.32521256619999</v>
      </c>
      <c r="V3">
        <v>3.4710595083000002</v>
      </c>
      <c r="W3">
        <v>2.2801545000000001E-3</v>
      </c>
      <c r="X3">
        <v>-6.3308799999999999E-5</v>
      </c>
      <c r="Y3">
        <v>3.2579692332999999</v>
      </c>
      <c r="Z3">
        <v>92.026751981499999</v>
      </c>
      <c r="AA3">
        <v>75.9275078971</v>
      </c>
      <c r="AB3">
        <v>324.1016770279</v>
      </c>
      <c r="AC3">
        <v>345.6305113848</v>
      </c>
      <c r="AD3">
        <v>1</v>
      </c>
      <c r="AG3" s="17">
        <v>1</v>
      </c>
    </row>
    <row r="4" spans="1:33">
      <c r="A4" t="s">
        <v>285</v>
      </c>
      <c r="B4" t="s">
        <v>286</v>
      </c>
      <c r="C4" t="s">
        <v>303</v>
      </c>
      <c r="D4" t="s">
        <v>213</v>
      </c>
      <c r="E4">
        <v>3</v>
      </c>
      <c r="F4" t="s">
        <v>214</v>
      </c>
      <c r="G4" t="s">
        <v>215</v>
      </c>
      <c r="H4" t="s">
        <v>279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-7.0381231672000002</v>
      </c>
      <c r="S4">
        <v>-48</v>
      </c>
      <c r="T4">
        <v>91.9560324829</v>
      </c>
      <c r="U4">
        <v>115.50974669199999</v>
      </c>
      <c r="V4">
        <v>3.3685155315999999</v>
      </c>
      <c r="W4">
        <v>2.6877912999999998E-3</v>
      </c>
      <c r="X4">
        <v>-6.0730499999999997E-5</v>
      </c>
      <c r="Y4">
        <v>3.1834316322</v>
      </c>
      <c r="Z4">
        <v>91.954941137299997</v>
      </c>
      <c r="AA4">
        <v>73.828388699200005</v>
      </c>
      <c r="AB4">
        <v>324.41404281939998</v>
      </c>
      <c r="AC4">
        <v>345.93773593229997</v>
      </c>
      <c r="AD4">
        <v>1</v>
      </c>
      <c r="AG4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304</v>
      </c>
      <c r="S1" t="s">
        <v>305</v>
      </c>
      <c r="T1" t="s">
        <v>306</v>
      </c>
      <c r="U1" t="s">
        <v>307</v>
      </c>
      <c r="V1" t="s">
        <v>308</v>
      </c>
      <c r="W1" t="s">
        <v>309</v>
      </c>
      <c r="X1" t="s">
        <v>310</v>
      </c>
      <c r="Y1" t="s">
        <v>311</v>
      </c>
      <c r="Z1" t="s">
        <v>312</v>
      </c>
      <c r="AA1" t="s">
        <v>313</v>
      </c>
      <c r="AB1" t="s">
        <v>314</v>
      </c>
      <c r="AC1" t="s">
        <v>315</v>
      </c>
      <c r="AD1" t="s">
        <v>316</v>
      </c>
      <c r="AE1" t="s">
        <v>317</v>
      </c>
      <c r="AF1" t="s">
        <v>318</v>
      </c>
      <c r="AG1" t="s">
        <v>319</v>
      </c>
      <c r="AH1" t="s">
        <v>320</v>
      </c>
      <c r="AI1" t="s">
        <v>321</v>
      </c>
      <c r="AJ1" t="s">
        <v>322</v>
      </c>
      <c r="AK1" t="s">
        <v>323</v>
      </c>
      <c r="AL1" t="s">
        <v>324</v>
      </c>
      <c r="AM1" t="s">
        <v>325</v>
      </c>
      <c r="AN1" t="s">
        <v>326</v>
      </c>
      <c r="AO1" t="s">
        <v>327</v>
      </c>
      <c r="AP1" t="s">
        <v>328</v>
      </c>
      <c r="AQ1" t="s">
        <v>329</v>
      </c>
      <c r="AR1" t="s">
        <v>330</v>
      </c>
      <c r="AS1" t="s">
        <v>331</v>
      </c>
      <c r="AT1" t="s">
        <v>332</v>
      </c>
      <c r="AU1" t="s">
        <v>333</v>
      </c>
      <c r="AV1" t="s">
        <v>334</v>
      </c>
      <c r="AW1" t="s">
        <v>335</v>
      </c>
      <c r="AX1" t="s">
        <v>336</v>
      </c>
      <c r="AY1" t="s">
        <v>337</v>
      </c>
      <c r="AZ1" t="s">
        <v>338</v>
      </c>
      <c r="BA1" t="s">
        <v>339</v>
      </c>
      <c r="BB1" t="s">
        <v>340</v>
      </c>
      <c r="BC1" t="s">
        <v>341</v>
      </c>
      <c r="BD1" t="s">
        <v>342</v>
      </c>
      <c r="BE1" t="s">
        <v>343</v>
      </c>
      <c r="BF1" t="s">
        <v>344</v>
      </c>
      <c r="BG1" t="s">
        <v>345</v>
      </c>
      <c r="BH1" t="s">
        <v>346</v>
      </c>
      <c r="BI1" t="s">
        <v>347</v>
      </c>
      <c r="BJ1" t="s">
        <v>348</v>
      </c>
      <c r="BK1" t="s">
        <v>349</v>
      </c>
      <c r="BL1" t="s">
        <v>350</v>
      </c>
      <c r="BM1" t="s">
        <v>351</v>
      </c>
      <c r="BN1" t="s">
        <v>352</v>
      </c>
      <c r="BO1" t="s">
        <v>353</v>
      </c>
      <c r="BP1" t="s">
        <v>354</v>
      </c>
      <c r="BQ1" t="s">
        <v>355</v>
      </c>
      <c r="BR1" t="s">
        <v>356</v>
      </c>
      <c r="BS1" t="s">
        <v>357</v>
      </c>
      <c r="BT1" t="s">
        <v>358</v>
      </c>
      <c r="BU1" t="s">
        <v>359</v>
      </c>
      <c r="BV1" t="s">
        <v>360</v>
      </c>
      <c r="BW1" t="s">
        <v>361</v>
      </c>
      <c r="BX1" t="s">
        <v>362</v>
      </c>
      <c r="BY1" t="s">
        <v>363</v>
      </c>
      <c r="BZ1" t="s">
        <v>364</v>
      </c>
      <c r="CA1" t="s">
        <v>365</v>
      </c>
      <c r="CB1" t="s">
        <v>366</v>
      </c>
      <c r="CC1" t="s">
        <v>367</v>
      </c>
      <c r="CD1" t="s">
        <v>368</v>
      </c>
      <c r="CE1" t="s">
        <v>369</v>
      </c>
      <c r="CF1" t="s">
        <v>370</v>
      </c>
      <c r="CG1" t="s">
        <v>371</v>
      </c>
      <c r="CH1" t="s">
        <v>372</v>
      </c>
      <c r="CI1" t="s">
        <v>373</v>
      </c>
      <c r="CJ1" t="s">
        <v>374</v>
      </c>
      <c r="CK1" t="s">
        <v>375</v>
      </c>
      <c r="CL1" t="s">
        <v>376</v>
      </c>
      <c r="CM1" t="s">
        <v>377</v>
      </c>
      <c r="CN1" t="s">
        <v>378</v>
      </c>
      <c r="CO1" t="s">
        <v>379</v>
      </c>
      <c r="CP1" t="s">
        <v>380</v>
      </c>
      <c r="CQ1" t="s">
        <v>381</v>
      </c>
      <c r="CR1" t="s">
        <v>382</v>
      </c>
      <c r="CS1" t="s">
        <v>383</v>
      </c>
      <c r="CT1" t="s">
        <v>384</v>
      </c>
      <c r="CU1" t="s">
        <v>385</v>
      </c>
      <c r="CV1" t="s">
        <v>386</v>
      </c>
      <c r="CW1" t="s">
        <v>387</v>
      </c>
      <c r="CX1" t="s">
        <v>388</v>
      </c>
      <c r="CY1" t="s">
        <v>389</v>
      </c>
      <c r="CZ1" t="s">
        <v>390</v>
      </c>
      <c r="DA1" t="s">
        <v>391</v>
      </c>
      <c r="DB1" t="s">
        <v>392</v>
      </c>
      <c r="DC1" t="s">
        <v>393</v>
      </c>
      <c r="DD1" t="s">
        <v>394</v>
      </c>
      <c r="DE1" t="s">
        <v>395</v>
      </c>
      <c r="DF1" t="s">
        <v>396</v>
      </c>
      <c r="DG1" t="s">
        <v>397</v>
      </c>
      <c r="DH1" t="s">
        <v>398</v>
      </c>
      <c r="DI1" t="s">
        <v>399</v>
      </c>
      <c r="DJ1" t="s">
        <v>400</v>
      </c>
      <c r="DK1" t="s">
        <v>401</v>
      </c>
      <c r="DL1" t="s">
        <v>402</v>
      </c>
      <c r="DM1" t="s">
        <v>403</v>
      </c>
      <c r="DN1" t="s">
        <v>404</v>
      </c>
      <c r="DO1" t="s">
        <v>405</v>
      </c>
      <c r="DP1" t="s">
        <v>406</v>
      </c>
      <c r="DQ1" t="s">
        <v>407</v>
      </c>
      <c r="DR1" t="s">
        <v>408</v>
      </c>
      <c r="DS1" t="s">
        <v>409</v>
      </c>
      <c r="DT1" t="s">
        <v>410</v>
      </c>
      <c r="DU1" t="s">
        <v>411</v>
      </c>
      <c r="DV1" t="s">
        <v>412</v>
      </c>
      <c r="DW1" t="s">
        <v>413</v>
      </c>
      <c r="DX1" t="s">
        <v>414</v>
      </c>
      <c r="DY1" t="s">
        <v>415</v>
      </c>
      <c r="DZ1" t="s">
        <v>416</v>
      </c>
      <c r="EA1" t="s">
        <v>417</v>
      </c>
      <c r="EB1" t="s">
        <v>418</v>
      </c>
      <c r="EC1" t="s">
        <v>419</v>
      </c>
      <c r="ED1" t="s">
        <v>420</v>
      </c>
      <c r="EE1" t="s">
        <v>421</v>
      </c>
      <c r="EF1" t="s">
        <v>422</v>
      </c>
      <c r="EG1" t="s">
        <v>423</v>
      </c>
      <c r="EH1" t="s">
        <v>424</v>
      </c>
      <c r="EI1" t="s">
        <v>425</v>
      </c>
      <c r="EJ1" t="s">
        <v>426</v>
      </c>
      <c r="EK1" t="s">
        <v>427</v>
      </c>
      <c r="EL1" t="s">
        <v>428</v>
      </c>
      <c r="EM1" t="s">
        <v>429</v>
      </c>
      <c r="EN1" t="s">
        <v>430</v>
      </c>
      <c r="EO1" t="s">
        <v>431</v>
      </c>
      <c r="EP1" t="s">
        <v>432</v>
      </c>
      <c r="EQ1" t="s">
        <v>433</v>
      </c>
      <c r="ER1" t="s">
        <v>434</v>
      </c>
      <c r="ES1" t="s">
        <v>435</v>
      </c>
      <c r="ET1" t="s">
        <v>436</v>
      </c>
      <c r="EU1" t="s">
        <v>437</v>
      </c>
      <c r="EV1" t="s">
        <v>438</v>
      </c>
      <c r="EW1" t="s">
        <v>439</v>
      </c>
      <c r="EX1" t="s">
        <v>440</v>
      </c>
      <c r="EY1" t="s">
        <v>441</v>
      </c>
      <c r="EZ1" t="s">
        <v>442</v>
      </c>
      <c r="FA1" t="s">
        <v>443</v>
      </c>
      <c r="FB1" t="s">
        <v>444</v>
      </c>
      <c r="FC1" t="s">
        <v>445</v>
      </c>
      <c r="FD1" t="s">
        <v>446</v>
      </c>
      <c r="FE1" t="s">
        <v>447</v>
      </c>
      <c r="FF1" t="s">
        <v>448</v>
      </c>
      <c r="FG1" t="s">
        <v>449</v>
      </c>
      <c r="FH1" t="s">
        <v>450</v>
      </c>
      <c r="FI1" t="s">
        <v>451</v>
      </c>
      <c r="FJ1" t="s">
        <v>452</v>
      </c>
      <c r="FK1" t="s">
        <v>453</v>
      </c>
      <c r="FL1" t="s">
        <v>454</v>
      </c>
      <c r="FM1" t="s">
        <v>455</v>
      </c>
      <c r="FN1" t="s">
        <v>456</v>
      </c>
      <c r="FO1" t="s">
        <v>457</v>
      </c>
      <c r="FP1" t="s">
        <v>458</v>
      </c>
      <c r="FQ1" t="s">
        <v>459</v>
      </c>
      <c r="FR1" t="s">
        <v>460</v>
      </c>
      <c r="FS1" t="s">
        <v>461</v>
      </c>
      <c r="FT1" t="s">
        <v>462</v>
      </c>
      <c r="FU1" t="s">
        <v>463</v>
      </c>
      <c r="FV1" t="s">
        <v>464</v>
      </c>
      <c r="FW1" t="s">
        <v>465</v>
      </c>
      <c r="FX1" t="s">
        <v>466</v>
      </c>
      <c r="FY1" t="s">
        <v>467</v>
      </c>
      <c r="FZ1" t="s">
        <v>468</v>
      </c>
      <c r="GA1" t="s">
        <v>469</v>
      </c>
      <c r="GB1" t="s">
        <v>470</v>
      </c>
      <c r="GC1" t="s">
        <v>471</v>
      </c>
      <c r="GD1" t="s">
        <v>472</v>
      </c>
      <c r="GE1" t="s">
        <v>473</v>
      </c>
      <c r="GF1" t="s">
        <v>474</v>
      </c>
      <c r="GG1" t="s">
        <v>475</v>
      </c>
      <c r="GH1" t="s">
        <v>476</v>
      </c>
      <c r="GI1" t="s">
        <v>477</v>
      </c>
      <c r="GJ1" t="s">
        <v>478</v>
      </c>
      <c r="GK1" t="s">
        <v>479</v>
      </c>
      <c r="GL1" t="s">
        <v>480</v>
      </c>
      <c r="GM1" t="s">
        <v>481</v>
      </c>
      <c r="GN1" t="s">
        <v>482</v>
      </c>
      <c r="GO1" t="s">
        <v>483</v>
      </c>
      <c r="GP1" t="s">
        <v>484</v>
      </c>
      <c r="GQ1" t="s">
        <v>485</v>
      </c>
      <c r="GR1" t="s">
        <v>486</v>
      </c>
      <c r="GS1" t="s">
        <v>487</v>
      </c>
      <c r="GT1" t="s">
        <v>488</v>
      </c>
      <c r="GU1" t="s">
        <v>489</v>
      </c>
      <c r="GV1" t="s">
        <v>490</v>
      </c>
      <c r="GW1" t="s">
        <v>491</v>
      </c>
      <c r="GX1" t="s">
        <v>492</v>
      </c>
      <c r="GY1" t="s">
        <v>493</v>
      </c>
      <c r="GZ1" t="s">
        <v>494</v>
      </c>
      <c r="HA1" t="s">
        <v>495</v>
      </c>
      <c r="HB1" t="s">
        <v>496</v>
      </c>
      <c r="HC1" t="s">
        <v>497</v>
      </c>
      <c r="HD1" t="s">
        <v>498</v>
      </c>
      <c r="HE1" t="s">
        <v>499</v>
      </c>
      <c r="HF1" t="s">
        <v>500</v>
      </c>
      <c r="HG1" t="s">
        <v>501</v>
      </c>
      <c r="HH1" t="s">
        <v>502</v>
      </c>
      <c r="HI1" t="s">
        <v>503</v>
      </c>
      <c r="HJ1" t="s">
        <v>504</v>
      </c>
      <c r="HK1" t="s">
        <v>505</v>
      </c>
      <c r="HL1" t="s">
        <v>506</v>
      </c>
      <c r="HM1" t="s">
        <v>507</v>
      </c>
      <c r="HN1" t="s">
        <v>508</v>
      </c>
      <c r="HO1" t="s">
        <v>509</v>
      </c>
      <c r="HP1" t="s">
        <v>510</v>
      </c>
      <c r="HQ1" t="s">
        <v>511</v>
      </c>
      <c r="HR1" t="s">
        <v>512</v>
      </c>
      <c r="HS1" t="s">
        <v>513</v>
      </c>
      <c r="HT1" t="s">
        <v>514</v>
      </c>
      <c r="HU1" t="s">
        <v>515</v>
      </c>
      <c r="HV1" t="s">
        <v>516</v>
      </c>
      <c r="HW1" t="s">
        <v>517</v>
      </c>
      <c r="HX1" t="s">
        <v>518</v>
      </c>
      <c r="HY1" t="s">
        <v>519</v>
      </c>
      <c r="HZ1" t="s">
        <v>520</v>
      </c>
      <c r="IA1" t="s">
        <v>521</v>
      </c>
      <c r="IB1" t="s">
        <v>522</v>
      </c>
      <c r="IC1" t="s">
        <v>523</v>
      </c>
      <c r="ID1" t="s">
        <v>524</v>
      </c>
      <c r="IE1" t="s">
        <v>525</v>
      </c>
      <c r="IF1" t="s">
        <v>526</v>
      </c>
      <c r="IG1" t="s">
        <v>527</v>
      </c>
      <c r="IH1" t="s">
        <v>528</v>
      </c>
      <c r="II1" t="s">
        <v>529</v>
      </c>
      <c r="IJ1" t="s">
        <v>530</v>
      </c>
      <c r="IK1" t="s">
        <v>531</v>
      </c>
      <c r="IL1" t="s">
        <v>532</v>
      </c>
      <c r="IM1" t="s">
        <v>533</v>
      </c>
      <c r="IN1" t="s">
        <v>534</v>
      </c>
      <c r="IO1" t="s">
        <v>535</v>
      </c>
      <c r="IP1" t="s">
        <v>536</v>
      </c>
      <c r="IQ1" t="s">
        <v>537</v>
      </c>
      <c r="IR1" t="s">
        <v>538</v>
      </c>
      <c r="IS1" t="s">
        <v>539</v>
      </c>
      <c r="IT1" t="s">
        <v>540</v>
      </c>
      <c r="IU1" t="s">
        <v>541</v>
      </c>
      <c r="IV1" t="s">
        <v>542</v>
      </c>
      <c r="IW1" t="s">
        <v>543</v>
      </c>
      <c r="IX1" t="s">
        <v>544</v>
      </c>
      <c r="IY1" t="s">
        <v>545</v>
      </c>
      <c r="IZ1" t="s">
        <v>546</v>
      </c>
      <c r="JA1" t="s">
        <v>547</v>
      </c>
      <c r="JB1" t="s">
        <v>548</v>
      </c>
      <c r="JC1" t="s">
        <v>549</v>
      </c>
      <c r="JD1" t="s">
        <v>550</v>
      </c>
      <c r="JE1" t="s">
        <v>551</v>
      </c>
      <c r="JF1" t="s">
        <v>552</v>
      </c>
      <c r="JG1" t="s">
        <v>553</v>
      </c>
      <c r="JH1" t="s">
        <v>554</v>
      </c>
      <c r="JI1" t="s">
        <v>555</v>
      </c>
      <c r="JJ1" t="s">
        <v>556</v>
      </c>
      <c r="JK1" t="s">
        <v>557</v>
      </c>
      <c r="JL1" t="s">
        <v>295</v>
      </c>
      <c r="JM1" t="s">
        <v>558</v>
      </c>
      <c r="JN1" t="s">
        <v>559</v>
      </c>
      <c r="JO1" t="s">
        <v>560</v>
      </c>
      <c r="JP1" t="s">
        <v>561</v>
      </c>
      <c r="JQ1" t="s">
        <v>562</v>
      </c>
      <c r="JR1" s="17" t="s">
        <v>563</v>
      </c>
      <c r="JS1" s="17" t="s">
        <v>207</v>
      </c>
      <c r="JT1" s="17" t="s">
        <v>208</v>
      </c>
      <c r="JU1" s="17" t="s">
        <v>209</v>
      </c>
    </row>
    <row r="2" spans="1:281">
      <c r="A2" t="s">
        <v>564</v>
      </c>
      <c r="B2" t="s">
        <v>565</v>
      </c>
      <c r="C2" t="s">
        <v>566</v>
      </c>
      <c r="D2" t="s">
        <v>213</v>
      </c>
      <c r="E2">
        <v>3</v>
      </c>
      <c r="F2" t="s">
        <v>214</v>
      </c>
      <c r="G2" t="s">
        <v>215</v>
      </c>
      <c r="H2" t="s">
        <v>567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0.40000000079999998</v>
      </c>
      <c r="S2">
        <v>0.50000000010000001</v>
      </c>
      <c r="T2">
        <v>0.50000000010000001</v>
      </c>
      <c r="U2">
        <v>0.3000000015</v>
      </c>
      <c r="V2">
        <v>0.40000000079999998</v>
      </c>
      <c r="W2">
        <v>0.1000000011</v>
      </c>
      <c r="X2">
        <v>0.20000000039999999</v>
      </c>
      <c r="Y2">
        <v>0.20000000039999999</v>
      </c>
      <c r="Z2">
        <v>0.20000000039999999</v>
      </c>
      <c r="AA2">
        <v>0.3000000015</v>
      </c>
      <c r="AB2">
        <v>0</v>
      </c>
      <c r="AC2">
        <v>0</v>
      </c>
      <c r="AD2">
        <v>0</v>
      </c>
      <c r="AE2">
        <v>0.1000000011</v>
      </c>
      <c r="AF2">
        <v>0.1000000011</v>
      </c>
      <c r="AG2">
        <v>0.1000000011</v>
      </c>
      <c r="AH2">
        <v>2.4000000012</v>
      </c>
      <c r="AI2">
        <v>5.8000000007999999</v>
      </c>
      <c r="AJ2">
        <v>9.2000000003999993</v>
      </c>
      <c r="AK2">
        <v>14.9000000001</v>
      </c>
      <c r="AL2">
        <v>22.700000001399999</v>
      </c>
      <c r="AM2">
        <v>29.6000000017</v>
      </c>
      <c r="AN2">
        <v>36.500000000199996</v>
      </c>
      <c r="AO2">
        <v>43.700000000199999</v>
      </c>
      <c r="AP2">
        <v>51.100000000599998</v>
      </c>
      <c r="AQ2">
        <v>59.000000001099998</v>
      </c>
      <c r="AR2">
        <v>66.900000001600006</v>
      </c>
      <c r="AS2">
        <v>74.900000001400002</v>
      </c>
      <c r="AT2">
        <v>82.400000001099997</v>
      </c>
      <c r="AU2">
        <v>90.000000000100002</v>
      </c>
      <c r="AV2">
        <v>97.600000000999998</v>
      </c>
      <c r="AW2">
        <v>105.7000000001</v>
      </c>
      <c r="AX2">
        <v>114.7000000001</v>
      </c>
      <c r="AY2">
        <v>123.9000000005</v>
      </c>
      <c r="AZ2">
        <v>132.0000000014</v>
      </c>
      <c r="BA2">
        <v>140.10000000049999</v>
      </c>
      <c r="BB2">
        <v>148.2000000015</v>
      </c>
      <c r="BC2">
        <v>155.80000000050001</v>
      </c>
      <c r="BD2">
        <v>164.70000000120001</v>
      </c>
      <c r="BE2">
        <v>173.50000000079999</v>
      </c>
      <c r="BF2">
        <v>181.9000000014</v>
      </c>
      <c r="BG2">
        <v>190.10000000159999</v>
      </c>
      <c r="BH2">
        <v>197.900000001</v>
      </c>
      <c r="BI2">
        <v>205.8000000015</v>
      </c>
      <c r="BJ2">
        <v>213.70000000019999</v>
      </c>
      <c r="BK2">
        <v>222.20000000019999</v>
      </c>
      <c r="BL2">
        <v>230.8000000012</v>
      </c>
      <c r="BM2">
        <v>238.7000000017</v>
      </c>
      <c r="BN2">
        <v>246.6000000004</v>
      </c>
      <c r="BO2">
        <v>254.10000000010001</v>
      </c>
      <c r="BP2">
        <v>261.2000000008</v>
      </c>
      <c r="BQ2">
        <v>269.20000000060003</v>
      </c>
      <c r="BR2">
        <v>277.2000000004</v>
      </c>
      <c r="BS2">
        <v>285.10000000100001</v>
      </c>
      <c r="BT2">
        <v>292.5000000014</v>
      </c>
      <c r="BU2">
        <v>299.89999999999998</v>
      </c>
      <c r="BV2">
        <v>306.60000000169998</v>
      </c>
      <c r="BW2">
        <v>313.40000000089998</v>
      </c>
      <c r="BX2">
        <v>320.40000000049997</v>
      </c>
      <c r="BY2">
        <v>327.50000000120002</v>
      </c>
      <c r="BZ2">
        <v>334.50000000080001</v>
      </c>
      <c r="CA2">
        <v>341.60000000159999</v>
      </c>
      <c r="CB2">
        <v>348.2000000004</v>
      </c>
      <c r="CC2">
        <v>354.9000000003</v>
      </c>
      <c r="CD2">
        <v>360.80000000040002</v>
      </c>
      <c r="CE2">
        <v>367.00000000019998</v>
      </c>
      <c r="CF2">
        <v>373.10000000069999</v>
      </c>
      <c r="CG2">
        <v>379.5000000009</v>
      </c>
      <c r="CH2">
        <v>385.50000000030002</v>
      </c>
      <c r="CI2">
        <v>391.60000000079998</v>
      </c>
      <c r="CJ2">
        <v>397.6000000002</v>
      </c>
      <c r="CK2">
        <v>403.50000000030002</v>
      </c>
      <c r="CL2">
        <v>409.30000000119998</v>
      </c>
      <c r="CM2">
        <v>414.30000000040002</v>
      </c>
      <c r="CN2">
        <v>419.8000000015</v>
      </c>
      <c r="CO2">
        <v>424.80000000069998</v>
      </c>
      <c r="CP2">
        <v>430.20000000070002</v>
      </c>
      <c r="CQ2">
        <v>435.80000000109999</v>
      </c>
      <c r="CR2">
        <v>441.20000000110002</v>
      </c>
      <c r="CS2">
        <v>446.30000000140001</v>
      </c>
      <c r="CT2">
        <v>451.1000000002</v>
      </c>
      <c r="CU2">
        <v>454.60000000090002</v>
      </c>
      <c r="CV2">
        <v>457.3</v>
      </c>
      <c r="CW2">
        <v>457.50000000040001</v>
      </c>
      <c r="CX2">
        <v>457.60000000150001</v>
      </c>
      <c r="CY2">
        <v>457.60000000150001</v>
      </c>
      <c r="CZ2">
        <v>457.8000000001</v>
      </c>
      <c r="DA2">
        <v>457.7000000008</v>
      </c>
      <c r="DB2">
        <v>457.8000000001</v>
      </c>
      <c r="DC2">
        <v>457.8000000001</v>
      </c>
      <c r="DD2">
        <v>457.60000000150001</v>
      </c>
      <c r="DE2">
        <v>457.60000000150001</v>
      </c>
      <c r="DF2">
        <v>457.8000000001</v>
      </c>
      <c r="DG2">
        <v>457.7000000008</v>
      </c>
      <c r="DH2">
        <v>1.3000000017</v>
      </c>
      <c r="DI2">
        <v>1.400000001</v>
      </c>
      <c r="DJ2">
        <v>1.3000000017</v>
      </c>
      <c r="DK2">
        <v>1.3000000017</v>
      </c>
      <c r="DL2">
        <v>1.3000000017</v>
      </c>
      <c r="DM2">
        <v>1.2000000006</v>
      </c>
      <c r="DN2">
        <v>1.3000000017</v>
      </c>
      <c r="DO2">
        <v>1.2000000006</v>
      </c>
      <c r="DP2">
        <v>1.1000000013</v>
      </c>
      <c r="DQ2">
        <v>1.1000000013</v>
      </c>
      <c r="DR2">
        <v>1.2000000006</v>
      </c>
      <c r="DS2">
        <v>1.1000000013</v>
      </c>
      <c r="DT2">
        <v>1.2000000006</v>
      </c>
      <c r="DU2">
        <v>1.0000000002</v>
      </c>
      <c r="DV2">
        <v>1.0000000002</v>
      </c>
      <c r="DW2">
        <v>1.6000000014</v>
      </c>
      <c r="DX2">
        <v>5.1000000002999997</v>
      </c>
      <c r="DY2">
        <v>8.9000000007000004</v>
      </c>
      <c r="DZ2">
        <v>13.6000000002</v>
      </c>
      <c r="EA2">
        <v>20.9000000013</v>
      </c>
      <c r="EB2">
        <v>27.800000001699999</v>
      </c>
      <c r="EC2">
        <v>34.800000001299999</v>
      </c>
      <c r="ED2">
        <v>41.900000000200002</v>
      </c>
      <c r="EE2">
        <v>49.200000001299998</v>
      </c>
      <c r="EF2">
        <v>57.1</v>
      </c>
      <c r="EG2">
        <v>64.700000000800003</v>
      </c>
      <c r="EH2">
        <v>72.700000000599999</v>
      </c>
      <c r="EI2">
        <v>80.300000001399994</v>
      </c>
      <c r="EJ2">
        <v>88.100000000799994</v>
      </c>
      <c r="EK2">
        <v>95.600000000600005</v>
      </c>
      <c r="EL2">
        <v>103.50000000110001</v>
      </c>
      <c r="EM2">
        <v>111.80000000059999</v>
      </c>
      <c r="EN2">
        <v>120.7000000013</v>
      </c>
      <c r="EO2">
        <v>129.80000000059999</v>
      </c>
      <c r="EP2">
        <v>138.00000000079999</v>
      </c>
      <c r="EQ2">
        <v>146.00000000060001</v>
      </c>
      <c r="ER2">
        <v>153.7000000008</v>
      </c>
      <c r="ES2">
        <v>162.20000000069999</v>
      </c>
      <c r="ET2">
        <v>170.900000001</v>
      </c>
      <c r="EU2">
        <v>179.6000000013</v>
      </c>
      <c r="EV2">
        <v>187.7000000004</v>
      </c>
      <c r="EW2">
        <v>196.10000000100001</v>
      </c>
      <c r="EX2">
        <v>204.2000000001</v>
      </c>
      <c r="EY2">
        <v>211.80000000090001</v>
      </c>
      <c r="EZ2">
        <v>220.50000000130001</v>
      </c>
      <c r="FA2">
        <v>228.90000000009999</v>
      </c>
      <c r="FB2">
        <v>237.30000000070001</v>
      </c>
      <c r="FC2">
        <v>245.10000000010001</v>
      </c>
      <c r="FD2">
        <v>252.80000000019999</v>
      </c>
      <c r="FE2">
        <v>260.20000000060003</v>
      </c>
      <c r="FF2">
        <v>268.1000000011</v>
      </c>
      <c r="FG2">
        <v>276.20000000020002</v>
      </c>
      <c r="FH2">
        <v>283.90000000039998</v>
      </c>
      <c r="FI2">
        <v>291.80000000090001</v>
      </c>
      <c r="FJ2">
        <v>299.30000000059999</v>
      </c>
      <c r="FK2">
        <v>306.30000000019999</v>
      </c>
      <c r="FL2">
        <v>313.20000000049998</v>
      </c>
      <c r="FM2">
        <v>320.10000000079998</v>
      </c>
      <c r="FN2">
        <v>327.60000000050002</v>
      </c>
      <c r="FO2">
        <v>334.70000000120001</v>
      </c>
      <c r="FP2">
        <v>341.90000000129999</v>
      </c>
      <c r="FQ2">
        <v>348.70000000049998</v>
      </c>
      <c r="FR2">
        <v>355.40000000039998</v>
      </c>
      <c r="FS2">
        <v>361.5000000009</v>
      </c>
      <c r="FT2">
        <v>367.8</v>
      </c>
      <c r="FU2">
        <v>374.00000000159997</v>
      </c>
      <c r="FV2">
        <v>380.50000000109998</v>
      </c>
      <c r="FW2">
        <v>386.70000000089999</v>
      </c>
      <c r="FX2">
        <v>392.9000000007</v>
      </c>
      <c r="FY2">
        <v>398.90000000010002</v>
      </c>
      <c r="FZ2">
        <v>404.70000000099998</v>
      </c>
      <c r="GA2">
        <v>410.6000000011</v>
      </c>
      <c r="GB2">
        <v>415.80000000069998</v>
      </c>
      <c r="GC2">
        <v>420.90000000100002</v>
      </c>
      <c r="GD2">
        <v>426.300000001</v>
      </c>
      <c r="GE2">
        <v>431.70000000099998</v>
      </c>
      <c r="GF2">
        <v>436.90000000060002</v>
      </c>
      <c r="GG2">
        <v>442.1000000002</v>
      </c>
      <c r="GH2">
        <v>447.10000000119999</v>
      </c>
      <c r="GI2">
        <v>451.50000000099999</v>
      </c>
      <c r="GJ2">
        <v>454.70000000020002</v>
      </c>
      <c r="GK2">
        <v>457.40000000110001</v>
      </c>
      <c r="GL2">
        <v>457.60000000150001</v>
      </c>
      <c r="GM2">
        <v>457.50000000040001</v>
      </c>
      <c r="GN2">
        <v>457.60000000150001</v>
      </c>
      <c r="GO2">
        <v>457.60000000150001</v>
      </c>
      <c r="GP2">
        <v>457.60000000150001</v>
      </c>
      <c r="GQ2">
        <v>457.7000000008</v>
      </c>
      <c r="GR2">
        <v>457.50000000040001</v>
      </c>
      <c r="GS2">
        <v>457.7000000008</v>
      </c>
      <c r="GT2">
        <v>457.60000000150001</v>
      </c>
      <c r="GU2">
        <v>457.60000000150001</v>
      </c>
      <c r="GV2">
        <v>457.60000000150001</v>
      </c>
      <c r="GW2">
        <v>457.60000000150001</v>
      </c>
      <c r="GX2">
        <v>1</v>
      </c>
      <c r="GY2">
        <v>115.59999999919999</v>
      </c>
      <c r="GZ2">
        <v>114.7000000001</v>
      </c>
      <c r="HA2">
        <v>114.7000000001</v>
      </c>
      <c r="HB2">
        <v>120.7000000013</v>
      </c>
      <c r="HC2">
        <v>116.2427635176</v>
      </c>
      <c r="HD2">
        <v>-6.0000000012000001</v>
      </c>
      <c r="HE2">
        <v>457.60002184749999</v>
      </c>
      <c r="HF2">
        <v>304.0783397056</v>
      </c>
      <c r="HG2">
        <v>93.261441834099998</v>
      </c>
      <c r="HH2">
        <v>457.8000000001</v>
      </c>
      <c r="HI2">
        <v>457.7000000008</v>
      </c>
      <c r="HJ2">
        <v>457.8000000001</v>
      </c>
      <c r="HK2">
        <v>457.7000000008</v>
      </c>
      <c r="HL2">
        <v>114.9560117302</v>
      </c>
      <c r="HM2">
        <v>3.3000987183000001</v>
      </c>
      <c r="HN2">
        <v>3.2178029134999999</v>
      </c>
      <c r="HO2">
        <v>3.2798763627</v>
      </c>
      <c r="HP2">
        <v>3.2179730655999998</v>
      </c>
      <c r="HQ2">
        <v>3.5229791966000001</v>
      </c>
      <c r="HR2">
        <v>2.1399172568</v>
      </c>
      <c r="HS2">
        <v>22.981321683499999</v>
      </c>
      <c r="HT2">
        <v>-28.152492668600001</v>
      </c>
      <c r="HU2">
        <v>-192</v>
      </c>
      <c r="HV2">
        <v>420.3211032232</v>
      </c>
      <c r="HW2">
        <v>96.187683284499997</v>
      </c>
      <c r="HX2">
        <v>656</v>
      </c>
      <c r="HY2">
        <v>22.981321683499999</v>
      </c>
      <c r="HZ2">
        <v>-28.152492668600001</v>
      </c>
      <c r="IA2">
        <v>-192</v>
      </c>
      <c r="IB2">
        <v>420.3211032232</v>
      </c>
      <c r="IC2">
        <v>96.187683284499997</v>
      </c>
      <c r="ID2">
        <v>656</v>
      </c>
      <c r="IE2">
        <v>37.378896777599998</v>
      </c>
      <c r="IF2">
        <v>2.4221190618000001</v>
      </c>
      <c r="IG2">
        <v>-37.536656891500002</v>
      </c>
      <c r="IH2">
        <v>-256</v>
      </c>
      <c r="II2">
        <v>441.84125614440001</v>
      </c>
      <c r="IJ2">
        <v>105.57184750730001</v>
      </c>
      <c r="IK2">
        <v>720</v>
      </c>
      <c r="IL2">
        <v>397.33978153970003</v>
      </c>
      <c r="IM2">
        <v>124.3401759531</v>
      </c>
      <c r="IN2">
        <v>421.94574549480001</v>
      </c>
      <c r="IO2">
        <v>133.724340176</v>
      </c>
      <c r="IP2">
        <v>7.8000000011999999</v>
      </c>
      <c r="IQ2">
        <v>5.6000000003999997</v>
      </c>
      <c r="IR2">
        <v>9.2000000003999993</v>
      </c>
      <c r="IS2">
        <v>7.0471039707000003</v>
      </c>
      <c r="IT2">
        <v>7.0471039707000003</v>
      </c>
      <c r="IU2">
        <v>6.0000000012000001</v>
      </c>
      <c r="IV2">
        <v>-30.4985337243</v>
      </c>
      <c r="IW2">
        <v>7.4000000004000004</v>
      </c>
      <c r="IX2">
        <v>65.689149560100006</v>
      </c>
      <c r="IY2">
        <v>6.6999999999000002</v>
      </c>
      <c r="IZ2">
        <v>103.22580645159999</v>
      </c>
      <c r="JA2">
        <v>-35.499910445300003</v>
      </c>
      <c r="JB2">
        <v>0.33725404009999999</v>
      </c>
      <c r="JC2">
        <v>-3.5911830000000001E-4</v>
      </c>
      <c r="JD2">
        <v>7.1539999999999996E-7</v>
      </c>
      <c r="JE2">
        <v>0.3030212383</v>
      </c>
      <c r="JF2">
        <v>0.27513870330000001</v>
      </c>
      <c r="JG2">
        <v>0.1234282548</v>
      </c>
      <c r="JH2">
        <v>116.969547676</v>
      </c>
      <c r="JI2">
        <v>3.5229791966000001</v>
      </c>
      <c r="JJ2">
        <v>2.5627504000000001E-3</v>
      </c>
      <c r="JK2">
        <v>-6.7591100000000004E-5</v>
      </c>
      <c r="JL2">
        <v>3.3000987183000001</v>
      </c>
      <c r="JM2">
        <v>1.6531454808999999</v>
      </c>
      <c r="JN2">
        <v>0.6873568337</v>
      </c>
      <c r="JO2">
        <v>3.3247500004999999</v>
      </c>
      <c r="JP2">
        <v>2.3870000002</v>
      </c>
      <c r="JQ2">
        <v>3.9215000002</v>
      </c>
      <c r="JR2" s="17" t="s">
        <v>568</v>
      </c>
      <c r="JU2" s="17">
        <v>1</v>
      </c>
    </row>
    <row r="3" spans="1:281">
      <c r="A3" t="s">
        <v>569</v>
      </c>
      <c r="B3" t="s">
        <v>570</v>
      </c>
      <c r="C3" t="s">
        <v>571</v>
      </c>
      <c r="D3" t="s">
        <v>213</v>
      </c>
      <c r="E3">
        <v>3</v>
      </c>
      <c r="F3" t="s">
        <v>214</v>
      </c>
      <c r="G3" t="s">
        <v>215</v>
      </c>
      <c r="H3" t="s">
        <v>567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0</v>
      </c>
      <c r="S3">
        <v>0.40000000079999998</v>
      </c>
      <c r="T3">
        <v>0.50000000010000001</v>
      </c>
      <c r="U3">
        <v>0.40000000079999998</v>
      </c>
      <c r="V3">
        <v>0.40000000079999998</v>
      </c>
      <c r="W3">
        <v>0.40000000079999998</v>
      </c>
      <c r="X3">
        <v>0.50000000010000001</v>
      </c>
      <c r="Y3">
        <v>0.50000000010000001</v>
      </c>
      <c r="Z3">
        <v>0.7000000005</v>
      </c>
      <c r="AA3">
        <v>0.40000000079999998</v>
      </c>
      <c r="AB3">
        <v>0.59999999940000004</v>
      </c>
      <c r="AC3">
        <v>0.7000000005</v>
      </c>
      <c r="AD3">
        <v>0.7000000005</v>
      </c>
      <c r="AE3">
        <v>0.90000000089999999</v>
      </c>
      <c r="AF3">
        <v>1.0000000002</v>
      </c>
      <c r="AG3">
        <v>1.0000000002</v>
      </c>
      <c r="AH3">
        <v>1.2999999999</v>
      </c>
      <c r="AI3">
        <v>4.6999999995000001</v>
      </c>
      <c r="AJ3">
        <v>9.9000000009000004</v>
      </c>
      <c r="AK3">
        <v>16.9000000005</v>
      </c>
      <c r="AL3">
        <v>23.4</v>
      </c>
      <c r="AM3">
        <v>30.0999999999</v>
      </c>
      <c r="AN3">
        <v>37.800000000099999</v>
      </c>
      <c r="AO3">
        <v>45.099999999399998</v>
      </c>
      <c r="AP3">
        <v>52.299999999400001</v>
      </c>
      <c r="AQ3">
        <v>60.100000000599998</v>
      </c>
      <c r="AR3">
        <v>67.699999999599996</v>
      </c>
      <c r="AS3">
        <v>75.300000000400004</v>
      </c>
      <c r="AT3">
        <v>82.599999999700003</v>
      </c>
      <c r="AU3">
        <v>90.799999999899995</v>
      </c>
      <c r="AV3">
        <v>98.500000000100002</v>
      </c>
      <c r="AW3">
        <v>106.2999999995</v>
      </c>
      <c r="AX3">
        <v>115.2999999995</v>
      </c>
      <c r="AY3">
        <v>124.20000000020001</v>
      </c>
      <c r="AZ3">
        <v>131.99999999959999</v>
      </c>
      <c r="BA3">
        <v>140.19999999980001</v>
      </c>
      <c r="BB3">
        <v>148.30000000070001</v>
      </c>
      <c r="BC3">
        <v>156.50000000099999</v>
      </c>
      <c r="BD3">
        <v>164.80000000050001</v>
      </c>
      <c r="BE3">
        <v>172.8999999996</v>
      </c>
      <c r="BF3">
        <v>181.00000000049999</v>
      </c>
      <c r="BG3">
        <v>188.40000000090001</v>
      </c>
      <c r="BH3">
        <v>197.00000000009999</v>
      </c>
      <c r="BI3">
        <v>205.5</v>
      </c>
      <c r="BJ3">
        <v>212.99999999970001</v>
      </c>
      <c r="BK3">
        <v>221.30000000109999</v>
      </c>
      <c r="BL3">
        <v>229.30000000090001</v>
      </c>
      <c r="BM3">
        <v>236.89999999989999</v>
      </c>
      <c r="BN3">
        <v>244.20000000100001</v>
      </c>
      <c r="BO3">
        <v>252.3000000001</v>
      </c>
      <c r="BP3">
        <v>260.09999999950003</v>
      </c>
      <c r="BQ3">
        <v>267.29999999950002</v>
      </c>
      <c r="BR3">
        <v>275.2</v>
      </c>
      <c r="BS3">
        <v>282.60000000050002</v>
      </c>
      <c r="BT3">
        <v>289.8999999998</v>
      </c>
      <c r="BU3">
        <v>296.7000000008</v>
      </c>
      <c r="BV3">
        <v>304.29999999979998</v>
      </c>
      <c r="BW3">
        <v>311.10000000079998</v>
      </c>
      <c r="BX3">
        <v>318.10000000039997</v>
      </c>
      <c r="BY3">
        <v>325.10000000000002</v>
      </c>
      <c r="BZ3">
        <v>331.90000000100002</v>
      </c>
      <c r="CA3">
        <v>338.79999999950002</v>
      </c>
      <c r="CB3">
        <v>345.10000000050002</v>
      </c>
      <c r="CC3">
        <v>351.6</v>
      </c>
      <c r="CD3">
        <v>358.09999999950003</v>
      </c>
      <c r="CE3">
        <v>364.30000000109999</v>
      </c>
      <c r="CF3">
        <v>370.3999999998</v>
      </c>
      <c r="CG3">
        <v>376.70000000070002</v>
      </c>
      <c r="CH3">
        <v>382.79999999939997</v>
      </c>
      <c r="CI3">
        <v>388.80000000059999</v>
      </c>
      <c r="CJ3">
        <v>394.70000000070002</v>
      </c>
      <c r="CK3">
        <v>399.99999999959999</v>
      </c>
      <c r="CL3">
        <v>405.89999999970001</v>
      </c>
      <c r="CM3">
        <v>411.50000000019998</v>
      </c>
      <c r="CN3">
        <v>417.10000000060001</v>
      </c>
      <c r="CO3">
        <v>422.39999999949998</v>
      </c>
      <c r="CP3">
        <v>427.70000000020002</v>
      </c>
      <c r="CQ3">
        <v>433.50000000099999</v>
      </c>
      <c r="CR3">
        <v>438.50000000019998</v>
      </c>
      <c r="CS3">
        <v>443.80000000090001</v>
      </c>
      <c r="CT3">
        <v>448.7000000008</v>
      </c>
      <c r="CU3">
        <v>453.49999999959999</v>
      </c>
      <c r="CV3">
        <v>456.20000000049998</v>
      </c>
      <c r="CW3">
        <v>456.20000000049998</v>
      </c>
      <c r="CX3">
        <v>456.29999999979998</v>
      </c>
      <c r="CY3">
        <v>456.29999999979998</v>
      </c>
      <c r="CZ3">
        <v>456.20000000049998</v>
      </c>
      <c r="DA3">
        <v>456.20000000049998</v>
      </c>
      <c r="DB3">
        <v>456.40000000089998</v>
      </c>
      <c r="DC3">
        <v>456.40000000089998</v>
      </c>
      <c r="DD3">
        <v>456.40000000089998</v>
      </c>
      <c r="DE3">
        <v>456.50000000019998</v>
      </c>
      <c r="DF3">
        <v>456.29999999979998</v>
      </c>
      <c r="DG3">
        <v>456.29999999979998</v>
      </c>
      <c r="DH3">
        <v>0.90000000089999999</v>
      </c>
      <c r="DI3">
        <v>1.5999999996000001</v>
      </c>
      <c r="DJ3">
        <v>1.5999999996000001</v>
      </c>
      <c r="DK3">
        <v>1.5999999996000001</v>
      </c>
      <c r="DL3">
        <v>1.7000000007</v>
      </c>
      <c r="DM3">
        <v>1.8</v>
      </c>
      <c r="DN3">
        <v>1.8</v>
      </c>
      <c r="DO3">
        <v>1.8</v>
      </c>
      <c r="DP3">
        <v>1.9000000011</v>
      </c>
      <c r="DQ3">
        <v>1.9000000011</v>
      </c>
      <c r="DR3">
        <v>1.9000000011</v>
      </c>
      <c r="DS3">
        <v>2.0000000004</v>
      </c>
      <c r="DT3">
        <v>1.8</v>
      </c>
      <c r="DU3">
        <v>2.0000000004</v>
      </c>
      <c r="DV3">
        <v>1.9000000011</v>
      </c>
      <c r="DW3">
        <v>2.0999999997000001</v>
      </c>
      <c r="DX3">
        <v>3.8000000003999999</v>
      </c>
      <c r="DY3">
        <v>7.7000000001000002</v>
      </c>
      <c r="DZ3">
        <v>14.800000000800001</v>
      </c>
      <c r="EA3">
        <v>21.699999999300001</v>
      </c>
      <c r="EB3">
        <v>28.200000000700001</v>
      </c>
      <c r="EC3">
        <v>35.900000000799999</v>
      </c>
      <c r="ED3">
        <v>42.999999999700002</v>
      </c>
      <c r="EE3">
        <v>50.499999999400004</v>
      </c>
      <c r="EF3">
        <v>58.000000000900002</v>
      </c>
      <c r="EG3">
        <v>65.599999999900007</v>
      </c>
      <c r="EH3">
        <v>73.500000000399993</v>
      </c>
      <c r="EI3">
        <v>80.400000000700004</v>
      </c>
      <c r="EJ3">
        <v>88.499999999799996</v>
      </c>
      <c r="EK3">
        <v>96.300000001100003</v>
      </c>
      <c r="EL3">
        <v>104.1999999998</v>
      </c>
      <c r="EM3">
        <v>112.4</v>
      </c>
      <c r="EN3">
        <v>121.1999999996</v>
      </c>
      <c r="EO3">
        <v>129.89999999989999</v>
      </c>
      <c r="EP3">
        <v>137.6</v>
      </c>
      <c r="EQ3">
        <v>146.20000000100001</v>
      </c>
      <c r="ER3">
        <v>154.3000000001</v>
      </c>
      <c r="ES3">
        <v>162.30000000000001</v>
      </c>
      <c r="ET3">
        <v>170.5000000002</v>
      </c>
      <c r="EU3">
        <v>179.00000000009999</v>
      </c>
      <c r="EV3">
        <v>186.4000000005</v>
      </c>
      <c r="EW3">
        <v>194.90000000040001</v>
      </c>
      <c r="EX3">
        <v>203.300000001</v>
      </c>
      <c r="EY3">
        <v>211.1000000004</v>
      </c>
      <c r="EZ3">
        <v>219.30000000070001</v>
      </c>
      <c r="FA3">
        <v>227.3999999998</v>
      </c>
      <c r="FB3">
        <v>235.3999999996</v>
      </c>
      <c r="FC3">
        <v>242.70000000069999</v>
      </c>
      <c r="FD3">
        <v>250.79999999980001</v>
      </c>
      <c r="FE3">
        <v>258.70000000030001</v>
      </c>
      <c r="FF3">
        <v>266.2</v>
      </c>
      <c r="FG3">
        <v>273.99999999940002</v>
      </c>
      <c r="FH3">
        <v>281.50000000099999</v>
      </c>
      <c r="FI3">
        <v>288.89999999960003</v>
      </c>
      <c r="FJ3">
        <v>296.00000000030002</v>
      </c>
      <c r="FK3">
        <v>303.6000000011</v>
      </c>
      <c r="FL3">
        <v>310.7</v>
      </c>
      <c r="FM3">
        <v>317.39999999989999</v>
      </c>
      <c r="FN3">
        <v>324.70000000099998</v>
      </c>
      <c r="FO3">
        <v>331.90000000100002</v>
      </c>
      <c r="FP3">
        <v>338.60000000100001</v>
      </c>
      <c r="FQ3">
        <v>345.10000000050002</v>
      </c>
      <c r="FR3">
        <v>351.6</v>
      </c>
      <c r="FS3">
        <v>358.50000000030002</v>
      </c>
      <c r="FT3">
        <v>364.70000000009998</v>
      </c>
      <c r="FU3">
        <v>370.69999999949999</v>
      </c>
      <c r="FV3">
        <v>377.0999999997</v>
      </c>
      <c r="FW3">
        <v>383.60000000100001</v>
      </c>
      <c r="FX3">
        <v>389.60000000039997</v>
      </c>
      <c r="FY3">
        <v>395.3000000001</v>
      </c>
      <c r="FZ3">
        <v>400.70000000009998</v>
      </c>
      <c r="GA3">
        <v>406.69999999949999</v>
      </c>
      <c r="GB3">
        <v>412.40000000110001</v>
      </c>
      <c r="GC3">
        <v>417.7</v>
      </c>
      <c r="GD3">
        <v>423.1</v>
      </c>
      <c r="GE3">
        <v>428.4000000007</v>
      </c>
      <c r="GF3">
        <v>433.9</v>
      </c>
      <c r="GG3">
        <v>438.90000000100002</v>
      </c>
      <c r="GH3">
        <v>443.80000000090001</v>
      </c>
      <c r="GI3">
        <v>448.3</v>
      </c>
      <c r="GJ3">
        <v>452.69999999980001</v>
      </c>
      <c r="GK3">
        <v>455.79999999969999</v>
      </c>
      <c r="GL3">
        <v>456.00000000009999</v>
      </c>
      <c r="GM3">
        <v>456.00000000009999</v>
      </c>
      <c r="GN3">
        <v>456.20000000049998</v>
      </c>
      <c r="GO3">
        <v>456.20000000049998</v>
      </c>
      <c r="GP3">
        <v>456.09999999939998</v>
      </c>
      <c r="GQ3">
        <v>456.29999999979998</v>
      </c>
      <c r="GR3">
        <v>456.20000000049998</v>
      </c>
      <c r="GS3">
        <v>456.20000000049998</v>
      </c>
      <c r="GT3">
        <v>456.29999999979998</v>
      </c>
      <c r="GU3">
        <v>456.29999999979998</v>
      </c>
      <c r="GV3">
        <v>456.29999999979998</v>
      </c>
      <c r="GW3">
        <v>456.20000000049998</v>
      </c>
      <c r="GX3">
        <v>1</v>
      </c>
      <c r="GY3">
        <v>117.39999999920001</v>
      </c>
      <c r="GZ3">
        <v>115.2999999995</v>
      </c>
      <c r="HA3">
        <v>115.2999999995</v>
      </c>
      <c r="HB3">
        <v>121.1999999996</v>
      </c>
      <c r="HC3">
        <v>116.8286481152</v>
      </c>
      <c r="HD3">
        <v>-5.9000000001000004</v>
      </c>
      <c r="HE3">
        <v>456.20003286640002</v>
      </c>
      <c r="HF3">
        <v>300.30351665249998</v>
      </c>
      <c r="HG3">
        <v>99.725668272500002</v>
      </c>
      <c r="HH3">
        <v>456.50000000019998</v>
      </c>
      <c r="HI3">
        <v>456.30001095509999</v>
      </c>
      <c r="HJ3">
        <v>456.50000000019998</v>
      </c>
      <c r="HK3">
        <v>456.29999999979998</v>
      </c>
      <c r="HL3">
        <v>114.9560117302</v>
      </c>
      <c r="HM3">
        <v>3.2579692332999999</v>
      </c>
      <c r="HN3">
        <v>3.1968939380000001</v>
      </c>
      <c r="HO3">
        <v>3.2215089286</v>
      </c>
      <c r="HP3">
        <v>3.1553146364</v>
      </c>
      <c r="HQ3">
        <v>3.4710595083000002</v>
      </c>
      <c r="HR3">
        <v>2.1524917857000001</v>
      </c>
      <c r="HS3">
        <v>17.102979842700002</v>
      </c>
      <c r="HT3">
        <v>-30.4985337243</v>
      </c>
      <c r="HU3">
        <v>-208</v>
      </c>
      <c r="HV3">
        <v>417.13216476769998</v>
      </c>
      <c r="HW3">
        <v>96.187683284499997</v>
      </c>
      <c r="HX3">
        <v>656</v>
      </c>
      <c r="HY3">
        <v>17.102979842700002</v>
      </c>
      <c r="HZ3">
        <v>-30.4985337243</v>
      </c>
      <c r="IA3">
        <v>-208</v>
      </c>
      <c r="IB3">
        <v>417.13216476769998</v>
      </c>
      <c r="IC3">
        <v>96.187683284499997</v>
      </c>
      <c r="ID3">
        <v>656</v>
      </c>
      <c r="IE3">
        <v>39.167846187400002</v>
      </c>
      <c r="IF3">
        <v>1.0037357582999999</v>
      </c>
      <c r="IG3">
        <v>-39.8826979472</v>
      </c>
      <c r="IH3">
        <v>-272</v>
      </c>
      <c r="II3">
        <v>438.66099912459998</v>
      </c>
      <c r="IJ3">
        <v>105.57184750730001</v>
      </c>
      <c r="IK3">
        <v>720</v>
      </c>
      <c r="IL3">
        <v>400.02918492499998</v>
      </c>
      <c r="IM3">
        <v>126.6862170088</v>
      </c>
      <c r="IN3">
        <v>423.25170902830001</v>
      </c>
      <c r="IO3">
        <v>136.0703812317</v>
      </c>
      <c r="IP3">
        <v>7.1000000006999997</v>
      </c>
      <c r="IQ3">
        <v>5.8000000007999999</v>
      </c>
      <c r="IR3">
        <v>9</v>
      </c>
      <c r="IS3">
        <v>6.4346809731999999</v>
      </c>
      <c r="IT3">
        <v>6.4346809731999999</v>
      </c>
      <c r="IU3">
        <v>4.8999999999000003</v>
      </c>
      <c r="IV3">
        <v>-32.844574780099997</v>
      </c>
      <c r="IW3">
        <v>6.9000000003000004</v>
      </c>
      <c r="IX3">
        <v>53.958944281500003</v>
      </c>
      <c r="IY3">
        <v>6.1999999998000002</v>
      </c>
      <c r="IZ3">
        <v>103.22580645159999</v>
      </c>
      <c r="JA3">
        <v>-35.905135306600002</v>
      </c>
      <c r="JB3">
        <v>0.33790707669999998</v>
      </c>
      <c r="JC3">
        <v>-3.4153770000000001E-4</v>
      </c>
      <c r="JD3">
        <v>6.9510000000000002E-7</v>
      </c>
      <c r="JE3">
        <v>0.30693966960000002</v>
      </c>
      <c r="JF3">
        <v>0.27619011409999999</v>
      </c>
      <c r="JG3">
        <v>0.10597979189999999</v>
      </c>
      <c r="JH3">
        <v>117.32521256619999</v>
      </c>
      <c r="JI3">
        <v>3.4710595083000002</v>
      </c>
      <c r="JJ3">
        <v>2.2801545000000001E-3</v>
      </c>
      <c r="JK3">
        <v>-6.3308799999999999E-5</v>
      </c>
      <c r="JL3">
        <v>3.2579692332999999</v>
      </c>
      <c r="JM3">
        <v>1.7231042726000001</v>
      </c>
      <c r="JN3">
        <v>0.63961134610000003</v>
      </c>
      <c r="JO3">
        <v>3.0263750002999998</v>
      </c>
      <c r="JP3">
        <v>2.4722500002999999</v>
      </c>
      <c r="JQ3">
        <v>3.8362500000000002</v>
      </c>
      <c r="JR3" s="17" t="s">
        <v>568</v>
      </c>
      <c r="JU3" s="17">
        <v>1</v>
      </c>
    </row>
    <row r="4" spans="1:281">
      <c r="A4" t="s">
        <v>572</v>
      </c>
      <c r="B4" t="s">
        <v>573</v>
      </c>
      <c r="C4" t="s">
        <v>574</v>
      </c>
      <c r="D4" t="s">
        <v>213</v>
      </c>
      <c r="E4">
        <v>3</v>
      </c>
      <c r="F4" t="s">
        <v>214</v>
      </c>
      <c r="G4" t="s">
        <v>215</v>
      </c>
      <c r="H4" t="s">
        <v>567</v>
      </c>
      <c r="I4" t="s">
        <v>217</v>
      </c>
      <c r="K4" t="s">
        <v>240</v>
      </c>
      <c r="L4" t="s">
        <v>241</v>
      </c>
      <c r="M4" t="s">
        <v>242</v>
      </c>
      <c r="N4" t="s">
        <v>243</v>
      </c>
      <c r="O4" t="s">
        <v>244</v>
      </c>
      <c r="P4">
        <v>0</v>
      </c>
      <c r="Q4">
        <v>0</v>
      </c>
      <c r="R4">
        <v>2.0999999997000001</v>
      </c>
      <c r="S4">
        <v>0.59999999940000004</v>
      </c>
      <c r="T4">
        <v>0.69999999869999996</v>
      </c>
      <c r="U4">
        <v>0.50000000010000001</v>
      </c>
      <c r="V4">
        <v>0.50000000010000001</v>
      </c>
      <c r="W4">
        <v>0.29999999970000002</v>
      </c>
      <c r="X4">
        <v>0.29999999970000002</v>
      </c>
      <c r="Y4">
        <v>0.29999999970000002</v>
      </c>
      <c r="Z4">
        <v>0.19999999860000001</v>
      </c>
      <c r="AA4">
        <v>0.19999999860000001</v>
      </c>
      <c r="AB4">
        <v>9.9999999300000003E-2</v>
      </c>
      <c r="AC4">
        <v>9.9999999300000003E-2</v>
      </c>
      <c r="AD4">
        <v>0</v>
      </c>
      <c r="AE4">
        <v>9.9999999300000003E-2</v>
      </c>
      <c r="AF4">
        <v>0</v>
      </c>
      <c r="AG4">
        <v>0</v>
      </c>
      <c r="AH4">
        <v>1.2999999999</v>
      </c>
      <c r="AI4">
        <v>4.3999999998000003</v>
      </c>
      <c r="AJ4">
        <v>11.0999999997</v>
      </c>
      <c r="AK4">
        <v>17.8999999989</v>
      </c>
      <c r="AL4">
        <v>24.799999999200001</v>
      </c>
      <c r="AM4">
        <v>31.399999999799999</v>
      </c>
      <c r="AN4">
        <v>38.099999999799998</v>
      </c>
      <c r="AO4">
        <v>45.199999998700001</v>
      </c>
      <c r="AP4">
        <v>52.699999998400003</v>
      </c>
      <c r="AQ4">
        <v>59.999999999499998</v>
      </c>
      <c r="AR4">
        <v>67.900000000000006</v>
      </c>
      <c r="AS4">
        <v>75.299999998600001</v>
      </c>
      <c r="AT4">
        <v>82.799999998299995</v>
      </c>
      <c r="AU4">
        <v>89.799999999700006</v>
      </c>
      <c r="AV4">
        <v>97.299999999400001</v>
      </c>
      <c r="AW4">
        <v>105.39999999859999</v>
      </c>
      <c r="AX4">
        <v>113.7999999992</v>
      </c>
      <c r="AY4">
        <v>121.9999999994</v>
      </c>
      <c r="AZ4">
        <v>129.89999999989999</v>
      </c>
      <c r="BA4">
        <v>137.69999999929999</v>
      </c>
      <c r="BB4">
        <v>145.199999999</v>
      </c>
      <c r="BC4">
        <v>153.1999999988</v>
      </c>
      <c r="BD4">
        <v>161.19999999859999</v>
      </c>
      <c r="BE4">
        <v>169.3999999989</v>
      </c>
      <c r="BF4">
        <v>177.4999999998</v>
      </c>
      <c r="BG4">
        <v>185.2999999992</v>
      </c>
      <c r="BH4">
        <v>192.9</v>
      </c>
      <c r="BI4">
        <v>200.7999999987</v>
      </c>
      <c r="BJ4">
        <v>208.49999999880001</v>
      </c>
      <c r="BK4">
        <v>216.4999999986</v>
      </c>
      <c r="BL4">
        <v>224.4999999984</v>
      </c>
      <c r="BM4">
        <v>232.39999999899999</v>
      </c>
      <c r="BN4">
        <v>239.7999999994</v>
      </c>
      <c r="BO4">
        <v>247.19999999980001</v>
      </c>
      <c r="BP4">
        <v>254.69999999949999</v>
      </c>
      <c r="BQ4">
        <v>261.99999999879998</v>
      </c>
      <c r="BR4">
        <v>269.8</v>
      </c>
      <c r="BS4">
        <v>277.39999999899999</v>
      </c>
      <c r="BT4">
        <v>284.49999999980002</v>
      </c>
      <c r="BU4">
        <v>291.69999999980001</v>
      </c>
      <c r="BV4">
        <v>298.19999999930002</v>
      </c>
      <c r="BW4">
        <v>305.4999999986</v>
      </c>
      <c r="BX4">
        <v>312.1999999985</v>
      </c>
      <c r="BY4">
        <v>319.1999999999</v>
      </c>
      <c r="BZ4">
        <v>326.09999999839999</v>
      </c>
      <c r="CA4">
        <v>332.89999999939999</v>
      </c>
      <c r="CB4">
        <v>339.3999999989</v>
      </c>
      <c r="CC4">
        <v>345.89999999840001</v>
      </c>
      <c r="CD4">
        <v>351.69999999930002</v>
      </c>
      <c r="CE4">
        <v>358.09999999950003</v>
      </c>
      <c r="CF4">
        <v>364.2</v>
      </c>
      <c r="CG4">
        <v>370.3999999998</v>
      </c>
      <c r="CH4">
        <v>376.59999999960002</v>
      </c>
      <c r="CI4">
        <v>382.59999999899998</v>
      </c>
      <c r="CJ4">
        <v>388.59999999839999</v>
      </c>
      <c r="CK4">
        <v>394.19999999880002</v>
      </c>
      <c r="CL4">
        <v>399.6999999999</v>
      </c>
      <c r="CM4">
        <v>404.89999999949998</v>
      </c>
      <c r="CN4">
        <v>410.5</v>
      </c>
      <c r="CO4">
        <v>415.79999999889998</v>
      </c>
      <c r="CP4">
        <v>421.3</v>
      </c>
      <c r="CQ4">
        <v>426.79999999929998</v>
      </c>
      <c r="CR4">
        <v>432.1</v>
      </c>
      <c r="CS4">
        <v>437.3999999989</v>
      </c>
      <c r="CT4">
        <v>442.29999999879999</v>
      </c>
      <c r="CU4">
        <v>447.19999999869998</v>
      </c>
      <c r="CV4">
        <v>451.9</v>
      </c>
      <c r="CW4">
        <v>455.89999999899999</v>
      </c>
      <c r="CX4">
        <v>458.19999999909999</v>
      </c>
      <c r="CY4">
        <v>458.29999999839998</v>
      </c>
      <c r="CZ4">
        <v>458.09999999979999</v>
      </c>
      <c r="DA4">
        <v>458.19999999909999</v>
      </c>
      <c r="DB4">
        <v>458.09999999979999</v>
      </c>
      <c r="DC4">
        <v>458.09999999979999</v>
      </c>
      <c r="DD4">
        <v>458.09999999979999</v>
      </c>
      <c r="DE4">
        <v>458.09999999979999</v>
      </c>
      <c r="DF4">
        <v>457.99999999869999</v>
      </c>
      <c r="DG4">
        <v>458.09999999979999</v>
      </c>
      <c r="DH4">
        <v>3.0999999999000001</v>
      </c>
      <c r="DI4">
        <v>1.6999999989000001</v>
      </c>
      <c r="DJ4">
        <v>1.5999999996000001</v>
      </c>
      <c r="DK4">
        <v>1.5999999996000001</v>
      </c>
      <c r="DL4">
        <v>1.5999999996000001</v>
      </c>
      <c r="DM4">
        <v>1.4999999985000001</v>
      </c>
      <c r="DN4">
        <v>1.4999999985000001</v>
      </c>
      <c r="DO4">
        <v>1.3999999992000001</v>
      </c>
      <c r="DP4">
        <v>1.2999999999</v>
      </c>
      <c r="DQ4">
        <v>1.2999999999</v>
      </c>
      <c r="DR4">
        <v>1.2999999999</v>
      </c>
      <c r="DS4">
        <v>1.1999999988000001</v>
      </c>
      <c r="DT4">
        <v>1.1999999988000001</v>
      </c>
      <c r="DU4">
        <v>0.99999999839999998</v>
      </c>
      <c r="DV4">
        <v>0.99999999839999998</v>
      </c>
      <c r="DW4">
        <v>0.99999999839999998</v>
      </c>
      <c r="DX4">
        <v>3.6999999993000001</v>
      </c>
      <c r="DY4">
        <v>9</v>
      </c>
      <c r="DZ4">
        <v>16.2</v>
      </c>
      <c r="EA4">
        <v>22.9999999992</v>
      </c>
      <c r="EB4">
        <v>29.8999999995</v>
      </c>
      <c r="EC4">
        <v>36.399999999000002</v>
      </c>
      <c r="ED4">
        <v>43.299999999400001</v>
      </c>
      <c r="EE4">
        <v>50.699999999799999</v>
      </c>
      <c r="EF4">
        <v>58.399999999899997</v>
      </c>
      <c r="EG4">
        <v>65.899999999599999</v>
      </c>
      <c r="EH4">
        <v>73.3</v>
      </c>
      <c r="EI4">
        <v>80.799999999700006</v>
      </c>
      <c r="EJ4">
        <v>87.899999998599995</v>
      </c>
      <c r="EK4">
        <v>95.199999999699997</v>
      </c>
      <c r="EL4">
        <v>103.09999999839999</v>
      </c>
      <c r="EM4">
        <v>111.19999999940001</v>
      </c>
      <c r="EN4">
        <v>119.3999999996</v>
      </c>
      <c r="EO4">
        <v>127.39999999939999</v>
      </c>
      <c r="EP4">
        <v>135.39999999919999</v>
      </c>
      <c r="EQ4">
        <v>142.8999999989</v>
      </c>
      <c r="ER4">
        <v>150.49999999970001</v>
      </c>
      <c r="ES4">
        <v>158.99999999970001</v>
      </c>
      <c r="ET4">
        <v>167.1999999999</v>
      </c>
      <c r="EU4">
        <v>175.59999999870001</v>
      </c>
      <c r="EV4">
        <v>183.39999999989999</v>
      </c>
      <c r="EW4">
        <v>191.1</v>
      </c>
      <c r="EX4">
        <v>198.699999999</v>
      </c>
      <c r="EY4">
        <v>206.7999999999</v>
      </c>
      <c r="EZ4">
        <v>214.5999999993</v>
      </c>
      <c r="FA4">
        <v>222.7999999996</v>
      </c>
      <c r="FB4">
        <v>230.8999999987</v>
      </c>
      <c r="FC4">
        <v>238.39999999840001</v>
      </c>
      <c r="FD4">
        <v>245.69999999949999</v>
      </c>
      <c r="FE4">
        <v>253.2999999985</v>
      </c>
      <c r="FF4">
        <v>260.89999999930001</v>
      </c>
      <c r="FG4">
        <v>268.49999999829998</v>
      </c>
      <c r="FH4">
        <v>276.29999999950002</v>
      </c>
      <c r="FI4">
        <v>283.7999999992</v>
      </c>
      <c r="FJ4">
        <v>290.99999999929997</v>
      </c>
      <c r="FK4">
        <v>297.99999999890002</v>
      </c>
      <c r="FL4">
        <v>304.89999999920002</v>
      </c>
      <c r="FM4">
        <v>311.69999999840002</v>
      </c>
      <c r="FN4">
        <v>318.89999999840001</v>
      </c>
      <c r="FO4">
        <v>325.9999999991</v>
      </c>
      <c r="FP4">
        <v>332.89999999939999</v>
      </c>
      <c r="FQ4">
        <v>339.3999999989</v>
      </c>
      <c r="FR4">
        <v>346.0999999988</v>
      </c>
      <c r="FS4">
        <v>352.3999999998</v>
      </c>
      <c r="FT4">
        <v>358.59999999960002</v>
      </c>
      <c r="FU4">
        <v>364.89999999870003</v>
      </c>
      <c r="FV4">
        <v>370.99999999919999</v>
      </c>
      <c r="FW4">
        <v>377.39999999939999</v>
      </c>
      <c r="FX4">
        <v>383.49999999990001</v>
      </c>
      <c r="FY4">
        <v>389.59999999860003</v>
      </c>
      <c r="FZ4">
        <v>395.0999999997</v>
      </c>
      <c r="GA4">
        <v>400.59999999899998</v>
      </c>
      <c r="GB4">
        <v>406.4999999991</v>
      </c>
      <c r="GC4">
        <v>411.59999999950003</v>
      </c>
      <c r="GD4">
        <v>416.99999999950001</v>
      </c>
      <c r="GE4">
        <v>422.49999999879998</v>
      </c>
      <c r="GF4">
        <v>427.59999999910002</v>
      </c>
      <c r="GG4">
        <v>432.8999999998</v>
      </c>
      <c r="GH4">
        <v>438.19999999869998</v>
      </c>
      <c r="GI4">
        <v>442.9</v>
      </c>
      <c r="GJ4">
        <v>447.39999999909998</v>
      </c>
      <c r="GK4">
        <v>451.9</v>
      </c>
      <c r="GL4">
        <v>455.5</v>
      </c>
      <c r="GM4">
        <v>457.89999999939999</v>
      </c>
      <c r="GN4">
        <v>457.99999999869999</v>
      </c>
      <c r="GO4">
        <v>457.89999999939999</v>
      </c>
      <c r="GP4">
        <v>458.09999999979999</v>
      </c>
      <c r="GQ4">
        <v>457.99999999869999</v>
      </c>
      <c r="GR4">
        <v>458.19999999909999</v>
      </c>
      <c r="GS4">
        <v>458.19999999909999</v>
      </c>
      <c r="GT4">
        <v>458.09999999979999</v>
      </c>
      <c r="GU4">
        <v>458.09999999979999</v>
      </c>
      <c r="GV4">
        <v>457.99999999869999</v>
      </c>
      <c r="GW4">
        <v>457.99999999869999</v>
      </c>
      <c r="GX4">
        <v>1</v>
      </c>
      <c r="GY4">
        <v>113.6999999999</v>
      </c>
      <c r="GZ4">
        <v>113.7999999992</v>
      </c>
      <c r="HA4">
        <v>113.7999999992</v>
      </c>
      <c r="HB4">
        <v>119.3999999996</v>
      </c>
      <c r="HC4">
        <v>115.2252100833</v>
      </c>
      <c r="HD4">
        <v>-5.6000000003999997</v>
      </c>
      <c r="HE4">
        <v>458.00002182560002</v>
      </c>
      <c r="HF4">
        <v>301.14486521909998</v>
      </c>
      <c r="HG4">
        <v>97.097566299600004</v>
      </c>
      <c r="HH4">
        <v>458.29999999839998</v>
      </c>
      <c r="HI4">
        <v>458.19999999909999</v>
      </c>
      <c r="HJ4">
        <v>458.29999999839998</v>
      </c>
      <c r="HK4">
        <v>458.19999999909999</v>
      </c>
      <c r="HL4">
        <v>119.6480938416</v>
      </c>
      <c r="HM4">
        <v>3.1834316322</v>
      </c>
      <c r="HN4">
        <v>3.1225906873999998</v>
      </c>
      <c r="HO4">
        <v>3.1750642857</v>
      </c>
      <c r="HP4">
        <v>3.0351006803999998</v>
      </c>
      <c r="HQ4">
        <v>3.3685155315999999</v>
      </c>
      <c r="HR4">
        <v>2.1293123763000001</v>
      </c>
      <c r="HS4">
        <v>18.127643783700002</v>
      </c>
      <c r="HT4">
        <v>-30.4985337243</v>
      </c>
      <c r="HU4">
        <v>-208</v>
      </c>
      <c r="HV4">
        <v>416.37007530239998</v>
      </c>
      <c r="HW4">
        <v>98.533724340199996</v>
      </c>
      <c r="HX4">
        <v>672</v>
      </c>
      <c r="HY4">
        <v>18.127643783700002</v>
      </c>
      <c r="HZ4">
        <v>-30.4985337243</v>
      </c>
      <c r="IA4">
        <v>-208</v>
      </c>
      <c r="IB4">
        <v>416.37007530239998</v>
      </c>
      <c r="IC4">
        <v>98.533724340199996</v>
      </c>
      <c r="ID4">
        <v>672</v>
      </c>
      <c r="IE4">
        <v>41.829924696799999</v>
      </c>
      <c r="IF4">
        <v>1.0913456000000001E-3</v>
      </c>
      <c r="IG4">
        <v>-39.8826979472</v>
      </c>
      <c r="IH4">
        <v>-272</v>
      </c>
      <c r="II4">
        <v>437.89376841519999</v>
      </c>
      <c r="IJ4">
        <v>107.91788856300001</v>
      </c>
      <c r="IK4">
        <v>736</v>
      </c>
      <c r="IL4">
        <v>398.24243151870002</v>
      </c>
      <c r="IM4">
        <v>129.03225806450001</v>
      </c>
      <c r="IN4">
        <v>422.6693222737</v>
      </c>
      <c r="IO4">
        <v>138.4164222874</v>
      </c>
      <c r="IP4">
        <v>7.2</v>
      </c>
      <c r="IQ4">
        <v>5.4999999992999999</v>
      </c>
      <c r="IR4">
        <v>8.4999999999</v>
      </c>
      <c r="IS4">
        <v>5.9773294244999997</v>
      </c>
      <c r="IT4">
        <v>5.9773294244999997</v>
      </c>
      <c r="IU4">
        <v>5.1000000002999997</v>
      </c>
      <c r="IV4">
        <v>-32.844574780099997</v>
      </c>
      <c r="IW4">
        <v>6.9999999996</v>
      </c>
      <c r="IX4">
        <v>82.1114369501</v>
      </c>
      <c r="IY4">
        <v>6.2999999990999997</v>
      </c>
      <c r="IZ4">
        <v>103.22580645159999</v>
      </c>
      <c r="JA4">
        <v>-36.613183879499999</v>
      </c>
      <c r="JB4">
        <v>0.3505330539</v>
      </c>
      <c r="JC4">
        <v>-3.6164079999999999E-4</v>
      </c>
      <c r="JD4">
        <v>7.1630000000000003E-7</v>
      </c>
      <c r="JE4">
        <v>0.31412642569999999</v>
      </c>
      <c r="JF4">
        <v>0.19725479369999999</v>
      </c>
      <c r="JG4">
        <v>9.4782411299999994E-2</v>
      </c>
      <c r="JH4">
        <v>115.50974669199999</v>
      </c>
      <c r="JI4">
        <v>3.3685155315999999</v>
      </c>
      <c r="JJ4">
        <v>2.6877912999999998E-3</v>
      </c>
      <c r="JK4">
        <v>-6.0730499999999997E-5</v>
      </c>
      <c r="JL4">
        <v>3.1834316322</v>
      </c>
      <c r="JM4">
        <v>1.2013492184000001</v>
      </c>
      <c r="JN4">
        <v>0.50808248789999999</v>
      </c>
      <c r="JO4">
        <v>3.069</v>
      </c>
      <c r="JP4">
        <v>2.3443749996999999</v>
      </c>
      <c r="JQ4">
        <v>3.6231249999999999</v>
      </c>
      <c r="JR4" s="17" t="s">
        <v>568</v>
      </c>
      <c r="JU4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75.343575377600004</v>
      </c>
      <c r="D16" s="9">
        <f>AVERAGE(C18:C20)</f>
        <v>30.609462899733334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81.9275078971</v>
      </c>
      <c r="D17" s="9">
        <f>AVERAGE(C21:C23)</f>
        <v>6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79.828388699200005</v>
      </c>
      <c r="D18" s="11">
        <f>AVERAGE(C24:C26)</f>
        <v>6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6</v>
      </c>
      <c r="D19" s="6">
        <f>AVERAGE('Summary(3pcs)'!E35:E36)</f>
        <v>140.54583600488792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6</v>
      </c>
      <c r="D20" s="9">
        <f>AVERAGE('Summary(3pcs)'!E37:E39)</f>
        <v>-77.36509131689543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6</v>
      </c>
      <c r="D21" s="9">
        <f>AVERAGE('Summary(3pcs)'!E40:E42)</f>
        <v>-185.50310559006209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6</v>
      </c>
      <c r="D22" s="11">
        <f>AVERAGE('Summary(3pcs)'!E43:E45)</f>
        <v>-185.50310559006209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-3.1133445242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-0.430091271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-0.88585894879999993</v>
      </c>
      <c r="C39" s="5">
        <f>'Summary(3pcs)'!M35</f>
        <v>-3.1133445242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-0.430091271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0</v>
      </c>
      <c r="C43" s="8">
        <f>'Summary(3pcs)'!M40</f>
        <v>0</v>
      </c>
      <c r="D43" s="6">
        <f t="shared" ref="D43:D54" si="2">C55</f>
        <v>-1.8180682286999996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0</v>
      </c>
      <c r="D44" s="9">
        <f t="shared" si="2"/>
        <v>2.3129493846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2.123720288975</v>
      </c>
      <c r="C55" s="5">
        <f>'Summary(3pcs)'!N35</f>
        <v>-1.8180682286999996</v>
      </c>
      <c r="D55" s="6">
        <f>AVERAGE(D31:D33)</f>
        <v>-1.1811452650666665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2.3129493846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4</v>
      </c>
      <c r="C59" s="8">
        <f>'Summary(3pcs)'!N40</f>
        <v>4</v>
      </c>
      <c r="D59" s="9">
        <f>AVERAGE(D43:D45)</f>
        <v>1.4982937186333334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4</v>
      </c>
      <c r="D60" s="9">
        <f>AVERAGE(D46:D48)</f>
        <v>4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4</v>
      </c>
      <c r="D63" s="6">
        <f>AVERAGE(C71:C73)</f>
        <v>-2.893339872366667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4</v>
      </c>
      <c r="D64" s="9">
        <f>AVERAGE(C74:C76)</f>
        <v>-3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-3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-3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8.3509546915666668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-2.1886119843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-2.5757715702000001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-3.9156360626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-3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-3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-3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-3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-3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-3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-3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-3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-3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6.8316593169999997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12.8397960663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5.3814086914000008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-3</v>
      </c>
    </row>
    <row r="96" spans="1:7">
      <c r="A96" s="1" t="s">
        <v>87</v>
      </c>
      <c r="C96" s="5">
        <f>'Summary(3pcs)'!W44</f>
        <v>-3</v>
      </c>
    </row>
    <row r="97" spans="1:3">
      <c r="A97" s="1" t="s">
        <v>87</v>
      </c>
      <c r="C97" s="8">
        <f>'Summary(3pcs)'!W45</f>
        <v>-3</v>
      </c>
    </row>
    <row r="98" spans="1:3" ht="17.25" thickBot="1">
      <c r="A98" s="1" t="s">
        <v>87</v>
      </c>
      <c r="C98" s="10">
        <f>'Summary(3pcs)'!W46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2022-09-23T15:23:53Z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