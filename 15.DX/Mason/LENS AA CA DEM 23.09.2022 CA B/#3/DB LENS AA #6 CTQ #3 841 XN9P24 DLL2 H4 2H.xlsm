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<sst xmlns="http://schemas.openxmlformats.org/spreadsheetml/2006/main" count="906" uniqueCount="564">
  <si>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</si>
  <si>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</si>
  <si>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</si>
  <si>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</si>
  <si>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</si>
  <si>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</si>
  <si>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</si>
  <si>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</si>
  <si>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</si>
  <si>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</si>
  <si>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</si>
  <si>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</si>
  <si>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</si>
  <si>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</si>
  <si>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</si>
  <si>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</si>
  <si>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</si>
  <si>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</si>
  <si>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</si>
  <si>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</si>
  <si>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</si>
  <si>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</si>
  <si>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</si>
  <si>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</si>
  <si>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</si>
  <si>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</si>
  <si>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</si>
  <si>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</si>
  <si>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</si>
  <si>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</si>
  <si>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</si>
  <si>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</si>
  <si>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</si>
  <si>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</si>
  <si>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</si>
  <si>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</si>
  <si>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</si>
  <si>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</si>
  <si>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</si>
  <si>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</si>
  <si>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</si>
  <si>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</si>
  <si>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</si>
  <si>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</si>
  <si>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</si>
  <si>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</si>
  <si>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</si>
  <si>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</si>
  <si>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</si>
  <si>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</si>
  <si>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</si>
  <si>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</si>
  <si>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</si>
  <si>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</si>
  <si>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</si>
  <si>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</si>
  <si>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</si>
  <si>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</si>
  <si>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</si>
  <si>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</si>
  <si>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</si>
  <si>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</si>
  <si>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</si>
  <si>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</si>
  <si>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</si>
  <si>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</si>
  <si>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</si>
  <si>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</si>
  <si>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</si>
  <si>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</si>
  <si>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</si>
  <si>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</si>
  <si>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</si>
  <si>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</si>
  <si>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</si>
  <si>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</si>
  <si>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</si>
  <si>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</si>
  <si>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</si>
  <si>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</si>
  <si>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</si>
  <si>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</si>
  <si>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</si>
  <si>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</si>
  <si>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</si>
  <si>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</si>
  <si>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</si>
  <si>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</si>
  <si>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</si>
  <si>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</si>
  <si>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</si>
  <si>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</si>
  <si>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</si>
  <si>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</si>
  <si>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</si>
  <si>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</si>
  <si>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</si>
  <si>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</si>
  <si>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</si>
  <si>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</si>
  <si>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</si>
  <si>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</si>
  <si>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</si>
  <si>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</si>
  <si>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</si>
  <si>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</si>
  <si>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</si>
  <si>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</si>
  <si>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</si>
  <si>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</si>
  <si>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</si>
  <si>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</si>
  <si>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</si>
  <si>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</si>
  <si>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</si>
  <si>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</si>
  <si>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</si>
  <si>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</si>
  <si>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</si>
  <si>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</si>
  <si>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</si>
  <si>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</si>
  <si>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</si>
  <si>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</si>
  <si>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</si>
  <si>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</si>
  <si>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</si>
  <si>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</si>
  <si>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</si>
  <si>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</si>
  <si>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</si>
  <si>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</si>
  <si>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</si>
  <si>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</si>
  <si>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</si>
  <si>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</si>
  <si>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</si>
  <si>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</si>
  <si>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</si>
  <si>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</si>
  <si>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</si>
  <si>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</si>
  <si>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</si>
  <si>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</si>
  <si>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</si>
  <si>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</si>
  <si>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</si>
  <si>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</si>
  <si>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</si>
  <si>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</si>
  <si>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</si>
  <si>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</si>
  <si>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</si>
  <si>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</si>
  <si>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</si>
  <si>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</si>
  <si>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</si>
  <si>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</si>
  <si>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</si>
  <si>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</si>
  <si>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</si>
  <si>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</si>
  <si>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</si>
  <si>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</si>
  <si>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</si>
  <si>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</si>
  <si>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</si>
  <si>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</si>
  <si>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</si>
  <si>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</si>
  <si>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</si>
  <si>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</si>
  <si>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</si>
  <si>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 VSY841XN9P24_2022092321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</si>
  <si>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</si>
  <si>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</si>
  <si>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</si>
  <si>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</si>
  <si>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</si>
  <si>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</si>
  <si>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</si>
  <si>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</si>
  <si>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</si>
  <si>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</si>
  <si>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</si>
  <si>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</si>
  <si>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</si>
  <si>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</si>
  <si>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</si>
  <si>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</si>
  <si>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</si>
  <si>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</si>
  <si>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</si>
  <si>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</si>
  <si>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</si>
  <si>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</si>
  <si>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</si>
  <si>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</si>
  <si>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</si>
  <si>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</si>
  <si>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</si>
  <si>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</si>
  <si>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</si>
  <si>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</si>
  <si>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</si>
  <si>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</si>
  <si>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</si>
  <si>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</si>
  <si>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</si>
  <si>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</si>
  <si>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T220923215426730VCMLEBC060</t>
  </si>
  <si>
    <t>'2022-09-23 21:04:34:046</t>
  </si>
  <si>
    <t>VCMLEBC060A</t>
  </si>
  <si>
    <t>DB_C1001</t>
  </si>
  <si>
    <t>210615ADOE</t>
  </si>
  <si>
    <t>R13A_OC_MFG_C10_21091603_b1779c9</t>
  </si>
  <si>
    <t xml:space="preserve"> VSY841XN9P24</t>
  </si>
  <si>
    <t>22cb77070355</t>
  </si>
  <si>
    <t>0x52801562a6300b02</t>
  </si>
  <si>
    <t>MFCC354CA1NCB1B5B637024126</t>
  </si>
  <si>
    <t>MF7C3457A03G14A7A643</t>
  </si>
  <si>
    <t>DNA22301021960G07A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</si>
  <si>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</si>
  <si>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</si>
  <si>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</si>
  <si>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</si>
  <si>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</si>
  <si>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</si>
  <si>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T220923210533018VCMLEBC060</t>
  </si>
  <si>
    <t>'2022-09-23 21:05:41:873</t>
  </si>
  <si>
    <t>22cb77070208</t>
  </si>
  <si>
    <t>0x528011629e843b05</t>
  </si>
  <si>
    <t>MFCC354CA1RVB1B5C237014111</t>
  </si>
  <si>
    <t>MF7C3457A07D14A7A629</t>
  </si>
  <si>
    <t>DNA22301023820M13A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</si>
  <si>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</si>
  <si>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</si>
  <si>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</si>
  <si>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</si>
  <si>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</si>
  <si>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</si>
  <si>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</si>
  <si>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</si>
  <si>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</si>
  <si>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</si>
  <si>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</si>
  <si>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</si>
  <si>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</si>
  <si>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</si>
  <si>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</si>
  <si>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</si>
  <si>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</si>
  <si>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</si>
  <si>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</si>
  <si>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</si>
  <si>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</si>
  <si>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</si>
  <si>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</si>
  <si>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</si>
  <si>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</si>
  <si>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</si>
  <si>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</si>
  <si>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</si>
  <si>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</si>
  <si>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</si>
  <si>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</si>
  <si>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T220923210451545VCMLEBC060</t>
  </si>
  <si>
    <t>'2022-09-23 21:05:21:002</t>
  </si>
  <si>
    <t>R13A_IPQC_MFG_SFR_InfDn_C10_21090805_b1779c9</t>
  </si>
  <si>
    <t>D6x_Wide</t>
  </si>
  <si>
    <t>Normal</t>
  </si>
  <si>
    <t>T220923210559372VCMLEBC060</t>
  </si>
  <si>
    <t>'2022-09-23 21:06:27:451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</si>
  <si>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</si>
  <si>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</si>
  <si>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</si>
  <si>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</si>
  <si>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</si>
  <si>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</si>
  <si>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</si>
  <si>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</si>
  <si>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</si>
  <si>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</si>
  <si>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</si>
  <si>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</si>
  <si>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</si>
  <si>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21:05:10:974</t>
  </si>
  <si>
    <t>'2022-09-23 21:06:17:422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</si>
  <si>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</si>
  <si>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</si>
  <si>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</si>
  <si>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</si>
  <si>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</si>
  <si>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</si>
  <si>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</si>
  <si>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</si>
  <si>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</si>
  <si>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</si>
  <si>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</si>
  <si>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</si>
  <si>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</si>
  <si>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</si>
  <si>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</si>
  <si>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</si>
  <si>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</si>
  <si>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</si>
  <si>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</si>
  <si>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</si>
  <si>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</si>
  <si>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</si>
  <si>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</si>
  <si>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</si>
  <si>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</si>
  <si>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</si>
  <si>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</si>
  <si>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</si>
  <si>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</si>
  <si>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</si>
  <si>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</si>
  <si>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</si>
  <si>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</si>
  <si>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</si>
  <si>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</si>
  <si>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</si>
  <si>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</si>
  <si>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</si>
  <si>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</si>
  <si>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</si>
  <si>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</si>
  <si>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</si>
  <si>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</si>
  <si>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</si>
  <si>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</si>
  <si>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</si>
  <si>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</si>
  <si>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</si>
  <si>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</si>
  <si>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</si>
  <si>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</si>
  <si>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</si>
  <si>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</si>
  <si>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</si>
  <si>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</si>
  <si>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</si>
  <si>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</si>
  <si>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</si>
  <si>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</si>
  <si>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</si>
  <si>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</si>
  <si>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</si>
  <si>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</si>
  <si>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</si>
  <si>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</si>
  <si>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</si>
  <si>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</si>
  <si>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</si>
  <si>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</si>
  <si>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</si>
  <si>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</si>
  <si>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</si>
  <si>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</si>
  <si>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</si>
  <si>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</si>
  <si>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</si>
  <si>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</si>
  <si>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</si>
  <si>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</si>
  <si>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</si>
  <si>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</si>
  <si>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</si>
  <si>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</si>
  <si>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</si>
  <si>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</si>
  <si>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</si>
  <si>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</si>
  <si>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</si>
  <si>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</si>
  <si>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</si>
  <si>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</si>
  <si>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</si>
  <si>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</si>
  <si>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</si>
  <si>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</si>
  <si>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</si>
  <si>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</si>
  <si>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</si>
  <si>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</si>
  <si>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</si>
  <si>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</si>
  <si>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</si>
  <si>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</si>
  <si>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</si>
  <si>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</si>
  <si>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</si>
  <si>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</si>
  <si>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</si>
  <si>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</si>
  <si>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</si>
  <si>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</si>
  <si>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</si>
  <si>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</si>
  <si>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</si>
  <si>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</si>
  <si>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</si>
  <si>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</si>
  <si>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</si>
  <si>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</si>
  <si>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</si>
  <si>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</si>
  <si>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</si>
  <si>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</si>
  <si>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</si>
  <si>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</si>
  <si>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</si>
  <si>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</si>
  <si>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</si>
  <si>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</si>
  <si>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</si>
  <si>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</si>
  <si>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</si>
  <si>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</si>
  <si>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</si>
  <si>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</si>
  <si>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</si>
  <si>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</si>
  <si>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</si>
  <si>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</si>
  <si>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</si>
  <si>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</si>
  <si>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</si>
  <si>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</si>
  <si>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</si>
  <si>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</si>
  <si>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</si>
  <si>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</si>
  <si>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</si>
  <si>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</si>
  <si>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</si>
  <si>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</si>
  <si>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</si>
  <si>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</si>
  <si>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</si>
  <si>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</si>
  <si>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</si>
  <si>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</si>
  <si>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</si>
  <si>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</si>
  <si>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</si>
  <si>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</si>
  <si>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</si>
  <si>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</si>
  <si>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</si>
  <si>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</si>
  <si>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</si>
  <si>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</si>
  <si>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</si>
  <si>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</si>
  <si>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</si>
  <si>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</si>
  <si>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</si>
  <si>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</si>
  <si>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</si>
  <si>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</si>
  <si>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</si>
  <si>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</si>
  <si>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</si>
  <si>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</si>
  <si>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</si>
  <si>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</si>
  <si>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</si>
  <si>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</si>
  <si>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</si>
  <si>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</si>
  <si>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</si>
  <si>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</si>
  <si>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</si>
  <si>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</si>
  <si>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</si>
  <si>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</si>
  <si>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</si>
  <si>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</si>
  <si>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</si>
  <si>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</si>
  <si>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</si>
  <si>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</si>
  <si>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</si>
  <si>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</si>
  <si>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</si>
  <si>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</si>
  <si>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</si>
  <si>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</si>
  <si>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</si>
  <si>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</si>
  <si>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</si>
  <si>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</si>
  <si>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</si>
  <si>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</si>
  <si>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</si>
  <si>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</si>
  <si>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</si>
  <si>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</si>
  <si>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</si>
  <si>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</si>
  <si>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</si>
  <si>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</si>
  <si>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</si>
  <si>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</si>
  <si>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</si>
  <si>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</si>
  <si>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</si>
  <si>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</si>
  <si>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</si>
  <si>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</si>
  <si>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</si>
  <si>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</si>
  <si>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</si>
  <si>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</si>
  <si>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</si>
  <si>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</si>
  <si>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</si>
  <si>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</si>
  <si>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</si>
  <si>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</si>
  <si>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</si>
  <si>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</si>
  <si>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</si>
  <si>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</si>
  <si>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</si>
  <si>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</si>
  <si>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</si>
  <si>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</si>
  <si>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</si>
  <si>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</si>
  <si>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</si>
  <si>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</si>
  <si>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</si>
  <si>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</si>
  <si>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</si>
  <si>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</si>
  <si>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</si>
  <si>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</si>
  <si>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</si>
  <si>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</si>
  <si>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</si>
  <si>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</si>
  <si>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T220923210436777VCMLEBC060</t>
  </si>
  <si>
    <t>'2022-09-23 21:04:49:318</t>
  </si>
  <si>
    <t>R13A_IPQC_MFG_Laser_C10_21090805_b1779c9</t>
  </si>
  <si>
    <t>v9p4</t>
  </si>
  <si>
    <t>T220923210544609VCMLEBC060</t>
  </si>
  <si>
    <t>'2022-09-23 21:05:57:146</t>
  </si>
  <si>
    <t>T220923210743694VCMLEBC060</t>
  </si>
  <si>
    <t>'2022-09-23 21:07:52:525</t>
  </si>
  <si>
    <t>22cb77070887</t>
  </si>
  <si>
    <t>0x528002629e675308</t>
  </si>
  <si>
    <t>MFCC354CA1NSB1B5B835046106</t>
  </si>
  <si>
    <t>MF7C3457A07G14A7A632</t>
  </si>
  <si>
    <t>DNA22301023820M11A</t>
  </si>
  <si>
    <t>T220923210755157VCMLEBC060</t>
  </si>
  <si>
    <t>'2022-09-23 21:08:07:692</t>
  </si>
  <si>
    <t>T220923210809940VCMLEBC060</t>
  </si>
  <si>
    <t>'2022-09-23 21:08:29:068</t>
  </si>
  <si>
    <t>T220923210926945VCMLEBC060</t>
  </si>
  <si>
    <t>'2022-09-23 21:09:55:626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</si>
</sst>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0.250196682</c:v>
                </c:pt>
                <c:pt idx="1">
                  <c:v>2.1360756330999999</c:v>
                </c:pt>
                <c:pt idx="2">
                  <c:v>1.9058227372000001</c:v>
                </c:pt>
                <c:pt idx="3">
                  <c:v>0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2.1961417889999999</c:v>
                </c:pt>
                <c:pt idx="1">
                  <c:v>0.67784299719999996</c:v>
                </c:pt>
                <c:pt idx="2">
                  <c:v>-2.9281208184</c:v>
                </c:pt>
                <c:pt idx="3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1.4306983507666666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-1.8045344066666729E-2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819392"/>
        <c:axId val="131820928"/>
      </c:scatterChart>
      <c:valAx>
        <c:axId val="13181939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820928"/>
        <c:crosses val="autoZero"/>
        <c:crossBetween val="midCat"/>
        <c:majorUnit val="10"/>
      </c:valAx>
      <c:valAx>
        <c:axId val="13182092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819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68672"/>
        <c:axId val="131478656"/>
      </c:scatterChart>
      <c:valAx>
        <c:axId val="13146867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478656"/>
        <c:crosses val="autoZero"/>
        <c:crossBetween val="midCat"/>
        <c:majorUnit val="10"/>
      </c:valAx>
      <c:valAx>
        <c:axId val="13147865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46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99136"/>
        <c:axId val="131500672"/>
      </c:scatterChart>
      <c:valAx>
        <c:axId val="13149913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500672"/>
        <c:crosses val="autoZero"/>
        <c:crossBetween val="midCat"/>
        <c:majorUnit val="10"/>
      </c:valAx>
      <c:valAx>
        <c:axId val="13150067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49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673344"/>
        <c:axId val="133674880"/>
      </c:scatterChart>
      <c:valAx>
        <c:axId val="13367334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674880"/>
        <c:crosses val="autoZero"/>
        <c:crossBetween val="midCat"/>
        <c:majorUnit val="10"/>
      </c:valAx>
      <c:valAx>
        <c:axId val="1336748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673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93.9161590657</c:v>
                </c:pt>
                <c:pt idx="1">
                  <c:v>94.780140623500003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91.386593088799998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16224"/>
        <c:axId val="137317760"/>
      </c:scatterChart>
      <c:valAx>
        <c:axId val="13731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317760"/>
        <c:crosses val="autoZero"/>
        <c:crossBetween val="midCat"/>
      </c:valAx>
      <c:valAx>
        <c:axId val="13731776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316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85.463479577200005</c:v>
                </c:pt>
                <c:pt idx="1">
                  <c:v>-2</c:v>
                </c:pt>
                <c:pt idx="2">
                  <c:v>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59360"/>
        <c:axId val="137360896"/>
      </c:scatterChart>
      <c:valAx>
        <c:axId val="137359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360896"/>
        <c:crosses val="autoZero"/>
        <c:crossBetween val="midCat"/>
      </c:valAx>
      <c:valAx>
        <c:axId val="13736089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359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-2</c:v>
                </c:pt>
                <c:pt idx="1">
                  <c:v>-2</c:v>
                </c:pt>
                <c:pt idx="2">
                  <c:v>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84480"/>
        <c:axId val="137686016"/>
      </c:scatterChart>
      <c:valAx>
        <c:axId val="137684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686016"/>
        <c:crosses val="autoZero"/>
        <c:crossBetween val="midCat"/>
      </c:valAx>
      <c:valAx>
        <c:axId val="13768601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684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-2</c:v>
                </c:pt>
                <c:pt idx="1">
                  <c:v>-2</c:v>
                </c:pt>
                <c:pt idx="2">
                  <c:v>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41152"/>
        <c:axId val="138242688"/>
      </c:scatterChart>
      <c:valAx>
        <c:axId val="13824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242688"/>
        <c:crosses val="autoZero"/>
        <c:crossBetween val="midCat"/>
      </c:valAx>
      <c:valAx>
        <c:axId val="13824268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241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-6</c:v>
                </c:pt>
                <c:pt idx="1">
                  <c:v>-6</c:v>
                </c:pt>
                <c:pt idx="2">
                  <c:v>-6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-6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30720"/>
        <c:axId val="138436608"/>
      </c:scatterChart>
      <c:valAx>
        <c:axId val="13843072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436608"/>
        <c:crosses val="autoZero"/>
        <c:crossBetween val="midCat"/>
        <c:majorUnit val="10"/>
      </c:valAx>
      <c:valAx>
        <c:axId val="13843660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430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-6</c:v>
                </c:pt>
                <c:pt idx="1">
                  <c:v>-6</c:v>
                </c:pt>
                <c:pt idx="2">
                  <c:v>-6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-6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69376"/>
        <c:axId val="138470912"/>
      </c:scatterChart>
      <c:valAx>
        <c:axId val="13846937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470912"/>
        <c:crosses val="autoZero"/>
        <c:crossBetween val="midCat"/>
        <c:majorUnit val="10"/>
      </c:valAx>
      <c:valAx>
        <c:axId val="13847091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469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-6</c:v>
                </c:pt>
                <c:pt idx="1">
                  <c:v>-6</c:v>
                </c:pt>
                <c:pt idx="2">
                  <c:v>-6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-6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388992"/>
        <c:axId val="138390528"/>
      </c:scatterChart>
      <c:valAx>
        <c:axId val="13838899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390528"/>
        <c:crosses val="autoZero"/>
        <c:crossBetween val="midCat"/>
        <c:majorUnit val="10"/>
      </c:valAx>
      <c:valAx>
        <c:axId val="13839052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388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4.3542537688999996</c:v>
                </c:pt>
                <c:pt idx="1">
                  <c:v>-3.3423006535000002</c:v>
                </c:pt>
                <c:pt idx="2">
                  <c:v>4.3377761841000009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2.3068561554000002</c:v>
                </c:pt>
                <c:pt idx="1">
                  <c:v>5.3821563721000008</c:v>
                </c:pt>
                <c:pt idx="2">
                  <c:v>1.8545994758999997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1.7832430998333333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3.1812040011333331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84864"/>
        <c:axId val="139690752"/>
      </c:scatterChart>
      <c:valAx>
        <c:axId val="13968486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9690752"/>
        <c:crosses val="autoZero"/>
        <c:crossBetween val="midCat"/>
        <c:majorUnit val="10"/>
      </c:valAx>
      <c:valAx>
        <c:axId val="13969075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968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>
      <selection activeCell="C20" sqref="C20"/>
    </sheetView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6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 VSY841XN9P24_2022092321_D50_ON_OC.csv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 VSY841XN9P24_2022092321_FPDC_INFD_normal.csv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 VSY841XN9P24_2022092321_INFDMargin_IPQC.csv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 VSY841XN9P24_2022092321_VCM_MEASURE.csv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173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A32" sqref="A32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150</v>
      </c>
      <c r="S31" s="84" t="s">
        <v>152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22cb77070355</v>
      </c>
      <c r="C34" s="44">
        <f>IPQC!S2+VLOOKUP($R$31,$AD$38:$AK$42,6,FALSE)+VLOOKUP('File location'!$B$1,'Tester offset'!$A$2:$D$4,2,FALSE)</f>
        <v>93.9161590657</v>
      </c>
      <c r="D34" s="44">
        <f>IPQC!Z2+VLOOKUP($R$31,$AD$38:$AK$42,6,FALSE)</f>
        <v>81.169252878699993</v>
      </c>
      <c r="E34" s="44">
        <f>VCM!HU2-'Summary(3pcs)'!C34-'Summary(3pcs)'!$D$32</f>
        <v>144.24221234423788</v>
      </c>
      <c r="F34" s="90">
        <f>AVERAGEIF($A$34:$A$45,1,$C$34:$C$45)</f>
        <v>91.386593088799998</v>
      </c>
      <c r="G34" s="91">
        <f>AVERAGEIF($A$34:$A$45,1,$D$34:$D$45)</f>
        <v>81.892644723633339</v>
      </c>
      <c r="H34" s="91">
        <f>AVERAGEIF($A$34:$A$45,1,$E$34:$E$45)</f>
        <v>150.34023575447122</v>
      </c>
      <c r="I34" s="91">
        <f>85-F34</f>
        <v>-6.386593088799998</v>
      </c>
      <c r="J34"/>
      <c r="K34" s="79">
        <f>T34</f>
        <v>1</v>
      </c>
      <c r="L34" s="80" t="str">
        <f>OC!J2</f>
        <v>22cb77070355</v>
      </c>
      <c r="M34" s="44">
        <f>OC!S2+VLOOKUP($R$31,$AD$38:$AK$42,4,FALSE)</f>
        <v>0.250196682</v>
      </c>
      <c r="N34" s="44">
        <f>OC!T2+VLOOKUP($R$31,$AD$38:$AK$42,5,FALSE)</f>
        <v>2.1961417889999999</v>
      </c>
      <c r="O34" s="92">
        <f>AVERAGEIF($K$34:$K$45,1,$M$34:$M$45)</f>
        <v>1.4306983507666666</v>
      </c>
      <c r="P34" s="92">
        <f>AVERAGEIF($K$34:$K$45,1,$N$34:$N$45)</f>
        <v>-1.8045344066666729E-2</v>
      </c>
      <c r="Q34" s="90">
        <f>P34*0.001</f>
        <v>-1.804534406666673E-5</v>
      </c>
      <c r="R34" s="90">
        <f>O34*0.001</f>
        <v>1.4306983507666666E-3</v>
      </c>
      <c r="T34" s="79">
        <v>1</v>
      </c>
      <c r="U34" s="80" t="str">
        <f>FPDC!J2</f>
        <v>22cb77070355</v>
      </c>
      <c r="V34" s="75">
        <f>FPDC!R2+VLOOKUP($R$31,$AD$38:$AK$42,2,FALSE)+VLOOKUP($R$31,$AD$38:$AK$42,7,FALSE)+VLOOKUP('File location'!$B$1,'Tester offset'!$A$2:$D$4,3,FALSE)</f>
        <v>4.3542537688999996</v>
      </c>
      <c r="W34" s="76">
        <f>FPDC!S2+VLOOKUP($R$31,$AD$38:$AK$42,3,FALSE)+VLOOKUP($R$31,$AD$38:$AK$42,8,FALSE)+VLOOKUP('File location'!$B$1,'Tester offset'!$A$2:$D$4,4,FALSE)</f>
        <v>2.3068561554000002</v>
      </c>
      <c r="X34" s="92">
        <f>AVERAGEIF($T$34:$T$45,1,$V$34:$V$45)</f>
        <v>1.7832430998333333</v>
      </c>
      <c r="Y34" s="92">
        <f>AVERAGEIF($T$34:$T$45,1,$W$34:$W$45)</f>
        <v>3.1812040011333331</v>
      </c>
      <c r="Z34" s="90">
        <f>(X34*-0.01)/4</f>
        <v>-4.4581077495833331E-3</v>
      </c>
      <c r="AA34" s="90">
        <f>(Y34*-0.01)/4</f>
        <v>-7.9530100028333325E-3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22cb77070208</v>
      </c>
      <c r="C35" s="44">
        <f>IPQC!S3+VLOOKUP($R$31,$AD$38:$AK$42,6,FALSE)+VLOOKUP('File location'!$B$1,'Tester offset'!$A$2:$D$4,2,FALSE)</f>
        <v>94.780140623500003</v>
      </c>
      <c r="D35" s="44">
        <f>IPQC!Z3+VLOOKUP($R$31,$AD$38:$AK$42,6,FALSE)</f>
        <v>86.025571433099998</v>
      </c>
      <c r="E35" s="44">
        <f>VCM!HU3-'Summary(3pcs)'!C35-'Summary(3pcs)'!$D$32</f>
        <v>153.69051358643787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22cb77070208</v>
      </c>
      <c r="M35" s="44">
        <f>OC!S3+VLOOKUP($R$31,$AD$38:$AK$42,4,FALSE)</f>
        <v>2.1360756330999999</v>
      </c>
      <c r="N35" s="44">
        <f>OC!T3+VLOOKUP($R$31,$AD$38:$AK$42,5,FALSE)</f>
        <v>0.67784299719999996</v>
      </c>
      <c r="O35" s="92"/>
      <c r="P35" s="92"/>
      <c r="Q35" s="90"/>
      <c r="R35" s="90"/>
      <c r="T35" s="79">
        <v>1</v>
      </c>
      <c r="U35" s="80" t="str">
        <f>FPDC!J3</f>
        <v>22cb77070208</v>
      </c>
      <c r="V35" s="75">
        <f>FPDC!R3+VLOOKUP($R$31,$AD$38:$AK$42,2,FALSE)+VLOOKUP($R$31,$AD$38:$AK$42,7,FALSE)+VLOOKUP('File location'!$B$1,'Tester offset'!$A$2:$D$4,3,FALSE)</f>
        <v>-3.3423006535000002</v>
      </c>
      <c r="W35" s="76">
        <f>FPDC!S3+VLOOKUP($R$31,$AD$38:$AK$42,3,FALSE)+VLOOKUP($R$31,$AD$38:$AK$42,8,FALSE)+VLOOKUP('File location'!$B$1,'Tester offset'!$A$2:$D$4,4,FALSE)</f>
        <v>5.3821563721000008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22cb77070887</v>
      </c>
      <c r="C36" s="44">
        <f>IPQC!S4+VLOOKUP($R$31,$AD$38:$AK$42,6,FALSE)+VLOOKUP('File location'!$B$1,'Tester offset'!$A$2:$D$4,2,FALSE)</f>
        <v>85.463479577200005</v>
      </c>
      <c r="D36" s="44">
        <f>IPQC!Z4+VLOOKUP($R$31,$AD$38:$AK$42,6,FALSE)</f>
        <v>78.483109859099997</v>
      </c>
      <c r="E36" s="44">
        <f>VCM!HU4-'Summary(3pcs)'!C36-'Summary(3pcs)'!$D$32</f>
        <v>153.08798133273791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22cb77070887</v>
      </c>
      <c r="M36" s="44">
        <f>OC!S4+VLOOKUP($R$31,$AD$38:$AK$42,4,FALSE)</f>
        <v>1.9058227372000001</v>
      </c>
      <c r="N36" s="44">
        <f>OC!T4+VLOOKUP($R$31,$AD$38:$AK$42,5,FALSE)</f>
        <v>-2.9281208184</v>
      </c>
      <c r="O36" s="92"/>
      <c r="P36" s="92"/>
      <c r="Q36" s="90"/>
      <c r="R36" s="90"/>
      <c r="T36" s="79">
        <v>1</v>
      </c>
      <c r="U36" s="80" t="str">
        <f>FPDC!J4</f>
        <v>22cb77070887</v>
      </c>
      <c r="V36" s="75">
        <f>FPDC!R4+VLOOKUP($R$31,$AD$38:$AK$42,2,FALSE)+VLOOKUP($R$31,$AD$38:$AK$42,7,FALSE)+VLOOKUP('File location'!$B$1,'Tester offset'!$A$2:$D$4,3,FALSE)</f>
        <v>4.3377761841000009</v>
      </c>
      <c r="W36" s="76">
        <f>FPDC!S4+VLOOKUP($R$31,$AD$38:$AK$42,3,FALSE)+VLOOKUP($R$31,$AD$38:$AK$42,8,FALSE)+VLOOKUP('File location'!$B$1,'Tester offset'!$A$2:$D$4,4,FALSE)</f>
        <v>1.8545994758999997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>
        <f>IPQC!J5</f>
        <v>0</v>
      </c>
      <c r="C37" s="44">
        <f>IPQC!S5+VLOOKUP($R$31,$AD$38:$AK$42,6,FALSE)+VLOOKUP('File location'!$B$1,'Tester offset'!$A$2:$D$4,2,FALSE)</f>
        <v>-2</v>
      </c>
      <c r="D37" s="44">
        <f>IPQC!Z5+VLOOKUP($R$31,$AD$38:$AK$42,6,FALSE)</f>
        <v>6</v>
      </c>
      <c r="E37" s="44">
        <f>VCM!HU5-'Summary(3pcs)'!C37-'Summary(3pcs)'!$D$32</f>
        <v>-177.50310559006209</v>
      </c>
      <c r="F37" s="90">
        <f>AVERAGEIF($A$34:$A$45,2,$C$34:$C$45)</f>
        <v>-2</v>
      </c>
      <c r="G37" s="91">
        <f>AVERAGEIF($A$34:$A$45,2,$D$34:$D$45)</f>
        <v>6</v>
      </c>
      <c r="H37" s="91">
        <f>AVERAGEIF($A$34:$A$45,2,$E$34:$E$45)</f>
        <v>-177.50310559006209</v>
      </c>
      <c r="I37" s="91">
        <f>85-F37</f>
        <v>87</v>
      </c>
      <c r="J37"/>
      <c r="K37" s="79">
        <f t="shared" si="1"/>
        <v>2</v>
      </c>
      <c r="L37" s="80">
        <f>OC!J5</f>
        <v>0</v>
      </c>
      <c r="M37" s="44">
        <f>OC!S5+VLOOKUP($R$31,$AD$38:$AK$42,4,FALSE)</f>
        <v>0</v>
      </c>
      <c r="N37" s="44">
        <f>OC!T5+VLOOKUP($R$31,$AD$38:$AK$42,5,FALSE)</f>
        <v>4</v>
      </c>
      <c r="O37" s="92">
        <f>AVERAGEIF($K$34:$K$45,2,$M$34:$M$45)</f>
        <v>0</v>
      </c>
      <c r="P37" s="92">
        <f>AVERAGEIF($K$34:$K$45,2,$N$34:$N$45)</f>
        <v>4</v>
      </c>
      <c r="Q37" s="90">
        <f>P37*0.001</f>
        <v>4.0000000000000001E-3</v>
      </c>
      <c r="R37" s="90">
        <f>O37*0.001</f>
        <v>0</v>
      </c>
      <c r="T37" s="79">
        <v>2</v>
      </c>
      <c r="U37" s="80">
        <f>FPDC!J5</f>
        <v>0</v>
      </c>
      <c r="V37" s="75">
        <f>FPDC!R5+VLOOKUP($R$31,$AD$38:$AK$42,2,FALSE)+VLOOKUP($R$31,$AD$38:$AK$42,7,FALSE)+VLOOKUP('File location'!$B$1,'Tester offset'!$A$2:$D$4,3,FALSE)</f>
        <v>-6</v>
      </c>
      <c r="W37" s="76">
        <f>FPDC!S5+VLOOKUP($R$31,$AD$38:$AK$42,3,FALSE)+VLOOKUP($R$31,$AD$38:$AK$42,8,FALSE)+VLOOKUP('File location'!$B$1,'Tester offset'!$A$2:$D$4,4,FALSE)</f>
        <v>-3</v>
      </c>
      <c r="X37" s="92">
        <f>AVERAGEIF($T$34:$T$45,2,$V$34:$V$45)</f>
        <v>-6</v>
      </c>
      <c r="Y37" s="92">
        <f>AVERAGEIF($T$34:$T$45,2,$W$34:$W$45)</f>
        <v>-3</v>
      </c>
      <c r="Z37" s="90">
        <f>(X37*-0.01)/4</f>
        <v>1.4999999999999999E-2</v>
      </c>
      <c r="AA37" s="90">
        <f>(Y37*-0.01)/4</f>
        <v>7.4999999999999997E-3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>
        <f>IPQC!J6</f>
        <v>0</v>
      </c>
      <c r="C38" s="44">
        <f>IPQC!S6+VLOOKUP($R$31,$AD$38:$AK$42,6,FALSE)+VLOOKUP('File location'!$B$1,'Tester offset'!$A$2:$D$4,2,FALSE)</f>
        <v>-2</v>
      </c>
      <c r="D38" s="44">
        <f>IPQC!Z6+VLOOKUP($R$31,$AD$38:$AK$42,6,FALSE)</f>
        <v>6</v>
      </c>
      <c r="E38" s="44">
        <f>VCM!HU6-'Summary(3pcs)'!C38-'Summary(3pcs)'!$D$32</f>
        <v>-177.50310559006209</v>
      </c>
      <c r="F38" s="90"/>
      <c r="G38" s="91"/>
      <c r="H38" s="91"/>
      <c r="I38" s="91"/>
      <c r="J38"/>
      <c r="K38" s="79">
        <f t="shared" si="1"/>
        <v>2</v>
      </c>
      <c r="L38" s="80">
        <f>OC!J6</f>
        <v>0</v>
      </c>
      <c r="M38" s="44">
        <f>OC!S6+VLOOKUP($R$31,$AD$38:$AK$42,4,FALSE)</f>
        <v>0</v>
      </c>
      <c r="N38" s="44">
        <f>OC!T6+VLOOKUP($R$31,$AD$38:$AK$42,5,FALSE)</f>
        <v>4</v>
      </c>
      <c r="O38" s="92"/>
      <c r="P38" s="92"/>
      <c r="Q38" s="90"/>
      <c r="R38" s="90"/>
      <c r="T38" s="79">
        <v>2</v>
      </c>
      <c r="U38" s="80">
        <f>FPDC!J6</f>
        <v>0</v>
      </c>
      <c r="V38" s="75">
        <f>FPDC!R6+VLOOKUP($R$31,$AD$38:$AK$42,2,FALSE)+VLOOKUP($R$31,$AD$38:$AK$42,7,FALSE)+VLOOKUP('File location'!$B$1,'Tester offset'!$A$2:$D$4,3,FALSE)</f>
        <v>-6</v>
      </c>
      <c r="W38" s="76">
        <f>FPDC!S6+VLOOKUP($R$31,$AD$38:$AK$42,3,FALSE)+VLOOKUP($R$31,$AD$38:$AK$42,8,FALSE)+VLOOKUP('File location'!$B$1,'Tester offset'!$A$2:$D$4,4,FALSE)</f>
        <v>-3</v>
      </c>
      <c r="X38" s="92"/>
      <c r="Y38" s="92"/>
      <c r="Z38" s="90"/>
      <c r="AA38" s="90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>
        <f>IPQC!J7</f>
        <v>0</v>
      </c>
      <c r="C39" s="44">
        <f>IPQC!S7+VLOOKUP($R$31,$AD$38:$AK$42,6,FALSE)+VLOOKUP('File location'!$B$1,'Tester offset'!$A$2:$D$4,2,FALSE)</f>
        <v>-2</v>
      </c>
      <c r="D39" s="44">
        <f>IPQC!Z7+VLOOKUP($R$31,$AD$38:$AK$42,6,FALSE)</f>
        <v>6</v>
      </c>
      <c r="E39" s="44">
        <f>VCM!HU7-'Summary(3pcs)'!C39-'Summary(3pcs)'!$D$32</f>
        <v>-177.50310559006209</v>
      </c>
      <c r="F39" s="90"/>
      <c r="G39" s="91"/>
      <c r="H39" s="91"/>
      <c r="I39" s="91"/>
      <c r="J39"/>
      <c r="K39" s="79">
        <f t="shared" si="1"/>
        <v>2</v>
      </c>
      <c r="L39" s="80">
        <f>OC!J7</f>
        <v>0</v>
      </c>
      <c r="M39" s="44">
        <f>OC!S7+VLOOKUP($R$31,$AD$38:$AK$42,4,FALSE)</f>
        <v>0</v>
      </c>
      <c r="N39" s="44">
        <f>OC!T7+VLOOKUP($R$31,$AD$38:$AK$42,5,FALSE)</f>
        <v>4</v>
      </c>
      <c r="O39" s="92"/>
      <c r="P39" s="92"/>
      <c r="Q39" s="90"/>
      <c r="R39" s="90"/>
      <c r="T39" s="79">
        <v>2</v>
      </c>
      <c r="U39" s="80">
        <f>FPDC!J7</f>
        <v>0</v>
      </c>
      <c r="V39" s="75">
        <f>FPDC!R7+VLOOKUP($R$31,$AD$38:$AK$42,2,FALSE)+VLOOKUP($R$31,$AD$38:$AK$42,7,FALSE)+VLOOKUP('File location'!$B$1,'Tester offset'!$A$2:$D$4,3,FALSE)</f>
        <v>-6</v>
      </c>
      <c r="W39" s="76">
        <f>FPDC!S7+VLOOKUP($R$31,$AD$38:$AK$42,3,FALSE)+VLOOKUP($R$31,$AD$38:$AK$42,8,FALSE)+VLOOKUP('File location'!$B$1,'Tester offset'!$A$2:$D$4,4,FALSE)</f>
        <v>-3</v>
      </c>
      <c r="X39" s="92"/>
      <c r="Y39" s="92"/>
      <c r="Z39" s="90"/>
      <c r="AA39" s="90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>
        <f>IPQC!J8</f>
        <v>0</v>
      </c>
      <c r="C40" s="44">
        <f>IPQC!S8+VLOOKUP($R$31,$AD$38:$AK$42,6,FALSE)+VLOOKUP('File location'!$B$1,'Tester offset'!$A$2:$D$4,2,FALSE)</f>
        <v>-2</v>
      </c>
      <c r="D40" s="44">
        <f>IPQC!Z8+VLOOKUP($R$31,$AD$38:$AK$42,6,FALSE)</f>
        <v>6</v>
      </c>
      <c r="E40" s="44">
        <f>VCM!HU8-'Summary(3pcs)'!C40-'Summary(3pcs)'!$D$32</f>
        <v>-177.50310559006209</v>
      </c>
      <c r="F40" s="90">
        <f>AVERAGEIF($A$34:$A$45,3,$C$34:$C$45)</f>
        <v>-2</v>
      </c>
      <c r="G40" s="91">
        <f>AVERAGEIF($A$34:$A$45,3,$D$34:$D$45)</f>
        <v>6</v>
      </c>
      <c r="H40" s="91">
        <f>AVERAGEIF($A$34:$A$45,3,$E$34:$E$45)</f>
        <v>-177.50310559006209</v>
      </c>
      <c r="I40" s="91">
        <f>85-F40</f>
        <v>87</v>
      </c>
      <c r="J40"/>
      <c r="K40" s="79">
        <f t="shared" si="1"/>
        <v>3</v>
      </c>
      <c r="L40" s="80">
        <f>OC!J8</f>
        <v>0</v>
      </c>
      <c r="M40" s="44">
        <f>OC!S8+VLOOKUP($R$31,$AD$38:$AK$42,4,FALSE)</f>
        <v>0</v>
      </c>
      <c r="N40" s="44">
        <f>OC!T8+VLOOKUP($R$31,$AD$38:$AK$42,5,FALSE)</f>
        <v>4</v>
      </c>
      <c r="O40" s="92">
        <f>AVERAGEIF($K$34:$K$45,3,$M$34:$M$45)</f>
        <v>0</v>
      </c>
      <c r="P40" s="92">
        <f>AVERAGEIF($K$34:$K$45,3,$N$34:$N$45)</f>
        <v>4</v>
      </c>
      <c r="Q40" s="90">
        <f>P40*0.001</f>
        <v>4.0000000000000001E-3</v>
      </c>
      <c r="R40" s="90">
        <f>O40*0.001</f>
        <v>0</v>
      </c>
      <c r="T40" s="79">
        <v>3</v>
      </c>
      <c r="U40" s="80">
        <f>FPDC!J8</f>
        <v>0</v>
      </c>
      <c r="V40" s="75">
        <f>FPDC!R8+VLOOKUP($R$31,$AD$38:$AK$42,2,FALSE)+VLOOKUP($R$31,$AD$38:$AK$42,7,FALSE)+VLOOKUP('File location'!$B$1,'Tester offset'!$A$2:$D$4,3,FALSE)</f>
        <v>-6</v>
      </c>
      <c r="W40" s="76">
        <f>FPDC!S8+VLOOKUP($R$31,$AD$38:$AK$42,3,FALSE)+VLOOKUP($R$31,$AD$38:$AK$42,8,FALSE)+VLOOKUP('File location'!$B$1,'Tester offset'!$A$2:$D$4,4,FALSE)</f>
        <v>-3</v>
      </c>
      <c r="X40" s="92">
        <f>AVERAGEIF($T$34:$T$45,3,$V$34:$V$45)</f>
        <v>-6</v>
      </c>
      <c r="Y40" s="92">
        <f>AVERAGEIF($T$34:$T$45,3,$W$34:$W$45)</f>
        <v>-3</v>
      </c>
      <c r="Z40" s="90">
        <f>(X40*-0.01)/4</f>
        <v>1.4999999999999999E-2</v>
      </c>
      <c r="AA40" s="90">
        <f>(Y40*-0.01)/4</f>
        <v>7.4999999999999997E-3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>
        <f>IPQC!J9</f>
        <v>0</v>
      </c>
      <c r="C41" s="44">
        <f>IPQC!S9+VLOOKUP($R$31,$AD$38:$AK$42,6,FALSE)+VLOOKUP('File location'!$B$1,'Tester offset'!$A$2:$D$4,2,FALSE)</f>
        <v>-2</v>
      </c>
      <c r="D41" s="44">
        <f>IPQC!Z9+VLOOKUP($R$31,$AD$38:$AK$42,6,FALSE)</f>
        <v>6</v>
      </c>
      <c r="E41" s="44">
        <f>VCM!HU9-'Summary(3pcs)'!C41-'Summary(3pcs)'!$D$32</f>
        <v>-177.50310559006209</v>
      </c>
      <c r="F41" s="90"/>
      <c r="G41" s="91"/>
      <c r="H41" s="91"/>
      <c r="I41" s="91"/>
      <c r="J41"/>
      <c r="K41" s="79">
        <f t="shared" si="1"/>
        <v>3</v>
      </c>
      <c r="L41" s="80">
        <f>OC!J9</f>
        <v>0</v>
      </c>
      <c r="M41" s="44">
        <f>OC!S9+VLOOKUP($R$31,$AD$38:$AK$42,4,FALSE)</f>
        <v>0</v>
      </c>
      <c r="N41" s="44">
        <f>OC!T9+VLOOKUP($R$31,$AD$38:$AK$42,5,FALSE)</f>
        <v>4</v>
      </c>
      <c r="O41" s="92"/>
      <c r="P41" s="92"/>
      <c r="Q41" s="90"/>
      <c r="R41" s="90"/>
      <c r="T41" s="79">
        <v>3</v>
      </c>
      <c r="U41" s="80">
        <f>FPDC!J9</f>
        <v>0</v>
      </c>
      <c r="V41" s="75">
        <f>FPDC!R9+VLOOKUP($R$31,$AD$38:$AK$42,2,FALSE)+VLOOKUP($R$31,$AD$38:$AK$42,7,FALSE)+VLOOKUP('File location'!$B$1,'Tester offset'!$A$2:$D$4,3,FALSE)</f>
        <v>-6</v>
      </c>
      <c r="W41" s="76">
        <f>FPDC!S9+VLOOKUP($R$31,$AD$38:$AK$42,3,FALSE)+VLOOKUP($R$31,$AD$38:$AK$42,8,FALSE)+VLOOKUP('File location'!$B$1,'Tester offset'!$A$2:$D$4,4,FALSE)</f>
        <v>-3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>
        <f>IPQC!J10</f>
        <v>0</v>
      </c>
      <c r="C42" s="44">
        <f>IPQC!S10+VLOOKUP($R$31,$AD$38:$AK$42,6,FALSE)+VLOOKUP('File location'!$B$1,'Tester offset'!$A$2:$D$4,2,FALSE)</f>
        <v>-2</v>
      </c>
      <c r="D42" s="44">
        <f>IPQC!Z10+VLOOKUP($R$31,$AD$38:$AK$42,6,FALSE)</f>
        <v>6</v>
      </c>
      <c r="E42" s="44">
        <f>VCM!HU10-'Summary(3pcs)'!C42-'Summary(3pcs)'!$D$32</f>
        <v>-177.50310559006209</v>
      </c>
      <c r="F42" s="90"/>
      <c r="G42" s="91"/>
      <c r="H42" s="91"/>
      <c r="I42" s="91"/>
      <c r="J42"/>
      <c r="K42" s="79">
        <f t="shared" si="1"/>
        <v>3</v>
      </c>
      <c r="L42" s="80">
        <f>OC!J10</f>
        <v>0</v>
      </c>
      <c r="M42" s="44">
        <f>OC!S10+VLOOKUP($R$31,$AD$38:$AK$42,4,FALSE)</f>
        <v>0</v>
      </c>
      <c r="N42" s="44">
        <f>OC!T10+VLOOKUP($R$31,$AD$38:$AK$42,5,FALSE)</f>
        <v>4</v>
      </c>
      <c r="O42" s="92"/>
      <c r="P42" s="92"/>
      <c r="Q42" s="90"/>
      <c r="R42" s="90"/>
      <c r="T42" s="79">
        <v>3</v>
      </c>
      <c r="U42" s="80">
        <f>FPDC!J10</f>
        <v>0</v>
      </c>
      <c r="V42" s="75">
        <f>FPDC!R10+VLOOKUP($R$31,$AD$38:$AK$42,2,FALSE)+VLOOKUP($R$31,$AD$38:$AK$42,7,FALSE)+VLOOKUP('File location'!$B$1,'Tester offset'!$A$2:$D$4,3,FALSE)</f>
        <v>-6</v>
      </c>
      <c r="W42" s="76">
        <f>FPDC!S10+VLOOKUP($R$31,$AD$38:$AK$42,3,FALSE)+VLOOKUP($R$31,$AD$38:$AK$42,8,FALSE)+VLOOKUP('File location'!$B$1,'Tester offset'!$A$2:$D$4,4,FALSE)</f>
        <v>-3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>
        <f>IPQC!J11</f>
        <v>0</v>
      </c>
      <c r="C43" s="44">
        <f>IPQC!S11+VLOOKUP($R$31,$AD$38:$AK$42,6,FALSE)+VLOOKUP('File location'!$B$1,'Tester offset'!$A$2:$D$4,2,FALSE)</f>
        <v>-2</v>
      </c>
      <c r="D43" s="44">
        <f>IPQC!Z11+VLOOKUP($R$31,$AD$38:$AK$42,6,FALSE)</f>
        <v>6</v>
      </c>
      <c r="E43" s="44">
        <f>VCM!HU11-'Summary(3pcs)'!C43-'Summary(3pcs)'!$D$32</f>
        <v>-177.50310559006209</v>
      </c>
      <c r="F43" s="90">
        <f>AVERAGEIF($A$34:$A$45,4,$C$34:$C$45)</f>
        <v>-2</v>
      </c>
      <c r="G43" s="91">
        <f>AVERAGEIF($A$34:$A$45,4,$D$34:$D$45)</f>
        <v>6</v>
      </c>
      <c r="H43" s="91">
        <f>AVERAGEIF($A$34:$A$45,4,$E$34:$E$45)</f>
        <v>-177.50310559006209</v>
      </c>
      <c r="I43" s="91">
        <f>85-F43</f>
        <v>87</v>
      </c>
      <c r="J43"/>
      <c r="K43" s="79">
        <f t="shared" si="1"/>
        <v>4</v>
      </c>
      <c r="L43" s="80">
        <f>OC!J11</f>
        <v>0</v>
      </c>
      <c r="M43" s="44">
        <f>OC!S11+VLOOKUP($R$31,$AD$38:$AK$42,4,FALSE)</f>
        <v>0</v>
      </c>
      <c r="N43" s="44">
        <f>OC!T11+VLOOKUP($R$31,$AD$38:$AK$42,5,FALSE)</f>
        <v>4</v>
      </c>
      <c r="O43" s="92">
        <f>AVERAGEIF($K$34:$K$45,4,$M$34:$M$45)</f>
        <v>0</v>
      </c>
      <c r="P43" s="92">
        <f>AVERAGEIF($K$34:$K$45,4,$N$34:$N$45)</f>
        <v>4</v>
      </c>
      <c r="Q43" s="90">
        <f>P43*0.001</f>
        <v>4.0000000000000001E-3</v>
      </c>
      <c r="R43" s="90">
        <f>O43*0.001</f>
        <v>0</v>
      </c>
      <c r="T43" s="79">
        <v>4</v>
      </c>
      <c r="U43" s="80">
        <f>FPDC!J11</f>
        <v>0</v>
      </c>
      <c r="V43" s="75">
        <f>FPDC!R11+VLOOKUP($R$31,$AD$38:$AK$42,2,FALSE)+VLOOKUP($R$31,$AD$38:$AK$42,7,FALSE)+VLOOKUP('File location'!$B$1,'Tester offset'!$A$2:$D$4,3,FALSE)</f>
        <v>-6</v>
      </c>
      <c r="W43" s="76">
        <f>FPDC!S11+VLOOKUP($R$31,$AD$38:$AK$42,3,FALSE)+VLOOKUP($R$31,$AD$38:$AK$42,8,FALSE)+VLOOKUP('File location'!$B$1,'Tester offset'!$A$2:$D$4,4,FALSE)</f>
        <v>-3</v>
      </c>
      <c r="X43" s="92">
        <f>AVERAGEIF($T$34:$T$45,4,$V$34:$V$45)</f>
        <v>-6</v>
      </c>
      <c r="Y43" s="92">
        <f>AVERAGEIF($T$34:$T$45,4,$W$34:$W$45)</f>
        <v>-3</v>
      </c>
      <c r="Z43" s="90">
        <f>(X43*-0.01)/4</f>
        <v>1.4999999999999999E-2</v>
      </c>
      <c r="AA43" s="90">
        <f>(Y43*-0.01)/4</f>
        <v>7.4999999999999997E-3</v>
      </c>
    </row>
    <row r="44" spans="1:37" s="32" customFormat="1" ht="17.100000000000001" customHeight="1">
      <c r="A44" s="79">
        <f t="shared" si="0"/>
        <v>4</v>
      </c>
      <c r="B44" s="80">
        <f>IPQC!J12</f>
        <v>0</v>
      </c>
      <c r="C44" s="44">
        <f>IPQC!S12+VLOOKUP($R$31,$AD$38:$AK$42,6,FALSE)+VLOOKUP('File location'!$B$1,'Tester offset'!$A$2:$D$4,2,FALSE)</f>
        <v>-2</v>
      </c>
      <c r="D44" s="44">
        <f>IPQC!Z12+VLOOKUP($R$31,$AD$38:$AK$42,6,FALSE)</f>
        <v>6</v>
      </c>
      <c r="E44" s="44">
        <f>VCM!HU12-'Summary(3pcs)'!C44-'Summary(3pcs)'!$D$32</f>
        <v>-177.50310559006209</v>
      </c>
      <c r="F44" s="90"/>
      <c r="G44" s="91"/>
      <c r="H44" s="91"/>
      <c r="I44" s="91"/>
      <c r="J44"/>
      <c r="K44" s="79">
        <f t="shared" si="1"/>
        <v>4</v>
      </c>
      <c r="L44" s="80">
        <f>OC!J12</f>
        <v>0</v>
      </c>
      <c r="M44" s="44">
        <f>OC!S12+VLOOKUP($R$31,$AD$38:$AK$42,4,FALSE)</f>
        <v>0</v>
      </c>
      <c r="N44" s="44">
        <f>OC!T12+VLOOKUP($R$31,$AD$38:$AK$42,5,FALSE)</f>
        <v>4</v>
      </c>
      <c r="O44" s="92"/>
      <c r="P44" s="92"/>
      <c r="Q44" s="90"/>
      <c r="R44" s="90"/>
      <c r="T44" s="79">
        <v>4</v>
      </c>
      <c r="U44" s="80">
        <f>FPDC!J12</f>
        <v>0</v>
      </c>
      <c r="V44" s="75">
        <f>FPDC!R12+VLOOKUP($R$31,$AD$38:$AK$42,2,FALSE)+VLOOKUP($R$31,$AD$38:$AK$42,7,FALSE)+VLOOKUP('File location'!$B$1,'Tester offset'!$A$2:$D$4,3,FALSE)</f>
        <v>-6</v>
      </c>
      <c r="W44" s="76">
        <f>FPDC!S12+VLOOKUP($R$31,$AD$38:$AK$42,3,FALSE)+VLOOKUP($R$31,$AD$38:$AK$42,8,FALSE)+VLOOKUP('File location'!$B$1,'Tester offset'!$A$2:$D$4,4,FALSE)</f>
        <v>-3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>
        <f>IPQC!J13</f>
        <v>0</v>
      </c>
      <c r="C45" s="44">
        <f>IPQC!S13+VLOOKUP($R$31,$AD$38:$AK$42,6,FALSE)+VLOOKUP('File location'!$B$1,'Tester offset'!$A$2:$D$4,2,FALSE)</f>
        <v>-2</v>
      </c>
      <c r="D45" s="44">
        <f>IPQC!Z13+VLOOKUP($R$31,$AD$38:$AK$42,6,FALSE)</f>
        <v>6</v>
      </c>
      <c r="E45" s="44">
        <f>VCM!HU13-'Summary(3pcs)'!C45-'Summary(3pcs)'!$D$32</f>
        <v>-177.50310559006209</v>
      </c>
      <c r="F45" s="90"/>
      <c r="G45" s="91"/>
      <c r="H45" s="91"/>
      <c r="I45" s="91"/>
      <c r="J45"/>
      <c r="K45" s="79">
        <f t="shared" si="1"/>
        <v>4</v>
      </c>
      <c r="L45" s="80">
        <f>OC!J13</f>
        <v>0</v>
      </c>
      <c r="M45" s="44">
        <f>OC!S13+VLOOKUP($R$31,$AD$38:$AK$42,4,FALSE)</f>
        <v>0</v>
      </c>
      <c r="N45" s="44">
        <f>OC!T13+VLOOKUP($R$31,$AD$38:$AK$42,5,FALSE)</f>
        <v>4</v>
      </c>
      <c r="O45" s="92"/>
      <c r="P45" s="92"/>
      <c r="Q45" s="90"/>
      <c r="R45" s="90"/>
      <c r="T45" s="79">
        <v>4</v>
      </c>
      <c r="U45" s="80">
        <f>FPDC!J13</f>
        <v>0</v>
      </c>
      <c r="V45" s="75">
        <f>FPDC!R13+VLOOKUP($R$31,$AD$38:$AK$42,2,FALSE)+VLOOKUP($R$31,$AD$38:$AK$42,7,FALSE)+VLOOKUP('File location'!$B$1,'Tester offset'!$A$2:$D$4,3,FALSE)</f>
        <v>-6</v>
      </c>
      <c r="W45" s="76">
        <f>FPDC!S13+VLOOKUP($R$31,$AD$38:$AK$42,3,FALSE)+VLOOKUP($R$31,$AD$38:$AK$42,8,FALSE)+VLOOKUP('File location'!$B$1,'Tester offset'!$A$2:$D$4,4,FALSE)</f>
        <v>-3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161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155</v>
      </c>
      <c r="G48" s="89"/>
      <c r="H48" s="78" t="s">
        <v>141</v>
      </c>
      <c r="I48" s="32"/>
      <c r="K48" s="32"/>
      <c r="L48" s="32"/>
      <c r="M48" s="32"/>
      <c r="N48" s="32"/>
      <c r="O48" s="93" t="s">
        <v>156</v>
      </c>
      <c r="P48" s="89"/>
      <c r="Q48" s="78" t="s">
        <v>162</v>
      </c>
      <c r="R48" s="32"/>
      <c r="S48" s="32"/>
      <c r="T48" s="32"/>
      <c r="U48" s="32"/>
      <c r="V48" s="32"/>
      <c r="W48" s="32"/>
      <c r="X48" s="32"/>
      <c r="Y48" s="93" t="s">
        <v>156</v>
      </c>
      <c r="Z48" s="89"/>
      <c r="AA48" s="78" t="s">
        <v>104</v>
      </c>
    </row>
    <row r="49" spans="6:27" ht="17.25">
      <c r="F49" s="89" t="s">
        <v>157</v>
      </c>
      <c r="G49" s="89"/>
      <c r="H49" s="78" t="s">
        <v>107</v>
      </c>
      <c r="I49" s="32"/>
      <c r="K49" s="32"/>
      <c r="L49" s="32"/>
      <c r="M49" s="32"/>
      <c r="N49" s="32"/>
      <c r="O49" s="93" t="s">
        <v>165</v>
      </c>
      <c r="P49" s="89"/>
      <c r="Q49" s="78" t="s">
        <v>163</v>
      </c>
      <c r="R49" s="32"/>
      <c r="S49" s="32"/>
      <c r="T49" s="32"/>
      <c r="U49" s="32"/>
      <c r="V49" s="32"/>
      <c r="W49" s="32"/>
      <c r="X49" s="32"/>
      <c r="Y49" s="93" t="s">
        <v>159</v>
      </c>
      <c r="Z49" s="89"/>
      <c r="AA49" s="78" t="s">
        <v>164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165</v>
      </c>
      <c r="P50" s="89"/>
      <c r="Q50" s="78" t="s">
        <v>166</v>
      </c>
      <c r="R50" s="32"/>
      <c r="S50" s="32"/>
      <c r="T50" s="32"/>
      <c r="U50" s="32"/>
      <c r="V50" s="32"/>
      <c r="W50" s="32"/>
      <c r="X50" s="32"/>
      <c r="Y50" s="93" t="s">
        <v>158</v>
      </c>
      <c r="Z50" s="89"/>
      <c r="AA50" s="78" t="s">
        <v>142</v>
      </c>
    </row>
    <row r="52" spans="6:27" ht="19.5">
      <c r="I52" s="45"/>
      <c r="J52" s="45"/>
      <c r="K52" s="81" t="s">
        <v>151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93.9161590657</v>
      </c>
      <c r="L54" s="49">
        <f t="shared" ref="L54:L65" si="4">D34</f>
        <v>81.169252878699993</v>
      </c>
      <c r="M54" s="49">
        <f t="shared" ref="M54:M65" si="5">E34</f>
        <v>144.24221234423788</v>
      </c>
      <c r="N54" s="49">
        <f t="shared" ref="N54:O65" si="6">M34</f>
        <v>0.250196682</v>
      </c>
      <c r="O54" s="49">
        <f t="shared" si="6"/>
        <v>2.1961417889999999</v>
      </c>
      <c r="P54" s="49">
        <f t="shared" ref="P54:P65" si="7">V34</f>
        <v>4.3542537688999996</v>
      </c>
      <c r="Q54" s="50">
        <f t="shared" ref="Q54:Q65" si="8">W34</f>
        <v>2.3068561554000002</v>
      </c>
    </row>
    <row r="55" spans="6:27" ht="19.5">
      <c r="I55" s="47">
        <f t="shared" si="2"/>
        <v>1</v>
      </c>
      <c r="J55" s="46"/>
      <c r="K55" s="51">
        <f t="shared" si="3"/>
        <v>94.780140623500003</v>
      </c>
      <c r="L55" s="52">
        <f t="shared" si="4"/>
        <v>86.025571433099998</v>
      </c>
      <c r="M55" s="52">
        <f t="shared" si="5"/>
        <v>153.69051358643787</v>
      </c>
      <c r="N55" s="52">
        <f t="shared" si="6"/>
        <v>2.1360756330999999</v>
      </c>
      <c r="O55" s="52">
        <f t="shared" si="6"/>
        <v>0.67784299719999996</v>
      </c>
      <c r="P55" s="52">
        <f t="shared" si="7"/>
        <v>-3.3423006535000002</v>
      </c>
      <c r="Q55" s="53">
        <f t="shared" si="8"/>
        <v>5.3821563721000008</v>
      </c>
    </row>
    <row r="56" spans="6:27" ht="19.5">
      <c r="I56" s="47">
        <f t="shared" si="2"/>
        <v>1</v>
      </c>
      <c r="J56" s="46"/>
      <c r="K56" s="54">
        <f t="shared" si="3"/>
        <v>85.463479577200005</v>
      </c>
      <c r="L56" s="55">
        <f t="shared" si="4"/>
        <v>78.483109859099997</v>
      </c>
      <c r="M56" s="55">
        <f t="shared" si="5"/>
        <v>153.08798133273791</v>
      </c>
      <c r="N56" s="55">
        <f t="shared" si="6"/>
        <v>1.9058227372000001</v>
      </c>
      <c r="O56" s="55">
        <f t="shared" si="6"/>
        <v>-2.9281208184</v>
      </c>
      <c r="P56" s="55">
        <f t="shared" si="7"/>
        <v>4.3377761841000009</v>
      </c>
      <c r="Q56" s="56">
        <f t="shared" si="8"/>
        <v>1.8545994758999997</v>
      </c>
    </row>
    <row r="57" spans="6:27" ht="19.5">
      <c r="I57" s="47">
        <f t="shared" si="2"/>
        <v>2</v>
      </c>
      <c r="J57" s="46"/>
      <c r="K57" s="57">
        <f t="shared" si="3"/>
        <v>-2</v>
      </c>
      <c r="L57" s="58">
        <f t="shared" si="4"/>
        <v>6</v>
      </c>
      <c r="M57" s="58">
        <f t="shared" si="5"/>
        <v>-177.50310559006209</v>
      </c>
      <c r="N57" s="58">
        <f t="shared" si="6"/>
        <v>0</v>
      </c>
      <c r="O57" s="58">
        <f t="shared" si="6"/>
        <v>4</v>
      </c>
      <c r="P57" s="58">
        <f t="shared" si="7"/>
        <v>-6</v>
      </c>
      <c r="Q57" s="59">
        <f t="shared" si="8"/>
        <v>-3</v>
      </c>
    </row>
    <row r="58" spans="6:27" ht="19.5">
      <c r="I58" s="47">
        <f t="shared" si="2"/>
        <v>2</v>
      </c>
      <c r="J58" s="46"/>
      <c r="K58" s="57">
        <f t="shared" si="3"/>
        <v>-2</v>
      </c>
      <c r="L58" s="58">
        <f t="shared" si="4"/>
        <v>6</v>
      </c>
      <c r="M58" s="58">
        <f t="shared" si="5"/>
        <v>-177.50310559006209</v>
      </c>
      <c r="N58" s="58">
        <f t="shared" si="6"/>
        <v>0</v>
      </c>
      <c r="O58" s="58">
        <f t="shared" si="6"/>
        <v>4</v>
      </c>
      <c r="P58" s="58">
        <f t="shared" si="7"/>
        <v>-6</v>
      </c>
      <c r="Q58" s="59">
        <f t="shared" si="8"/>
        <v>-3</v>
      </c>
    </row>
    <row r="59" spans="6:27" ht="19.5">
      <c r="I59" s="47">
        <f t="shared" si="2"/>
        <v>2</v>
      </c>
      <c r="J59" s="46"/>
      <c r="K59" s="57">
        <f t="shared" si="3"/>
        <v>-2</v>
      </c>
      <c r="L59" s="58">
        <f t="shared" si="4"/>
        <v>6</v>
      </c>
      <c r="M59" s="58">
        <f t="shared" si="5"/>
        <v>-177.50310559006209</v>
      </c>
      <c r="N59" s="58">
        <f t="shared" si="6"/>
        <v>0</v>
      </c>
      <c r="O59" s="58">
        <f t="shared" si="6"/>
        <v>4</v>
      </c>
      <c r="P59" s="58">
        <f t="shared" si="7"/>
        <v>-6</v>
      </c>
      <c r="Q59" s="59">
        <f t="shared" si="8"/>
        <v>-3</v>
      </c>
    </row>
    <row r="60" spans="6:27" ht="19.5">
      <c r="I60" s="47">
        <f t="shared" si="2"/>
        <v>3</v>
      </c>
      <c r="J60" s="46"/>
      <c r="K60" s="60">
        <f t="shared" si="3"/>
        <v>-2</v>
      </c>
      <c r="L60" s="61">
        <f t="shared" si="4"/>
        <v>6</v>
      </c>
      <c r="M60" s="61">
        <f t="shared" si="5"/>
        <v>-177.50310559006209</v>
      </c>
      <c r="N60" s="61">
        <f t="shared" si="6"/>
        <v>0</v>
      </c>
      <c r="O60" s="61">
        <f t="shared" si="6"/>
        <v>4</v>
      </c>
      <c r="P60" s="61">
        <f t="shared" si="7"/>
        <v>-6</v>
      </c>
      <c r="Q60" s="62">
        <f t="shared" si="8"/>
        <v>-3</v>
      </c>
    </row>
    <row r="61" spans="6:27" ht="19.5">
      <c r="I61" s="47">
        <f t="shared" si="2"/>
        <v>3</v>
      </c>
      <c r="J61" s="46"/>
      <c r="K61" s="63">
        <f t="shared" si="3"/>
        <v>-2</v>
      </c>
      <c r="L61" s="64">
        <f t="shared" si="4"/>
        <v>6</v>
      </c>
      <c r="M61" s="64">
        <f t="shared" si="5"/>
        <v>-177.50310559006209</v>
      </c>
      <c r="N61" s="64">
        <f t="shared" si="6"/>
        <v>0</v>
      </c>
      <c r="O61" s="64">
        <f t="shared" si="6"/>
        <v>4</v>
      </c>
      <c r="P61" s="64">
        <f t="shared" si="7"/>
        <v>-6</v>
      </c>
      <c r="Q61" s="65">
        <f t="shared" si="8"/>
        <v>-3</v>
      </c>
    </row>
    <row r="62" spans="6:27" ht="19.5">
      <c r="I62" s="47">
        <f t="shared" si="2"/>
        <v>3</v>
      </c>
      <c r="J62" s="46"/>
      <c r="K62" s="66">
        <f t="shared" si="3"/>
        <v>-2</v>
      </c>
      <c r="L62" s="67">
        <f t="shared" si="4"/>
        <v>6</v>
      </c>
      <c r="M62" s="67">
        <f t="shared" si="5"/>
        <v>-177.50310559006209</v>
      </c>
      <c r="N62" s="67">
        <f t="shared" si="6"/>
        <v>0</v>
      </c>
      <c r="O62" s="67">
        <f t="shared" si="6"/>
        <v>4</v>
      </c>
      <c r="P62" s="67">
        <f t="shared" si="7"/>
        <v>-6</v>
      </c>
      <c r="Q62" s="68">
        <f t="shared" si="8"/>
        <v>-3</v>
      </c>
    </row>
    <row r="63" spans="6:27" ht="19.5">
      <c r="I63" s="47">
        <f t="shared" si="2"/>
        <v>4</v>
      </c>
      <c r="J63" s="46"/>
      <c r="K63" s="57">
        <f t="shared" si="3"/>
        <v>-2</v>
      </c>
      <c r="L63" s="58">
        <f t="shared" si="4"/>
        <v>6</v>
      </c>
      <c r="M63" s="58">
        <f t="shared" si="5"/>
        <v>-177.50310559006209</v>
      </c>
      <c r="N63" s="58">
        <f t="shared" si="6"/>
        <v>0</v>
      </c>
      <c r="O63" s="58">
        <f t="shared" si="6"/>
        <v>4</v>
      </c>
      <c r="P63" s="58">
        <f t="shared" si="7"/>
        <v>-6</v>
      </c>
      <c r="Q63" s="59">
        <f t="shared" si="8"/>
        <v>-3</v>
      </c>
    </row>
    <row r="64" spans="6:27" ht="19.5">
      <c r="I64" s="47">
        <f t="shared" si="2"/>
        <v>4</v>
      </c>
      <c r="J64" s="46"/>
      <c r="K64" s="57">
        <f t="shared" si="3"/>
        <v>-2</v>
      </c>
      <c r="L64" s="58">
        <f t="shared" si="4"/>
        <v>6</v>
      </c>
      <c r="M64" s="58">
        <f t="shared" si="5"/>
        <v>-177.50310559006209</v>
      </c>
      <c r="N64" s="58">
        <f t="shared" si="6"/>
        <v>0</v>
      </c>
      <c r="O64" s="58">
        <f t="shared" si="6"/>
        <v>4</v>
      </c>
      <c r="P64" s="58">
        <f t="shared" si="7"/>
        <v>-6</v>
      </c>
      <c r="Q64" s="59">
        <f t="shared" si="8"/>
        <v>-3</v>
      </c>
    </row>
    <row r="65" spans="9:17" ht="20.25" thickBot="1">
      <c r="I65" s="47">
        <f t="shared" si="2"/>
        <v>4</v>
      </c>
      <c r="J65" s="46"/>
      <c r="K65" s="69">
        <f t="shared" si="3"/>
        <v>-2</v>
      </c>
      <c r="L65" s="70">
        <f t="shared" si="4"/>
        <v>6</v>
      </c>
      <c r="M65" s="70">
        <f t="shared" si="5"/>
        <v>-177.50310559006209</v>
      </c>
      <c r="N65" s="70">
        <f t="shared" si="6"/>
        <v>0</v>
      </c>
      <c r="O65" s="70">
        <f t="shared" si="6"/>
        <v>4</v>
      </c>
      <c r="P65" s="70">
        <f t="shared" si="7"/>
        <v>-6</v>
      </c>
      <c r="Q65" s="71">
        <f t="shared" si="8"/>
        <v>-3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4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</row>
    <row r="2" spans="1:36">
      <c r="A2" t="s">
        <v>210</v>
      </c>
      <c r="B2" t="s">
        <v>211</v>
      </c>
      <c r="C2" t="s">
        <v>212</v>
      </c>
      <c r="D2">
        <v>3</v>
      </c>
      <c r="E2" t="s">
        <v>213</v>
      </c>
      <c r="F2" t="s">
        <v>214</v>
      </c>
      <c r="G2" t="s">
        <v>215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2112.750196682</v>
      </c>
      <c r="R2">
        <v>1514.303858211</v>
      </c>
      <c r="S2">
        <v>0.250196682</v>
      </c>
      <c r="T2">
        <v>-1.8038582110000001</v>
      </c>
      <c r="U2">
        <v>1.8211268009999999</v>
      </c>
      <c r="V2">
        <v>735.56590000000006</v>
      </c>
      <c r="W2">
        <v>397.52839999999998</v>
      </c>
      <c r="X2">
        <v>399.6302</v>
      </c>
      <c r="Y2">
        <v>396.93239999999997</v>
      </c>
      <c r="Z2">
        <v>396.8793</v>
      </c>
      <c r="AA2">
        <v>566.65423750000002</v>
      </c>
      <c r="AB2" t="s">
        <v>222</v>
      </c>
      <c r="AC2" t="s">
        <v>223</v>
      </c>
      <c r="AD2" t="s">
        <v>224</v>
      </c>
      <c r="AE2" t="s">
        <v>225</v>
      </c>
      <c r="AF2" t="s">
        <v>226</v>
      </c>
      <c r="AG2">
        <v>7</v>
      </c>
      <c r="AH2" t="s">
        <v>227</v>
      </c>
      <c r="AJ2">
        <v>1</v>
      </c>
    </row>
    <row r="3" spans="1:36">
      <c r="A3" t="s">
        <v>228</v>
      </c>
      <c r="B3" t="s">
        <v>229</v>
      </c>
      <c r="C3" t="s">
        <v>212</v>
      </c>
      <c r="D3">
        <v>3</v>
      </c>
      <c r="E3" t="s">
        <v>213</v>
      </c>
      <c r="F3" t="s">
        <v>214</v>
      </c>
      <c r="G3" t="s">
        <v>215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2114.6360756331001</v>
      </c>
      <c r="R3">
        <v>1515.8221570027999</v>
      </c>
      <c r="S3">
        <v>2.1360756330999999</v>
      </c>
      <c r="T3">
        <v>-3.3221570028</v>
      </c>
      <c r="U3">
        <v>3.9496260913999999</v>
      </c>
      <c r="V3">
        <v>738.55989999999997</v>
      </c>
      <c r="W3">
        <v>399.32400000000001</v>
      </c>
      <c r="X3">
        <v>400.10289999999998</v>
      </c>
      <c r="Y3">
        <v>399.26909999999998</v>
      </c>
      <c r="Z3">
        <v>398.32209999999998</v>
      </c>
      <c r="AA3">
        <v>568.90721250000001</v>
      </c>
      <c r="AB3" t="s">
        <v>222</v>
      </c>
      <c r="AC3" t="s">
        <v>223</v>
      </c>
      <c r="AD3" t="s">
        <v>224</v>
      </c>
      <c r="AE3" t="s">
        <v>225</v>
      </c>
      <c r="AF3" t="s">
        <v>226</v>
      </c>
      <c r="AG3">
        <v>7</v>
      </c>
      <c r="AH3" t="s">
        <v>227</v>
      </c>
      <c r="AJ3">
        <v>1</v>
      </c>
    </row>
    <row r="4" spans="1:36">
      <c r="A4" t="s">
        <v>551</v>
      </c>
      <c r="B4" t="s">
        <v>552</v>
      </c>
      <c r="C4" t="s">
        <v>212</v>
      </c>
      <c r="D4">
        <v>3</v>
      </c>
      <c r="E4" t="s">
        <v>213</v>
      </c>
      <c r="F4" t="s">
        <v>214</v>
      </c>
      <c r="G4" t="s">
        <v>215</v>
      </c>
      <c r="H4" t="s">
        <v>216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2114.4058227372002</v>
      </c>
      <c r="R4">
        <v>1519.4281208184</v>
      </c>
      <c r="S4">
        <v>1.9058227372000001</v>
      </c>
      <c r="T4">
        <v>-6.9281208184</v>
      </c>
      <c r="U4">
        <v>7.1854727318</v>
      </c>
      <c r="V4">
        <v>731.6848</v>
      </c>
      <c r="W4">
        <v>394.00349999999997</v>
      </c>
      <c r="X4">
        <v>400.14499999999998</v>
      </c>
      <c r="Y4">
        <v>395.32380000000001</v>
      </c>
      <c r="Z4">
        <v>396.33589999999998</v>
      </c>
      <c r="AA4">
        <v>564.06842500000005</v>
      </c>
      <c r="AB4" t="s">
        <v>222</v>
      </c>
      <c r="AC4" t="s">
        <v>223</v>
      </c>
      <c r="AD4" t="s">
        <v>224</v>
      </c>
      <c r="AE4" t="s">
        <v>225</v>
      </c>
      <c r="AF4" t="s">
        <v>226</v>
      </c>
      <c r="AG4">
        <v>7</v>
      </c>
      <c r="AH4" t="s">
        <v>227</v>
      </c>
      <c r="AJ4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4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235</v>
      </c>
      <c r="R1" t="s">
        <v>236</v>
      </c>
      <c r="S1" t="s">
        <v>237</v>
      </c>
      <c r="T1" t="s">
        <v>238</v>
      </c>
      <c r="U1" t="s">
        <v>239</v>
      </c>
      <c r="V1" t="s">
        <v>240</v>
      </c>
      <c r="W1" t="s">
        <v>241</v>
      </c>
      <c r="X1" t="s">
        <v>242</v>
      </c>
      <c r="Y1" t="s">
        <v>243</v>
      </c>
      <c r="Z1" t="s">
        <v>244</v>
      </c>
      <c r="AA1" t="s">
        <v>245</v>
      </c>
      <c r="AB1" t="s">
        <v>246</v>
      </c>
      <c r="AC1" t="s">
        <v>247</v>
      </c>
      <c r="AD1" t="s">
        <v>248</v>
      </c>
      <c r="AE1" t="s">
        <v>249</v>
      </c>
      <c r="AF1" t="s">
        <v>250</v>
      </c>
      <c r="AG1" t="s">
        <v>251</v>
      </c>
      <c r="AH1" t="s">
        <v>252</v>
      </c>
      <c r="AI1" t="s">
        <v>253</v>
      </c>
      <c r="AJ1" t="s">
        <v>254</v>
      </c>
      <c r="AK1" t="s">
        <v>255</v>
      </c>
      <c r="AL1" t="s">
        <v>256</v>
      </c>
      <c r="AM1" t="s">
        <v>257</v>
      </c>
      <c r="AN1" t="s">
        <v>258</v>
      </c>
      <c r="AO1" t="s">
        <v>259</v>
      </c>
      <c r="AP1" t="s">
        <v>260</v>
      </c>
      <c r="AQ1" t="s">
        <v>261</v>
      </c>
      <c r="AR1" t="s">
        <v>262</v>
      </c>
      <c r="AS1" t="s">
        <v>263</v>
      </c>
      <c r="AT1" t="s">
        <v>264</v>
      </c>
      <c r="AU1" t="s">
        <v>265</v>
      </c>
      <c r="AV1" t="s">
        <v>207</v>
      </c>
      <c r="AW1" t="s">
        <v>208</v>
      </c>
      <c r="AX1" t="s">
        <v>209</v>
      </c>
    </row>
    <row r="2" spans="1:50">
      <c r="A2" t="s">
        <v>266</v>
      </c>
      <c r="B2" t="s">
        <v>267</v>
      </c>
      <c r="C2" t="s">
        <v>212</v>
      </c>
      <c r="D2">
        <v>3</v>
      </c>
      <c r="E2" t="s">
        <v>213</v>
      </c>
      <c r="F2" t="s">
        <v>214</v>
      </c>
      <c r="G2" t="s">
        <v>268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-2.24113E-5</v>
      </c>
      <c r="R2">
        <v>10.3542537689</v>
      </c>
      <c r="S2">
        <v>5.3068561554000002</v>
      </c>
      <c r="T2">
        <v>1.0945131778999999</v>
      </c>
      <c r="U2">
        <v>5.1043658257000004</v>
      </c>
      <c r="V2">
        <v>1.7020127773</v>
      </c>
      <c r="W2">
        <v>-2.6594247817999999</v>
      </c>
      <c r="X2">
        <v>-3.4777548313</v>
      </c>
      <c r="Y2">
        <v>-1.1193659305999999</v>
      </c>
      <c r="Z2">
        <v>-1.305455327</v>
      </c>
      <c r="AA2">
        <v>-0.43908092380000002</v>
      </c>
      <c r="AB2">
        <v>-1.5729352236</v>
      </c>
      <c r="AC2">
        <v>-0.63444823029999997</v>
      </c>
      <c r="AD2">
        <v>0.16517531869999999</v>
      </c>
      <c r="AE2">
        <v>1.0763685703000001</v>
      </c>
      <c r="AF2">
        <v>1.4915052652</v>
      </c>
      <c r="AG2">
        <v>0.29952171440000003</v>
      </c>
      <c r="AH2">
        <v>-0.2186301947</v>
      </c>
      <c r="AI2">
        <v>0.37120455499999999</v>
      </c>
      <c r="AJ2">
        <v>0.40996947880000001</v>
      </c>
      <c r="AK2">
        <v>2.354318E-4</v>
      </c>
      <c r="AL2">
        <v>4.8364479100000003E-2</v>
      </c>
      <c r="AM2">
        <v>0.16599407790000001</v>
      </c>
      <c r="AN2">
        <v>0.1413701326</v>
      </c>
      <c r="AO2">
        <v>0.25132668019999999</v>
      </c>
      <c r="AP2">
        <v>0.25132668019999999</v>
      </c>
      <c r="AQ2">
        <v>11.6350029379</v>
      </c>
      <c r="AR2" t="s">
        <v>269</v>
      </c>
      <c r="AS2" t="s">
        <v>270</v>
      </c>
      <c r="AT2">
        <v>3</v>
      </c>
      <c r="AU2">
        <v>2.9</v>
      </c>
      <c r="AX2">
        <v>1</v>
      </c>
    </row>
    <row r="3" spans="1:50">
      <c r="A3" t="s">
        <v>271</v>
      </c>
      <c r="B3" t="s">
        <v>272</v>
      </c>
      <c r="C3" t="s">
        <v>212</v>
      </c>
      <c r="D3">
        <v>3</v>
      </c>
      <c r="E3" t="s">
        <v>213</v>
      </c>
      <c r="F3" t="s">
        <v>214</v>
      </c>
      <c r="G3" t="s">
        <v>268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9.1194999999999997E-6</v>
      </c>
      <c r="R3">
        <v>2.6576993464999998</v>
      </c>
      <c r="S3">
        <v>8.3821563721000008</v>
      </c>
      <c r="T3">
        <v>-1.6229913235</v>
      </c>
      <c r="U3">
        <v>1.6907931566000001</v>
      </c>
      <c r="V3">
        <v>-3.9911015033999999</v>
      </c>
      <c r="W3">
        <v>0.2142373025</v>
      </c>
      <c r="X3">
        <v>-0.5352467299</v>
      </c>
      <c r="Y3">
        <v>-0.66728389259999998</v>
      </c>
      <c r="Z3">
        <v>-3.0398993492000002</v>
      </c>
      <c r="AA3">
        <v>1.3634086847</v>
      </c>
      <c r="AB3">
        <v>-1.088606596</v>
      </c>
      <c r="AC3">
        <v>1.4194704294</v>
      </c>
      <c r="AD3">
        <v>-1.0005338192</v>
      </c>
      <c r="AE3">
        <v>2.93027163E-2</v>
      </c>
      <c r="AF3">
        <v>1.0461367369000001</v>
      </c>
      <c r="AG3">
        <v>0.55997210740000003</v>
      </c>
      <c r="AH3">
        <v>-0.61850446459999997</v>
      </c>
      <c r="AI3">
        <v>0.61971133950000001</v>
      </c>
      <c r="AJ3">
        <v>-0.93811964989999996</v>
      </c>
      <c r="AK3">
        <v>2.3184639999999999E-4</v>
      </c>
      <c r="AL3">
        <v>4.9026846899999997E-2</v>
      </c>
      <c r="AM3">
        <v>0.1243874878</v>
      </c>
      <c r="AN3">
        <v>0.1706380844</v>
      </c>
      <c r="AO3">
        <v>0.17642295359999999</v>
      </c>
      <c r="AP3">
        <v>0.17642295359999999</v>
      </c>
      <c r="AQ3">
        <v>8.7934015752000008</v>
      </c>
      <c r="AR3" t="s">
        <v>269</v>
      </c>
      <c r="AS3" t="s">
        <v>270</v>
      </c>
      <c r="AT3">
        <v>3</v>
      </c>
      <c r="AU3">
        <v>2.9</v>
      </c>
      <c r="AX3">
        <v>1</v>
      </c>
    </row>
    <row r="4" spans="1:50">
      <c r="A4" t="s">
        <v>562</v>
      </c>
      <c r="B4" t="s">
        <v>563</v>
      </c>
      <c r="C4" t="s">
        <v>212</v>
      </c>
      <c r="D4">
        <v>3</v>
      </c>
      <c r="E4" t="s">
        <v>213</v>
      </c>
      <c r="F4" t="s">
        <v>214</v>
      </c>
      <c r="G4" t="s">
        <v>268</v>
      </c>
      <c r="H4" t="s">
        <v>216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-3.8147000000000001E-6</v>
      </c>
      <c r="R4">
        <v>10.337776184100001</v>
      </c>
      <c r="S4">
        <v>4.8545994758999997</v>
      </c>
      <c r="T4">
        <v>1.1238894463</v>
      </c>
      <c r="U4">
        <v>1.3996071815</v>
      </c>
      <c r="V4">
        <v>-1.9042037725000001</v>
      </c>
      <c r="W4">
        <v>-1.5023939610000001</v>
      </c>
      <c r="X4">
        <v>-0.5844907761</v>
      </c>
      <c r="Y4">
        <v>-1.5780608653999999</v>
      </c>
      <c r="Z4">
        <v>-2.6625733376</v>
      </c>
      <c r="AA4">
        <v>0.67671549320000002</v>
      </c>
      <c r="AB4">
        <v>-0.64706647399999995</v>
      </c>
      <c r="AC4">
        <v>-0.13721841570000001</v>
      </c>
      <c r="AD4">
        <v>-0.16501295569999999</v>
      </c>
      <c r="AE4">
        <v>0.78934895989999998</v>
      </c>
      <c r="AF4">
        <v>1.1806111336</v>
      </c>
      <c r="AG4">
        <v>-5.2144110200000003E-2</v>
      </c>
      <c r="AH4">
        <v>-3.8846969600000003E-2</v>
      </c>
      <c r="AI4">
        <v>0.74278640750000002</v>
      </c>
      <c r="AJ4">
        <v>0.31619960070000003</v>
      </c>
      <c r="AK4">
        <v>1.9900699999999999E-4</v>
      </c>
      <c r="AL4">
        <v>4.6507496400000001E-2</v>
      </c>
      <c r="AM4">
        <v>0.15815100069999999</v>
      </c>
      <c r="AN4">
        <v>8.6767658600000006E-2</v>
      </c>
      <c r="AO4">
        <v>0.19312214850000001</v>
      </c>
      <c r="AP4">
        <v>0.19312214850000001</v>
      </c>
      <c r="AQ4">
        <v>11.4208910556</v>
      </c>
      <c r="AR4" t="s">
        <v>269</v>
      </c>
      <c r="AS4" t="s">
        <v>270</v>
      </c>
      <c r="AT4">
        <v>3</v>
      </c>
      <c r="AU4">
        <v>2.9</v>
      </c>
      <c r="AX4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273</v>
      </c>
      <c r="R1" t="s">
        <v>274</v>
      </c>
      <c r="S1" t="s">
        <v>275</v>
      </c>
      <c r="T1" t="s">
        <v>276</v>
      </c>
      <c r="U1" t="s">
        <v>277</v>
      </c>
      <c r="V1" t="s">
        <v>278</v>
      </c>
      <c r="W1" t="s">
        <v>279</v>
      </c>
      <c r="X1" t="s">
        <v>280</v>
      </c>
      <c r="Y1" t="s">
        <v>281</v>
      </c>
      <c r="Z1" t="s">
        <v>282</v>
      </c>
      <c r="AA1" t="s">
        <v>283</v>
      </c>
      <c r="AB1" t="s">
        <v>284</v>
      </c>
      <c r="AC1" t="s">
        <v>285</v>
      </c>
      <c r="AD1" t="s">
        <v>207</v>
      </c>
      <c r="AE1" t="s">
        <v>208</v>
      </c>
      <c r="AF1" t="s">
        <v>209</v>
      </c>
    </row>
    <row r="2" spans="1:32">
      <c r="A2" t="s">
        <v>266</v>
      </c>
      <c r="B2" t="s">
        <v>286</v>
      </c>
      <c r="C2" t="s">
        <v>212</v>
      </c>
      <c r="D2">
        <v>3</v>
      </c>
      <c r="E2" t="s">
        <v>213</v>
      </c>
      <c r="F2" t="s">
        <v>214</v>
      </c>
      <c r="G2" t="s">
        <v>268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-4.6920821114000004</v>
      </c>
      <c r="R2">
        <v>-32</v>
      </c>
      <c r="S2">
        <v>95.9161590657</v>
      </c>
      <c r="T2">
        <v>113.4949766581</v>
      </c>
      <c r="U2">
        <v>3.7634123063999998</v>
      </c>
      <c r="V2">
        <v>3.2221691E-3</v>
      </c>
      <c r="W2">
        <v>-8.2129100000000006E-5</v>
      </c>
      <c r="X2">
        <v>3.5510128840999999</v>
      </c>
      <c r="Y2">
        <v>95.800989405699994</v>
      </c>
      <c r="Z2">
        <v>75.169252878699993</v>
      </c>
      <c r="AA2">
        <v>321.7453179789</v>
      </c>
      <c r="AB2">
        <v>343.64094893890001</v>
      </c>
      <c r="AC2">
        <v>1</v>
      </c>
      <c r="AF2">
        <v>1</v>
      </c>
    </row>
    <row r="3" spans="1:32">
      <c r="A3" t="s">
        <v>271</v>
      </c>
      <c r="B3" t="s">
        <v>287</v>
      </c>
      <c r="C3" t="s">
        <v>212</v>
      </c>
      <c r="D3">
        <v>3</v>
      </c>
      <c r="E3" t="s">
        <v>213</v>
      </c>
      <c r="F3" t="s">
        <v>214</v>
      </c>
      <c r="G3" t="s">
        <v>268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-7.0381231672000002</v>
      </c>
      <c r="R3">
        <v>-48</v>
      </c>
      <c r="S3">
        <v>96.780140623500003</v>
      </c>
      <c r="T3">
        <v>122.48180950299999</v>
      </c>
      <c r="U3">
        <v>3.6786129174000002</v>
      </c>
      <c r="V3">
        <v>3.2647360999999999E-3</v>
      </c>
      <c r="W3">
        <v>-7.7854099999999997E-5</v>
      </c>
      <c r="X3">
        <v>3.4801025912000001</v>
      </c>
      <c r="Y3">
        <v>95.774429135000005</v>
      </c>
      <c r="Z3">
        <v>80.025571433099998</v>
      </c>
      <c r="AA3">
        <v>331.19361916880001</v>
      </c>
      <c r="AB3">
        <v>354.22846468500001</v>
      </c>
      <c r="AC3">
        <v>1</v>
      </c>
      <c r="AF3">
        <v>1</v>
      </c>
    </row>
    <row r="4" spans="1:32">
      <c r="A4" t="s">
        <v>560</v>
      </c>
      <c r="B4" t="s">
        <v>561</v>
      </c>
      <c r="C4" t="s">
        <v>212</v>
      </c>
      <c r="D4">
        <v>3</v>
      </c>
      <c r="E4" t="s">
        <v>213</v>
      </c>
      <c r="F4" t="s">
        <v>214</v>
      </c>
      <c r="G4" t="s">
        <v>268</v>
      </c>
      <c r="H4" t="s">
        <v>216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-7.0381231672000002</v>
      </c>
      <c r="R4">
        <v>-48</v>
      </c>
      <c r="S4">
        <v>87.463479577200005</v>
      </c>
      <c r="T4">
        <v>113.18858642719999</v>
      </c>
      <c r="U4">
        <v>3.6836637976</v>
      </c>
      <c r="V4">
        <v>3.4852035999999999E-3</v>
      </c>
      <c r="W4">
        <v>-8.1267000000000006E-5</v>
      </c>
      <c r="X4">
        <v>3.4786112138999998</v>
      </c>
      <c r="Y4">
        <v>86.862291195699996</v>
      </c>
      <c r="Z4">
        <v>72.483109859099997</v>
      </c>
      <c r="AA4">
        <v>330.59108688539999</v>
      </c>
      <c r="AB4">
        <v>353.42902702600003</v>
      </c>
      <c r="AC4">
        <v>1</v>
      </c>
      <c r="AF4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4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288</v>
      </c>
      <c r="R1" t="s">
        <v>289</v>
      </c>
      <c r="S1" t="s">
        <v>290</v>
      </c>
      <c r="T1" t="s">
        <v>291</v>
      </c>
      <c r="U1" t="s">
        <v>292</v>
      </c>
      <c r="V1" t="s">
        <v>293</v>
      </c>
      <c r="W1" t="s">
        <v>294</v>
      </c>
      <c r="X1" t="s">
        <v>295</v>
      </c>
      <c r="Y1" t="s">
        <v>296</v>
      </c>
      <c r="Z1" t="s">
        <v>297</v>
      </c>
      <c r="AA1" t="s">
        <v>298</v>
      </c>
      <c r="AB1" t="s">
        <v>299</v>
      </c>
      <c r="AC1" t="s">
        <v>300</v>
      </c>
      <c r="AD1" t="s">
        <v>301</v>
      </c>
      <c r="AE1" t="s">
        <v>302</v>
      </c>
      <c r="AF1" t="s">
        <v>303</v>
      </c>
      <c r="AG1" t="s">
        <v>304</v>
      </c>
      <c r="AH1" t="s">
        <v>305</v>
      </c>
      <c r="AI1" t="s">
        <v>306</v>
      </c>
      <c r="AJ1" t="s">
        <v>307</v>
      </c>
      <c r="AK1" t="s">
        <v>308</v>
      </c>
      <c r="AL1" t="s">
        <v>309</v>
      </c>
      <c r="AM1" t="s">
        <v>310</v>
      </c>
      <c r="AN1" t="s">
        <v>311</v>
      </c>
      <c r="AO1" t="s">
        <v>312</v>
      </c>
      <c r="AP1" t="s">
        <v>313</v>
      </c>
      <c r="AQ1" t="s">
        <v>314</v>
      </c>
      <c r="AR1" t="s">
        <v>315</v>
      </c>
      <c r="AS1" t="s">
        <v>316</v>
      </c>
      <c r="AT1" t="s">
        <v>317</v>
      </c>
      <c r="AU1" t="s">
        <v>318</v>
      </c>
      <c r="AV1" t="s">
        <v>319</v>
      </c>
      <c r="AW1" t="s">
        <v>320</v>
      </c>
      <c r="AX1" t="s">
        <v>321</v>
      </c>
      <c r="AY1" t="s">
        <v>322</v>
      </c>
      <c r="AZ1" t="s">
        <v>323</v>
      </c>
      <c r="BA1" t="s">
        <v>324</v>
      </c>
      <c r="BB1" t="s">
        <v>325</v>
      </c>
      <c r="BC1" t="s">
        <v>326</v>
      </c>
      <c r="BD1" t="s">
        <v>327</v>
      </c>
      <c r="BE1" t="s">
        <v>328</v>
      </c>
      <c r="BF1" t="s">
        <v>329</v>
      </c>
      <c r="BG1" t="s">
        <v>330</v>
      </c>
      <c r="BH1" t="s">
        <v>331</v>
      </c>
      <c r="BI1" t="s">
        <v>332</v>
      </c>
      <c r="BJ1" t="s">
        <v>333</v>
      </c>
      <c r="BK1" t="s">
        <v>334</v>
      </c>
      <c r="BL1" t="s">
        <v>335</v>
      </c>
      <c r="BM1" t="s">
        <v>336</v>
      </c>
      <c r="BN1" t="s">
        <v>337</v>
      </c>
      <c r="BO1" t="s">
        <v>338</v>
      </c>
      <c r="BP1" t="s">
        <v>339</v>
      </c>
      <c r="BQ1" t="s">
        <v>340</v>
      </c>
      <c r="BR1" t="s">
        <v>341</v>
      </c>
      <c r="BS1" t="s">
        <v>342</v>
      </c>
      <c r="BT1" t="s">
        <v>343</v>
      </c>
      <c r="BU1" t="s">
        <v>344</v>
      </c>
      <c r="BV1" t="s">
        <v>345</v>
      </c>
      <c r="BW1" t="s">
        <v>346</v>
      </c>
      <c r="BX1" t="s">
        <v>347</v>
      </c>
      <c r="BY1" t="s">
        <v>348</v>
      </c>
      <c r="BZ1" t="s">
        <v>349</v>
      </c>
      <c r="CA1" t="s">
        <v>350</v>
      </c>
      <c r="CB1" t="s">
        <v>351</v>
      </c>
      <c r="CC1" t="s">
        <v>352</v>
      </c>
      <c r="CD1" t="s">
        <v>353</v>
      </c>
      <c r="CE1" t="s">
        <v>354</v>
      </c>
      <c r="CF1" t="s">
        <v>355</v>
      </c>
      <c r="CG1" t="s">
        <v>356</v>
      </c>
      <c r="CH1" t="s">
        <v>357</v>
      </c>
      <c r="CI1" t="s">
        <v>358</v>
      </c>
      <c r="CJ1" t="s">
        <v>359</v>
      </c>
      <c r="CK1" t="s">
        <v>360</v>
      </c>
      <c r="CL1" t="s">
        <v>361</v>
      </c>
      <c r="CM1" t="s">
        <v>362</v>
      </c>
      <c r="CN1" t="s">
        <v>363</v>
      </c>
      <c r="CO1" t="s">
        <v>364</v>
      </c>
      <c r="CP1" t="s">
        <v>365</v>
      </c>
      <c r="CQ1" t="s">
        <v>366</v>
      </c>
      <c r="CR1" t="s">
        <v>367</v>
      </c>
      <c r="CS1" t="s">
        <v>368</v>
      </c>
      <c r="CT1" t="s">
        <v>369</v>
      </c>
      <c r="CU1" t="s">
        <v>370</v>
      </c>
      <c r="CV1" t="s">
        <v>371</v>
      </c>
      <c r="CW1" t="s">
        <v>372</v>
      </c>
      <c r="CX1" t="s">
        <v>373</v>
      </c>
      <c r="CY1" t="s">
        <v>374</v>
      </c>
      <c r="CZ1" t="s">
        <v>375</v>
      </c>
      <c r="DA1" t="s">
        <v>376</v>
      </c>
      <c r="DB1" t="s">
        <v>377</v>
      </c>
      <c r="DC1" t="s">
        <v>378</v>
      </c>
      <c r="DD1" t="s">
        <v>379</v>
      </c>
      <c r="DE1" t="s">
        <v>380</v>
      </c>
      <c r="DF1" t="s">
        <v>381</v>
      </c>
      <c r="DG1" t="s">
        <v>382</v>
      </c>
      <c r="DH1" t="s">
        <v>383</v>
      </c>
      <c r="DI1" t="s">
        <v>384</v>
      </c>
      <c r="DJ1" t="s">
        <v>385</v>
      </c>
      <c r="DK1" t="s">
        <v>386</v>
      </c>
      <c r="DL1" t="s">
        <v>387</v>
      </c>
      <c r="DM1" t="s">
        <v>388</v>
      </c>
      <c r="DN1" t="s">
        <v>389</v>
      </c>
      <c r="DO1" t="s">
        <v>390</v>
      </c>
      <c r="DP1" t="s">
        <v>391</v>
      </c>
      <c r="DQ1" t="s">
        <v>392</v>
      </c>
      <c r="DR1" t="s">
        <v>393</v>
      </c>
      <c r="DS1" t="s">
        <v>394</v>
      </c>
      <c r="DT1" t="s">
        <v>395</v>
      </c>
      <c r="DU1" t="s">
        <v>396</v>
      </c>
      <c r="DV1" t="s">
        <v>397</v>
      </c>
      <c r="DW1" t="s">
        <v>398</v>
      </c>
      <c r="DX1" t="s">
        <v>399</v>
      </c>
      <c r="DY1" t="s">
        <v>400</v>
      </c>
      <c r="DZ1" t="s">
        <v>401</v>
      </c>
      <c r="EA1" t="s">
        <v>402</v>
      </c>
      <c r="EB1" t="s">
        <v>403</v>
      </c>
      <c r="EC1" t="s">
        <v>404</v>
      </c>
      <c r="ED1" t="s">
        <v>405</v>
      </c>
      <c r="EE1" t="s">
        <v>406</v>
      </c>
      <c r="EF1" t="s">
        <v>407</v>
      </c>
      <c r="EG1" t="s">
        <v>408</v>
      </c>
      <c r="EH1" t="s">
        <v>409</v>
      </c>
      <c r="EI1" t="s">
        <v>410</v>
      </c>
      <c r="EJ1" t="s">
        <v>411</v>
      </c>
      <c r="EK1" t="s">
        <v>412</v>
      </c>
      <c r="EL1" t="s">
        <v>413</v>
      </c>
      <c r="EM1" t="s">
        <v>414</v>
      </c>
      <c r="EN1" t="s">
        <v>415</v>
      </c>
      <c r="EO1" t="s">
        <v>416</v>
      </c>
      <c r="EP1" t="s">
        <v>417</v>
      </c>
      <c r="EQ1" t="s">
        <v>418</v>
      </c>
      <c r="ER1" t="s">
        <v>419</v>
      </c>
      <c r="ES1" t="s">
        <v>420</v>
      </c>
      <c r="ET1" t="s">
        <v>421</v>
      </c>
      <c r="EU1" t="s">
        <v>422</v>
      </c>
      <c r="EV1" t="s">
        <v>423</v>
      </c>
      <c r="EW1" t="s">
        <v>424</v>
      </c>
      <c r="EX1" t="s">
        <v>425</v>
      </c>
      <c r="EY1" t="s">
        <v>426</v>
      </c>
      <c r="EZ1" t="s">
        <v>427</v>
      </c>
      <c r="FA1" t="s">
        <v>428</v>
      </c>
      <c r="FB1" t="s">
        <v>429</v>
      </c>
      <c r="FC1" t="s">
        <v>430</v>
      </c>
      <c r="FD1" t="s">
        <v>431</v>
      </c>
      <c r="FE1" t="s">
        <v>432</v>
      </c>
      <c r="FF1" t="s">
        <v>433</v>
      </c>
      <c r="FG1" t="s">
        <v>434</v>
      </c>
      <c r="FH1" t="s">
        <v>435</v>
      </c>
      <c r="FI1" t="s">
        <v>436</v>
      </c>
      <c r="FJ1" t="s">
        <v>437</v>
      </c>
      <c r="FK1" t="s">
        <v>438</v>
      </c>
      <c r="FL1" t="s">
        <v>439</v>
      </c>
      <c r="FM1" t="s">
        <v>440</v>
      </c>
      <c r="FN1" t="s">
        <v>441</v>
      </c>
      <c r="FO1" t="s">
        <v>442</v>
      </c>
      <c r="FP1" t="s">
        <v>443</v>
      </c>
      <c r="FQ1" t="s">
        <v>444</v>
      </c>
      <c r="FR1" t="s">
        <v>445</v>
      </c>
      <c r="FS1" t="s">
        <v>446</v>
      </c>
      <c r="FT1" t="s">
        <v>447</v>
      </c>
      <c r="FU1" t="s">
        <v>448</v>
      </c>
      <c r="FV1" t="s">
        <v>449</v>
      </c>
      <c r="FW1" t="s">
        <v>450</v>
      </c>
      <c r="FX1" t="s">
        <v>451</v>
      </c>
      <c r="FY1" t="s">
        <v>452</v>
      </c>
      <c r="FZ1" t="s">
        <v>453</v>
      </c>
      <c r="GA1" t="s">
        <v>454</v>
      </c>
      <c r="GB1" t="s">
        <v>455</v>
      </c>
      <c r="GC1" t="s">
        <v>456</v>
      </c>
      <c r="GD1" t="s">
        <v>457</v>
      </c>
      <c r="GE1" t="s">
        <v>458</v>
      </c>
      <c r="GF1" t="s">
        <v>459</v>
      </c>
      <c r="GG1" t="s">
        <v>460</v>
      </c>
      <c r="GH1" t="s">
        <v>461</v>
      </c>
      <c r="GI1" t="s">
        <v>462</v>
      </c>
      <c r="GJ1" t="s">
        <v>463</v>
      </c>
      <c r="GK1" t="s">
        <v>464</v>
      </c>
      <c r="GL1" t="s">
        <v>465</v>
      </c>
      <c r="GM1" t="s">
        <v>466</v>
      </c>
      <c r="GN1" t="s">
        <v>467</v>
      </c>
      <c r="GO1" t="s">
        <v>468</v>
      </c>
      <c r="GP1" t="s">
        <v>469</v>
      </c>
      <c r="GQ1" t="s">
        <v>470</v>
      </c>
      <c r="GR1" t="s">
        <v>471</v>
      </c>
      <c r="GS1" t="s">
        <v>472</v>
      </c>
      <c r="GT1" t="s">
        <v>473</v>
      </c>
      <c r="GU1" t="s">
        <v>474</v>
      </c>
      <c r="GV1" t="s">
        <v>475</v>
      </c>
      <c r="GW1" t="s">
        <v>476</v>
      </c>
      <c r="GX1" t="s">
        <v>477</v>
      </c>
      <c r="GY1" t="s">
        <v>478</v>
      </c>
      <c r="GZ1" t="s">
        <v>479</v>
      </c>
      <c r="HA1" t="s">
        <v>480</v>
      </c>
      <c r="HB1" t="s">
        <v>481</v>
      </c>
      <c r="HC1" t="s">
        <v>482</v>
      </c>
      <c r="HD1" t="s">
        <v>483</v>
      </c>
      <c r="HE1" t="s">
        <v>484</v>
      </c>
      <c r="HF1" t="s">
        <v>485</v>
      </c>
      <c r="HG1" t="s">
        <v>486</v>
      </c>
      <c r="HH1" t="s">
        <v>487</v>
      </c>
      <c r="HI1" t="s">
        <v>488</v>
      </c>
      <c r="HJ1" t="s">
        <v>489</v>
      </c>
      <c r="HK1" t="s">
        <v>490</v>
      </c>
      <c r="HL1" t="s">
        <v>491</v>
      </c>
      <c r="HM1" t="s">
        <v>492</v>
      </c>
      <c r="HN1" t="s">
        <v>493</v>
      </c>
      <c r="HO1" t="s">
        <v>494</v>
      </c>
      <c r="HP1" t="s">
        <v>495</v>
      </c>
      <c r="HQ1" t="s">
        <v>496</v>
      </c>
      <c r="HR1" t="s">
        <v>497</v>
      </c>
      <c r="HS1" t="s">
        <v>498</v>
      </c>
      <c r="HT1" t="s">
        <v>499</v>
      </c>
      <c r="HU1" t="s">
        <v>500</v>
      </c>
      <c r="HV1" t="s">
        <v>501</v>
      </c>
      <c r="HW1" t="s">
        <v>502</v>
      </c>
      <c r="HX1" t="s">
        <v>503</v>
      </c>
      <c r="HY1" t="s">
        <v>504</v>
      </c>
      <c r="HZ1" t="s">
        <v>505</v>
      </c>
      <c r="IA1" t="s">
        <v>506</v>
      </c>
      <c r="IB1" t="s">
        <v>507</v>
      </c>
      <c r="IC1" t="s">
        <v>508</v>
      </c>
      <c r="ID1" t="s">
        <v>509</v>
      </c>
      <c r="IE1" t="s">
        <v>510</v>
      </c>
      <c r="IF1" t="s">
        <v>511</v>
      </c>
      <c r="IG1" t="s">
        <v>512</v>
      </c>
      <c r="IH1" t="s">
        <v>513</v>
      </c>
      <c r="II1" t="s">
        <v>514</v>
      </c>
      <c r="IJ1" t="s">
        <v>515</v>
      </c>
      <c r="IK1" t="s">
        <v>516</v>
      </c>
      <c r="IL1" t="s">
        <v>517</v>
      </c>
      <c r="IM1" t="s">
        <v>518</v>
      </c>
      <c r="IN1" t="s">
        <v>519</v>
      </c>
      <c r="IO1" t="s">
        <v>520</v>
      </c>
      <c r="IP1" t="s">
        <v>521</v>
      </c>
      <c r="IQ1" t="s">
        <v>522</v>
      </c>
      <c r="IR1" t="s">
        <v>523</v>
      </c>
      <c r="IS1" t="s">
        <v>524</v>
      </c>
      <c r="IT1" t="s">
        <v>525</v>
      </c>
      <c r="IU1" t="s">
        <v>526</v>
      </c>
      <c r="IV1" t="s">
        <v>527</v>
      </c>
      <c r="IW1" t="s">
        <v>528</v>
      </c>
      <c r="IX1" t="s">
        <v>529</v>
      </c>
      <c r="IY1" t="s">
        <v>530</v>
      </c>
      <c r="IZ1" t="s">
        <v>531</v>
      </c>
      <c r="JA1" t="s">
        <v>532</v>
      </c>
      <c r="JB1" t="s">
        <v>533</v>
      </c>
      <c r="JC1" t="s">
        <v>534</v>
      </c>
      <c r="JD1" t="s">
        <v>535</v>
      </c>
      <c r="JE1" t="s">
        <v>536</v>
      </c>
      <c r="JF1" t="s">
        <v>537</v>
      </c>
      <c r="JG1" t="s">
        <v>538</v>
      </c>
      <c r="JH1" t="s">
        <v>539</v>
      </c>
      <c r="JI1" t="s">
        <v>540</v>
      </c>
      <c r="JJ1" t="s">
        <v>541</v>
      </c>
      <c r="JK1" t="s">
        <v>280</v>
      </c>
      <c r="JL1" t="s">
        <v>542</v>
      </c>
      <c r="JM1" t="s">
        <v>543</v>
      </c>
      <c r="JN1" t="s">
        <v>544</v>
      </c>
      <c r="JO1" t="s">
        <v>207</v>
      </c>
      <c r="JP1" t="s">
        <v>208</v>
      </c>
      <c r="JQ1" t="s">
        <v>209</v>
      </c>
    </row>
    <row r="2" spans="1:277">
      <c r="A2" t="s">
        <v>545</v>
      </c>
      <c r="B2" t="s">
        <v>546</v>
      </c>
      <c r="C2" t="s">
        <v>212</v>
      </c>
      <c r="D2">
        <v>3</v>
      </c>
      <c r="E2" t="s">
        <v>213</v>
      </c>
      <c r="F2" t="s">
        <v>214</v>
      </c>
      <c r="G2" t="s">
        <v>547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0.19999999900000001</v>
      </c>
      <c r="R2">
        <v>9.9999999000000006E-2</v>
      </c>
      <c r="S2">
        <v>9.9999999000000006E-2</v>
      </c>
      <c r="T2">
        <v>0</v>
      </c>
      <c r="U2">
        <v>0</v>
      </c>
      <c r="V2">
        <v>0</v>
      </c>
      <c r="W2">
        <v>0</v>
      </c>
      <c r="X2">
        <v>9.9999999000000006E-2</v>
      </c>
      <c r="Y2">
        <v>9.9999999000000006E-2</v>
      </c>
      <c r="Z2">
        <v>0.19999999900000001</v>
      </c>
      <c r="AA2">
        <v>0</v>
      </c>
      <c r="AB2">
        <v>9.9999999000000006E-2</v>
      </c>
      <c r="AC2">
        <v>9.9999999000000006E-2</v>
      </c>
      <c r="AD2">
        <v>9.9999999000000006E-2</v>
      </c>
      <c r="AE2">
        <v>0</v>
      </c>
      <c r="AF2">
        <v>0.19999999900000001</v>
      </c>
      <c r="AG2">
        <v>0.19999999900000001</v>
      </c>
      <c r="AH2">
        <v>9.9999999000000006E-2</v>
      </c>
      <c r="AI2">
        <v>3.4999999989999999</v>
      </c>
      <c r="AJ2">
        <v>7.8999999990000003</v>
      </c>
      <c r="AK2">
        <v>13.4</v>
      </c>
      <c r="AL2">
        <v>20.399999999999999</v>
      </c>
      <c r="AM2">
        <v>28.1</v>
      </c>
      <c r="AN2">
        <v>36.1</v>
      </c>
      <c r="AO2">
        <v>44</v>
      </c>
      <c r="AP2">
        <v>52.1</v>
      </c>
      <c r="AQ2">
        <v>60.3</v>
      </c>
      <c r="AR2">
        <v>68.3</v>
      </c>
      <c r="AS2">
        <v>76.599999999999994</v>
      </c>
      <c r="AT2">
        <v>85</v>
      </c>
      <c r="AU2">
        <v>93.8</v>
      </c>
      <c r="AV2">
        <v>102.3</v>
      </c>
      <c r="AW2">
        <v>111.2</v>
      </c>
      <c r="AX2">
        <v>120</v>
      </c>
      <c r="AY2">
        <v>128.9</v>
      </c>
      <c r="AZ2">
        <v>137.9</v>
      </c>
      <c r="BA2">
        <v>146.80000000000001</v>
      </c>
      <c r="BB2">
        <v>155.80000000000001</v>
      </c>
      <c r="BC2">
        <v>164.5</v>
      </c>
      <c r="BD2">
        <v>173.1</v>
      </c>
      <c r="BE2">
        <v>181.7</v>
      </c>
      <c r="BF2">
        <v>190.7</v>
      </c>
      <c r="BG2">
        <v>199.5</v>
      </c>
      <c r="BH2">
        <v>209</v>
      </c>
      <c r="BI2">
        <v>217</v>
      </c>
      <c r="BJ2">
        <v>225.6</v>
      </c>
      <c r="BK2">
        <v>234</v>
      </c>
      <c r="BL2">
        <v>242.7</v>
      </c>
      <c r="BM2">
        <v>251.2</v>
      </c>
      <c r="BN2">
        <v>259.89999999999998</v>
      </c>
      <c r="BO2">
        <v>267.89999999999998</v>
      </c>
      <c r="BP2">
        <v>275.60000000000002</v>
      </c>
      <c r="BQ2">
        <v>283.8</v>
      </c>
      <c r="BR2">
        <v>291.8</v>
      </c>
      <c r="BS2">
        <v>299.8</v>
      </c>
      <c r="BT2">
        <v>307.89999999999998</v>
      </c>
      <c r="BU2">
        <v>315.39999999999998</v>
      </c>
      <c r="BV2">
        <v>322.5</v>
      </c>
      <c r="BW2">
        <v>329.7</v>
      </c>
      <c r="BX2">
        <v>336.9</v>
      </c>
      <c r="BY2">
        <v>344.2</v>
      </c>
      <c r="BZ2">
        <v>351.5</v>
      </c>
      <c r="CA2">
        <v>358.5</v>
      </c>
      <c r="CB2">
        <v>365.5</v>
      </c>
      <c r="CC2">
        <v>371.5</v>
      </c>
      <c r="CD2">
        <v>377.9</v>
      </c>
      <c r="CE2">
        <v>384.5</v>
      </c>
      <c r="CF2">
        <v>390.8</v>
      </c>
      <c r="CG2">
        <v>397.4</v>
      </c>
      <c r="CH2">
        <v>403.3</v>
      </c>
      <c r="CI2">
        <v>409.4</v>
      </c>
      <c r="CJ2">
        <v>415.6</v>
      </c>
      <c r="CK2">
        <v>421.2</v>
      </c>
      <c r="CL2">
        <v>426.5</v>
      </c>
      <c r="CM2">
        <v>432.4</v>
      </c>
      <c r="CN2">
        <v>438</v>
      </c>
      <c r="CO2">
        <v>443.6</v>
      </c>
      <c r="CP2">
        <v>448</v>
      </c>
      <c r="CQ2">
        <v>449.5</v>
      </c>
      <c r="CR2">
        <v>450.8</v>
      </c>
      <c r="CS2">
        <v>450.9</v>
      </c>
      <c r="CT2">
        <v>450.8</v>
      </c>
      <c r="CU2">
        <v>450.9</v>
      </c>
      <c r="CV2">
        <v>450.8</v>
      </c>
      <c r="CW2">
        <v>450.8</v>
      </c>
      <c r="CX2">
        <v>451</v>
      </c>
      <c r="CY2">
        <v>451</v>
      </c>
      <c r="CZ2">
        <v>451</v>
      </c>
      <c r="DA2">
        <v>450.8</v>
      </c>
      <c r="DB2">
        <v>450.6</v>
      </c>
      <c r="DC2">
        <v>450.7</v>
      </c>
      <c r="DD2">
        <v>450.7</v>
      </c>
      <c r="DE2">
        <v>451</v>
      </c>
      <c r="DF2">
        <v>451</v>
      </c>
      <c r="DG2">
        <v>1.8</v>
      </c>
      <c r="DH2">
        <v>1.8</v>
      </c>
      <c r="DI2">
        <v>1.8</v>
      </c>
      <c r="DJ2">
        <v>2.1</v>
      </c>
      <c r="DK2">
        <v>1.8999999990000001</v>
      </c>
      <c r="DL2">
        <v>1.8</v>
      </c>
      <c r="DM2">
        <v>1.8</v>
      </c>
      <c r="DN2">
        <v>1.6999999990000001</v>
      </c>
      <c r="DO2">
        <v>1.8</v>
      </c>
      <c r="DP2">
        <v>1.8</v>
      </c>
      <c r="DQ2">
        <v>1.8999999990000001</v>
      </c>
      <c r="DR2">
        <v>1.8</v>
      </c>
      <c r="DS2">
        <v>1.6999999990000001</v>
      </c>
      <c r="DT2">
        <v>1.8999999990000001</v>
      </c>
      <c r="DU2">
        <v>1.8</v>
      </c>
      <c r="DV2">
        <v>1.8999999990000001</v>
      </c>
      <c r="DW2">
        <v>1.8999999990000001</v>
      </c>
      <c r="DX2">
        <v>3.6999999990000001</v>
      </c>
      <c r="DY2">
        <v>8.0999999989999996</v>
      </c>
      <c r="DZ2">
        <v>12.2</v>
      </c>
      <c r="EA2">
        <v>19.600000000000001</v>
      </c>
      <c r="EB2">
        <v>27</v>
      </c>
      <c r="EC2">
        <v>34.9</v>
      </c>
      <c r="ED2">
        <v>43.3</v>
      </c>
      <c r="EE2">
        <v>51.1</v>
      </c>
      <c r="EF2">
        <v>59</v>
      </c>
      <c r="EG2">
        <v>66.900000000000006</v>
      </c>
      <c r="EH2">
        <v>75</v>
      </c>
      <c r="EI2">
        <v>83.6</v>
      </c>
      <c r="EJ2">
        <v>92</v>
      </c>
      <c r="EK2">
        <v>100.7</v>
      </c>
      <c r="EL2">
        <v>109.3</v>
      </c>
      <c r="EM2">
        <v>118</v>
      </c>
      <c r="EN2">
        <v>127.1</v>
      </c>
      <c r="EO2">
        <v>136.1</v>
      </c>
      <c r="EP2">
        <v>145</v>
      </c>
      <c r="EQ2">
        <v>153.80000000000001</v>
      </c>
      <c r="ER2">
        <v>162.6</v>
      </c>
      <c r="ES2">
        <v>171.1</v>
      </c>
      <c r="ET2">
        <v>180</v>
      </c>
      <c r="EU2">
        <v>189.2</v>
      </c>
      <c r="EV2">
        <v>197.9</v>
      </c>
      <c r="EW2">
        <v>207</v>
      </c>
      <c r="EX2">
        <v>215.8</v>
      </c>
      <c r="EY2">
        <v>224.1</v>
      </c>
      <c r="EZ2">
        <v>232.8</v>
      </c>
      <c r="FA2">
        <v>241.7</v>
      </c>
      <c r="FB2">
        <v>250</v>
      </c>
      <c r="FC2">
        <v>258.8</v>
      </c>
      <c r="FD2">
        <v>267</v>
      </c>
      <c r="FE2">
        <v>275.3</v>
      </c>
      <c r="FF2">
        <v>283.60000000000002</v>
      </c>
      <c r="FG2">
        <v>291.60000000000002</v>
      </c>
      <c r="FH2">
        <v>299.8</v>
      </c>
      <c r="FI2">
        <v>307.89999999999998</v>
      </c>
      <c r="FJ2">
        <v>315.7</v>
      </c>
      <c r="FK2">
        <v>323</v>
      </c>
      <c r="FL2">
        <v>330.4</v>
      </c>
      <c r="FM2">
        <v>338</v>
      </c>
      <c r="FN2">
        <v>345.6</v>
      </c>
      <c r="FO2">
        <v>352.7</v>
      </c>
      <c r="FP2">
        <v>360.1</v>
      </c>
      <c r="FQ2">
        <v>367</v>
      </c>
      <c r="FR2">
        <v>373.6</v>
      </c>
      <c r="FS2">
        <v>380.2</v>
      </c>
      <c r="FT2">
        <v>386.7</v>
      </c>
      <c r="FU2">
        <v>393.3</v>
      </c>
      <c r="FV2">
        <v>400</v>
      </c>
      <c r="FW2">
        <v>405.9</v>
      </c>
      <c r="FX2">
        <v>412.4</v>
      </c>
      <c r="FY2">
        <v>418.4</v>
      </c>
      <c r="FZ2">
        <v>423.7</v>
      </c>
      <c r="GA2">
        <v>429.4</v>
      </c>
      <c r="GB2">
        <v>434.6</v>
      </c>
      <c r="GC2">
        <v>439.8</v>
      </c>
      <c r="GD2">
        <v>445</v>
      </c>
      <c r="GE2">
        <v>448.3</v>
      </c>
      <c r="GF2">
        <v>449.7</v>
      </c>
      <c r="GG2">
        <v>450.7</v>
      </c>
      <c r="GH2">
        <v>450.7</v>
      </c>
      <c r="GI2">
        <v>450.8</v>
      </c>
      <c r="GJ2">
        <v>450.7</v>
      </c>
      <c r="GK2">
        <v>450.8</v>
      </c>
      <c r="GL2">
        <v>450.7</v>
      </c>
      <c r="GM2">
        <v>450.6</v>
      </c>
      <c r="GN2">
        <v>450.6</v>
      </c>
      <c r="GO2">
        <v>450.7</v>
      </c>
      <c r="GP2">
        <v>450.7</v>
      </c>
      <c r="GQ2">
        <v>450.8</v>
      </c>
      <c r="GR2">
        <v>450.7</v>
      </c>
      <c r="GS2">
        <v>450.7</v>
      </c>
      <c r="GT2">
        <v>450.9</v>
      </c>
      <c r="GU2">
        <v>450.8</v>
      </c>
      <c r="GV2">
        <v>450.8</v>
      </c>
      <c r="GW2">
        <v>1</v>
      </c>
      <c r="GX2">
        <v>113.5</v>
      </c>
      <c r="GY2">
        <v>111.2</v>
      </c>
      <c r="GZ2">
        <v>111.2</v>
      </c>
      <c r="HA2">
        <v>118</v>
      </c>
      <c r="HB2">
        <v>112.92827680000001</v>
      </c>
      <c r="HC2">
        <v>-6.7999999989999997</v>
      </c>
      <c r="HD2">
        <v>450.8</v>
      </c>
      <c r="HE2">
        <v>304.73320030000002</v>
      </c>
      <c r="HF2">
        <v>92.18137059</v>
      </c>
      <c r="HG2">
        <v>451</v>
      </c>
      <c r="HH2">
        <v>450.8999556</v>
      </c>
      <c r="HI2">
        <v>451</v>
      </c>
      <c r="HJ2">
        <v>450.9</v>
      </c>
      <c r="HK2">
        <v>107.9178886</v>
      </c>
      <c r="HL2">
        <v>3.5510128839999999</v>
      </c>
      <c r="HM2">
        <v>3.448110673</v>
      </c>
      <c r="HN2">
        <v>3.5034934049999999</v>
      </c>
      <c r="HO2">
        <v>3.433019448</v>
      </c>
      <c r="HP2">
        <v>3.7634123060000002</v>
      </c>
      <c r="HQ2">
        <v>2.3797226829999998</v>
      </c>
      <c r="HR2">
        <v>20.746906190000001</v>
      </c>
      <c r="HS2">
        <v>-25.80645161</v>
      </c>
      <c r="HT2">
        <v>-176</v>
      </c>
      <c r="HU2">
        <v>417.66147699999999</v>
      </c>
      <c r="HV2">
        <v>89.149560120000004</v>
      </c>
      <c r="HW2">
        <v>608</v>
      </c>
      <c r="HX2">
        <v>20.746906190000001</v>
      </c>
      <c r="HY2">
        <v>-25.80645161</v>
      </c>
      <c r="HZ2">
        <v>-176</v>
      </c>
      <c r="IA2">
        <v>417.66147699999999</v>
      </c>
      <c r="IB2">
        <v>89.149560120000004</v>
      </c>
      <c r="IC2">
        <v>608</v>
      </c>
      <c r="ID2">
        <v>33.238478600000001</v>
      </c>
      <c r="IE2">
        <v>0.11516965999999999</v>
      </c>
      <c r="IF2">
        <v>-35.19061584</v>
      </c>
      <c r="IG2">
        <v>-240</v>
      </c>
      <c r="IH2">
        <v>439.55710800000003</v>
      </c>
      <c r="II2">
        <v>98.533724340000006</v>
      </c>
      <c r="IJ2">
        <v>672</v>
      </c>
      <c r="IK2">
        <v>396.9145709</v>
      </c>
      <c r="IL2">
        <v>114.9560117</v>
      </c>
      <c r="IM2">
        <v>420.93860059999997</v>
      </c>
      <c r="IN2">
        <v>124.340176</v>
      </c>
      <c r="IO2">
        <v>7.4</v>
      </c>
      <c r="IP2">
        <v>5.9</v>
      </c>
      <c r="IQ2">
        <v>9.5</v>
      </c>
      <c r="IR2">
        <v>6.1321517630000004</v>
      </c>
      <c r="IS2">
        <v>6.1321517630000004</v>
      </c>
      <c r="IT2">
        <v>6.2</v>
      </c>
      <c r="IU2">
        <v>-28.152492670000001</v>
      </c>
      <c r="IV2">
        <v>9.1999999999999993</v>
      </c>
      <c r="IW2">
        <v>82.111436949999998</v>
      </c>
      <c r="IX2">
        <v>8.0999999989999996</v>
      </c>
      <c r="IY2">
        <v>96.187683280000002</v>
      </c>
      <c r="IZ2">
        <v>-32.153095370000003</v>
      </c>
      <c r="JA2">
        <v>0.31245477999999999</v>
      </c>
      <c r="JB2">
        <v>-3.1746699999999999E-4</v>
      </c>
      <c r="JC2">
        <v>6.3330000000000004E-7</v>
      </c>
      <c r="JD2">
        <v>0.28160979200000003</v>
      </c>
      <c r="JE2">
        <v>0.133799263</v>
      </c>
      <c r="JF2">
        <v>5.9239694000000002E-2</v>
      </c>
      <c r="JG2">
        <v>113.4949767</v>
      </c>
      <c r="JH2">
        <v>3.7634123060000002</v>
      </c>
      <c r="JI2">
        <v>3.222169E-3</v>
      </c>
      <c r="JJ2">
        <v>-8.2129100000000006E-5</v>
      </c>
      <c r="JK2">
        <v>3.5510128839999999</v>
      </c>
      <c r="JL2">
        <v>1.2421714939999999</v>
      </c>
      <c r="JM2">
        <v>0.47949031600000003</v>
      </c>
      <c r="JN2" t="s">
        <v>548</v>
      </c>
      <c r="JQ2">
        <v>1</v>
      </c>
    </row>
    <row r="3" spans="1:277">
      <c r="A3" t="s">
        <v>549</v>
      </c>
      <c r="B3" t="s">
        <v>550</v>
      </c>
      <c r="C3" t="s">
        <v>212</v>
      </c>
      <c r="D3">
        <v>3</v>
      </c>
      <c r="E3" t="s">
        <v>213</v>
      </c>
      <c r="F3" t="s">
        <v>214</v>
      </c>
      <c r="G3" t="s">
        <v>547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0</v>
      </c>
      <c r="R3">
        <v>0.59999999900000001</v>
      </c>
      <c r="S3">
        <v>0.5</v>
      </c>
      <c r="T3">
        <v>0.5</v>
      </c>
      <c r="U3">
        <v>0.5</v>
      </c>
      <c r="V3">
        <v>0.59999999900000001</v>
      </c>
      <c r="W3">
        <v>0.5</v>
      </c>
      <c r="X3">
        <v>0.59999999900000001</v>
      </c>
      <c r="Y3">
        <v>0.59999999900000001</v>
      </c>
      <c r="Z3">
        <v>0.59999999900000001</v>
      </c>
      <c r="AA3">
        <v>0.59999999900000001</v>
      </c>
      <c r="AB3">
        <v>0.70000000100000004</v>
      </c>
      <c r="AC3">
        <v>0.70000000100000004</v>
      </c>
      <c r="AD3">
        <v>0.70000000100000004</v>
      </c>
      <c r="AE3">
        <v>0.90000000099999999</v>
      </c>
      <c r="AF3">
        <v>1</v>
      </c>
      <c r="AG3">
        <v>1.8</v>
      </c>
      <c r="AH3">
        <v>4.4000000000000004</v>
      </c>
      <c r="AI3">
        <v>9.0999999989999996</v>
      </c>
      <c r="AJ3">
        <v>16.5</v>
      </c>
      <c r="AK3">
        <v>23.7</v>
      </c>
      <c r="AL3">
        <v>31</v>
      </c>
      <c r="AM3">
        <v>38.700000000000003</v>
      </c>
      <c r="AN3">
        <v>46.4</v>
      </c>
      <c r="AO3">
        <v>53.6</v>
      </c>
      <c r="AP3">
        <v>61.6</v>
      </c>
      <c r="AQ3">
        <v>70.099999999999994</v>
      </c>
      <c r="AR3">
        <v>78.2</v>
      </c>
      <c r="AS3">
        <v>86.7</v>
      </c>
      <c r="AT3">
        <v>95</v>
      </c>
      <c r="AU3">
        <v>102</v>
      </c>
      <c r="AV3">
        <v>111</v>
      </c>
      <c r="AW3">
        <v>120.5</v>
      </c>
      <c r="AX3">
        <v>129.4</v>
      </c>
      <c r="AY3">
        <v>138.30000000000001</v>
      </c>
      <c r="AZ3">
        <v>146.5</v>
      </c>
      <c r="BA3">
        <v>154.30000000000001</v>
      </c>
      <c r="BB3">
        <v>163.69999999999999</v>
      </c>
      <c r="BC3">
        <v>172.8</v>
      </c>
      <c r="BD3">
        <v>181.3</v>
      </c>
      <c r="BE3">
        <v>190.3</v>
      </c>
      <c r="BF3">
        <v>198.3</v>
      </c>
      <c r="BG3">
        <v>205.9</v>
      </c>
      <c r="BH3">
        <v>215.1</v>
      </c>
      <c r="BI3">
        <v>224</v>
      </c>
      <c r="BJ3">
        <v>232.8</v>
      </c>
      <c r="BK3">
        <v>241.4</v>
      </c>
      <c r="BL3">
        <v>249</v>
      </c>
      <c r="BM3">
        <v>256.39999999999998</v>
      </c>
      <c r="BN3">
        <v>265.2</v>
      </c>
      <c r="BO3">
        <v>273.8</v>
      </c>
      <c r="BP3">
        <v>282.10000000000002</v>
      </c>
      <c r="BQ3">
        <v>290.3</v>
      </c>
      <c r="BR3">
        <v>298</v>
      </c>
      <c r="BS3">
        <v>304.8</v>
      </c>
      <c r="BT3">
        <v>311.8</v>
      </c>
      <c r="BU3">
        <v>320.10000000000002</v>
      </c>
      <c r="BV3">
        <v>327.8</v>
      </c>
      <c r="BW3">
        <v>335.3</v>
      </c>
      <c r="BX3">
        <v>342.9</v>
      </c>
      <c r="BY3">
        <v>350</v>
      </c>
      <c r="BZ3">
        <v>355.8</v>
      </c>
      <c r="CA3">
        <v>362.5</v>
      </c>
      <c r="CB3">
        <v>369.7</v>
      </c>
      <c r="CC3">
        <v>376.7</v>
      </c>
      <c r="CD3">
        <v>383.5</v>
      </c>
      <c r="CE3">
        <v>390</v>
      </c>
      <c r="CF3">
        <v>396.5</v>
      </c>
      <c r="CG3">
        <v>402.8</v>
      </c>
      <c r="CH3">
        <v>407.9</v>
      </c>
      <c r="CI3">
        <v>413.8</v>
      </c>
      <c r="CJ3">
        <v>420.4</v>
      </c>
      <c r="CK3">
        <v>426.5</v>
      </c>
      <c r="CL3">
        <v>432.3</v>
      </c>
      <c r="CM3">
        <v>438</v>
      </c>
      <c r="CN3">
        <v>443.9</v>
      </c>
      <c r="CO3">
        <v>449.6</v>
      </c>
      <c r="CP3">
        <v>455.3</v>
      </c>
      <c r="CQ3">
        <v>458.6</v>
      </c>
      <c r="CR3">
        <v>458.9</v>
      </c>
      <c r="CS3">
        <v>459</v>
      </c>
      <c r="CT3">
        <v>459.3</v>
      </c>
      <c r="CU3">
        <v>459.4</v>
      </c>
      <c r="CV3">
        <v>459.5</v>
      </c>
      <c r="CW3">
        <v>459.4</v>
      </c>
      <c r="CX3">
        <v>459.3</v>
      </c>
      <c r="CY3">
        <v>459.4</v>
      </c>
      <c r="CZ3">
        <v>459.3</v>
      </c>
      <c r="DA3">
        <v>459.6</v>
      </c>
      <c r="DB3">
        <v>459.6</v>
      </c>
      <c r="DC3">
        <v>459.4</v>
      </c>
      <c r="DD3">
        <v>459.4</v>
      </c>
      <c r="DE3">
        <v>459.5</v>
      </c>
      <c r="DF3">
        <v>459.5</v>
      </c>
      <c r="DG3">
        <v>0.70000000100000004</v>
      </c>
      <c r="DH3">
        <v>1.3</v>
      </c>
      <c r="DI3">
        <v>1.400000001</v>
      </c>
      <c r="DJ3">
        <v>1.400000001</v>
      </c>
      <c r="DK3">
        <v>1.6</v>
      </c>
      <c r="DL3">
        <v>1.6</v>
      </c>
      <c r="DM3">
        <v>1.5</v>
      </c>
      <c r="DN3">
        <v>1.5</v>
      </c>
      <c r="DO3">
        <v>2.2999999999999998</v>
      </c>
      <c r="DP3">
        <v>2.3999999989999998</v>
      </c>
      <c r="DQ3">
        <v>2.3999999989999998</v>
      </c>
      <c r="DR3">
        <v>2.2999999999999998</v>
      </c>
      <c r="DS3">
        <v>2.3999999989999998</v>
      </c>
      <c r="DT3">
        <v>2.5000000010000001</v>
      </c>
      <c r="DU3">
        <v>2.3999999989999998</v>
      </c>
      <c r="DV3">
        <v>2.5000000010000001</v>
      </c>
      <c r="DW3">
        <v>3.5000000010000001</v>
      </c>
      <c r="DX3">
        <v>7.9000000010000004</v>
      </c>
      <c r="DY3">
        <v>15</v>
      </c>
      <c r="DZ3">
        <v>22.5</v>
      </c>
      <c r="EA3">
        <v>29.7</v>
      </c>
      <c r="EB3">
        <v>37.4</v>
      </c>
      <c r="EC3">
        <v>45.2</v>
      </c>
      <c r="ED3">
        <v>52.1</v>
      </c>
      <c r="EE3">
        <v>60</v>
      </c>
      <c r="EF3">
        <v>68.400000000000006</v>
      </c>
      <c r="EG3">
        <v>76.400000000000006</v>
      </c>
      <c r="EH3">
        <v>84.8</v>
      </c>
      <c r="EI3">
        <v>93.2</v>
      </c>
      <c r="EJ3">
        <v>100.3</v>
      </c>
      <c r="EK3">
        <v>109</v>
      </c>
      <c r="EL3">
        <v>117.5</v>
      </c>
      <c r="EM3">
        <v>126.8</v>
      </c>
      <c r="EN3">
        <v>136.4</v>
      </c>
      <c r="EO3">
        <v>144.6</v>
      </c>
      <c r="EP3">
        <v>152.6</v>
      </c>
      <c r="EQ3">
        <v>161.4</v>
      </c>
      <c r="ER3">
        <v>170.3</v>
      </c>
      <c r="ES3">
        <v>179.2</v>
      </c>
      <c r="ET3">
        <v>188.2</v>
      </c>
      <c r="EU3">
        <v>196.7</v>
      </c>
      <c r="EV3">
        <v>204.7</v>
      </c>
      <c r="EW3">
        <v>213.8</v>
      </c>
      <c r="EX3">
        <v>222.6</v>
      </c>
      <c r="EY3">
        <v>231.1</v>
      </c>
      <c r="EZ3">
        <v>239.9</v>
      </c>
      <c r="FA3">
        <v>248.1</v>
      </c>
      <c r="FB3">
        <v>255.8</v>
      </c>
      <c r="FC3">
        <v>264.5</v>
      </c>
      <c r="FD3">
        <v>273</v>
      </c>
      <c r="FE3">
        <v>281.3</v>
      </c>
      <c r="FF3">
        <v>289.5</v>
      </c>
      <c r="FG3">
        <v>297.60000000000002</v>
      </c>
      <c r="FH3">
        <v>304.60000000000002</v>
      </c>
      <c r="FI3">
        <v>312.3</v>
      </c>
      <c r="FJ3">
        <v>320.60000000000002</v>
      </c>
      <c r="FK3">
        <v>328.3</v>
      </c>
      <c r="FL3">
        <v>335.6</v>
      </c>
      <c r="FM3">
        <v>343.2</v>
      </c>
      <c r="FN3">
        <v>350.2</v>
      </c>
      <c r="FO3">
        <v>357.1</v>
      </c>
      <c r="FP3">
        <v>364.4</v>
      </c>
      <c r="FQ3">
        <v>371.2</v>
      </c>
      <c r="FR3">
        <v>378.2</v>
      </c>
      <c r="FS3">
        <v>384.9</v>
      </c>
      <c r="FT3">
        <v>391.8</v>
      </c>
      <c r="FU3">
        <v>398.6</v>
      </c>
      <c r="FV3">
        <v>404.4</v>
      </c>
      <c r="FW3">
        <v>410.1</v>
      </c>
      <c r="FX3">
        <v>416.9</v>
      </c>
      <c r="FY3">
        <v>422.6</v>
      </c>
      <c r="FZ3">
        <v>428.6</v>
      </c>
      <c r="GA3">
        <v>434.4</v>
      </c>
      <c r="GB3">
        <v>439.9</v>
      </c>
      <c r="GC3">
        <v>445.7</v>
      </c>
      <c r="GD3">
        <v>451.2</v>
      </c>
      <c r="GE3">
        <v>455.2</v>
      </c>
      <c r="GF3">
        <v>458.7</v>
      </c>
      <c r="GG3">
        <v>458.8</v>
      </c>
      <c r="GH3">
        <v>459.2</v>
      </c>
      <c r="GI3">
        <v>459.3</v>
      </c>
      <c r="GJ3">
        <v>459.4</v>
      </c>
      <c r="GK3">
        <v>459.3</v>
      </c>
      <c r="GL3">
        <v>459</v>
      </c>
      <c r="GM3">
        <v>459.3</v>
      </c>
      <c r="GN3">
        <v>459.2</v>
      </c>
      <c r="GO3">
        <v>459.5</v>
      </c>
      <c r="GP3">
        <v>459.5</v>
      </c>
      <c r="GQ3">
        <v>459.4</v>
      </c>
      <c r="GR3">
        <v>459.2</v>
      </c>
      <c r="GS3">
        <v>459.2</v>
      </c>
      <c r="GT3">
        <v>459.4</v>
      </c>
      <c r="GU3">
        <v>459.6</v>
      </c>
      <c r="GV3">
        <v>459.7</v>
      </c>
      <c r="GW3">
        <v>1</v>
      </c>
      <c r="GX3">
        <v>122.9</v>
      </c>
      <c r="GY3">
        <v>120.5</v>
      </c>
      <c r="GZ3">
        <v>120.5</v>
      </c>
      <c r="HA3">
        <v>126.8</v>
      </c>
      <c r="HB3">
        <v>122.1949413</v>
      </c>
      <c r="HC3">
        <v>-6.2999999989999997</v>
      </c>
      <c r="HD3">
        <v>459.7</v>
      </c>
      <c r="HE3">
        <v>305.7788185</v>
      </c>
      <c r="HF3">
        <v>105.4403721</v>
      </c>
      <c r="HG3">
        <v>459.7</v>
      </c>
      <c r="HH3">
        <v>459.7</v>
      </c>
      <c r="HI3">
        <v>459.6</v>
      </c>
      <c r="HJ3">
        <v>459.7</v>
      </c>
      <c r="HK3">
        <v>107.9178886</v>
      </c>
      <c r="HL3">
        <v>3.4801025910000001</v>
      </c>
      <c r="HM3">
        <v>3.38686379</v>
      </c>
      <c r="HN3">
        <v>3.4365916489999999</v>
      </c>
      <c r="HO3">
        <v>3.2622231859999999</v>
      </c>
      <c r="HP3">
        <v>3.6786129170000001</v>
      </c>
      <c r="HQ3">
        <v>2.3207772680000001</v>
      </c>
      <c r="HR3">
        <v>16.754569190000002</v>
      </c>
      <c r="HS3">
        <v>-30.498533720000001</v>
      </c>
      <c r="HT3">
        <v>-208</v>
      </c>
      <c r="HU3">
        <v>427.97375979999998</v>
      </c>
      <c r="HV3">
        <v>91.49560117</v>
      </c>
      <c r="HW3">
        <v>624</v>
      </c>
      <c r="HX3">
        <v>16.754569190000002</v>
      </c>
      <c r="HY3">
        <v>-30.498533720000001</v>
      </c>
      <c r="HZ3">
        <v>-208</v>
      </c>
      <c r="IA3">
        <v>427.97375979999998</v>
      </c>
      <c r="IB3">
        <v>91.49560117</v>
      </c>
      <c r="IC3">
        <v>624</v>
      </c>
      <c r="ID3">
        <v>31.72624021</v>
      </c>
      <c r="IE3">
        <v>1.0057114890000001</v>
      </c>
      <c r="IF3">
        <v>-39.882697950000001</v>
      </c>
      <c r="IG3">
        <v>-272</v>
      </c>
      <c r="IH3">
        <v>451.0086053</v>
      </c>
      <c r="II3">
        <v>100.8797654</v>
      </c>
      <c r="IJ3">
        <v>688</v>
      </c>
      <c r="IK3">
        <v>411.21919059999999</v>
      </c>
      <c r="IL3">
        <v>121.99413490000001</v>
      </c>
      <c r="IM3">
        <v>435.06456700000001</v>
      </c>
      <c r="IN3">
        <v>131.37829909999999</v>
      </c>
      <c r="IO3">
        <v>7.5000000020000002</v>
      </c>
      <c r="IP3">
        <v>5.9</v>
      </c>
      <c r="IQ3">
        <v>9.5999999989999996</v>
      </c>
      <c r="IR3">
        <v>6.2707530800000004</v>
      </c>
      <c r="IS3">
        <v>6.2707530800000004</v>
      </c>
      <c r="IT3">
        <v>5.9</v>
      </c>
      <c r="IU3">
        <v>-32.844574780000002</v>
      </c>
      <c r="IV3">
        <v>9</v>
      </c>
      <c r="IW3">
        <v>86.803519059999999</v>
      </c>
      <c r="IX3">
        <v>7.7</v>
      </c>
      <c r="IY3">
        <v>98.533724340000006</v>
      </c>
      <c r="IZ3">
        <v>-35.68276651</v>
      </c>
      <c r="JA3">
        <v>0.32403199500000002</v>
      </c>
      <c r="JB3">
        <v>-3.3545299999999999E-4</v>
      </c>
      <c r="JC3">
        <v>6.3600000000000003E-7</v>
      </c>
      <c r="JD3">
        <v>0.28734785099999999</v>
      </c>
      <c r="JE3">
        <v>0.31234154800000002</v>
      </c>
      <c r="JF3">
        <v>0.11566504699999999</v>
      </c>
      <c r="JG3">
        <v>122.4818095</v>
      </c>
      <c r="JH3">
        <v>3.6786129170000001</v>
      </c>
      <c r="JI3">
        <v>3.2647359999999999E-3</v>
      </c>
      <c r="JJ3">
        <v>-7.7854099999999997E-5</v>
      </c>
      <c r="JK3">
        <v>3.4801025910000001</v>
      </c>
      <c r="JL3">
        <v>1.694541109</v>
      </c>
      <c r="JM3">
        <v>0.62503475500000005</v>
      </c>
      <c r="JN3" t="s">
        <v>548</v>
      </c>
      <c r="JQ3">
        <v>1</v>
      </c>
    </row>
    <row r="4" spans="1:277">
      <c r="A4" t="s">
        <v>558</v>
      </c>
      <c r="B4" t="s">
        <v>559</v>
      </c>
      <c r="C4" t="s">
        <v>212</v>
      </c>
      <c r="D4">
        <v>3</v>
      </c>
      <c r="E4" t="s">
        <v>213</v>
      </c>
      <c r="F4" t="s">
        <v>214</v>
      </c>
      <c r="G4" t="s">
        <v>547</v>
      </c>
      <c r="H4" t="s">
        <v>216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0.5</v>
      </c>
      <c r="R4">
        <v>0.70000000100000004</v>
      </c>
      <c r="S4">
        <v>1</v>
      </c>
      <c r="T4">
        <v>0.90000000099999999</v>
      </c>
      <c r="U4">
        <v>1</v>
      </c>
      <c r="V4">
        <v>1</v>
      </c>
      <c r="W4">
        <v>0.8</v>
      </c>
      <c r="X4">
        <v>0.90000000099999999</v>
      </c>
      <c r="Y4">
        <v>0.90000000099999999</v>
      </c>
      <c r="Z4">
        <v>1.1000000009999999</v>
      </c>
      <c r="AA4">
        <v>1.1000000009999999</v>
      </c>
      <c r="AB4">
        <v>1</v>
      </c>
      <c r="AC4">
        <v>1.200000001</v>
      </c>
      <c r="AD4">
        <v>1.400000001</v>
      </c>
      <c r="AE4">
        <v>1.1000000009999999</v>
      </c>
      <c r="AF4">
        <v>1</v>
      </c>
      <c r="AG4">
        <v>0.60000000099999995</v>
      </c>
      <c r="AH4">
        <v>0</v>
      </c>
      <c r="AI4">
        <v>2.6</v>
      </c>
      <c r="AJ4">
        <v>7.2</v>
      </c>
      <c r="AK4">
        <v>14.7</v>
      </c>
      <c r="AL4">
        <v>22.7</v>
      </c>
      <c r="AM4">
        <v>30.1</v>
      </c>
      <c r="AN4">
        <v>37.4</v>
      </c>
      <c r="AO4">
        <v>45.3</v>
      </c>
      <c r="AP4">
        <v>52.6</v>
      </c>
      <c r="AQ4">
        <v>60</v>
      </c>
      <c r="AR4">
        <v>68.3</v>
      </c>
      <c r="AS4">
        <v>77.400000000000006</v>
      </c>
      <c r="AT4">
        <v>85.2</v>
      </c>
      <c r="AU4">
        <v>93.4</v>
      </c>
      <c r="AV4">
        <v>101.8</v>
      </c>
      <c r="AW4">
        <v>110.3</v>
      </c>
      <c r="AX4">
        <v>120</v>
      </c>
      <c r="AY4">
        <v>129.1</v>
      </c>
      <c r="AZ4">
        <v>137.30000000000001</v>
      </c>
      <c r="BA4">
        <v>146</v>
      </c>
      <c r="BB4">
        <v>154.69999999999999</v>
      </c>
      <c r="BC4">
        <v>162.9</v>
      </c>
      <c r="BD4">
        <v>171.8</v>
      </c>
      <c r="BE4">
        <v>180.9</v>
      </c>
      <c r="BF4">
        <v>189.1</v>
      </c>
      <c r="BG4">
        <v>197.8</v>
      </c>
      <c r="BH4">
        <v>206.7</v>
      </c>
      <c r="BI4">
        <v>214.5</v>
      </c>
      <c r="BJ4">
        <v>223</v>
      </c>
      <c r="BK4">
        <v>232</v>
      </c>
      <c r="BL4">
        <v>239.9</v>
      </c>
      <c r="BM4">
        <v>248.6</v>
      </c>
      <c r="BN4">
        <v>256.89999999999998</v>
      </c>
      <c r="BO4">
        <v>264.2</v>
      </c>
      <c r="BP4">
        <v>272.3</v>
      </c>
      <c r="BQ4">
        <v>280.7</v>
      </c>
      <c r="BR4">
        <v>288.89999999999998</v>
      </c>
      <c r="BS4">
        <v>296.2</v>
      </c>
      <c r="BT4">
        <v>303.89999999999998</v>
      </c>
      <c r="BU4">
        <v>311.10000000000002</v>
      </c>
      <c r="BV4">
        <v>317.8</v>
      </c>
      <c r="BW4">
        <v>325.60000000000002</v>
      </c>
      <c r="BX4">
        <v>333.5</v>
      </c>
      <c r="BY4">
        <v>340.6</v>
      </c>
      <c r="BZ4">
        <v>346.6</v>
      </c>
      <c r="CA4">
        <v>354.1</v>
      </c>
      <c r="CB4">
        <v>360.2</v>
      </c>
      <c r="CC4">
        <v>366.6</v>
      </c>
      <c r="CD4">
        <v>373.2</v>
      </c>
      <c r="CE4">
        <v>380</v>
      </c>
      <c r="CF4">
        <v>386.4</v>
      </c>
      <c r="CG4">
        <v>392.6</v>
      </c>
      <c r="CH4">
        <v>398.2</v>
      </c>
      <c r="CI4">
        <v>404.3</v>
      </c>
      <c r="CJ4">
        <v>410.3</v>
      </c>
      <c r="CK4">
        <v>415.7</v>
      </c>
      <c r="CL4">
        <v>421.5</v>
      </c>
      <c r="CM4">
        <v>427.1</v>
      </c>
      <c r="CN4">
        <v>433.1</v>
      </c>
      <c r="CO4">
        <v>438.5</v>
      </c>
      <c r="CP4">
        <v>443.9</v>
      </c>
      <c r="CQ4">
        <v>448.7</v>
      </c>
      <c r="CR4">
        <v>453.1</v>
      </c>
      <c r="CS4">
        <v>454.4</v>
      </c>
      <c r="CT4">
        <v>454.4</v>
      </c>
      <c r="CU4">
        <v>454.1</v>
      </c>
      <c r="CV4">
        <v>454.3</v>
      </c>
      <c r="CW4">
        <v>454.3</v>
      </c>
      <c r="CX4">
        <v>454.4</v>
      </c>
      <c r="CY4">
        <v>454.6</v>
      </c>
      <c r="CZ4">
        <v>454.4</v>
      </c>
      <c r="DA4">
        <v>454.3</v>
      </c>
      <c r="DB4">
        <v>454.3</v>
      </c>
      <c r="DC4">
        <v>454.4</v>
      </c>
      <c r="DD4">
        <v>454.4</v>
      </c>
      <c r="DE4">
        <v>454.4</v>
      </c>
      <c r="DF4">
        <v>454.4</v>
      </c>
      <c r="DG4">
        <v>1.3</v>
      </c>
      <c r="DH4">
        <v>2.2999999999999998</v>
      </c>
      <c r="DI4">
        <v>2.6</v>
      </c>
      <c r="DJ4">
        <v>2.7000000009999998</v>
      </c>
      <c r="DK4">
        <v>2.8</v>
      </c>
      <c r="DL4">
        <v>2.8</v>
      </c>
      <c r="DM4">
        <v>2.6</v>
      </c>
      <c r="DN4">
        <v>2.2999999999999998</v>
      </c>
      <c r="DO4">
        <v>2.2999999999999998</v>
      </c>
      <c r="DP4">
        <v>3.0000000010000001</v>
      </c>
      <c r="DQ4">
        <v>2.900000001</v>
      </c>
      <c r="DR4">
        <v>3.2000000009999998</v>
      </c>
      <c r="DS4">
        <v>2.5000000010000001</v>
      </c>
      <c r="DT4">
        <v>2.2999999999999998</v>
      </c>
      <c r="DU4">
        <v>1.8</v>
      </c>
      <c r="DV4">
        <v>1.5</v>
      </c>
      <c r="DW4">
        <v>1.200000001</v>
      </c>
      <c r="DX4">
        <v>2.1</v>
      </c>
      <c r="DY4">
        <v>6.6000000009999997</v>
      </c>
      <c r="DZ4">
        <v>13.9</v>
      </c>
      <c r="EA4">
        <v>21.7</v>
      </c>
      <c r="EB4">
        <v>29.2</v>
      </c>
      <c r="EC4">
        <v>36.299999999999997</v>
      </c>
      <c r="ED4">
        <v>44.3</v>
      </c>
      <c r="EE4">
        <v>51.8</v>
      </c>
      <c r="EF4">
        <v>59.2</v>
      </c>
      <c r="EG4">
        <v>67.3</v>
      </c>
      <c r="EH4">
        <v>76.099999999999994</v>
      </c>
      <c r="EI4">
        <v>83.5</v>
      </c>
      <c r="EJ4">
        <v>91.8</v>
      </c>
      <c r="EK4">
        <v>100.3</v>
      </c>
      <c r="EL4">
        <v>108.2</v>
      </c>
      <c r="EM4">
        <v>117.5</v>
      </c>
      <c r="EN4">
        <v>127.3</v>
      </c>
      <c r="EO4">
        <v>135.6</v>
      </c>
      <c r="EP4">
        <v>144.19999999999999</v>
      </c>
      <c r="EQ4">
        <v>152.9</v>
      </c>
      <c r="ER4">
        <v>161</v>
      </c>
      <c r="ES4">
        <v>170</v>
      </c>
      <c r="ET4">
        <v>179.6</v>
      </c>
      <c r="EU4">
        <v>187.7</v>
      </c>
      <c r="EV4">
        <v>196.2</v>
      </c>
      <c r="EW4">
        <v>205</v>
      </c>
      <c r="EX4">
        <v>213</v>
      </c>
      <c r="EY4">
        <v>222</v>
      </c>
      <c r="EZ4">
        <v>231.3</v>
      </c>
      <c r="FA4">
        <v>239.5</v>
      </c>
      <c r="FB4">
        <v>247.5</v>
      </c>
      <c r="FC4">
        <v>256</v>
      </c>
      <c r="FD4">
        <v>263.5</v>
      </c>
      <c r="FE4">
        <v>272.2</v>
      </c>
      <c r="FF4">
        <v>281.10000000000002</v>
      </c>
      <c r="FG4">
        <v>289</v>
      </c>
      <c r="FH4">
        <v>296.39999999999998</v>
      </c>
      <c r="FI4">
        <v>304.5</v>
      </c>
      <c r="FJ4">
        <v>311.60000000000002</v>
      </c>
      <c r="FK4">
        <v>319</v>
      </c>
      <c r="FL4">
        <v>326.7</v>
      </c>
      <c r="FM4">
        <v>334.6</v>
      </c>
      <c r="FN4">
        <v>341.4</v>
      </c>
      <c r="FO4">
        <v>348.5</v>
      </c>
      <c r="FP4">
        <v>355.7</v>
      </c>
      <c r="FQ4">
        <v>362.6</v>
      </c>
      <c r="FR4">
        <v>369.2</v>
      </c>
      <c r="FS4">
        <v>375.7</v>
      </c>
      <c r="FT4">
        <v>382.9</v>
      </c>
      <c r="FU4">
        <v>389.2</v>
      </c>
      <c r="FV4">
        <v>395</v>
      </c>
      <c r="FW4">
        <v>401.3</v>
      </c>
      <c r="FX4">
        <v>408</v>
      </c>
      <c r="FY4">
        <v>413.6</v>
      </c>
      <c r="FZ4">
        <v>418.8</v>
      </c>
      <c r="GA4">
        <v>424.4</v>
      </c>
      <c r="GB4">
        <v>429.9</v>
      </c>
      <c r="GC4">
        <v>435.9</v>
      </c>
      <c r="GD4">
        <v>441.2</v>
      </c>
      <c r="GE4">
        <v>445.3</v>
      </c>
      <c r="GF4">
        <v>450</v>
      </c>
      <c r="GG4">
        <v>452.9</v>
      </c>
      <c r="GH4">
        <v>454.1</v>
      </c>
      <c r="GI4">
        <v>454</v>
      </c>
      <c r="GJ4">
        <v>454.1</v>
      </c>
      <c r="GK4">
        <v>454.3</v>
      </c>
      <c r="GL4">
        <v>454.2</v>
      </c>
      <c r="GM4">
        <v>454.4</v>
      </c>
      <c r="GN4">
        <v>454</v>
      </c>
      <c r="GO4">
        <v>454.2</v>
      </c>
      <c r="GP4">
        <v>454.3</v>
      </c>
      <c r="GQ4">
        <v>454.4</v>
      </c>
      <c r="GR4">
        <v>454.5</v>
      </c>
      <c r="GS4">
        <v>454.4</v>
      </c>
      <c r="GT4">
        <v>454.3</v>
      </c>
      <c r="GU4">
        <v>454</v>
      </c>
      <c r="GV4">
        <v>454.2</v>
      </c>
      <c r="GW4">
        <v>1</v>
      </c>
      <c r="GX4">
        <v>112.4</v>
      </c>
      <c r="GY4">
        <v>110.3</v>
      </c>
      <c r="GZ4">
        <v>110.3</v>
      </c>
      <c r="HA4">
        <v>117.5</v>
      </c>
      <c r="HB4">
        <v>112.1047535</v>
      </c>
      <c r="HC4">
        <v>-7.2</v>
      </c>
      <c r="HD4">
        <v>454.20004399999999</v>
      </c>
      <c r="HE4">
        <v>305.94981289999998</v>
      </c>
      <c r="HF4">
        <v>97.124383800000004</v>
      </c>
      <c r="HG4">
        <v>454.6</v>
      </c>
      <c r="HH4">
        <v>454.5</v>
      </c>
      <c r="HI4">
        <v>454.6</v>
      </c>
      <c r="HJ4">
        <v>454.5</v>
      </c>
      <c r="HK4">
        <v>110.2639296</v>
      </c>
      <c r="HL4">
        <v>3.4786112139999998</v>
      </c>
      <c r="HM4">
        <v>3.376359801</v>
      </c>
      <c r="HN4">
        <v>3.4336290009999999</v>
      </c>
      <c r="HO4">
        <v>3.2942019309999999</v>
      </c>
      <c r="HP4">
        <v>3.683663798</v>
      </c>
      <c r="HQ4">
        <v>2.2804596519999998</v>
      </c>
      <c r="HR4">
        <v>14.980369720000001</v>
      </c>
      <c r="HS4">
        <v>-28.152492670000001</v>
      </c>
      <c r="HT4">
        <v>-192</v>
      </c>
      <c r="HU4">
        <v>418.05456650000002</v>
      </c>
      <c r="HV4">
        <v>91.49560117</v>
      </c>
      <c r="HW4">
        <v>624</v>
      </c>
      <c r="HX4">
        <v>14.980369720000001</v>
      </c>
      <c r="HY4">
        <v>-28.152492670000001</v>
      </c>
      <c r="HZ4">
        <v>-192</v>
      </c>
      <c r="IA4">
        <v>418.05456650000002</v>
      </c>
      <c r="IB4">
        <v>91.49560117</v>
      </c>
      <c r="IC4">
        <v>624</v>
      </c>
      <c r="ID4">
        <v>36.445433540000003</v>
      </c>
      <c r="IE4">
        <v>0.60118838200000002</v>
      </c>
      <c r="IF4">
        <v>-37.536656890000003</v>
      </c>
      <c r="IG4">
        <v>-256</v>
      </c>
      <c r="IH4">
        <v>440.89250659999999</v>
      </c>
      <c r="II4">
        <v>100.8797654</v>
      </c>
      <c r="IJ4">
        <v>688</v>
      </c>
      <c r="IK4">
        <v>403.07419670000002</v>
      </c>
      <c r="IL4">
        <v>119.6480938</v>
      </c>
      <c r="IM4">
        <v>426.72896129999998</v>
      </c>
      <c r="IN4">
        <v>129.03225810000001</v>
      </c>
      <c r="IO4">
        <v>7.5</v>
      </c>
      <c r="IP4">
        <v>5.9999999989999999</v>
      </c>
      <c r="IQ4">
        <v>9.8000000000000007</v>
      </c>
      <c r="IR4">
        <v>6.2925645120000002</v>
      </c>
      <c r="IS4">
        <v>6.2925645120000002</v>
      </c>
      <c r="IT4">
        <v>6.7</v>
      </c>
      <c r="IU4">
        <v>-30.498533720000001</v>
      </c>
      <c r="IV4">
        <v>9.8000000020000009</v>
      </c>
      <c r="IW4">
        <v>86.803519059999999</v>
      </c>
      <c r="IX4">
        <v>8.8000000000000007</v>
      </c>
      <c r="IY4">
        <v>98.533724340000006</v>
      </c>
      <c r="IZ4">
        <v>-32.865670489999999</v>
      </c>
      <c r="JA4">
        <v>0.32179507499999999</v>
      </c>
      <c r="JB4">
        <v>-3.4178700000000003E-4</v>
      </c>
      <c r="JC4">
        <v>6.751E-7</v>
      </c>
      <c r="JD4">
        <v>0.28747104499999998</v>
      </c>
      <c r="JE4">
        <v>0.271984485</v>
      </c>
      <c r="JF4">
        <v>0.11461439299999999</v>
      </c>
      <c r="JG4">
        <v>113.18858640000001</v>
      </c>
      <c r="JH4">
        <v>3.683663798</v>
      </c>
      <c r="JI4">
        <v>3.485204E-3</v>
      </c>
      <c r="JJ4">
        <v>-8.1267000000000006E-5</v>
      </c>
      <c r="JK4">
        <v>3.4786112139999998</v>
      </c>
      <c r="JL4">
        <v>1.2879182760000001</v>
      </c>
      <c r="JM4">
        <v>0.65590273700000001</v>
      </c>
      <c r="JN4" t="s">
        <v>548</v>
      </c>
      <c r="JQ4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81.169252878699993</v>
      </c>
      <c r="D16" s="9">
        <f>AVERAGE(C18:C20)</f>
        <v>30.161036619699999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86.025571433099998</v>
      </c>
      <c r="D17" s="9">
        <f>AVERAGE(C21:C23)</f>
        <v>6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78.483109859099997</v>
      </c>
      <c r="D18" s="11">
        <f>AVERAGE(C24:C26)</f>
        <v>6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6</v>
      </c>
      <c r="D19" s="6">
        <f>AVERAGE('Summary(3pcs)'!E34:E35)</f>
        <v>148.96636296533788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6</v>
      </c>
      <c r="D20" s="9">
        <f>AVERAGE('Summary(3pcs)'!E36:E38)</f>
        <v>-67.306076615795419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6</v>
      </c>
      <c r="D21" s="9">
        <f>AVERAGE('Summary(3pcs)'!E39:E41)</f>
        <v>-177.50310559006209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6</v>
      </c>
      <c r="D22" s="11">
        <f>AVERAGE('Summary(3pcs)'!E42:E44)</f>
        <v>-177.50310559006209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6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6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6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6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0.250196682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2.1360756330999999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0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0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0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0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0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0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0.59656807877499995</v>
      </c>
      <c r="C39" s="5">
        <f>'Summary(3pcs)'!M34</f>
        <v>0.250196682</v>
      </c>
      <c r="D39" s="11">
        <f t="shared" si="0"/>
        <v>0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2.1360756330999999</v>
      </c>
      <c r="D40" s="6">
        <f t="shared" si="0"/>
        <v>0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0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0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0</v>
      </c>
      <c r="C43" s="8">
        <f>'Summary(3pcs)'!M39</f>
        <v>0</v>
      </c>
      <c r="D43" s="6">
        <f t="shared" ref="D43:D54" si="2">C55</f>
        <v>2.1961417889999999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0</v>
      </c>
      <c r="D44" s="9">
        <f t="shared" si="2"/>
        <v>0.67784299719999996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0</v>
      </c>
      <c r="D45" s="11">
        <f t="shared" si="2"/>
        <v>4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0</v>
      </c>
      <c r="D46" s="6">
        <f t="shared" si="2"/>
        <v>4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0</v>
      </c>
      <c r="D47" s="9">
        <f t="shared" si="2"/>
        <v>4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0</v>
      </c>
      <c r="D48" s="11">
        <f t="shared" si="2"/>
        <v>4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4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4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4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4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2.7184961965499999</v>
      </c>
      <c r="C55" s="5">
        <f>'Summary(3pcs)'!N34</f>
        <v>2.1961417889999999</v>
      </c>
      <c r="D55" s="6">
        <f>AVERAGE(D31:D33)</f>
        <v>0.79542410503333327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0.67784299719999996</v>
      </c>
      <c r="D56" s="9">
        <f>AVERAGE(D34:D36)</f>
        <v>0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4</v>
      </c>
      <c r="D57" s="9">
        <f>AVERAGE(D37:D39)</f>
        <v>0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4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4</v>
      </c>
      <c r="C59" s="8">
        <f>'Summary(3pcs)'!N39</f>
        <v>4</v>
      </c>
      <c r="D59" s="9">
        <f>AVERAGE(D43:D45)</f>
        <v>2.2913282620666666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4</v>
      </c>
      <c r="D60" s="9">
        <f>AVERAGE(D46:D48)</f>
        <v>4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4</v>
      </c>
      <c r="D61" s="9">
        <f>AVERAGE(D49:D51)</f>
        <v>4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4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4</v>
      </c>
      <c r="D63" s="6">
        <f>AVERAGE(C71:C73)</f>
        <v>1.7832430998333333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4</v>
      </c>
      <c r="D64" s="9">
        <f>AVERAGE(C74:C76)</f>
        <v>-6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-6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-6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3.1812040011333331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-3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-3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-3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4.3542537688999996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-3.3423006535000002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4.3377761841000009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-6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-6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-6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-6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-6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-6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-6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-6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-6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2.3068561554000002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5.3821563721000008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1.8545994758999997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-3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-3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-3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-3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-3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-3</v>
      </c>
    </row>
    <row r="96" spans="1:7">
      <c r="A96" s="1" t="s">
        <v>87</v>
      </c>
      <c r="C96" s="5">
        <f>'Summary(3pcs)'!W43</f>
        <v>-3</v>
      </c>
    </row>
    <row r="97" spans="1:3">
      <c r="A97" s="1" t="s">
        <v>87</v>
      </c>
      <c r="C97" s="8">
        <f>'Summary(3pcs)'!W44</f>
        <v>-3</v>
      </c>
    </row>
    <row r="98" spans="1:3" ht="17.25" thickBot="1">
      <c r="A98" s="1" t="s">
        <v>87</v>
      </c>
      <c r="C98" s="10">
        <f>'Summary(3pcs)'!W45</f>
        <v>-3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2022-09-23T12:10:24Z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