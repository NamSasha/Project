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<sst xmlns="http://schemas.openxmlformats.org/spreadsheetml/2006/main" count="1077" uniqueCount="599">
  <si>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</si>
  <si>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</si>
  <si>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</si>
  <si>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</si>
  <si>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</si>
  <si>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</si>
  <si>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</si>
  <si>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</si>
  <si>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</si>
  <si>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</si>
  <si>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</si>
  <si>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</si>
  <si>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</si>
  <si>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</si>
  <si>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</si>
  <si>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</si>
  <si>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</si>
  <si>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</si>
  <si>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</si>
  <si>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</si>
  <si>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</si>
  <si>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</si>
  <si>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</si>
  <si>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</si>
  <si>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</si>
  <si>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</si>
  <si>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</si>
  <si>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</si>
  <si>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</si>
  <si>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</si>
  <si>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</si>
  <si>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</si>
  <si>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</si>
  <si>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</si>
  <si>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</si>
  <si>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</si>
  <si>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</si>
  <si>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</si>
  <si>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</si>
  <si>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</si>
  <si>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</si>
  <si>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</si>
  <si>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</si>
  <si>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</si>
  <si>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</si>
  <si>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</si>
  <si>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</si>
  <si>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</si>
  <si>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</si>
  <si>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</si>
  <si>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</si>
  <si>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</si>
  <si>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</si>
  <si>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</si>
  <si>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</si>
  <si>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</si>
  <si>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</si>
  <si>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</si>
  <si>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</si>
  <si>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</si>
  <si>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</si>
  <si>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</si>
  <si>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</si>
  <si>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</si>
  <si>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</si>
  <si>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</si>
  <si>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</si>
  <si>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</si>
  <si>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</si>
  <si>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</si>
  <si>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</si>
  <si>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</si>
  <si>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</si>
  <si>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</si>
  <si>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</si>
  <si>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</si>
  <si>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</si>
  <si>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</si>
  <si>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</si>
  <si>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</si>
  <si>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</si>
  <si>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</si>
  <si>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</si>
  <si>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</si>
  <si>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</si>
  <si>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</si>
  <si>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</si>
  <si>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</si>
  <si>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</si>
  <si>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</si>
  <si>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</si>
  <si>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</si>
  <si>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</si>
  <si>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</si>
  <si>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</si>
  <si>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</si>
  <si>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</si>
  <si>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</si>
  <si>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</si>
  <si>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</si>
  <si>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</si>
  <si>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</si>
  <si>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</si>
  <si>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</si>
  <si>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</si>
  <si>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</si>
  <si>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</si>
  <si>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</si>
  <si>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</si>
  <si>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</si>
  <si>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</si>
  <si>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</si>
  <si>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</si>
  <si>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</si>
  <si>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</si>
  <si>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</si>
  <si>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</si>
  <si>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</si>
  <si>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</si>
  <si>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</si>
  <si>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</si>
  <si>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</si>
  <si>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</si>
  <si>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</si>
  <si>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</si>
  <si>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</si>
  <si>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</si>
  <si>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</si>
  <si>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</si>
  <si>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</si>
  <si>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</si>
  <si>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</si>
  <si>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</si>
  <si>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</si>
  <si>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</si>
  <si>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</si>
  <si>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</si>
  <si>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</si>
  <si>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</si>
  <si>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</si>
  <si>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</si>
  <si>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</si>
  <si>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</si>
  <si>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</si>
  <si>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</si>
  <si>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</si>
  <si>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</si>
  <si>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</si>
  <si>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</si>
  <si>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</si>
  <si>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</si>
  <si>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</si>
  <si>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</si>
  <si>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</si>
  <si>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</si>
  <si>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</si>
  <si>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</si>
  <si>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</si>
  <si>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</si>
  <si>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</si>
  <si>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</si>
  <si>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</si>
  <si>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</si>
  <si>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</si>
  <si>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</si>
  <si>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</si>
  <si>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</si>
  <si>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</si>
  <si>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</si>
  <si>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</si>
  <si>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</si>
  <si>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</si>
  <si>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</si>
  <si>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D:\EVMS\TP\LOG\VSY841XN9P16_2022092311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</si>
  <si>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</si>
  <si>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</si>
  <si>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</si>
  <si>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</si>
  <si>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</si>
  <si>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</si>
  <si>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</si>
  <si>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</si>
  <si>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</si>
  <si>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</si>
  <si>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</si>
  <si>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</si>
  <si>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</si>
  <si>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</si>
  <si>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</si>
  <si>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</si>
  <si>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</si>
  <si>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</si>
  <si>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</si>
  <si>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</si>
  <si>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</si>
  <si>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</si>
  <si>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</si>
  <si>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</si>
  <si>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</si>
  <si>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</si>
  <si>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</si>
  <si>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</si>
  <si>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</si>
  <si>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</si>
  <si>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</si>
  <si>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</si>
  <si>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</si>
  <si>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</si>
  <si>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</si>
  <si>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</si>
  <si>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T220923110556421VCMLEBC050</t>
  </si>
  <si>
    <t>'2022-09-23 11:06:05:333</t>
  </si>
  <si>
    <t>VCMLEBC050A</t>
  </si>
  <si>
    <t>DB_C1001</t>
  </si>
  <si>
    <t>210615ADOE</t>
  </si>
  <si>
    <t>R13A_OC_MFG_C10_21091603_b1779c9</t>
  </si>
  <si>
    <t>VSY841XN9P16</t>
  </si>
  <si>
    <t>22cc64190825</t>
  </si>
  <si>
    <t>0x5240fc62653a0a07</t>
  </si>
  <si>
    <t>AS1C351023C0A6B1A637103021</t>
  </si>
  <si>
    <t>AJ9C3473900AF2B3A639</t>
  </si>
  <si>
    <t>DNA22232074850L09A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</si>
  <si>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</si>
  <si>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</si>
  <si>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</si>
  <si>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</si>
  <si>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</si>
  <si>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</si>
  <si>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</si>
  <si>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</si>
  <si>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</si>
  <si>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</si>
  <si>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</si>
  <si>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</si>
  <si>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</si>
  <si>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</si>
  <si>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</si>
  <si>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</si>
  <si>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</si>
  <si>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</si>
  <si>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</si>
  <si>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</si>
  <si>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</si>
  <si>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</si>
  <si>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</si>
  <si>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</si>
  <si>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</si>
  <si>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</si>
  <si>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</si>
  <si>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</si>
  <si>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</si>
  <si>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</si>
  <si>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</si>
  <si>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</si>
  <si>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</si>
  <si>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</si>
  <si>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</si>
  <si>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</si>
  <si>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</si>
  <si>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T220923110622715VCMLEBC050</t>
  </si>
  <si>
    <t>'2022-09-23 11:06:52:006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</si>
  <si>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</si>
  <si>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</si>
  <si>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</si>
  <si>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</si>
  <si>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</si>
  <si>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</si>
  <si>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</si>
  <si>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</si>
  <si>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</si>
  <si>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</si>
  <si>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</si>
  <si>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</si>
  <si>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</si>
  <si>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</si>
  <si>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</si>
  <si>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</si>
  <si>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11:06:41:982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</si>
  <si>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</si>
  <si>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</si>
  <si>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</si>
  <si>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</si>
  <si>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</si>
  <si>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</si>
  <si>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</si>
  <si>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</si>
  <si>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</si>
  <si>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</si>
  <si>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</si>
  <si>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</si>
  <si>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</si>
  <si>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</si>
  <si>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</si>
  <si>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</si>
  <si>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</si>
  <si>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</si>
  <si>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</si>
  <si>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</si>
  <si>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</si>
  <si>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</si>
  <si>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</si>
  <si>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</si>
  <si>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</si>
  <si>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</si>
  <si>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</si>
  <si>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</si>
  <si>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</si>
  <si>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</si>
  <si>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</si>
  <si>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</si>
  <si>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</si>
  <si>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</si>
  <si>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</si>
  <si>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</si>
  <si>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</si>
  <si>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</si>
  <si>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</si>
  <si>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</si>
  <si>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</si>
  <si>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</si>
  <si>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</si>
  <si>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</si>
  <si>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</si>
  <si>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</si>
  <si>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</si>
  <si>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</si>
  <si>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</si>
  <si>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</si>
  <si>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</si>
  <si>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</si>
  <si>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</si>
  <si>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</si>
  <si>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</si>
  <si>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</si>
  <si>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</si>
  <si>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</si>
  <si>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</si>
  <si>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</si>
  <si>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</si>
  <si>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</si>
  <si>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</si>
  <si>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</si>
  <si>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</si>
  <si>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</si>
  <si>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</si>
  <si>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</si>
  <si>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</si>
  <si>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</si>
  <si>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</si>
  <si>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</si>
  <si>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</si>
  <si>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</si>
  <si>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</si>
  <si>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</si>
  <si>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</si>
  <si>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</si>
  <si>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</si>
  <si>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</si>
  <si>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</si>
  <si>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</si>
  <si>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</si>
  <si>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</si>
  <si>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</si>
  <si>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</si>
  <si>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</si>
  <si>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</si>
  <si>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</si>
  <si>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</si>
  <si>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</si>
  <si>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</si>
  <si>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</si>
  <si>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</si>
  <si>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</si>
  <si>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</si>
  <si>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</si>
  <si>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</si>
  <si>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</si>
  <si>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</si>
  <si>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</si>
  <si>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</si>
  <si>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</si>
  <si>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</si>
  <si>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</si>
  <si>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</si>
  <si>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</si>
  <si>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</si>
  <si>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</si>
  <si>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</si>
  <si>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</si>
  <si>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</si>
  <si>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</si>
  <si>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</si>
  <si>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</si>
  <si>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</si>
  <si>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</si>
  <si>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</si>
  <si>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</si>
  <si>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</si>
  <si>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</si>
  <si>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</si>
  <si>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</si>
  <si>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</si>
  <si>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</si>
  <si>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</si>
  <si>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</si>
  <si>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</si>
  <si>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</si>
  <si>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</si>
  <si>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</si>
  <si>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</si>
  <si>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</si>
  <si>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</si>
  <si>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</si>
  <si>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</si>
  <si>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</si>
  <si>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</si>
  <si>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</si>
  <si>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</si>
  <si>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</si>
  <si>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</si>
  <si>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</si>
  <si>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</si>
  <si>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</si>
  <si>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</si>
  <si>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</si>
  <si>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</si>
  <si>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</si>
  <si>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</si>
  <si>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</si>
  <si>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</si>
  <si>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</si>
  <si>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</si>
  <si>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</si>
  <si>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</si>
  <si>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</si>
  <si>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</si>
  <si>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</si>
  <si>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</si>
  <si>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</si>
  <si>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</si>
  <si>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</si>
  <si>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</si>
  <si>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</si>
  <si>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</si>
  <si>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</si>
  <si>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</si>
  <si>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</si>
  <si>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</si>
  <si>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</si>
  <si>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</si>
  <si>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</si>
  <si>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</si>
  <si>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</si>
  <si>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</si>
  <si>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</si>
  <si>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</si>
  <si>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</si>
  <si>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</si>
  <si>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</si>
  <si>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</si>
  <si>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</si>
  <si>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</si>
  <si>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</si>
  <si>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</si>
  <si>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</si>
  <si>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</si>
  <si>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</si>
  <si>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</si>
  <si>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</si>
  <si>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</si>
  <si>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</si>
  <si>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</si>
  <si>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</si>
  <si>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</si>
  <si>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</si>
  <si>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</si>
  <si>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</si>
  <si>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</si>
  <si>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</si>
  <si>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</si>
  <si>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</si>
  <si>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</si>
  <si>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</si>
  <si>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</si>
  <si>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</si>
  <si>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</si>
  <si>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</si>
  <si>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</si>
  <si>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</si>
  <si>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</si>
  <si>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</si>
  <si>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</si>
  <si>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</si>
  <si>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</si>
  <si>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</si>
  <si>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</si>
  <si>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</si>
  <si>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</si>
  <si>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</si>
  <si>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</si>
  <si>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</si>
  <si>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</si>
  <si>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</si>
  <si>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</si>
  <si>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</si>
  <si>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</si>
  <si>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</si>
  <si>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</si>
  <si>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</si>
  <si>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</si>
  <si>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</si>
  <si>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</si>
  <si>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</si>
  <si>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</si>
  <si>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</si>
  <si>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</si>
  <si>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</si>
  <si>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</si>
  <si>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</si>
  <si>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</si>
  <si>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</si>
  <si>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</si>
  <si>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</si>
  <si>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</si>
  <si>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</si>
  <si>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</si>
  <si>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</si>
  <si>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</si>
  <si>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</si>
  <si>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</si>
  <si>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</si>
  <si>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</si>
  <si>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</si>
  <si>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</si>
  <si>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</si>
  <si>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T220923110607945VCMLEBC050</t>
  </si>
  <si>
    <t>'2022-09-23 11:06:20:478</t>
  </si>
  <si>
    <t>R13A_IPQC_MFG_Laser_C10_21090805_b1779c9</t>
  </si>
  <si>
    <t>v9p4</t>
  </si>
  <si>
    <t>T220923110758146VCMLEBC050</t>
  </si>
  <si>
    <t>'2022-09-23 11:08:07:402</t>
  </si>
  <si>
    <t>22cc64200253</t>
  </si>
  <si>
    <t>0x5240fc62653a2407</t>
  </si>
  <si>
    <t>AS1C35102393A6B1A341102013</t>
  </si>
  <si>
    <t>AJ9C3473800GF4B3A641</t>
  </si>
  <si>
    <t>DNA22233022520A02A</t>
  </si>
  <si>
    <t>T220923110930520VCMLEBC050</t>
  </si>
  <si>
    <t>'2022-09-23 11:09:39:402</t>
  </si>
  <si>
    <t>22cc64190505</t>
  </si>
  <si>
    <t>0x5240fc62653a2c03</t>
  </si>
  <si>
    <t>AS1C351023BJA6B1A940022103</t>
  </si>
  <si>
    <t>AJ9C3473700EF1B3A625</t>
  </si>
  <si>
    <t>DNA22233022520A07A</t>
  </si>
  <si>
    <t>T220923111036972VCMLEBC050</t>
  </si>
  <si>
    <t>'2022-09-23 11:10:45:845</t>
  </si>
  <si>
    <t>22cc64190504</t>
  </si>
  <si>
    <t>0x5240fc62653a2c01</t>
  </si>
  <si>
    <t>AS1C351033AKA6B1B642001015</t>
  </si>
  <si>
    <t>AJ9C3473900CF4B3A630</t>
  </si>
  <si>
    <t>DNA22233022520A06A</t>
  </si>
  <si>
    <t>T220923110824879VCMLEBC050</t>
  </si>
  <si>
    <t>'2022-09-23 11:08:55:007</t>
  </si>
  <si>
    <t>T220923110956913VCMLEBC050</t>
  </si>
  <si>
    <t>'2022-09-23 11:10:25:882</t>
  </si>
  <si>
    <t>'2022-09-23 11:08:44:979</t>
  </si>
  <si>
    <t>'2022-09-23 11:10:15:859</t>
  </si>
  <si>
    <t>T220923111103327VCMLEBC050</t>
  </si>
  <si>
    <t>'2022-09-23 11:11:22:305</t>
  </si>
  <si>
    <t>T220923110810054VCMLEBC050</t>
  </si>
  <si>
    <t>'2022-09-23 11:08:22:583</t>
  </si>
  <si>
    <t>T220923110942088VCMLEBC050</t>
  </si>
  <si>
    <t>'2022-09-23 11:09:54:620</t>
  </si>
  <si>
    <t>T220923111048498VCMLEBC050</t>
  </si>
  <si>
    <t>'2022-09-23 11:11:01:026</t>
  </si>
  <si>
    <t>T220923111143583VCMLEBC050</t>
  </si>
  <si>
    <t>'2022-09-23 11:11:52:338</t>
  </si>
  <si>
    <t>22cc64200487</t>
  </si>
  <si>
    <t>0x5240fc62653a0a05</t>
  </si>
  <si>
    <t>AS1C351013A5A6B1B037012116</t>
  </si>
  <si>
    <t>AJ9C3473900EF2B3A631</t>
  </si>
  <si>
    <t>DNA22233022280M07A</t>
  </si>
  <si>
    <t>T220923111250828VCMLEBC050</t>
  </si>
  <si>
    <t>'2022-09-23 11:12:59:728</t>
  </si>
  <si>
    <t>22cc64190326</t>
  </si>
  <si>
    <t>0x5240fe627d2e5801</t>
  </si>
  <si>
    <t>AS1C351013A7A6B1A939005008</t>
  </si>
  <si>
    <t>AJ9C3473800EF2B3A632</t>
  </si>
  <si>
    <t>DNA22233022520B01A</t>
  </si>
  <si>
    <t>'2022-09-23 11:11:32:348</t>
  </si>
  <si>
    <t>T220923111209776VCMLEBC050</t>
  </si>
  <si>
    <t>'2022-09-23 11:12:38:640</t>
  </si>
  <si>
    <t>T220923111317239VCMLEBC050</t>
  </si>
  <si>
    <t>'2022-09-23 11:13:46:559</t>
  </si>
  <si>
    <t>'2022-09-23 11:12:28:617</t>
  </si>
  <si>
    <t>'2022-09-23 11:13:36:528</t>
  </si>
  <si>
    <t>T220923111154951VCMLEBC050</t>
  </si>
  <si>
    <t>'2022-09-23 11:12:07:482</t>
  </si>
  <si>
    <t>T220923111302402VCMLEBC050</t>
  </si>
  <si>
    <t>'2022-09-23 11:13:14:941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</si>
</sst>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-0.60312914090000003</c:v>
                </c:pt>
                <c:pt idx="1">
                  <c:v>-8.4747227616000007</c:v>
                </c:pt>
                <c:pt idx="2">
                  <c:v>1.7919849877</c:v>
                </c:pt>
                <c:pt idx="3">
                  <c:v>5.4488375044000001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9.0294645447999997</c:v>
                </c:pt>
                <c:pt idx="1">
                  <c:v>-0.45554274850000009</c:v>
                </c:pt>
                <c:pt idx="2">
                  <c:v>6.5217903545000002</c:v>
                </c:pt>
                <c:pt idx="3">
                  <c:v>6.6980776836999993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-2.4286223049333335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5.0319040502666663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16288"/>
        <c:axId val="49117824"/>
      </c:scatterChart>
      <c:valAx>
        <c:axId val="491162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117824"/>
        <c:crosses val="autoZero"/>
        <c:crossBetween val="midCat"/>
        <c:majorUnit val="10"/>
      </c:valAx>
      <c:valAx>
        <c:axId val="491178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11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0.32454624110000002</c:v>
                </c:pt>
                <c:pt idx="1">
                  <c:v>-2.4780818831000002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11.9917469551</c:v>
                </c:pt>
                <c:pt idx="1">
                  <c:v>0.53659518499999992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1.0984339541333334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6.4088066079333323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76992"/>
        <c:axId val="50286976"/>
      </c:scatterChart>
      <c:valAx>
        <c:axId val="502769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286976"/>
        <c:crosses val="autoZero"/>
        <c:crossBetween val="midCat"/>
        <c:majorUnit val="10"/>
      </c:valAx>
      <c:valAx>
        <c:axId val="502869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276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1552"/>
        <c:axId val="50313088"/>
      </c:scatterChart>
      <c:valAx>
        <c:axId val="503115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313088"/>
        <c:crosses val="autoZero"/>
        <c:crossBetween val="midCat"/>
        <c:majorUnit val="10"/>
      </c:valAx>
      <c:valAx>
        <c:axId val="503130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311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95008"/>
        <c:axId val="75996544"/>
      </c:scatterChart>
      <c:valAx>
        <c:axId val="759950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5996544"/>
        <c:crosses val="autoZero"/>
        <c:crossBetween val="midCat"/>
        <c:majorUnit val="10"/>
      </c:valAx>
      <c:valAx>
        <c:axId val="759965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599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92.066064701800002</c:v>
                </c:pt>
                <c:pt idx="1">
                  <c:v>92.753677234099996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91.339403897000011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12160"/>
        <c:axId val="116013696"/>
      </c:scatterChart>
      <c:valAx>
        <c:axId val="11601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13696"/>
        <c:crosses val="autoZero"/>
        <c:crossBetween val="midCat"/>
      </c:valAx>
      <c:valAx>
        <c:axId val="1160136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1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89.198469755100007</c:v>
                </c:pt>
                <c:pt idx="1">
                  <c:v>94.438885458399994</c:v>
                </c:pt>
                <c:pt idx="2">
                  <c:v>87.842098918100007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90.959256853900001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59136"/>
        <c:axId val="116060928"/>
      </c:scatterChart>
      <c:valAx>
        <c:axId val="11605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60928"/>
        <c:crosses val="autoZero"/>
        <c:crossBetween val="midCat"/>
      </c:valAx>
      <c:valAx>
        <c:axId val="1160609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90.596786185200003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74400"/>
        <c:axId val="123975936"/>
      </c:scatterChart>
      <c:valAx>
        <c:axId val="12397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975936"/>
        <c:crosses val="autoZero"/>
        <c:crossBetween val="midCat"/>
      </c:valAx>
      <c:valAx>
        <c:axId val="12397593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97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069760"/>
        <c:axId val="124071296"/>
      </c:scatterChart>
      <c:valAx>
        <c:axId val="12406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71296"/>
        <c:crosses val="autoZero"/>
        <c:crossBetween val="midCat"/>
      </c:valAx>
      <c:valAx>
        <c:axId val="1240712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06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1.5511569979999997</c:v>
                </c:pt>
                <c:pt idx="1">
                  <c:v>-6.856732547</c:v>
                </c:pt>
                <c:pt idx="2">
                  <c:v>7.3626937899999998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-3.9834643600000001</c:v>
                </c:pt>
                <c:pt idx="1">
                  <c:v>-13.945157050000001</c:v>
                </c:pt>
                <c:pt idx="2">
                  <c:v>-3.030355036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0.68570608033333313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-6.9863254820000007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89504"/>
        <c:axId val="125195392"/>
      </c:scatterChart>
      <c:valAx>
        <c:axId val="1251895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95392"/>
        <c:crosses val="autoZero"/>
        <c:crossBetween val="midCat"/>
        <c:majorUnit val="10"/>
      </c:valAx>
      <c:valAx>
        <c:axId val="125195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89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36352"/>
        <c:axId val="125237888"/>
      </c:scatterChart>
      <c:valAx>
        <c:axId val="1252363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37888"/>
        <c:crosses val="autoZero"/>
        <c:crossBetween val="midCat"/>
        <c:majorUnit val="10"/>
      </c:valAx>
      <c:valAx>
        <c:axId val="1252378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3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81024"/>
        <c:axId val="125282560"/>
      </c:scatterChart>
      <c:valAx>
        <c:axId val="1252810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82560"/>
        <c:crosses val="autoZero"/>
        <c:crossBetween val="midCat"/>
        <c:majorUnit val="10"/>
      </c:valAx>
      <c:valAx>
        <c:axId val="1252825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28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-2.570840359</c:v>
                </c:pt>
                <c:pt idx="1">
                  <c:v>-6.7142879959999995</c:v>
                </c:pt>
                <c:pt idx="2">
                  <c:v>-0.14415454899999958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2.04032898</c:v>
                </c:pt>
                <c:pt idx="1">
                  <c:v>0.92541551600000016</c:v>
                </c:pt>
                <c:pt idx="2">
                  <c:v>-11.103994370000001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-3.143094301333333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-2.7127499579999999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35808"/>
        <c:axId val="125337600"/>
      </c:scatterChart>
      <c:valAx>
        <c:axId val="1253358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337600"/>
        <c:crosses val="autoZero"/>
        <c:crossBetween val="midCat"/>
        <c:majorUnit val="10"/>
      </c:valAx>
      <c:valAx>
        <c:axId val="1253376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33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D:\EVMS\TP\LOG\VSY841XN9P16_2022092311_D50_ON_OC.csv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D:\EVMS\TP\LOG\VSY841XN9P16_2022092311_FPDC_INFD_normal.csv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D:\EVMS\TP\LOG\VSY841XN9P16_2022092311_INFDMargin_IPQC.csv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D:\EVMS\TP\LOG\VSY841XN9P16_2022092311_VCM_MEASURE.csv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22cc64190825</v>
      </c>
      <c r="C34" s="44">
        <f>IPQC!S2+VLOOKUP($R$31,$AD$38:$AK$42,6,FALSE)+VLOOKUP('File location'!$B$1,'Tester offset'!$A$2:$D$4,2,FALSE)</f>
        <v>92.066064701800002</v>
      </c>
      <c r="D34" s="44">
        <f>IPQC!Z2+VLOOKUP($R$31,$AD$38:$AK$42,6,FALSE)</f>
        <v>73.447703119899998</v>
      </c>
      <c r="E34" s="44">
        <f>VCM!HU2-'Summary(3pcs)'!C34-'Summary(3pcs)'!$D$32</f>
        <v>141.42472801283793</v>
      </c>
      <c r="F34" s="90">
        <f>AVERAGEIF($A$34:$A$45,1,$C$34:$C$45)</f>
        <v>91.339403897000011</v>
      </c>
      <c r="G34" s="91">
        <f>AVERAGEIF($A$34:$A$45,1,$D$34:$D$45)</f>
        <v>72.357933398300005</v>
      </c>
      <c r="H34" s="91">
        <f>AVERAGEIF($A$34:$A$45,1,$E$34:$E$45)</f>
        <v>145.20795144367125</v>
      </c>
      <c r="I34" s="91">
        <f>85-F34</f>
        <v>-6.3394038970000111</v>
      </c>
      <c r="J34"/>
      <c r="K34" s="79">
        <f>T34</f>
        <v>1</v>
      </c>
      <c r="L34" s="80" t="str">
        <f>OC!J2</f>
        <v>22cc64190825</v>
      </c>
      <c r="M34" s="44">
        <f>OC!S2+VLOOKUP($R$31,$AD$38:$AK$42,4,FALSE)</f>
        <v>-0.60312914090000003</v>
      </c>
      <c r="N34" s="44">
        <f>OC!T2+VLOOKUP($R$31,$AD$38:$AK$42,5,FALSE)</f>
        <v>9.0294645447999997</v>
      </c>
      <c r="O34" s="92">
        <f>AVERAGEIF($K$34:$K$45,1,$M$34:$M$45)</f>
        <v>-2.4286223049333335</v>
      </c>
      <c r="P34" s="92">
        <f>AVERAGEIF($K$34:$K$45,1,$N$34:$N$45)</f>
        <v>5.0319040502666663</v>
      </c>
      <c r="Q34" s="90">
        <f>P34*0.001</f>
        <v>5.0319040502666661E-3</v>
      </c>
      <c r="R34" s="90">
        <f>O34*0.001</f>
        <v>-2.4286223049333334E-3</v>
      </c>
      <c r="T34" s="79">
        <v>1</v>
      </c>
      <c r="U34" s="80" t="str">
        <f>FPDC!J2</f>
        <v>22cc64190825</v>
      </c>
      <c r="V34" s="75">
        <f>FPDC!R2+VLOOKUP($R$31,$AD$38:$AK$42,2,FALSE)+VLOOKUP($R$31,$AD$38:$AK$42,7,FALSE)+VLOOKUP('File location'!$B$1,'Tester offset'!$A$2:$D$4,3,FALSE)</f>
        <v>-2.570840359</v>
      </c>
      <c r="W34" s="76">
        <f>FPDC!S2+VLOOKUP($R$31,$AD$38:$AK$42,3,FALSE)+VLOOKUP($R$31,$AD$38:$AK$42,8,FALSE)+VLOOKUP('File location'!$B$1,'Tester offset'!$A$2:$D$4,4,FALSE)</f>
        <v>2.04032898</v>
      </c>
      <c r="X34" s="92">
        <f>AVERAGEIF($T$34:$T$45,1,$V$34:$V$45)</f>
        <v>-3.143094301333333</v>
      </c>
      <c r="Y34" s="92">
        <f>AVERAGEIF($T$34:$T$45,1,$W$34:$W$45)</f>
        <v>-2.7127499579999999</v>
      </c>
      <c r="Z34" s="90">
        <f>(X34*-0.01)/4</f>
        <v>7.8577357533333326E-3</v>
      </c>
      <c r="AA34" s="90">
        <f>(Y34*-0.01)/4</f>
        <v>6.7818748949999997E-3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22cc64200253</v>
      </c>
      <c r="C35" s="44">
        <f>IPQC!S3+VLOOKUP($R$31,$AD$38:$AK$42,6,FALSE)+VLOOKUP('File location'!$B$1,'Tester offset'!$A$2:$D$4,2,FALSE)</f>
        <v>92.753677234099996</v>
      </c>
      <c r="D35" s="44">
        <f>IPQC!Z3+VLOOKUP($R$31,$AD$38:$AK$42,6,FALSE)</f>
        <v>76.011740302999996</v>
      </c>
      <c r="E35" s="44">
        <f>VCM!HU3-'Summary(3pcs)'!C35-'Summary(3pcs)'!$D$32</f>
        <v>143.53427317283791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22cc64200253</v>
      </c>
      <c r="M35" s="44">
        <f>OC!S3+VLOOKUP($R$31,$AD$38:$AK$42,4,FALSE)</f>
        <v>-8.4747227616000007</v>
      </c>
      <c r="N35" s="44">
        <f>OC!T3+VLOOKUP($R$31,$AD$38:$AK$42,5,FALSE)</f>
        <v>-0.45554274850000009</v>
      </c>
      <c r="O35" s="92"/>
      <c r="P35" s="92"/>
      <c r="Q35" s="90"/>
      <c r="R35" s="90"/>
      <c r="T35" s="79">
        <v>1</v>
      </c>
      <c r="U35" s="80" t="str">
        <f>FPDC!J3</f>
        <v>22cc64200253</v>
      </c>
      <c r="V35" s="75">
        <f>FPDC!R3+VLOOKUP($R$31,$AD$38:$AK$42,2,FALSE)+VLOOKUP($R$31,$AD$38:$AK$42,7,FALSE)+VLOOKUP('File location'!$B$1,'Tester offset'!$A$2:$D$4,3,FALSE)</f>
        <v>-6.7142879959999995</v>
      </c>
      <c r="W35" s="76">
        <f>FPDC!S3+VLOOKUP($R$31,$AD$38:$AK$42,3,FALSE)+VLOOKUP($R$31,$AD$38:$AK$42,8,FALSE)+VLOOKUP('File location'!$B$1,'Tester offset'!$A$2:$D$4,4,FALSE)</f>
        <v>0.92541551600000016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22cc64190505</v>
      </c>
      <c r="C36" s="44">
        <f>IPQC!S4+VLOOKUP($R$31,$AD$38:$AK$42,6,FALSE)+VLOOKUP('File location'!$B$1,'Tester offset'!$A$2:$D$4,2,FALSE)</f>
        <v>89.198469755100007</v>
      </c>
      <c r="D36" s="44">
        <f>IPQC!Z4+VLOOKUP($R$31,$AD$38:$AK$42,6,FALSE)</f>
        <v>67.614356772000008</v>
      </c>
      <c r="E36" s="44">
        <f>VCM!HU4-'Summary(3pcs)'!C36-'Summary(3pcs)'!$D$32</f>
        <v>150.66485314533793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22cc64190505</v>
      </c>
      <c r="M36" s="44">
        <f>OC!S4+VLOOKUP($R$31,$AD$38:$AK$42,4,FALSE)</f>
        <v>1.7919849877</v>
      </c>
      <c r="N36" s="44">
        <f>OC!T4+VLOOKUP($R$31,$AD$38:$AK$42,5,FALSE)</f>
        <v>6.5217903545000002</v>
      </c>
      <c r="O36" s="92"/>
      <c r="P36" s="92"/>
      <c r="Q36" s="90"/>
      <c r="R36" s="90"/>
      <c r="T36" s="79">
        <v>1</v>
      </c>
      <c r="U36" s="80" t="str">
        <f>FPDC!J4</f>
        <v>22cc64190505</v>
      </c>
      <c r="V36" s="75">
        <f>FPDC!R4+VLOOKUP($R$31,$AD$38:$AK$42,2,FALSE)+VLOOKUP($R$31,$AD$38:$AK$42,7,FALSE)+VLOOKUP('File location'!$B$1,'Tester offset'!$A$2:$D$4,3,FALSE)</f>
        <v>-0.14415454899999958</v>
      </c>
      <c r="W36" s="76">
        <f>FPDC!S4+VLOOKUP($R$31,$AD$38:$AK$42,3,FALSE)+VLOOKUP($R$31,$AD$38:$AK$42,8,FALSE)+VLOOKUP('File location'!$B$1,'Tester offset'!$A$2:$D$4,4,FALSE)</f>
        <v>-11.103994370000001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22cc64190504</v>
      </c>
      <c r="C37" s="44">
        <f>IPQC!S5+VLOOKUP($R$31,$AD$38:$AK$42,6,FALSE)+VLOOKUP('File location'!$B$1,'Tester offset'!$A$2:$D$4,2,FALSE)</f>
        <v>94.438885458399994</v>
      </c>
      <c r="D37" s="44">
        <f>IPQC!Z5+VLOOKUP($R$31,$AD$38:$AK$42,6,FALSE)</f>
        <v>73.718172739400003</v>
      </c>
      <c r="E37" s="44">
        <f>VCM!HU5-'Summary(3pcs)'!C37-'Summary(3pcs)'!$D$32</f>
        <v>153.66932474173791</v>
      </c>
      <c r="F37" s="90">
        <f>AVERAGEIF($A$34:$A$45,2,$C$34:$C$45)</f>
        <v>90.959256853900001</v>
      </c>
      <c r="G37" s="91">
        <f>AVERAGEIF($A$34:$A$45,2,$D$34:$D$45)</f>
        <v>71.120183930599993</v>
      </c>
      <c r="H37" s="91">
        <f>AVERAGEIF($A$34:$A$45,2,$E$34:$E$45)</f>
        <v>150.58970989237122</v>
      </c>
      <c r="I37" s="91">
        <f>85-F37</f>
        <v>-5.9592568539000013</v>
      </c>
      <c r="J37"/>
      <c r="K37" s="79">
        <f t="shared" si="1"/>
        <v>2</v>
      </c>
      <c r="L37" s="80" t="str">
        <f>OC!J5</f>
        <v>22cc64190504</v>
      </c>
      <c r="M37" s="44">
        <f>OC!S5+VLOOKUP($R$31,$AD$38:$AK$42,4,FALSE)</f>
        <v>5.4488375044000001</v>
      </c>
      <c r="N37" s="44">
        <f>OC!T5+VLOOKUP($R$31,$AD$38:$AK$42,5,FALSE)</f>
        <v>6.6980776836999993</v>
      </c>
      <c r="O37" s="92">
        <f>AVERAGEIF($K$34:$K$45,2,$M$34:$M$45)</f>
        <v>1.0984339541333334</v>
      </c>
      <c r="P37" s="92">
        <f>AVERAGEIF($K$34:$K$45,2,$N$34:$N$45)</f>
        <v>6.4088066079333323</v>
      </c>
      <c r="Q37" s="90">
        <f>P37*0.001</f>
        <v>6.4088066079333325E-3</v>
      </c>
      <c r="R37" s="90">
        <f>O37*0.001</f>
        <v>1.0984339541333335E-3</v>
      </c>
      <c r="T37" s="79">
        <v>2</v>
      </c>
      <c r="U37" s="80" t="str">
        <f>FPDC!J5</f>
        <v>22cc64190504</v>
      </c>
      <c r="V37" s="75">
        <f>FPDC!R5+VLOOKUP($R$31,$AD$38:$AK$42,2,FALSE)+VLOOKUP($R$31,$AD$38:$AK$42,7,FALSE)+VLOOKUP('File location'!$B$1,'Tester offset'!$A$2:$D$4,3,FALSE)</f>
        <v>1.5511569979999997</v>
      </c>
      <c r="W37" s="76">
        <f>FPDC!S5+VLOOKUP($R$31,$AD$38:$AK$42,3,FALSE)+VLOOKUP($R$31,$AD$38:$AK$42,8,FALSE)+VLOOKUP('File location'!$B$1,'Tester offset'!$A$2:$D$4,4,FALSE)</f>
        <v>-3.9834643600000001</v>
      </c>
      <c r="X37" s="92">
        <f>AVERAGEIF($T$34:$T$45,2,$V$34:$V$45)</f>
        <v>0.68570608033333313</v>
      </c>
      <c r="Y37" s="92">
        <f>AVERAGEIF($T$34:$T$45,2,$W$34:$W$45)</f>
        <v>-6.9863254820000007</v>
      </c>
      <c r="Z37" s="90">
        <f>(X37*-0.01)/4</f>
        <v>-1.7142652008333328E-3</v>
      </c>
      <c r="AA37" s="90">
        <f>(Y37*-0.01)/4</f>
        <v>1.7465813705000003E-2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22cc64200487</v>
      </c>
      <c r="C38" s="44">
        <f>IPQC!S6+VLOOKUP($R$31,$AD$38:$AK$42,6,FALSE)+VLOOKUP('File location'!$B$1,'Tester offset'!$A$2:$D$4,2,FALSE)</f>
        <v>87.842098918100007</v>
      </c>
      <c r="D38" s="44">
        <f>IPQC!Z6+VLOOKUP($R$31,$AD$38:$AK$42,6,FALSE)</f>
        <v>69.397143560300009</v>
      </c>
      <c r="E38" s="44">
        <f>VCM!HU6-'Summary(3pcs)'!C38-'Summary(3pcs)'!$D$32</f>
        <v>151.82211692123786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22cc64200487</v>
      </c>
      <c r="M38" s="44">
        <f>OC!S6+VLOOKUP($R$31,$AD$38:$AK$42,4,FALSE)</f>
        <v>0.32454624110000002</v>
      </c>
      <c r="N38" s="44">
        <f>OC!T6+VLOOKUP($R$31,$AD$38:$AK$42,5,FALSE)</f>
        <v>11.9917469551</v>
      </c>
      <c r="O38" s="92"/>
      <c r="P38" s="92"/>
      <c r="Q38" s="90"/>
      <c r="R38" s="90"/>
      <c r="T38" s="79">
        <v>2</v>
      </c>
      <c r="U38" s="80" t="str">
        <f>FPDC!J6</f>
        <v>22cc64200487</v>
      </c>
      <c r="V38" s="75">
        <f>FPDC!R6+VLOOKUP($R$31,$AD$38:$AK$42,2,FALSE)+VLOOKUP($R$31,$AD$38:$AK$42,7,FALSE)+VLOOKUP('File location'!$B$1,'Tester offset'!$A$2:$D$4,3,FALSE)</f>
        <v>-6.856732547</v>
      </c>
      <c r="W38" s="76">
        <f>FPDC!S6+VLOOKUP($R$31,$AD$38:$AK$42,3,FALSE)+VLOOKUP($R$31,$AD$38:$AK$42,8,FALSE)+VLOOKUP('File location'!$B$1,'Tester offset'!$A$2:$D$4,4,FALSE)</f>
        <v>-13.945157050000001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22cc64190326</v>
      </c>
      <c r="C39" s="44">
        <f>IPQC!S7+VLOOKUP($R$31,$AD$38:$AK$42,6,FALSE)+VLOOKUP('File location'!$B$1,'Tester offset'!$A$2:$D$4,2,FALSE)</f>
        <v>90.596786185200003</v>
      </c>
      <c r="D39" s="44">
        <f>IPQC!Z7+VLOOKUP($R$31,$AD$38:$AK$42,6,FALSE)</f>
        <v>70.245235492099994</v>
      </c>
      <c r="E39" s="44">
        <f>VCM!HU7-'Summary(3pcs)'!C39-'Summary(3pcs)'!$D$32</f>
        <v>146.27768801413788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22cc64190326</v>
      </c>
      <c r="M39" s="44">
        <f>OC!S7+VLOOKUP($R$31,$AD$38:$AK$42,4,FALSE)</f>
        <v>-2.4780818831000002</v>
      </c>
      <c r="N39" s="44">
        <f>OC!T7+VLOOKUP($R$31,$AD$38:$AK$42,5,FALSE)</f>
        <v>0.53659518499999992</v>
      </c>
      <c r="O39" s="92"/>
      <c r="P39" s="92"/>
      <c r="Q39" s="90"/>
      <c r="R39" s="90"/>
      <c r="T39" s="79">
        <v>2</v>
      </c>
      <c r="U39" s="80" t="str">
        <f>FPDC!J7</f>
        <v>22cc64190326</v>
      </c>
      <c r="V39" s="75">
        <f>FPDC!R7+VLOOKUP($R$31,$AD$38:$AK$42,2,FALSE)+VLOOKUP($R$31,$AD$38:$AK$42,7,FALSE)+VLOOKUP('File location'!$B$1,'Tester offset'!$A$2:$D$4,3,FALSE)</f>
        <v>7.3626937899999998</v>
      </c>
      <c r="W39" s="76">
        <f>FPDC!S7+VLOOKUP($R$31,$AD$38:$AK$42,3,FALSE)+VLOOKUP($R$31,$AD$38:$AK$42,8,FALSE)+VLOOKUP('File location'!$B$1,'Tester offset'!$A$2:$D$4,4,FALSE)</f>
        <v>-3.030355036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6</v>
      </c>
      <c r="D40" s="44">
        <f>IPQC!Z8+VLOOKUP($R$31,$AD$38:$AK$42,6,FALSE)</f>
        <v>6</v>
      </c>
      <c r="E40" s="44">
        <f>VCM!HU8-'Summary(3pcs)'!C40-'Summary(3pcs)'!$D$32</f>
        <v>-185.50310559006209</v>
      </c>
      <c r="F40" s="90">
        <f>AVERAGEIF($A$34:$A$45,3,$C$34:$C$45)</f>
        <v>6</v>
      </c>
      <c r="G40" s="91">
        <f>AVERAGEIF($A$34:$A$45,3,$D$34:$D$45)</f>
        <v>6</v>
      </c>
      <c r="H40" s="91">
        <f>AVERAGEIF($A$34:$A$45,3,$E$34:$E$45)</f>
        <v>-185.50310559006209</v>
      </c>
      <c r="I40" s="91">
        <f>85-F40</f>
        <v>79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-7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-7</v>
      </c>
      <c r="Y40" s="92">
        <f>AVERAGEIF($T$34:$T$45,3,$W$34:$W$45)</f>
        <v>-3</v>
      </c>
      <c r="Z40" s="90">
        <f>(X40*-0.01)/4</f>
        <v>1.7500000000000002E-2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6</v>
      </c>
      <c r="D41" s="44">
        <f>IPQC!Z9+VLOOKUP($R$31,$AD$38:$AK$42,6,FALSE)</f>
        <v>6</v>
      </c>
      <c r="E41" s="44">
        <f>VCM!HU9-'Summary(3pcs)'!C41-'Summary(3pcs)'!$D$32</f>
        <v>-185.50310559006209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-7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6</v>
      </c>
      <c r="D42" s="44">
        <f>IPQC!Z10+VLOOKUP($R$31,$AD$38:$AK$42,6,FALSE)</f>
        <v>6</v>
      </c>
      <c r="E42" s="44">
        <f>VCM!HU10-'Summary(3pcs)'!C42-'Summary(3pcs)'!$D$32</f>
        <v>-185.50310559006209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-7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6</v>
      </c>
      <c r="D43" s="44">
        <f>IPQC!Z11+VLOOKUP($R$31,$AD$38:$AK$42,6,FALSE)</f>
        <v>6</v>
      </c>
      <c r="E43" s="44">
        <f>VCM!HU11-'Summary(3pcs)'!C43-'Summary(3pcs)'!$D$32</f>
        <v>-185.50310559006209</v>
      </c>
      <c r="F43" s="90">
        <f>AVERAGEIF($A$34:$A$45,4,$C$34:$C$45)</f>
        <v>6</v>
      </c>
      <c r="G43" s="91">
        <f>AVERAGEIF($A$34:$A$45,4,$D$34:$D$45)</f>
        <v>6</v>
      </c>
      <c r="H43" s="91">
        <f>AVERAGEIF($A$34:$A$45,4,$E$34:$E$45)</f>
        <v>-185.50310559006209</v>
      </c>
      <c r="I43" s="91">
        <f>85-F43</f>
        <v>79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-7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-7</v>
      </c>
      <c r="Y43" s="92">
        <f>AVERAGEIF($T$34:$T$45,4,$W$34:$W$45)</f>
        <v>-3</v>
      </c>
      <c r="Z43" s="90">
        <f>(X43*-0.01)/4</f>
        <v>1.7500000000000002E-2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6</v>
      </c>
      <c r="D44" s="44">
        <f>IPQC!Z12+VLOOKUP($R$31,$AD$38:$AK$42,6,FALSE)</f>
        <v>6</v>
      </c>
      <c r="E44" s="44">
        <f>VCM!HU12-'Summary(3pcs)'!C44-'Summary(3pcs)'!$D$32</f>
        <v>-185.50310559006209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-7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6</v>
      </c>
      <c r="D45" s="44">
        <f>IPQC!Z13+VLOOKUP($R$31,$AD$38:$AK$42,6,FALSE)</f>
        <v>6</v>
      </c>
      <c r="E45" s="44">
        <f>VCM!HU13-'Summary(3pcs)'!C45-'Summary(3pcs)'!$D$32</f>
        <v>-185.50310559006209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-7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92.066064701800002</v>
      </c>
      <c r="L54" s="49">
        <f t="shared" ref="L54:L65" si="4">D34</f>
        <v>73.447703119899998</v>
      </c>
      <c r="M54" s="49">
        <f t="shared" ref="M54:M65" si="5">E34</f>
        <v>141.42472801283793</v>
      </c>
      <c r="N54" s="49">
        <f t="shared" ref="N54:O65" si="6">M34</f>
        <v>-0.60312914090000003</v>
      </c>
      <c r="O54" s="49">
        <f t="shared" si="6"/>
        <v>9.0294645447999997</v>
      </c>
      <c r="P54" s="49">
        <f t="shared" ref="P54:P65" si="7">V34</f>
        <v>-2.570840359</v>
      </c>
      <c r="Q54" s="50">
        <f t="shared" ref="Q54:Q65" si="8">W34</f>
        <v>2.04032898</v>
      </c>
    </row>
    <row r="55" spans="6:27" ht="19.5">
      <c r="I55" s="47">
        <f t="shared" si="2"/>
        <v>1</v>
      </c>
      <c r="J55" s="46"/>
      <c r="K55" s="51">
        <f t="shared" si="3"/>
        <v>92.753677234099996</v>
      </c>
      <c r="L55" s="52">
        <f t="shared" si="4"/>
        <v>76.011740302999996</v>
      </c>
      <c r="M55" s="52">
        <f t="shared" si="5"/>
        <v>143.53427317283791</v>
      </c>
      <c r="N55" s="52">
        <f t="shared" si="6"/>
        <v>-8.4747227616000007</v>
      </c>
      <c r="O55" s="52">
        <f t="shared" si="6"/>
        <v>-0.45554274850000009</v>
      </c>
      <c r="P55" s="52">
        <f t="shared" si="7"/>
        <v>-6.7142879959999995</v>
      </c>
      <c r="Q55" s="53">
        <f t="shared" si="8"/>
        <v>0.92541551600000016</v>
      </c>
    </row>
    <row r="56" spans="6:27" ht="19.5">
      <c r="I56" s="47">
        <f t="shared" si="2"/>
        <v>1</v>
      </c>
      <c r="J56" s="46"/>
      <c r="K56" s="54">
        <f t="shared" si="3"/>
        <v>89.198469755100007</v>
      </c>
      <c r="L56" s="55">
        <f t="shared" si="4"/>
        <v>67.614356772000008</v>
      </c>
      <c r="M56" s="55">
        <f t="shared" si="5"/>
        <v>150.66485314533793</v>
      </c>
      <c r="N56" s="55">
        <f t="shared" si="6"/>
        <v>1.7919849877</v>
      </c>
      <c r="O56" s="55">
        <f t="shared" si="6"/>
        <v>6.5217903545000002</v>
      </c>
      <c r="P56" s="55">
        <f t="shared" si="7"/>
        <v>-0.14415454899999958</v>
      </c>
      <c r="Q56" s="56">
        <f t="shared" si="8"/>
        <v>-11.103994370000001</v>
      </c>
    </row>
    <row r="57" spans="6:27" ht="19.5">
      <c r="I57" s="47">
        <f t="shared" si="2"/>
        <v>2</v>
      </c>
      <c r="J57" s="46"/>
      <c r="K57" s="57">
        <f t="shared" si="3"/>
        <v>94.438885458399994</v>
      </c>
      <c r="L57" s="58">
        <f t="shared" si="4"/>
        <v>73.718172739400003</v>
      </c>
      <c r="M57" s="58">
        <f t="shared" si="5"/>
        <v>153.66932474173791</v>
      </c>
      <c r="N57" s="58">
        <f t="shared" si="6"/>
        <v>5.4488375044000001</v>
      </c>
      <c r="O57" s="58">
        <f t="shared" si="6"/>
        <v>6.6980776836999993</v>
      </c>
      <c r="P57" s="58">
        <f t="shared" si="7"/>
        <v>1.5511569979999997</v>
      </c>
      <c r="Q57" s="59">
        <f t="shared" si="8"/>
        <v>-3.9834643600000001</v>
      </c>
    </row>
    <row r="58" spans="6:27" ht="19.5">
      <c r="I58" s="47">
        <f t="shared" si="2"/>
        <v>2</v>
      </c>
      <c r="J58" s="46"/>
      <c r="K58" s="57">
        <f t="shared" si="3"/>
        <v>87.842098918100007</v>
      </c>
      <c r="L58" s="58">
        <f t="shared" si="4"/>
        <v>69.397143560300009</v>
      </c>
      <c r="M58" s="58">
        <f t="shared" si="5"/>
        <v>151.82211692123786</v>
      </c>
      <c r="N58" s="58">
        <f t="shared" si="6"/>
        <v>0.32454624110000002</v>
      </c>
      <c r="O58" s="58">
        <f t="shared" si="6"/>
        <v>11.9917469551</v>
      </c>
      <c r="P58" s="58">
        <f t="shared" si="7"/>
        <v>-6.856732547</v>
      </c>
      <c r="Q58" s="59">
        <f t="shared" si="8"/>
        <v>-13.945157050000001</v>
      </c>
    </row>
    <row r="59" spans="6:27" ht="19.5">
      <c r="I59" s="47">
        <f t="shared" si="2"/>
        <v>2</v>
      </c>
      <c r="J59" s="46"/>
      <c r="K59" s="57">
        <f t="shared" si="3"/>
        <v>90.596786185200003</v>
      </c>
      <c r="L59" s="58">
        <f t="shared" si="4"/>
        <v>70.245235492099994</v>
      </c>
      <c r="M59" s="58">
        <f t="shared" si="5"/>
        <v>146.27768801413788</v>
      </c>
      <c r="N59" s="58">
        <f t="shared" si="6"/>
        <v>-2.4780818831000002</v>
      </c>
      <c r="O59" s="58">
        <f t="shared" si="6"/>
        <v>0.53659518499999992</v>
      </c>
      <c r="P59" s="58">
        <f t="shared" si="7"/>
        <v>7.3626937899999998</v>
      </c>
      <c r="Q59" s="59">
        <f t="shared" si="8"/>
        <v>-3.030355036</v>
      </c>
    </row>
    <row r="60" spans="6:27" ht="19.5">
      <c r="I60" s="47">
        <f t="shared" si="2"/>
        <v>3</v>
      </c>
      <c r="J60" s="46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-7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6</v>
      </c>
      <c r="L61" s="64">
        <f t="shared" si="4"/>
        <v>6</v>
      </c>
      <c r="M61" s="64">
        <f t="shared" si="5"/>
        <v>-185.50310559006209</v>
      </c>
      <c r="N61" s="64">
        <f t="shared" si="6"/>
        <v>0</v>
      </c>
      <c r="O61" s="64">
        <f t="shared" si="6"/>
        <v>4</v>
      </c>
      <c r="P61" s="64">
        <f t="shared" si="7"/>
        <v>-7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6</v>
      </c>
      <c r="L62" s="67">
        <f t="shared" si="4"/>
        <v>6</v>
      </c>
      <c r="M62" s="67">
        <f t="shared" si="5"/>
        <v>-185.50310559006209</v>
      </c>
      <c r="N62" s="67">
        <f t="shared" si="6"/>
        <v>0</v>
      </c>
      <c r="O62" s="67">
        <f t="shared" si="6"/>
        <v>4</v>
      </c>
      <c r="P62" s="67">
        <f t="shared" si="7"/>
        <v>-7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6</v>
      </c>
      <c r="L63" s="58">
        <f t="shared" si="4"/>
        <v>6</v>
      </c>
      <c r="M63" s="58">
        <f t="shared" si="5"/>
        <v>-185.50310559006209</v>
      </c>
      <c r="N63" s="58">
        <f t="shared" si="6"/>
        <v>0</v>
      </c>
      <c r="O63" s="58">
        <f t="shared" si="6"/>
        <v>4</v>
      </c>
      <c r="P63" s="58">
        <f t="shared" si="7"/>
        <v>-7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6</v>
      </c>
      <c r="L64" s="58">
        <f t="shared" si="4"/>
        <v>6</v>
      </c>
      <c r="M64" s="58">
        <f t="shared" si="5"/>
        <v>-185.50310559006209</v>
      </c>
      <c r="N64" s="58">
        <f t="shared" si="6"/>
        <v>0</v>
      </c>
      <c r="O64" s="58">
        <f t="shared" si="6"/>
        <v>4</v>
      </c>
      <c r="P64" s="58">
        <f t="shared" si="7"/>
        <v>-7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6</v>
      </c>
      <c r="L65" s="70">
        <f t="shared" si="4"/>
        <v>6</v>
      </c>
      <c r="M65" s="70">
        <f t="shared" si="5"/>
        <v>-185.50310559006209</v>
      </c>
      <c r="N65" s="70">
        <f t="shared" si="6"/>
        <v>0</v>
      </c>
      <c r="O65" s="70">
        <f t="shared" si="6"/>
        <v>4</v>
      </c>
      <c r="P65" s="70">
        <f t="shared" si="7"/>
        <v>-7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2111.8968708591001</v>
      </c>
      <c r="R2">
        <v>1507.4705354552</v>
      </c>
      <c r="S2">
        <v>-0.60312914090000003</v>
      </c>
      <c r="T2">
        <v>5.0294645447999997</v>
      </c>
      <c r="U2">
        <v>5.0654988271999999</v>
      </c>
      <c r="V2">
        <v>745.8347</v>
      </c>
      <c r="W2">
        <v>394.23590000000002</v>
      </c>
      <c r="X2">
        <v>391.91579999999999</v>
      </c>
      <c r="Y2">
        <v>393.714</v>
      </c>
      <c r="Z2">
        <v>389.64440000000002</v>
      </c>
      <c r="AA2">
        <v>569.10611249999999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2104.0252772384001</v>
      </c>
      <c r="R3">
        <v>1516.9555427485</v>
      </c>
      <c r="S3">
        <v>-8.4747227616000007</v>
      </c>
      <c r="T3">
        <v>-4.4555427485000001</v>
      </c>
      <c r="U3">
        <v>9.5745906998999999</v>
      </c>
      <c r="V3">
        <v>734.54970000000003</v>
      </c>
      <c r="W3">
        <v>384.88380000000001</v>
      </c>
      <c r="X3">
        <v>386.21069999999997</v>
      </c>
      <c r="Y3">
        <v>385.13330000000002</v>
      </c>
      <c r="Z3">
        <v>382.18279999999999</v>
      </c>
      <c r="AA3">
        <v>559.57617500000003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546</v>
      </c>
      <c r="B4" t="s">
        <v>547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2114.2919849876998</v>
      </c>
      <c r="R4">
        <v>1509.9782096455001</v>
      </c>
      <c r="S4">
        <v>1.7919849877</v>
      </c>
      <c r="T4">
        <v>2.5217903545000002</v>
      </c>
      <c r="U4">
        <v>3.0936445800999999</v>
      </c>
      <c r="V4">
        <v>730.70010000000002</v>
      </c>
      <c r="W4">
        <v>385.14449999999999</v>
      </c>
      <c r="X4">
        <v>384.24849999999998</v>
      </c>
      <c r="Y4">
        <v>384.2072</v>
      </c>
      <c r="Z4">
        <v>381.55779999999999</v>
      </c>
      <c r="AA4">
        <v>557.24480000000005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553</v>
      </c>
      <c r="B5" t="s">
        <v>554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2117.9488375044002</v>
      </c>
      <c r="R5">
        <v>1509.8019223163001</v>
      </c>
      <c r="S5">
        <v>5.4488375044000001</v>
      </c>
      <c r="T5">
        <v>2.6980776836999998</v>
      </c>
      <c r="U5">
        <v>6.0802510916000001</v>
      </c>
      <c r="V5">
        <v>727.02</v>
      </c>
      <c r="W5">
        <v>384.2602</v>
      </c>
      <c r="X5">
        <v>383.7722</v>
      </c>
      <c r="Y5">
        <v>381.25569999999999</v>
      </c>
      <c r="Z5">
        <v>385.36950000000002</v>
      </c>
      <c r="AA5">
        <v>555.34220000000005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574</v>
      </c>
      <c r="B6" t="s">
        <v>575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2112.8245462411001</v>
      </c>
      <c r="R6">
        <v>1504.5082530448999</v>
      </c>
      <c r="S6">
        <v>0.32454624110000002</v>
      </c>
      <c r="T6">
        <v>7.9917469551</v>
      </c>
      <c r="U6">
        <v>7.9983341800999996</v>
      </c>
      <c r="V6">
        <v>728.83209999999997</v>
      </c>
      <c r="W6">
        <v>386.80340000000001</v>
      </c>
      <c r="X6">
        <v>382.6936</v>
      </c>
      <c r="Y6">
        <v>384.09449999999998</v>
      </c>
      <c r="Z6">
        <v>382.25810000000001</v>
      </c>
      <c r="AA6">
        <v>556.39724999999999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581</v>
      </c>
      <c r="B7" t="s">
        <v>582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2110.0219181169</v>
      </c>
      <c r="R7">
        <v>1515.9634048150001</v>
      </c>
      <c r="S7">
        <v>-2.4780818831000002</v>
      </c>
      <c r="T7">
        <v>-3.4634048150000001</v>
      </c>
      <c r="U7">
        <v>4.2586456451999997</v>
      </c>
      <c r="V7">
        <v>732.88199999999995</v>
      </c>
      <c r="W7">
        <v>385.46230000000003</v>
      </c>
      <c r="X7">
        <v>385.70819999999998</v>
      </c>
      <c r="Y7">
        <v>383.21350000000001</v>
      </c>
      <c r="Z7">
        <v>383.92590000000001</v>
      </c>
      <c r="AA7">
        <v>558.72973750000006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7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-1.83582E-5</v>
      </c>
      <c r="R2">
        <v>4.429159641</v>
      </c>
      <c r="S2">
        <v>5.04032898</v>
      </c>
      <c r="T2">
        <v>1.6726729869999999</v>
      </c>
      <c r="U2">
        <v>6.4808979029999998</v>
      </c>
      <c r="V2">
        <v>-4.5310597420000001</v>
      </c>
      <c r="W2">
        <v>-0.304934502</v>
      </c>
      <c r="X2">
        <v>1.81678915</v>
      </c>
      <c r="Y2">
        <v>2.3457674979999998</v>
      </c>
      <c r="Z2">
        <v>0.182543755</v>
      </c>
      <c r="AA2">
        <v>0.659839332</v>
      </c>
      <c r="AB2">
        <v>-2.624717236</v>
      </c>
      <c r="AC2">
        <v>0.769976616</v>
      </c>
      <c r="AD2">
        <v>-2.0330012000000001E-2</v>
      </c>
      <c r="AE2">
        <v>-1.7328865529999999</v>
      </c>
      <c r="AF2">
        <v>-1.268410206</v>
      </c>
      <c r="AG2">
        <v>-0.21659141800000001</v>
      </c>
      <c r="AH2">
        <v>-0.85849893099999997</v>
      </c>
      <c r="AI2">
        <v>-0.37018656700000002</v>
      </c>
      <c r="AJ2">
        <v>0.22136014700000001</v>
      </c>
      <c r="AK2">
        <v>1.7873499999999999E-4</v>
      </c>
      <c r="AL2">
        <v>4.4787183000000001E-2</v>
      </c>
      <c r="AM2">
        <v>9.7009882000000006E-2</v>
      </c>
      <c r="AN2">
        <v>0.122021139</v>
      </c>
      <c r="AO2">
        <v>0.19255393700000001</v>
      </c>
      <c r="AP2">
        <v>0.19255393700000001</v>
      </c>
      <c r="AQ2">
        <v>6.7098711870000001</v>
      </c>
      <c r="AR2" t="s">
        <v>262</v>
      </c>
      <c r="AS2" t="s">
        <v>263</v>
      </c>
      <c r="AT2">
        <v>4</v>
      </c>
      <c r="AU2">
        <v>2.9</v>
      </c>
      <c r="AX2">
        <v>1</v>
      </c>
    </row>
    <row r="3" spans="1:50">
      <c r="A3" t="s">
        <v>560</v>
      </c>
      <c r="B3" t="s">
        <v>561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-3.4332300000000003E-5</v>
      </c>
      <c r="R3">
        <v>0.28571200400000002</v>
      </c>
      <c r="S3">
        <v>3.9254155160000002</v>
      </c>
      <c r="T3">
        <v>2.1263642310000002</v>
      </c>
      <c r="U3">
        <v>5.4102602009999998</v>
      </c>
      <c r="V3">
        <v>-3.6028418539999998</v>
      </c>
      <c r="W3">
        <v>-0.20535197899999999</v>
      </c>
      <c r="X3">
        <v>-1.468674421</v>
      </c>
      <c r="Y3">
        <v>1.5422011609999999</v>
      </c>
      <c r="Z3">
        <v>1.0994209049999999</v>
      </c>
      <c r="AA3">
        <v>-0.82991302</v>
      </c>
      <c r="AB3">
        <v>-1.289913774</v>
      </c>
      <c r="AC3">
        <v>0.95655214799999999</v>
      </c>
      <c r="AD3">
        <v>0.23040451100000001</v>
      </c>
      <c r="AE3">
        <v>0.62643367100000003</v>
      </c>
      <c r="AF3">
        <v>-1.2958365679999999</v>
      </c>
      <c r="AG3">
        <v>-0.55255454800000003</v>
      </c>
      <c r="AH3">
        <v>8.4132999E-2</v>
      </c>
      <c r="AI3">
        <v>-0.30810517100000001</v>
      </c>
      <c r="AJ3">
        <v>0.254824728</v>
      </c>
      <c r="AK3">
        <v>2.1434199999999999E-4</v>
      </c>
      <c r="AL3">
        <v>4.8330702000000003E-2</v>
      </c>
      <c r="AM3">
        <v>6.4183526000000005E-2</v>
      </c>
      <c r="AN3">
        <v>9.9429592999999997E-2</v>
      </c>
      <c r="AO3">
        <v>0.15057051199999999</v>
      </c>
      <c r="AP3">
        <v>0.15057051199999999</v>
      </c>
      <c r="AQ3">
        <v>3.9357995780000001</v>
      </c>
      <c r="AR3" t="s">
        <v>262</v>
      </c>
      <c r="AS3" t="s">
        <v>263</v>
      </c>
      <c r="AT3">
        <v>3</v>
      </c>
      <c r="AU3">
        <v>2.9</v>
      </c>
      <c r="AX3">
        <v>1</v>
      </c>
    </row>
    <row r="4" spans="1:50">
      <c r="A4" t="s">
        <v>562</v>
      </c>
      <c r="B4" t="s">
        <v>563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1.0848E-5</v>
      </c>
      <c r="R4">
        <v>6.8558454510000004</v>
      </c>
      <c r="S4">
        <v>-8.1039943700000006</v>
      </c>
      <c r="T4">
        <v>3.6763825419999998</v>
      </c>
      <c r="U4">
        <v>8.4449081419999992</v>
      </c>
      <c r="V4">
        <v>-9.9678783420000006</v>
      </c>
      <c r="W4">
        <v>1.500496507</v>
      </c>
      <c r="X4">
        <v>0.61211800599999999</v>
      </c>
      <c r="Y4">
        <v>2.052229166</v>
      </c>
      <c r="Z4">
        <v>0.11907327199999999</v>
      </c>
      <c r="AA4">
        <v>-1.578709602</v>
      </c>
      <c r="AB4">
        <v>-3.0067126750000002</v>
      </c>
      <c r="AC4">
        <v>2.5432333950000001</v>
      </c>
      <c r="AD4">
        <v>-0.66783386499999997</v>
      </c>
      <c r="AE4">
        <v>0.112524867</v>
      </c>
      <c r="AF4">
        <v>-1.468523979</v>
      </c>
      <c r="AG4">
        <v>-0.58834368000000004</v>
      </c>
      <c r="AH4">
        <v>-0.34125035999999997</v>
      </c>
      <c r="AI4">
        <v>-0.30815863599999999</v>
      </c>
      <c r="AJ4">
        <v>0.436077416</v>
      </c>
      <c r="AK4">
        <v>1.7806000000000001E-4</v>
      </c>
      <c r="AL4">
        <v>4.3459735999999999E-2</v>
      </c>
      <c r="AM4">
        <v>0.19922798899999999</v>
      </c>
      <c r="AN4">
        <v>0.249421269</v>
      </c>
      <c r="AO4">
        <v>0.26175257600000001</v>
      </c>
      <c r="AP4">
        <v>0.26175257600000001</v>
      </c>
      <c r="AQ4">
        <v>10.61495839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566</v>
      </c>
      <c r="B5" t="s">
        <v>588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7.5101999999999997E-6</v>
      </c>
      <c r="R5">
        <v>8.5511569979999997</v>
      </c>
      <c r="S5">
        <v>-0.98346436000000004</v>
      </c>
      <c r="T5">
        <v>-1.0294377800000001</v>
      </c>
      <c r="U5">
        <v>6.3052239419999996</v>
      </c>
      <c r="V5">
        <v>-3.9229581360000001</v>
      </c>
      <c r="W5">
        <v>-0.57769066099999999</v>
      </c>
      <c r="X5">
        <v>-1.0501364470000001</v>
      </c>
      <c r="Y5">
        <v>2.9723026749999999</v>
      </c>
      <c r="Z5">
        <v>-1.6872022149999999</v>
      </c>
      <c r="AA5">
        <v>-1.712923288</v>
      </c>
      <c r="AB5">
        <v>-1.3857519629999999</v>
      </c>
      <c r="AC5">
        <v>0.64512085900000005</v>
      </c>
      <c r="AD5">
        <v>-0.50067210200000001</v>
      </c>
      <c r="AE5">
        <v>0.46754997999999998</v>
      </c>
      <c r="AF5">
        <v>-1.5140184160000001</v>
      </c>
      <c r="AG5">
        <v>0.45112833400000002</v>
      </c>
      <c r="AH5">
        <v>-0.20568662900000001</v>
      </c>
      <c r="AI5">
        <v>0.27881336200000001</v>
      </c>
      <c r="AJ5">
        <v>6.2543154000000004E-2</v>
      </c>
      <c r="AK5">
        <v>1.85902E-4</v>
      </c>
      <c r="AL5">
        <v>4.5240529000000002E-2</v>
      </c>
      <c r="AM5">
        <v>0.153749049</v>
      </c>
      <c r="AN5">
        <v>6.2116455000000001E-2</v>
      </c>
      <c r="AO5">
        <v>0.15845352400000001</v>
      </c>
      <c r="AP5">
        <v>0.17233753199999999</v>
      </c>
      <c r="AQ5">
        <v>8.6075250879999992</v>
      </c>
      <c r="AR5" t="s">
        <v>262</v>
      </c>
      <c r="AS5" t="s">
        <v>263</v>
      </c>
      <c r="AT5">
        <v>4</v>
      </c>
      <c r="AU5">
        <v>2.9</v>
      </c>
      <c r="AX5">
        <v>1</v>
      </c>
    </row>
    <row r="6" spans="1:50">
      <c r="A6" t="s">
        <v>589</v>
      </c>
      <c r="B6" t="s">
        <v>590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6.3180999999999997E-6</v>
      </c>
      <c r="R6">
        <v>0.14326745299999999</v>
      </c>
      <c r="S6">
        <v>-10.945157050000001</v>
      </c>
      <c r="T6">
        <v>-1.4517333509999999</v>
      </c>
      <c r="U6">
        <v>5.8621587750000002</v>
      </c>
      <c r="V6">
        <v>-6.6358880999999998</v>
      </c>
      <c r="W6">
        <v>2.177917957</v>
      </c>
      <c r="X6">
        <v>3.9833250050000002</v>
      </c>
      <c r="Y6">
        <v>4.3584208489999998</v>
      </c>
      <c r="Z6">
        <v>-1.568846226</v>
      </c>
      <c r="AA6">
        <v>-0.17018795</v>
      </c>
      <c r="AB6">
        <v>-1.6859769819999999</v>
      </c>
      <c r="AC6">
        <v>1.0907655949999999</v>
      </c>
      <c r="AD6">
        <v>-0.85247504699999999</v>
      </c>
      <c r="AE6">
        <v>-0.68520021399999997</v>
      </c>
      <c r="AF6">
        <v>-2.1689002510000002</v>
      </c>
      <c r="AG6">
        <v>-9.6969962000000007E-2</v>
      </c>
      <c r="AH6">
        <v>-0.72818112400000001</v>
      </c>
      <c r="AI6">
        <v>-0.102110148</v>
      </c>
      <c r="AJ6">
        <v>-1.060594797</v>
      </c>
      <c r="AK6">
        <v>1.9032700000000001E-4</v>
      </c>
      <c r="AL6">
        <v>4.2990699E-2</v>
      </c>
      <c r="AM6">
        <v>8.4342926999999998E-2</v>
      </c>
      <c r="AN6">
        <v>0.26239162700000002</v>
      </c>
      <c r="AO6">
        <v>0.26239162700000002</v>
      </c>
      <c r="AP6">
        <v>0.30471625899999999</v>
      </c>
      <c r="AQ6">
        <v>12.945949819999999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591</v>
      </c>
      <c r="B7" t="s">
        <v>592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-4.2915000000000003E-6</v>
      </c>
      <c r="R7">
        <v>14.36269379</v>
      </c>
      <c r="S7">
        <v>-3.0355035999999998E-2</v>
      </c>
      <c r="T7">
        <v>-2.5855736729999999</v>
      </c>
      <c r="U7">
        <v>3.5591912269999999</v>
      </c>
      <c r="V7">
        <v>-2.1044347289999998</v>
      </c>
      <c r="W7">
        <v>-1.8812705279999999</v>
      </c>
      <c r="X7">
        <v>4.115445137</v>
      </c>
      <c r="Y7">
        <v>3.7733068470000002</v>
      </c>
      <c r="Z7">
        <v>0.122485697</v>
      </c>
      <c r="AA7">
        <v>1.139420152</v>
      </c>
      <c r="AB7">
        <v>-1.063284516</v>
      </c>
      <c r="AC7">
        <v>0.61263650700000005</v>
      </c>
      <c r="AD7">
        <v>0.235537529</v>
      </c>
      <c r="AE7">
        <v>-1.593681812</v>
      </c>
      <c r="AF7">
        <v>-1.8838655950000001</v>
      </c>
      <c r="AG7">
        <v>0.23866210900000001</v>
      </c>
      <c r="AH7">
        <v>0.14681628399999999</v>
      </c>
      <c r="AI7">
        <v>-0.45376455799999998</v>
      </c>
      <c r="AJ7">
        <v>0.17782157700000001</v>
      </c>
      <c r="AK7">
        <v>1.9950299999999999E-4</v>
      </c>
      <c r="AL7">
        <v>4.5630298999999999E-2</v>
      </c>
      <c r="AM7">
        <v>0.22081530099999999</v>
      </c>
      <c r="AN7">
        <v>7.5914875000000007E-2</v>
      </c>
      <c r="AO7">
        <v>0.22081530099999999</v>
      </c>
      <c r="AP7">
        <v>0.22081530099999999</v>
      </c>
      <c r="AQ7">
        <v>14.362725859999999</v>
      </c>
      <c r="AR7" t="s">
        <v>262</v>
      </c>
      <c r="AS7" t="s">
        <v>263</v>
      </c>
      <c r="AT7">
        <v>3</v>
      </c>
      <c r="AU7">
        <v>2.9</v>
      </c>
      <c r="AX7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7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-3.5190615836000001</v>
      </c>
      <c r="R2">
        <v>-24</v>
      </c>
      <c r="S2">
        <v>86.066064701800002</v>
      </c>
      <c r="T2">
        <v>100.12482889259999</v>
      </c>
      <c r="U2">
        <v>4.0124493091</v>
      </c>
      <c r="V2">
        <v>4.6418661000000002E-3</v>
      </c>
      <c r="W2">
        <v>-8.7383499999999994E-5</v>
      </c>
      <c r="X2">
        <v>3.9058271959000002</v>
      </c>
      <c r="Y2">
        <v>85.535793515199998</v>
      </c>
      <c r="Z2">
        <v>67.447703119899998</v>
      </c>
      <c r="AA2">
        <v>326.92783360300001</v>
      </c>
      <c r="AB2">
        <v>352.09801439440002</v>
      </c>
      <c r="AC2">
        <v>1</v>
      </c>
      <c r="AF2">
        <v>1</v>
      </c>
    </row>
    <row r="3" spans="1:32">
      <c r="A3" t="s">
        <v>560</v>
      </c>
      <c r="B3" t="s">
        <v>564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-1.1730205279000001</v>
      </c>
      <c r="R3">
        <v>-8</v>
      </c>
      <c r="S3">
        <v>86.753677234099996</v>
      </c>
      <c r="T3">
        <v>91.5951210108</v>
      </c>
      <c r="U3">
        <v>4.1322087941000003</v>
      </c>
      <c r="V3">
        <v>4.0674834000000003E-3</v>
      </c>
      <c r="W3">
        <v>-7.7568800000000002E-5</v>
      </c>
      <c r="X3">
        <v>4.0325993866000003</v>
      </c>
      <c r="Y3">
        <v>86.5391782998</v>
      </c>
      <c r="Z3">
        <v>70.011740302999996</v>
      </c>
      <c r="AA3">
        <v>329.0373787629</v>
      </c>
      <c r="AB3">
        <v>357.57080935509998</v>
      </c>
      <c r="AC3">
        <v>1</v>
      </c>
      <c r="AF3">
        <v>1</v>
      </c>
    </row>
    <row r="4" spans="1:32">
      <c r="A4" t="s">
        <v>562</v>
      </c>
      <c r="B4" t="s">
        <v>565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-4.6920821114000004</v>
      </c>
      <c r="R4">
        <v>-32</v>
      </c>
      <c r="S4">
        <v>83.198469755100007</v>
      </c>
      <c r="T4">
        <v>101.64387278700001</v>
      </c>
      <c r="U4">
        <v>3.9549589188000001</v>
      </c>
      <c r="V4">
        <v>4.6799859999999997E-3</v>
      </c>
      <c r="W4">
        <v>-8.2828400000000001E-5</v>
      </c>
      <c r="X4">
        <v>3.8576148588999999</v>
      </c>
      <c r="Y4">
        <v>80.620943799100004</v>
      </c>
      <c r="Z4">
        <v>61.614356772000001</v>
      </c>
      <c r="AA4">
        <v>336.16795873540002</v>
      </c>
      <c r="AB4">
        <v>360.54113055699997</v>
      </c>
      <c r="AC4">
        <v>1</v>
      </c>
      <c r="AF4">
        <v>1</v>
      </c>
    </row>
    <row r="5" spans="1:32">
      <c r="A5" t="s">
        <v>566</v>
      </c>
      <c r="B5" t="s">
        <v>567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-5.8651026392999999</v>
      </c>
      <c r="R5">
        <v>-40</v>
      </c>
      <c r="S5">
        <v>88.438885458399994</v>
      </c>
      <c r="T5">
        <v>112.10727594310001</v>
      </c>
      <c r="U5">
        <v>4.0615713426999998</v>
      </c>
      <c r="V5">
        <v>3.9768475000000001E-3</v>
      </c>
      <c r="W5">
        <v>-8.0994000000000004E-5</v>
      </c>
      <c r="X5">
        <v>3.9445209397999998</v>
      </c>
      <c r="Y5">
        <v>87.3862538793</v>
      </c>
      <c r="Z5">
        <v>67.718172739400003</v>
      </c>
      <c r="AA5">
        <v>339.1724303318</v>
      </c>
      <c r="AB5">
        <v>362.9494149798</v>
      </c>
      <c r="AC5">
        <v>1</v>
      </c>
      <c r="AF5">
        <v>1</v>
      </c>
    </row>
    <row r="6" spans="1:32">
      <c r="A6" t="s">
        <v>589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-4.6920821114000004</v>
      </c>
      <c r="R6">
        <v>-32</v>
      </c>
      <c r="S6">
        <v>81.842098918100007</v>
      </c>
      <c r="T6">
        <v>100.7457766823</v>
      </c>
      <c r="U6">
        <v>4.0549825476999999</v>
      </c>
      <c r="V6">
        <v>5.1518770999999996E-3</v>
      </c>
      <c r="W6">
        <v>-8.9172700000000001E-5</v>
      </c>
      <c r="X6">
        <v>3.9714888262999999</v>
      </c>
      <c r="Y6">
        <v>81.623382399799993</v>
      </c>
      <c r="Z6">
        <v>63.397143560300002</v>
      </c>
      <c r="AA6">
        <v>337.32522251130001</v>
      </c>
      <c r="AB6">
        <v>363.91124929799997</v>
      </c>
      <c r="AC6">
        <v>1</v>
      </c>
      <c r="AF6">
        <v>1</v>
      </c>
    </row>
    <row r="7" spans="1:32">
      <c r="A7" t="s">
        <v>591</v>
      </c>
      <c r="B7" t="s">
        <v>594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-4.6920821114000004</v>
      </c>
      <c r="R7">
        <v>-32</v>
      </c>
      <c r="S7">
        <v>84.596786185200003</v>
      </c>
      <c r="T7">
        <v>103.7142710717</v>
      </c>
      <c r="U7">
        <v>4.0997992530999996</v>
      </c>
      <c r="V7">
        <v>4.9797087E-3</v>
      </c>
      <c r="W7">
        <v>-9.1756799999999995E-5</v>
      </c>
      <c r="X7">
        <v>4.0086542290000002</v>
      </c>
      <c r="Y7">
        <v>83.848212824599997</v>
      </c>
      <c r="Z7">
        <v>64.245235492099994</v>
      </c>
      <c r="AA7">
        <v>331.78079360420003</v>
      </c>
      <c r="AB7">
        <v>356.24664451289999</v>
      </c>
      <c r="AC7">
        <v>1</v>
      </c>
      <c r="AF7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7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9.9999999300000003E-2</v>
      </c>
      <c r="S2">
        <v>9.9999999300000003E-2</v>
      </c>
      <c r="T2">
        <v>9.9999999300000003E-2</v>
      </c>
      <c r="U2">
        <v>0</v>
      </c>
      <c r="V2">
        <v>9.9999999300000003E-2</v>
      </c>
      <c r="W2">
        <v>9.9999999300000003E-2</v>
      </c>
      <c r="X2">
        <v>9.9999999300000003E-2</v>
      </c>
      <c r="Y2">
        <v>0</v>
      </c>
      <c r="Z2">
        <v>9.9999999300000003E-2</v>
      </c>
      <c r="AA2">
        <v>9.9999999300000003E-2</v>
      </c>
      <c r="AB2">
        <v>9.9999999300000003E-2</v>
      </c>
      <c r="AC2">
        <v>9.9999999300000003E-2</v>
      </c>
      <c r="AD2">
        <v>9.9999999300000003E-2</v>
      </c>
      <c r="AE2">
        <v>9.9999999300000003E-2</v>
      </c>
      <c r="AF2">
        <v>0.19999999860000001</v>
      </c>
      <c r="AG2">
        <v>0.29999999970000002</v>
      </c>
      <c r="AH2">
        <v>0.29999999970000002</v>
      </c>
      <c r="AI2">
        <v>0.39999999899999999</v>
      </c>
      <c r="AJ2">
        <v>0.50000000010000001</v>
      </c>
      <c r="AK2">
        <v>1.5000000003</v>
      </c>
      <c r="AL2">
        <v>4.1999999994000001</v>
      </c>
      <c r="AM2">
        <v>9.5999999993999996</v>
      </c>
      <c r="AN2">
        <v>17.499999999900002</v>
      </c>
      <c r="AO2">
        <v>25.8999999987</v>
      </c>
      <c r="AP2">
        <v>34.399999998600002</v>
      </c>
      <c r="AQ2">
        <v>43.099999998999998</v>
      </c>
      <c r="AR2">
        <v>51.400000000299997</v>
      </c>
      <c r="AS2">
        <v>59.499999999400004</v>
      </c>
      <c r="AT2">
        <v>68.299999998999994</v>
      </c>
      <c r="AU2">
        <v>77.400000000099993</v>
      </c>
      <c r="AV2">
        <v>86.5999999987</v>
      </c>
      <c r="AW2">
        <v>95.799999999099995</v>
      </c>
      <c r="AX2">
        <v>104.7999999992</v>
      </c>
      <c r="AY2">
        <v>113.7999999992</v>
      </c>
      <c r="AZ2">
        <v>123.2</v>
      </c>
      <c r="BA2">
        <v>132.49999999970001</v>
      </c>
      <c r="BB2">
        <v>141.8999999987</v>
      </c>
      <c r="BC2">
        <v>151.09999999909999</v>
      </c>
      <c r="BD2">
        <v>159.70000000019999</v>
      </c>
      <c r="BE2">
        <v>168.99999999990001</v>
      </c>
      <c r="BF2">
        <v>178.5999999993</v>
      </c>
      <c r="BG2">
        <v>188.00000000009999</v>
      </c>
      <c r="BH2">
        <v>197.29999999980001</v>
      </c>
      <c r="BI2">
        <v>206.29999999980001</v>
      </c>
      <c r="BJ2">
        <v>215.00000000009999</v>
      </c>
      <c r="BK2">
        <v>224.0000000002</v>
      </c>
      <c r="BL2">
        <v>233.39999999919999</v>
      </c>
      <c r="BM2">
        <v>242.69999999890001</v>
      </c>
      <c r="BN2">
        <v>252.0999999997</v>
      </c>
      <c r="BO2">
        <v>260.39999999920002</v>
      </c>
      <c r="BP2">
        <v>269.00000000019998</v>
      </c>
      <c r="BQ2">
        <v>277.79999999979998</v>
      </c>
      <c r="BR2">
        <v>286.59999999950003</v>
      </c>
      <c r="BS2">
        <v>295.39999999909998</v>
      </c>
      <c r="BT2">
        <v>304.00000000009999</v>
      </c>
      <c r="BU2">
        <v>311.99999999990001</v>
      </c>
      <c r="BV2">
        <v>319.99999999969998</v>
      </c>
      <c r="BW2">
        <v>328.1999999999</v>
      </c>
      <c r="BX2">
        <v>336.29999999900002</v>
      </c>
      <c r="BY2">
        <v>344.69999999959998</v>
      </c>
      <c r="BZ2">
        <v>352.6000000002</v>
      </c>
      <c r="CA2">
        <v>360.39999999960003</v>
      </c>
      <c r="CB2">
        <v>367.8</v>
      </c>
      <c r="CC2">
        <v>375</v>
      </c>
      <c r="CD2">
        <v>382.49999999969998</v>
      </c>
      <c r="CE2">
        <v>389.90000000010002</v>
      </c>
      <c r="CF2">
        <v>397.3999999998</v>
      </c>
      <c r="CG2">
        <v>404.49999999869999</v>
      </c>
      <c r="CH2">
        <v>411.59999999950003</v>
      </c>
      <c r="CI2">
        <v>418.20000000009998</v>
      </c>
      <c r="CJ2">
        <v>424.79999999889998</v>
      </c>
      <c r="CK2">
        <v>431.59999999989998</v>
      </c>
      <c r="CL2">
        <v>438.00000000009999</v>
      </c>
      <c r="CM2">
        <v>441.8999999998</v>
      </c>
      <c r="CN2">
        <v>442.60000000029999</v>
      </c>
      <c r="CO2">
        <v>442.49999999919999</v>
      </c>
      <c r="CP2">
        <v>442.39999999989999</v>
      </c>
      <c r="CQ2">
        <v>442.39999999989999</v>
      </c>
      <c r="CR2">
        <v>442.49999999919999</v>
      </c>
      <c r="CS2">
        <v>442.49999999919999</v>
      </c>
      <c r="CT2">
        <v>442.39999999989999</v>
      </c>
      <c r="CU2">
        <v>442.29999999879999</v>
      </c>
      <c r="CV2">
        <v>442.29999999879999</v>
      </c>
      <c r="CW2">
        <v>442.19999999949999</v>
      </c>
      <c r="CX2">
        <v>442.19999999949999</v>
      </c>
      <c r="CY2">
        <v>442.1000000002</v>
      </c>
      <c r="CZ2">
        <v>441.9999999991</v>
      </c>
      <c r="DA2">
        <v>441.9999999991</v>
      </c>
      <c r="DB2">
        <v>442.1000000002</v>
      </c>
      <c r="DC2">
        <v>441.9999999991</v>
      </c>
      <c r="DD2">
        <v>441.9999999991</v>
      </c>
      <c r="DE2">
        <v>441.8999999998</v>
      </c>
      <c r="DF2">
        <v>441.8999999998</v>
      </c>
      <c r="DG2">
        <v>0.79999999980000003</v>
      </c>
      <c r="DH2">
        <v>1.1999999988000001</v>
      </c>
      <c r="DI2">
        <v>1.0999999995</v>
      </c>
      <c r="DJ2">
        <v>1.1999999988000001</v>
      </c>
      <c r="DK2">
        <v>1.1999999988000001</v>
      </c>
      <c r="DL2">
        <v>1.2999999999</v>
      </c>
      <c r="DM2">
        <v>1.1999999988000001</v>
      </c>
      <c r="DN2">
        <v>1.2999999999</v>
      </c>
      <c r="DO2">
        <v>1.2999999999</v>
      </c>
      <c r="DP2">
        <v>1.3999999992000001</v>
      </c>
      <c r="DQ2">
        <v>1.3999999992000001</v>
      </c>
      <c r="DR2">
        <v>1.3999999992000001</v>
      </c>
      <c r="DS2">
        <v>1.3999999992000001</v>
      </c>
      <c r="DT2">
        <v>1.3999999992000001</v>
      </c>
      <c r="DU2">
        <v>1.3999999992000001</v>
      </c>
      <c r="DV2">
        <v>1.5000000003</v>
      </c>
      <c r="DW2">
        <v>1.5000000003</v>
      </c>
      <c r="DX2">
        <v>1.5000000003</v>
      </c>
      <c r="DY2">
        <v>2.1999999990000001</v>
      </c>
      <c r="DZ2">
        <v>5.1999999996000001</v>
      </c>
      <c r="EA2">
        <v>11.300000000100001</v>
      </c>
      <c r="EB2">
        <v>19.500000000299998</v>
      </c>
      <c r="EC2">
        <v>27.599999999400001</v>
      </c>
      <c r="ED2">
        <v>36.000000000100002</v>
      </c>
      <c r="EE2">
        <v>44.200000000300001</v>
      </c>
      <c r="EF2">
        <v>52.200000000099998</v>
      </c>
      <c r="EG2">
        <v>60.199999999900001</v>
      </c>
      <c r="EH2">
        <v>68.799999999099995</v>
      </c>
      <c r="EI2">
        <v>77.799999999099995</v>
      </c>
      <c r="EJ2">
        <v>86.900000000199995</v>
      </c>
      <c r="EK2">
        <v>95.799999999099995</v>
      </c>
      <c r="EL2">
        <v>104.49999999950001</v>
      </c>
      <c r="EM2">
        <v>113.49999999950001</v>
      </c>
      <c r="EN2">
        <v>122.9000000003</v>
      </c>
      <c r="EO2">
        <v>132.19999999999999</v>
      </c>
      <c r="EP2">
        <v>141.599999999</v>
      </c>
      <c r="EQ2">
        <v>150.7000000001</v>
      </c>
      <c r="ER2">
        <v>159.39999999860001</v>
      </c>
      <c r="ES2">
        <v>168.3999999987</v>
      </c>
      <c r="ET2">
        <v>177.99999999990001</v>
      </c>
      <c r="EU2">
        <v>187.3999999989</v>
      </c>
      <c r="EV2">
        <v>196.89999999899999</v>
      </c>
      <c r="EW2">
        <v>205.89999999899999</v>
      </c>
      <c r="EX2">
        <v>214.69999999859999</v>
      </c>
      <c r="EY2">
        <v>223.89999999899999</v>
      </c>
      <c r="EZ2">
        <v>233.2999999999</v>
      </c>
      <c r="FA2">
        <v>242.69999999890001</v>
      </c>
      <c r="FB2">
        <v>251.9999999986</v>
      </c>
      <c r="FC2">
        <v>260.8</v>
      </c>
      <c r="FD2">
        <v>269.39999999920002</v>
      </c>
      <c r="FE2">
        <v>278.19999999880002</v>
      </c>
      <c r="FF2">
        <v>287.09999999960002</v>
      </c>
      <c r="FG2">
        <v>296.19999999890001</v>
      </c>
      <c r="FH2">
        <v>304.89999999920002</v>
      </c>
      <c r="FI2">
        <v>313.29999999979998</v>
      </c>
      <c r="FJ2">
        <v>321.3999999989</v>
      </c>
      <c r="FK2">
        <v>329.70000000020002</v>
      </c>
      <c r="FL2">
        <v>338.09999999899998</v>
      </c>
      <c r="FM2">
        <v>346.49999999969998</v>
      </c>
      <c r="FN2">
        <v>354.6999999999</v>
      </c>
      <c r="FO2">
        <v>362.4</v>
      </c>
      <c r="FP2">
        <v>369.89999999970001</v>
      </c>
      <c r="FQ2">
        <v>377.49999999869999</v>
      </c>
      <c r="FR2">
        <v>385.19999999880002</v>
      </c>
      <c r="FS2">
        <v>392.7999999996</v>
      </c>
      <c r="FT2">
        <v>400.2</v>
      </c>
      <c r="FU2">
        <v>407.49999999929997</v>
      </c>
      <c r="FV2">
        <v>414.39999999970001</v>
      </c>
      <c r="FW2">
        <v>420.89999999920002</v>
      </c>
      <c r="FX2">
        <v>427.20000000009998</v>
      </c>
      <c r="FY2">
        <v>432.8999999998</v>
      </c>
      <c r="FZ2">
        <v>438.50000000019998</v>
      </c>
      <c r="GA2">
        <v>442.1000000002</v>
      </c>
      <c r="GB2">
        <v>442.39999999989999</v>
      </c>
      <c r="GC2">
        <v>442.39999999989999</v>
      </c>
      <c r="GD2">
        <v>442.39999999989999</v>
      </c>
      <c r="GE2">
        <v>442.39999999989999</v>
      </c>
      <c r="GF2">
        <v>442.39999999989999</v>
      </c>
      <c r="GG2">
        <v>442.29999999879999</v>
      </c>
      <c r="GH2">
        <v>442.29999999879999</v>
      </c>
      <c r="GI2">
        <v>442.19999999949999</v>
      </c>
      <c r="GJ2">
        <v>442.19999999949999</v>
      </c>
      <c r="GK2">
        <v>442.1000000002</v>
      </c>
      <c r="GL2">
        <v>441.9999999991</v>
      </c>
      <c r="GM2">
        <v>441.9999999991</v>
      </c>
      <c r="GN2">
        <v>441.8999999998</v>
      </c>
      <c r="GO2">
        <v>441.8999999998</v>
      </c>
      <c r="GP2">
        <v>441.8999999998</v>
      </c>
      <c r="GQ2">
        <v>441.9999999991</v>
      </c>
      <c r="GR2">
        <v>441.9999999991</v>
      </c>
      <c r="GS2">
        <v>441.9999999991</v>
      </c>
      <c r="GT2">
        <v>441.8999999998</v>
      </c>
      <c r="GU2">
        <v>441.8999999998</v>
      </c>
      <c r="GV2">
        <v>441.8999999998</v>
      </c>
      <c r="GW2">
        <v>1</v>
      </c>
      <c r="GX2">
        <v>103.4</v>
      </c>
      <c r="GY2">
        <v>95.799999999099995</v>
      </c>
      <c r="GZ2">
        <v>95.799999999099995</v>
      </c>
      <c r="HA2">
        <v>113.49999999950001</v>
      </c>
      <c r="HB2">
        <v>99.985999999200004</v>
      </c>
      <c r="HC2">
        <v>-17.700000000300001</v>
      </c>
      <c r="HD2">
        <v>441.8999999998</v>
      </c>
      <c r="HE2">
        <v>313.00789830560001</v>
      </c>
      <c r="HF2">
        <v>81.3676384173</v>
      </c>
      <c r="HG2">
        <v>442.60000000029999</v>
      </c>
      <c r="HH2">
        <v>442.40001129929999</v>
      </c>
      <c r="HI2">
        <v>442.60000000029999</v>
      </c>
      <c r="HJ2">
        <v>442.39999999989999</v>
      </c>
      <c r="HK2">
        <v>93.841642228699996</v>
      </c>
      <c r="HL2">
        <v>3.9058271959000002</v>
      </c>
      <c r="HM2">
        <v>3.7180364198999998</v>
      </c>
      <c r="HN2">
        <v>3.7517886215999998</v>
      </c>
      <c r="HO2">
        <v>3.6995581702</v>
      </c>
      <c r="HP2">
        <v>4.0124493091</v>
      </c>
      <c r="HQ2">
        <v>3.0072565949999999</v>
      </c>
      <c r="HR2">
        <v>18.6183615819</v>
      </c>
      <c r="HS2">
        <v>-21.114369501500001</v>
      </c>
      <c r="HT2">
        <v>-144</v>
      </c>
      <c r="HU2">
        <v>412.9938983047</v>
      </c>
      <c r="HV2">
        <v>82.1114369501</v>
      </c>
      <c r="HW2">
        <v>560</v>
      </c>
      <c r="HX2">
        <v>18.6183615819</v>
      </c>
      <c r="HY2">
        <v>-21.114369501500001</v>
      </c>
      <c r="HZ2">
        <v>-144</v>
      </c>
      <c r="IA2">
        <v>412.9938983047</v>
      </c>
      <c r="IB2">
        <v>82.1114369501</v>
      </c>
      <c r="IC2">
        <v>560</v>
      </c>
      <c r="ID2">
        <v>29.406112994600001</v>
      </c>
      <c r="IE2">
        <v>0.53027118650000005</v>
      </c>
      <c r="IF2">
        <v>-30.4985337243</v>
      </c>
      <c r="IG2">
        <v>-208</v>
      </c>
      <c r="IH2">
        <v>438.1640790962</v>
      </c>
      <c r="II2">
        <v>91.495601172999997</v>
      </c>
      <c r="IJ2">
        <v>624</v>
      </c>
      <c r="IK2">
        <v>394.37553672289999</v>
      </c>
      <c r="IL2">
        <v>103.22580645159999</v>
      </c>
      <c r="IM2">
        <v>421.77589830570003</v>
      </c>
      <c r="IN2">
        <v>112.6099706745</v>
      </c>
      <c r="IO2">
        <v>8.2000000001999993</v>
      </c>
      <c r="IP2">
        <v>6.8000000009999999</v>
      </c>
      <c r="IQ2">
        <v>9.6000000011999997</v>
      </c>
      <c r="IR2">
        <v>4.0507639464</v>
      </c>
      <c r="IS2">
        <v>4.0507639464</v>
      </c>
      <c r="IT2">
        <v>18</v>
      </c>
      <c r="IU2">
        <v>-23.460410557199999</v>
      </c>
      <c r="IV2">
        <v>18.699999998700001</v>
      </c>
      <c r="IW2">
        <v>32.844574780099997</v>
      </c>
      <c r="IX2">
        <v>13.700000001299999</v>
      </c>
      <c r="IY2">
        <v>91.495601172999997</v>
      </c>
      <c r="IZ2">
        <v>-26.258422129</v>
      </c>
      <c r="JA2">
        <v>0.28053358969999997</v>
      </c>
      <c r="JB2">
        <v>-2.1896169999999999E-4</v>
      </c>
      <c r="JC2">
        <v>4.2300000000000002E-7</v>
      </c>
      <c r="JD2">
        <v>0.25602771190000001</v>
      </c>
      <c r="JE2">
        <v>0.1344925132</v>
      </c>
      <c r="JF2">
        <v>5.1044587299999999E-2</v>
      </c>
      <c r="JG2">
        <v>100.12482889259999</v>
      </c>
      <c r="JH2">
        <v>4.0124493091</v>
      </c>
      <c r="JI2">
        <v>4.6418661000000002E-3</v>
      </c>
      <c r="JJ2">
        <v>-8.7383499999999994E-5</v>
      </c>
      <c r="JK2">
        <v>3.9058271959000002</v>
      </c>
      <c r="JL2">
        <v>0.61324851209999998</v>
      </c>
      <c r="JM2">
        <v>0.26481752349999998</v>
      </c>
      <c r="JN2" t="s">
        <v>538</v>
      </c>
      <c r="JQ2">
        <v>1</v>
      </c>
    </row>
    <row r="3" spans="1:277">
      <c r="A3" t="s">
        <v>568</v>
      </c>
      <c r="B3" t="s">
        <v>569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1.0000000002</v>
      </c>
      <c r="R3">
        <v>0</v>
      </c>
      <c r="S3">
        <v>0</v>
      </c>
      <c r="T3">
        <v>0</v>
      </c>
      <c r="U3">
        <v>9.9999999300000003E-2</v>
      </c>
      <c r="V3">
        <v>9.9999999300000003E-2</v>
      </c>
      <c r="W3">
        <v>0.20000000039999999</v>
      </c>
      <c r="X3">
        <v>0.20000000039999999</v>
      </c>
      <c r="Y3">
        <v>0.29999999970000002</v>
      </c>
      <c r="Z3">
        <v>0.59999999940000004</v>
      </c>
      <c r="AA3">
        <v>0.50000000010000001</v>
      </c>
      <c r="AB3">
        <v>0.50000000010000001</v>
      </c>
      <c r="AC3">
        <v>0.59999999940000004</v>
      </c>
      <c r="AD3">
        <v>0.50000000010000001</v>
      </c>
      <c r="AE3">
        <v>0.50000000010000001</v>
      </c>
      <c r="AF3">
        <v>0.39999999899999999</v>
      </c>
      <c r="AG3">
        <v>0.39999999899999999</v>
      </c>
      <c r="AH3">
        <v>0.29999999970000002</v>
      </c>
      <c r="AI3">
        <v>0.29999999970000002</v>
      </c>
      <c r="AJ3">
        <v>0.20000000039999999</v>
      </c>
      <c r="AK3">
        <v>0.20000000039999999</v>
      </c>
      <c r="AL3">
        <v>9.9999999300000003E-2</v>
      </c>
      <c r="AM3">
        <v>0.29999999970000002</v>
      </c>
      <c r="AN3">
        <v>5.6999999997000002</v>
      </c>
      <c r="AO3">
        <v>15.799999999200001</v>
      </c>
      <c r="AP3">
        <v>23.9999999994</v>
      </c>
      <c r="AQ3">
        <v>32.699999999699997</v>
      </c>
      <c r="AR3">
        <v>41.799999999100002</v>
      </c>
      <c r="AS3">
        <v>50.999999999499998</v>
      </c>
      <c r="AT3">
        <v>59.900000000200002</v>
      </c>
      <c r="AU3">
        <v>68.100000000400001</v>
      </c>
      <c r="AV3">
        <v>77.199999999699997</v>
      </c>
      <c r="AW3">
        <v>86.900000000199995</v>
      </c>
      <c r="AX3">
        <v>96.799999999299999</v>
      </c>
      <c r="AY3">
        <v>106.8999999989</v>
      </c>
      <c r="AZ3">
        <v>116.399999999</v>
      </c>
      <c r="BA3">
        <v>125.399999999</v>
      </c>
      <c r="BB3">
        <v>134.39999999899999</v>
      </c>
      <c r="BC3">
        <v>143.69999999870001</v>
      </c>
      <c r="BD3">
        <v>153.50000000029999</v>
      </c>
      <c r="BE3">
        <v>163.39999999950001</v>
      </c>
      <c r="BF3">
        <v>172.8000000003</v>
      </c>
      <c r="BG3">
        <v>181.8999999996</v>
      </c>
      <c r="BH3">
        <v>191.1</v>
      </c>
      <c r="BI3">
        <v>200.49999999900001</v>
      </c>
      <c r="BJ3">
        <v>210.19999999949999</v>
      </c>
      <c r="BK3">
        <v>219.69999999960001</v>
      </c>
      <c r="BL3">
        <v>228.99999999939999</v>
      </c>
      <c r="BM3">
        <v>237.90000000009999</v>
      </c>
      <c r="BN3">
        <v>246.79999999899999</v>
      </c>
      <c r="BO3">
        <v>256.40000000020001</v>
      </c>
      <c r="BP3">
        <v>266.2</v>
      </c>
      <c r="BQ3">
        <v>275.2</v>
      </c>
      <c r="BR3">
        <v>283.90000000039998</v>
      </c>
      <c r="BS3">
        <v>292.1999999999</v>
      </c>
      <c r="BT3">
        <v>300.99999999950001</v>
      </c>
      <c r="BU3">
        <v>310.49999999959999</v>
      </c>
      <c r="BV3">
        <v>319.59999999889999</v>
      </c>
      <c r="BW3">
        <v>328.0999999988</v>
      </c>
      <c r="BX3">
        <v>336.49999999940002</v>
      </c>
      <c r="BY3">
        <v>344.4</v>
      </c>
      <c r="BZ3">
        <v>352.6000000002</v>
      </c>
      <c r="CA3">
        <v>361.30000000050001</v>
      </c>
      <c r="CB3">
        <v>369.99999999900001</v>
      </c>
      <c r="CC3">
        <v>378.19999999919997</v>
      </c>
      <c r="CD3">
        <v>385.89999999930001</v>
      </c>
      <c r="CE3">
        <v>393.39999999899999</v>
      </c>
      <c r="CF3">
        <v>401.09999999910002</v>
      </c>
      <c r="CG3">
        <v>409.09999999889999</v>
      </c>
      <c r="CH3">
        <v>417.0999999988</v>
      </c>
      <c r="CI3">
        <v>424.9</v>
      </c>
      <c r="CJ3">
        <v>432.9999999991</v>
      </c>
      <c r="CK3">
        <v>440.99999999890002</v>
      </c>
      <c r="CL3">
        <v>444.79999999929998</v>
      </c>
      <c r="CM3">
        <v>444.99999999969998</v>
      </c>
      <c r="CN3">
        <v>445.09999999899998</v>
      </c>
      <c r="CO3">
        <v>445.20000000009998</v>
      </c>
      <c r="CP3">
        <v>445.29999999939997</v>
      </c>
      <c r="CQ3">
        <v>445.29999999939997</v>
      </c>
      <c r="CR3">
        <v>445.39999999870003</v>
      </c>
      <c r="CS3">
        <v>445.39999999870003</v>
      </c>
      <c r="CT3">
        <v>445.39999999870003</v>
      </c>
      <c r="CU3">
        <v>445.39999999870003</v>
      </c>
      <c r="CV3">
        <v>445.49999999980002</v>
      </c>
      <c r="CW3">
        <v>445.49999999980002</v>
      </c>
      <c r="CX3">
        <v>445.49999999980002</v>
      </c>
      <c r="CY3">
        <v>445.49999999980002</v>
      </c>
      <c r="CZ3">
        <v>445.59999999910002</v>
      </c>
      <c r="DA3">
        <v>445.59999999910002</v>
      </c>
      <c r="DB3">
        <v>445.49999999980002</v>
      </c>
      <c r="DC3">
        <v>445.49999999980002</v>
      </c>
      <c r="DD3">
        <v>445.39999999870003</v>
      </c>
      <c r="DE3">
        <v>445.39999999870003</v>
      </c>
      <c r="DF3">
        <v>445.39999999870003</v>
      </c>
      <c r="DG3">
        <v>2.0999999997000001</v>
      </c>
      <c r="DH3">
        <v>1.0999999995</v>
      </c>
      <c r="DI3">
        <v>1.0999999995</v>
      </c>
      <c r="DJ3">
        <v>0.89999999909999995</v>
      </c>
      <c r="DK3">
        <v>0.89999999909999995</v>
      </c>
      <c r="DL3">
        <v>0.89999999909999995</v>
      </c>
      <c r="DM3">
        <v>0.79999999980000003</v>
      </c>
      <c r="DN3">
        <v>0.79999999980000003</v>
      </c>
      <c r="DO3">
        <v>0.7000000005</v>
      </c>
      <c r="DP3">
        <v>0.79999999980000003</v>
      </c>
      <c r="DQ3">
        <v>0.7000000005</v>
      </c>
      <c r="DR3">
        <v>0.7000000005</v>
      </c>
      <c r="DS3">
        <v>1.0999999995</v>
      </c>
      <c r="DT3">
        <v>1.2999999999</v>
      </c>
      <c r="DU3">
        <v>1.1999999988000001</v>
      </c>
      <c r="DV3">
        <v>1.2999999999</v>
      </c>
      <c r="DW3">
        <v>1.2999999999</v>
      </c>
      <c r="DX3">
        <v>1.2999999999</v>
      </c>
      <c r="DY3">
        <v>1.2999999999</v>
      </c>
      <c r="DZ3">
        <v>1.5000000003</v>
      </c>
      <c r="EA3">
        <v>3.6</v>
      </c>
      <c r="EB3">
        <v>8.8999999989000003</v>
      </c>
      <c r="EC3">
        <v>16.499999999700002</v>
      </c>
      <c r="ED3">
        <v>24.599999998800001</v>
      </c>
      <c r="EE3">
        <v>32.999999999400004</v>
      </c>
      <c r="EF3">
        <v>41.999999999499998</v>
      </c>
      <c r="EG3">
        <v>51.099999998800001</v>
      </c>
      <c r="EH3">
        <v>59.900000000200002</v>
      </c>
      <c r="EI3">
        <v>67.999999999300002</v>
      </c>
      <c r="EJ3">
        <v>76.900000000000006</v>
      </c>
      <c r="EK3">
        <v>86.400000000099993</v>
      </c>
      <c r="EL3">
        <v>95.999999999500005</v>
      </c>
      <c r="EM3">
        <v>106.20000000020001</v>
      </c>
      <c r="EN3">
        <v>115.8999999989</v>
      </c>
      <c r="EO3">
        <v>125.0999999993</v>
      </c>
      <c r="EP3">
        <v>134.0999999993</v>
      </c>
      <c r="EQ3">
        <v>143.29999999969999</v>
      </c>
      <c r="ER3">
        <v>153.0999999995</v>
      </c>
      <c r="ES3">
        <v>163.09999999979999</v>
      </c>
      <c r="ET3">
        <v>172.49999999880001</v>
      </c>
      <c r="EU3">
        <v>181.49999999880001</v>
      </c>
      <c r="EV3">
        <v>190.6999999992</v>
      </c>
      <c r="EW3">
        <v>200.30000000039999</v>
      </c>
      <c r="EX3">
        <v>209.9999999991</v>
      </c>
      <c r="EY3">
        <v>219.6000000004</v>
      </c>
      <c r="EZ3">
        <v>228.90000000009999</v>
      </c>
      <c r="FA3">
        <v>237.90000000009999</v>
      </c>
      <c r="FB3">
        <v>246.90000000009999</v>
      </c>
      <c r="FC3">
        <v>256.49999999950001</v>
      </c>
      <c r="FD3">
        <v>266.29999999929998</v>
      </c>
      <c r="FE3">
        <v>275.49999999969998</v>
      </c>
      <c r="FF3">
        <v>284.09999999889999</v>
      </c>
      <c r="FG3">
        <v>292.59999999889999</v>
      </c>
      <c r="FH3">
        <v>301.49999999959999</v>
      </c>
      <c r="FI3">
        <v>310.79999999929998</v>
      </c>
      <c r="FJ3">
        <v>319.99999999969998</v>
      </c>
      <c r="FK3">
        <v>328.59999999889999</v>
      </c>
      <c r="FL3">
        <v>336.90000000020001</v>
      </c>
      <c r="FM3">
        <v>344.99999999929997</v>
      </c>
      <c r="FN3">
        <v>353.29999999889998</v>
      </c>
      <c r="FO3">
        <v>361.89999999989999</v>
      </c>
      <c r="FP3">
        <v>370.6000000002</v>
      </c>
      <c r="FQ3">
        <v>378.89999999970001</v>
      </c>
      <c r="FR3">
        <v>386.39999999939999</v>
      </c>
      <c r="FS3">
        <v>393.69999999869998</v>
      </c>
      <c r="FT3">
        <v>401.49999999990001</v>
      </c>
      <c r="FU3">
        <v>409.40000000049997</v>
      </c>
      <c r="FV3">
        <v>417.0999999988</v>
      </c>
      <c r="FW3">
        <v>424.79999999889998</v>
      </c>
      <c r="FX3">
        <v>432.1</v>
      </c>
      <c r="FY3">
        <v>439.5999999997</v>
      </c>
      <c r="FZ3">
        <v>444.49999999959999</v>
      </c>
      <c r="GA3">
        <v>445.29999999939997</v>
      </c>
      <c r="GB3">
        <v>445.39999999870003</v>
      </c>
      <c r="GC3">
        <v>445.29999999939997</v>
      </c>
      <c r="GD3">
        <v>445.39999999870003</v>
      </c>
      <c r="GE3">
        <v>445.39999999870003</v>
      </c>
      <c r="GF3">
        <v>445.39999999870003</v>
      </c>
      <c r="GG3">
        <v>445.39999999870003</v>
      </c>
      <c r="GH3">
        <v>445.39999999870003</v>
      </c>
      <c r="GI3">
        <v>445.39999999870003</v>
      </c>
      <c r="GJ3">
        <v>445.39999999870003</v>
      </c>
      <c r="GK3">
        <v>445.39999999870003</v>
      </c>
      <c r="GL3">
        <v>445.29999999939997</v>
      </c>
      <c r="GM3">
        <v>445.39999999870003</v>
      </c>
      <c r="GN3">
        <v>445.39999999870003</v>
      </c>
      <c r="GO3">
        <v>445.39999999870003</v>
      </c>
      <c r="GP3">
        <v>445.39999999870003</v>
      </c>
      <c r="GQ3">
        <v>445.49999999980002</v>
      </c>
      <c r="GR3">
        <v>445.39999999870003</v>
      </c>
      <c r="GS3">
        <v>445.49999999980002</v>
      </c>
      <c r="GT3">
        <v>445.39999999870003</v>
      </c>
      <c r="GU3">
        <v>445.39999999870003</v>
      </c>
      <c r="GV3">
        <v>445.29999999939997</v>
      </c>
      <c r="GW3">
        <v>1</v>
      </c>
      <c r="GX3">
        <v>93.800000000599994</v>
      </c>
      <c r="GY3">
        <v>86.900000000199995</v>
      </c>
      <c r="GZ3">
        <v>86.900000000199995</v>
      </c>
      <c r="HA3">
        <v>106.20000000020001</v>
      </c>
      <c r="HB3">
        <v>91.082280327899994</v>
      </c>
      <c r="HC3">
        <v>-19.299999999899999</v>
      </c>
      <c r="HD3">
        <v>445.30004488769998</v>
      </c>
      <c r="HE3">
        <v>324.70877566899998</v>
      </c>
      <c r="HF3">
        <v>74.340343396799994</v>
      </c>
      <c r="HG3">
        <v>445.59999999910002</v>
      </c>
      <c r="HH3">
        <v>445.49999999980002</v>
      </c>
      <c r="HI3">
        <v>445.59999999910002</v>
      </c>
      <c r="HJ3">
        <v>445.49999999980002</v>
      </c>
      <c r="HK3">
        <v>93.841642228699996</v>
      </c>
      <c r="HL3">
        <v>4.0325993866000003</v>
      </c>
      <c r="HM3">
        <v>3.8681129432999999</v>
      </c>
      <c r="HN3">
        <v>3.8745956522</v>
      </c>
      <c r="HO3">
        <v>3.8975581770000001</v>
      </c>
      <c r="HP3">
        <v>4.1322087941000003</v>
      </c>
      <c r="HQ3">
        <v>3.2312085929999999</v>
      </c>
      <c r="HR3">
        <v>16.7419369311</v>
      </c>
      <c r="HS3">
        <v>-18.7683284457</v>
      </c>
      <c r="HT3">
        <v>-128</v>
      </c>
      <c r="HU3">
        <v>415.791055997</v>
      </c>
      <c r="HV3">
        <v>82.1114369501</v>
      </c>
      <c r="HW3">
        <v>560</v>
      </c>
      <c r="HX3">
        <v>16.7419369311</v>
      </c>
      <c r="HY3">
        <v>-18.7683284457</v>
      </c>
      <c r="HZ3">
        <v>-128</v>
      </c>
      <c r="IA3">
        <v>415.791055997</v>
      </c>
      <c r="IB3">
        <v>82.1114369501</v>
      </c>
      <c r="IC3">
        <v>560</v>
      </c>
      <c r="ID3">
        <v>29.708944002799999</v>
      </c>
      <c r="IE3">
        <v>0.2144989343</v>
      </c>
      <c r="IF3">
        <v>-28.152492668600001</v>
      </c>
      <c r="IG3">
        <v>-192</v>
      </c>
      <c r="IH3">
        <v>444.32448658919998</v>
      </c>
      <c r="II3">
        <v>91.495601172999997</v>
      </c>
      <c r="IJ3">
        <v>624</v>
      </c>
      <c r="IK3">
        <v>399.04911906590002</v>
      </c>
      <c r="IL3">
        <v>100.87976539589999</v>
      </c>
      <c r="IM3">
        <v>430.78927168690001</v>
      </c>
      <c r="IN3">
        <v>110.26392961880001</v>
      </c>
      <c r="IO3">
        <v>10.0999999995</v>
      </c>
      <c r="IP3">
        <v>8.0999999990999996</v>
      </c>
      <c r="IQ3">
        <v>10.200000000599999</v>
      </c>
      <c r="IR3">
        <v>3.4148698165</v>
      </c>
      <c r="IS3">
        <v>3.4148698165</v>
      </c>
      <c r="IT3">
        <v>18.8999999991</v>
      </c>
      <c r="IU3">
        <v>-21.114369501500001</v>
      </c>
      <c r="IV3">
        <v>19.500000000299998</v>
      </c>
      <c r="IW3">
        <v>39.8826979472</v>
      </c>
      <c r="IX3">
        <v>14.699999999699999</v>
      </c>
      <c r="IY3">
        <v>89.149560117299998</v>
      </c>
      <c r="IZ3">
        <v>-23.011608931200001</v>
      </c>
      <c r="JA3">
        <v>0.26391092770000002</v>
      </c>
      <c r="JB3">
        <v>-1.6322839999999999E-4</v>
      </c>
      <c r="JC3">
        <v>3.2800000000000003E-7</v>
      </c>
      <c r="JD3">
        <v>0.24797900910000001</v>
      </c>
      <c r="JE3">
        <v>0.22097932370000001</v>
      </c>
      <c r="JF3">
        <v>8.3978543200000005E-2</v>
      </c>
      <c r="JG3">
        <v>91.5951210108</v>
      </c>
      <c r="JH3">
        <v>4.1322087941000003</v>
      </c>
      <c r="JI3">
        <v>4.0674834000000003E-3</v>
      </c>
      <c r="JJ3">
        <v>-7.7568800000000002E-5</v>
      </c>
      <c r="JK3">
        <v>4.0325993866000003</v>
      </c>
      <c r="JL3">
        <v>1.0700877358000001</v>
      </c>
      <c r="JM3">
        <v>0.3469240817</v>
      </c>
      <c r="JN3" t="s">
        <v>538</v>
      </c>
      <c r="JQ3">
        <v>1</v>
      </c>
    </row>
    <row r="4" spans="1:277">
      <c r="A4" t="s">
        <v>570</v>
      </c>
      <c r="B4" t="s">
        <v>571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548</v>
      </c>
      <c r="K4" t="s">
        <v>549</v>
      </c>
      <c r="L4" t="s">
        <v>550</v>
      </c>
      <c r="M4" t="s">
        <v>551</v>
      </c>
      <c r="N4" t="s">
        <v>552</v>
      </c>
      <c r="O4">
        <v>0</v>
      </c>
      <c r="P4">
        <v>0</v>
      </c>
      <c r="Q4">
        <v>0</v>
      </c>
      <c r="R4">
        <v>0.19999999860000001</v>
      </c>
      <c r="S4">
        <v>0.29999999970000002</v>
      </c>
      <c r="T4">
        <v>0.39999999899999999</v>
      </c>
      <c r="U4">
        <v>0.50000000010000001</v>
      </c>
      <c r="V4">
        <v>0.59999999940000004</v>
      </c>
      <c r="W4">
        <v>0.69999999869999996</v>
      </c>
      <c r="X4">
        <v>0.69999999869999996</v>
      </c>
      <c r="Y4">
        <v>0.79999999980000003</v>
      </c>
      <c r="Z4">
        <v>0.79999999980000003</v>
      </c>
      <c r="AA4">
        <v>1.0000000002</v>
      </c>
      <c r="AB4">
        <v>1.1999999988000001</v>
      </c>
      <c r="AC4">
        <v>1.2999999999</v>
      </c>
      <c r="AD4">
        <v>1.4999999985000001</v>
      </c>
      <c r="AE4">
        <v>1.8999999993000001</v>
      </c>
      <c r="AF4">
        <v>2.3000000000999998</v>
      </c>
      <c r="AG4">
        <v>2.6999999991000001</v>
      </c>
      <c r="AH4">
        <v>2.8999999994999999</v>
      </c>
      <c r="AI4">
        <v>2.8999999994999999</v>
      </c>
      <c r="AJ4">
        <v>2.4999999986999999</v>
      </c>
      <c r="AK4">
        <v>1.8</v>
      </c>
      <c r="AL4">
        <v>4.9999999991999999</v>
      </c>
      <c r="AM4">
        <v>12.4999999989</v>
      </c>
      <c r="AN4">
        <v>20.499999998700002</v>
      </c>
      <c r="AO4">
        <v>28.699999998900001</v>
      </c>
      <c r="AP4">
        <v>36.399999999000002</v>
      </c>
      <c r="AQ4">
        <v>44.599999999300003</v>
      </c>
      <c r="AR4">
        <v>53.099999999200001</v>
      </c>
      <c r="AS4">
        <v>61.999999999899998</v>
      </c>
      <c r="AT4">
        <v>70.999999999899998</v>
      </c>
      <c r="AU4">
        <v>79.799999999500002</v>
      </c>
      <c r="AV4">
        <v>88.299999999400001</v>
      </c>
      <c r="AW4">
        <v>96.999999999799996</v>
      </c>
      <c r="AX4">
        <v>106.20000000020001</v>
      </c>
      <c r="AY4">
        <v>115.3999999988</v>
      </c>
      <c r="AZ4">
        <v>124.8999999989</v>
      </c>
      <c r="BA4">
        <v>133.8999999989</v>
      </c>
      <c r="BB4">
        <v>142.49999999990001</v>
      </c>
      <c r="BC4">
        <v>151.59999999920001</v>
      </c>
      <c r="BD4">
        <v>160.6999999985</v>
      </c>
      <c r="BE4">
        <v>170.00000000009999</v>
      </c>
      <c r="BF4">
        <v>179.5999999995</v>
      </c>
      <c r="BG4">
        <v>188.5000000002</v>
      </c>
      <c r="BH4">
        <v>197.29999999980001</v>
      </c>
      <c r="BI4">
        <v>206.19999999870001</v>
      </c>
      <c r="BJ4">
        <v>215.19999999870001</v>
      </c>
      <c r="BK4">
        <v>224.4999999984</v>
      </c>
      <c r="BL4">
        <v>233.8</v>
      </c>
      <c r="BM4">
        <v>242.1999999988</v>
      </c>
      <c r="BN4">
        <v>250.8999999991</v>
      </c>
      <c r="BO4">
        <v>259.59999999939998</v>
      </c>
      <c r="BP4">
        <v>268.50000000009999</v>
      </c>
      <c r="BQ4">
        <v>277.59999999939998</v>
      </c>
      <c r="BR4">
        <v>286.50000000019998</v>
      </c>
      <c r="BS4">
        <v>294.5</v>
      </c>
      <c r="BT4">
        <v>302.89999999880001</v>
      </c>
      <c r="BU4">
        <v>311.20000000009998</v>
      </c>
      <c r="BV4">
        <v>319.49999999959999</v>
      </c>
      <c r="BW4">
        <v>327.99999999950001</v>
      </c>
      <c r="BX4">
        <v>336.40000000010002</v>
      </c>
      <c r="BY4">
        <v>343.8999999998</v>
      </c>
      <c r="BZ4">
        <v>351.6</v>
      </c>
      <c r="CA4">
        <v>359.3000000001</v>
      </c>
      <c r="CB4">
        <v>367.29999999990002</v>
      </c>
      <c r="CC4">
        <v>374.8999999989</v>
      </c>
      <c r="CD4">
        <v>382.49999999969998</v>
      </c>
      <c r="CE4">
        <v>389.90000000010002</v>
      </c>
      <c r="CF4">
        <v>396.79999999860001</v>
      </c>
      <c r="CG4">
        <v>403.89999999930001</v>
      </c>
      <c r="CH4">
        <v>410.79999999969999</v>
      </c>
      <c r="CI4">
        <v>418.20000000009998</v>
      </c>
      <c r="CJ4">
        <v>425.40000000010002</v>
      </c>
      <c r="CK4">
        <v>432.1</v>
      </c>
      <c r="CL4">
        <v>438.50000000019998</v>
      </c>
      <c r="CM4">
        <v>443.59999999870001</v>
      </c>
      <c r="CN4">
        <v>447.19999999869998</v>
      </c>
      <c r="CO4">
        <v>448.09999999960002</v>
      </c>
      <c r="CP4">
        <v>447.99999999850002</v>
      </c>
      <c r="CQ4">
        <v>447.99999999850002</v>
      </c>
      <c r="CR4">
        <v>447.89999999920002</v>
      </c>
      <c r="CS4">
        <v>447.79999999990002</v>
      </c>
      <c r="CT4">
        <v>447.79999999990002</v>
      </c>
      <c r="CU4">
        <v>447.69999999880002</v>
      </c>
      <c r="CV4">
        <v>447.69999999880002</v>
      </c>
      <c r="CW4">
        <v>447.69999999880002</v>
      </c>
      <c r="CX4">
        <v>447.59999999950003</v>
      </c>
      <c r="CY4">
        <v>447.50000000019998</v>
      </c>
      <c r="CZ4">
        <v>447.50000000019998</v>
      </c>
      <c r="DA4">
        <v>447.50000000019998</v>
      </c>
      <c r="DB4">
        <v>447.50000000019998</v>
      </c>
      <c r="DC4">
        <v>447.39999999909998</v>
      </c>
      <c r="DD4">
        <v>447.29999999979998</v>
      </c>
      <c r="DE4">
        <v>447.29999999979998</v>
      </c>
      <c r="DF4">
        <v>447.19999999869998</v>
      </c>
      <c r="DG4">
        <v>9.9999999300000003E-2</v>
      </c>
      <c r="DH4">
        <v>0.59999999940000004</v>
      </c>
      <c r="DI4">
        <v>0.69999999869999996</v>
      </c>
      <c r="DJ4">
        <v>0.59999999940000004</v>
      </c>
      <c r="DK4">
        <v>0.69999999869999996</v>
      </c>
      <c r="DL4">
        <v>0.69999999869999996</v>
      </c>
      <c r="DM4">
        <v>0.79999999980000003</v>
      </c>
      <c r="DN4">
        <v>0.79999999980000003</v>
      </c>
      <c r="DO4">
        <v>1.0000000002</v>
      </c>
      <c r="DP4">
        <v>1.0999999995</v>
      </c>
      <c r="DQ4">
        <v>1.1999999988000001</v>
      </c>
      <c r="DR4">
        <v>1.2999999999</v>
      </c>
      <c r="DS4">
        <v>1.3999999992000001</v>
      </c>
      <c r="DT4">
        <v>1.4999999985000001</v>
      </c>
      <c r="DU4">
        <v>1.5999999996000001</v>
      </c>
      <c r="DV4">
        <v>1.6999999989000001</v>
      </c>
      <c r="DW4">
        <v>4.1000000000999997</v>
      </c>
      <c r="DX4">
        <v>6.1999999998000002</v>
      </c>
      <c r="DY4">
        <v>6.8999999985000002</v>
      </c>
      <c r="DZ4">
        <v>8.6999999984999992</v>
      </c>
      <c r="EA4">
        <v>13.9999999992</v>
      </c>
      <c r="EB4">
        <v>21.799999998600001</v>
      </c>
      <c r="EC4">
        <v>29.699999999100001</v>
      </c>
      <c r="ED4">
        <v>37.299999999999997</v>
      </c>
      <c r="EE4">
        <v>45.399999999099997</v>
      </c>
      <c r="EF4">
        <v>53.799999999699999</v>
      </c>
      <c r="EG4">
        <v>62.299999999599997</v>
      </c>
      <c r="EH4">
        <v>71.199999998500004</v>
      </c>
      <c r="EI4">
        <v>79.999999999899998</v>
      </c>
      <c r="EJ4">
        <v>88.200000000100005</v>
      </c>
      <c r="EK4">
        <v>96.700000000100005</v>
      </c>
      <c r="EL4">
        <v>105.7000000001</v>
      </c>
      <c r="EM4">
        <v>114.8999999987</v>
      </c>
      <c r="EN4">
        <v>124.2999999995</v>
      </c>
      <c r="EO4">
        <v>133.39999999880001</v>
      </c>
      <c r="EP4">
        <v>141.9999999998</v>
      </c>
      <c r="EQ4">
        <v>150.8999999987</v>
      </c>
      <c r="ER4">
        <v>160.09999999909999</v>
      </c>
      <c r="ES4">
        <v>169.3999999989</v>
      </c>
      <c r="ET4">
        <v>178.89999999899999</v>
      </c>
      <c r="EU4">
        <v>187.79999999969999</v>
      </c>
      <c r="EV4">
        <v>196.5999999993</v>
      </c>
      <c r="EW4">
        <v>205.69999999859999</v>
      </c>
      <c r="EX4">
        <v>214.79999999969999</v>
      </c>
      <c r="EY4">
        <v>224.0999999995</v>
      </c>
      <c r="EZ4">
        <v>233.59999999959999</v>
      </c>
      <c r="FA4">
        <v>242.39999999919999</v>
      </c>
      <c r="FB4">
        <v>251.0999999995</v>
      </c>
      <c r="FC4">
        <v>260.09999999950003</v>
      </c>
      <c r="FD4">
        <v>269.09999999950003</v>
      </c>
      <c r="FE4">
        <v>278.19999999880002</v>
      </c>
      <c r="FF4">
        <v>287.09999999960002</v>
      </c>
      <c r="FG4">
        <v>295.39999999909998</v>
      </c>
      <c r="FH4">
        <v>304.00000000009999</v>
      </c>
      <c r="FI4">
        <v>312.5</v>
      </c>
      <c r="FJ4">
        <v>320.89999999880001</v>
      </c>
      <c r="FK4">
        <v>329.59999999910002</v>
      </c>
      <c r="FL4">
        <v>338.09999999899998</v>
      </c>
      <c r="FM4">
        <v>345.9000000003</v>
      </c>
      <c r="FN4">
        <v>353.69999999970003</v>
      </c>
      <c r="FO4">
        <v>361.6000000002</v>
      </c>
      <c r="FP4">
        <v>369.49999999890002</v>
      </c>
      <c r="FQ4">
        <v>377.3000000001</v>
      </c>
      <c r="FR4">
        <v>385.29999999990002</v>
      </c>
      <c r="FS4">
        <v>392.59999999920001</v>
      </c>
      <c r="FT4">
        <v>399.49999999950001</v>
      </c>
      <c r="FU4">
        <v>406.79999999879999</v>
      </c>
      <c r="FV4">
        <v>413.69999999919997</v>
      </c>
      <c r="FW4">
        <v>420.69999999880002</v>
      </c>
      <c r="FX4">
        <v>427.29999999939997</v>
      </c>
      <c r="FY4">
        <v>433.49999999919999</v>
      </c>
      <c r="FZ4">
        <v>439.39999999930001</v>
      </c>
      <c r="GA4">
        <v>443.99999999950001</v>
      </c>
      <c r="GB4">
        <v>446.89999999899999</v>
      </c>
      <c r="GC4">
        <v>447.59999999950003</v>
      </c>
      <c r="GD4">
        <v>447.59999999950003</v>
      </c>
      <c r="GE4">
        <v>447.59999999950003</v>
      </c>
      <c r="GF4">
        <v>447.59999999950003</v>
      </c>
      <c r="GG4">
        <v>447.59999999950003</v>
      </c>
      <c r="GH4">
        <v>447.59999999950003</v>
      </c>
      <c r="GI4">
        <v>447.50000000019998</v>
      </c>
      <c r="GJ4">
        <v>447.50000000019998</v>
      </c>
      <c r="GK4">
        <v>447.50000000019998</v>
      </c>
      <c r="GL4">
        <v>447.50000000019998</v>
      </c>
      <c r="GM4">
        <v>447.50000000019998</v>
      </c>
      <c r="GN4">
        <v>447.39999999909998</v>
      </c>
      <c r="GO4">
        <v>447.50000000019998</v>
      </c>
      <c r="GP4">
        <v>447.39999999909998</v>
      </c>
      <c r="GQ4">
        <v>447.29999999979998</v>
      </c>
      <c r="GR4">
        <v>447.29999999979998</v>
      </c>
      <c r="GS4">
        <v>447.29999999979998</v>
      </c>
      <c r="GT4">
        <v>447.19999999869998</v>
      </c>
      <c r="GU4">
        <v>447.19999999869998</v>
      </c>
      <c r="GV4">
        <v>447.29999999979998</v>
      </c>
      <c r="GW4">
        <v>1</v>
      </c>
      <c r="GX4">
        <v>104.60000000060001</v>
      </c>
      <c r="GY4">
        <v>96.999999999799996</v>
      </c>
      <c r="GZ4">
        <v>96.999999999799996</v>
      </c>
      <c r="HA4">
        <v>114.8999999987</v>
      </c>
      <c r="HB4">
        <v>101.23468795300001</v>
      </c>
      <c r="HC4">
        <v>-17.8999999989</v>
      </c>
      <c r="HD4">
        <v>447.29986602640003</v>
      </c>
      <c r="HE4">
        <v>318.13174053739999</v>
      </c>
      <c r="HF4">
        <v>79.650574969999994</v>
      </c>
      <c r="HG4">
        <v>448.09999999960002</v>
      </c>
      <c r="HH4">
        <v>447.60006698619998</v>
      </c>
      <c r="HI4">
        <v>448.09999999960002</v>
      </c>
      <c r="HJ4">
        <v>447.59999999950003</v>
      </c>
      <c r="HK4">
        <v>96.187683284499997</v>
      </c>
      <c r="HL4">
        <v>3.8576148588999999</v>
      </c>
      <c r="HM4">
        <v>3.6875761100000002</v>
      </c>
      <c r="HN4">
        <v>3.7134671419999998</v>
      </c>
      <c r="HO4">
        <v>3.6465502334000002</v>
      </c>
      <c r="HP4">
        <v>3.9549589188000001</v>
      </c>
      <c r="HQ4">
        <v>2.9730181109</v>
      </c>
      <c r="HR4">
        <v>21.584112983000001</v>
      </c>
      <c r="HS4">
        <v>-21.114369501500001</v>
      </c>
      <c r="HT4">
        <v>-144</v>
      </c>
      <c r="HU4">
        <v>419.36642849050003</v>
      </c>
      <c r="HV4">
        <v>84.457478005900001</v>
      </c>
      <c r="HW4">
        <v>576</v>
      </c>
      <c r="HX4">
        <v>21.584112983000001</v>
      </c>
      <c r="HY4">
        <v>-21.114369501500001</v>
      </c>
      <c r="HZ4">
        <v>-144</v>
      </c>
      <c r="IA4">
        <v>419.36642849050003</v>
      </c>
      <c r="IB4">
        <v>84.457478005900001</v>
      </c>
      <c r="IC4">
        <v>576</v>
      </c>
      <c r="ID4">
        <v>28.233638495800001</v>
      </c>
      <c r="IE4">
        <v>2.5775259560000001</v>
      </c>
      <c r="IF4">
        <v>-30.4985337243</v>
      </c>
      <c r="IG4">
        <v>-208</v>
      </c>
      <c r="IH4">
        <v>443.73960031209998</v>
      </c>
      <c r="II4">
        <v>93.841642228699996</v>
      </c>
      <c r="IJ4">
        <v>640</v>
      </c>
      <c r="IK4">
        <v>397.78231550740003</v>
      </c>
      <c r="IL4">
        <v>105.57184750730001</v>
      </c>
      <c r="IM4">
        <v>427.24574076149997</v>
      </c>
      <c r="IN4">
        <v>114.9560117302</v>
      </c>
      <c r="IO4">
        <v>7.9999999998</v>
      </c>
      <c r="IP4">
        <v>6.6999999999000002</v>
      </c>
      <c r="IQ4">
        <v>9.5999999993999996</v>
      </c>
      <c r="IR4">
        <v>3.7182457085</v>
      </c>
      <c r="IS4">
        <v>3.7182457085</v>
      </c>
      <c r="IT4">
        <v>17.200000000199999</v>
      </c>
      <c r="IU4">
        <v>-23.460410557199999</v>
      </c>
      <c r="IV4">
        <v>18.599999999400001</v>
      </c>
      <c r="IW4">
        <v>42.228739002899999</v>
      </c>
      <c r="IX4">
        <v>13.9999999992</v>
      </c>
      <c r="IY4">
        <v>91.495601172999997</v>
      </c>
      <c r="IZ4">
        <v>-27.096183811900001</v>
      </c>
      <c r="JA4">
        <v>0.28553834569999997</v>
      </c>
      <c r="JB4">
        <v>-2.235347E-4</v>
      </c>
      <c r="JC4">
        <v>4.1989999999999999E-7</v>
      </c>
      <c r="JD4">
        <v>0.25922753739999999</v>
      </c>
      <c r="JE4">
        <v>0.16767787219999999</v>
      </c>
      <c r="JF4">
        <v>6.98908523E-2</v>
      </c>
      <c r="JG4">
        <v>101.64387278700001</v>
      </c>
      <c r="JH4">
        <v>3.9549589188000001</v>
      </c>
      <c r="JI4">
        <v>4.6799859999999997E-3</v>
      </c>
      <c r="JJ4">
        <v>-8.2828400000000001E-5</v>
      </c>
      <c r="JK4">
        <v>3.8576148588999999</v>
      </c>
      <c r="JL4">
        <v>0.58061404080000001</v>
      </c>
      <c r="JM4">
        <v>0.21753776129999999</v>
      </c>
      <c r="JN4" t="s">
        <v>538</v>
      </c>
      <c r="JQ4">
        <v>1</v>
      </c>
    </row>
    <row r="5" spans="1:277">
      <c r="A5" t="s">
        <v>572</v>
      </c>
      <c r="B5" t="s">
        <v>573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555</v>
      </c>
      <c r="K5" t="s">
        <v>556</v>
      </c>
      <c r="L5" t="s">
        <v>557</v>
      </c>
      <c r="M5" t="s">
        <v>558</v>
      </c>
      <c r="N5" t="s">
        <v>559</v>
      </c>
      <c r="O5">
        <v>0</v>
      </c>
      <c r="P5">
        <v>0</v>
      </c>
      <c r="Q5">
        <v>0</v>
      </c>
      <c r="R5">
        <v>0.40000000079999998</v>
      </c>
      <c r="S5">
        <v>0.40000000079999998</v>
      </c>
      <c r="T5">
        <v>0.40000000079999998</v>
      </c>
      <c r="U5">
        <v>0.50000000010000001</v>
      </c>
      <c r="V5">
        <v>0.40000000079999998</v>
      </c>
      <c r="W5">
        <v>0.50000000010000001</v>
      </c>
      <c r="X5">
        <v>0.50000000010000001</v>
      </c>
      <c r="Y5">
        <v>0.7000000005</v>
      </c>
      <c r="Z5">
        <v>0.90000000089999999</v>
      </c>
      <c r="AA5">
        <v>1.1000000013</v>
      </c>
      <c r="AB5">
        <v>1.2000000006</v>
      </c>
      <c r="AC5">
        <v>1.2999999999</v>
      </c>
      <c r="AD5">
        <v>1.400000001</v>
      </c>
      <c r="AE5">
        <v>1.5000000003</v>
      </c>
      <c r="AF5">
        <v>0.79999999980000003</v>
      </c>
      <c r="AG5">
        <v>0.79999999980000003</v>
      </c>
      <c r="AH5">
        <v>0.90000000089999999</v>
      </c>
      <c r="AI5">
        <v>1.0000000002</v>
      </c>
      <c r="AJ5">
        <v>2.0000000004</v>
      </c>
      <c r="AK5">
        <v>5.6000000003999997</v>
      </c>
      <c r="AL5">
        <v>12.0000000006</v>
      </c>
      <c r="AM5">
        <v>19.599999999600001</v>
      </c>
      <c r="AN5">
        <v>27.700000000599999</v>
      </c>
      <c r="AO5">
        <v>36.299999999800001</v>
      </c>
      <c r="AP5">
        <v>45.000000000100002</v>
      </c>
      <c r="AQ5">
        <v>53.6000000011</v>
      </c>
      <c r="AR5">
        <v>62.100000000999998</v>
      </c>
      <c r="AS5">
        <v>70.4000000005</v>
      </c>
      <c r="AT5">
        <v>79.300000001200004</v>
      </c>
      <c r="AU5">
        <v>88.4000000005</v>
      </c>
      <c r="AV5">
        <v>97.800000001399994</v>
      </c>
      <c r="AW5">
        <v>107.6000000012</v>
      </c>
      <c r="AX5">
        <v>116.7000000005</v>
      </c>
      <c r="AY5">
        <v>125.7000000005</v>
      </c>
      <c r="AZ5">
        <v>135.2000000006</v>
      </c>
      <c r="BA5">
        <v>144.80000000000001</v>
      </c>
      <c r="BB5">
        <v>154.59999999979999</v>
      </c>
      <c r="BC5">
        <v>163.70000000100001</v>
      </c>
      <c r="BD5">
        <v>172.40000000129999</v>
      </c>
      <c r="BE5">
        <v>181.40000000129999</v>
      </c>
      <c r="BF5">
        <v>190.8999999996</v>
      </c>
      <c r="BG5">
        <v>200.80000000050001</v>
      </c>
      <c r="BH5">
        <v>210.1000000002</v>
      </c>
      <c r="BI5">
        <v>219.00000000099999</v>
      </c>
      <c r="BJ5">
        <v>227.6000000002</v>
      </c>
      <c r="BK5">
        <v>236.7000000013</v>
      </c>
      <c r="BL5">
        <v>246.00000000099999</v>
      </c>
      <c r="BM5">
        <v>255.50000000110001</v>
      </c>
      <c r="BN5">
        <v>264.60000000039997</v>
      </c>
      <c r="BO5">
        <v>273.10000000029999</v>
      </c>
      <c r="BP5">
        <v>281.60000000029999</v>
      </c>
      <c r="BQ5">
        <v>290.30000000059999</v>
      </c>
      <c r="BR5">
        <v>299.60000000029999</v>
      </c>
      <c r="BS5">
        <v>308.80000000069998</v>
      </c>
      <c r="BT5">
        <v>317.1000000002</v>
      </c>
      <c r="BU5">
        <v>325.20000000110002</v>
      </c>
      <c r="BV5">
        <v>332.9000000012</v>
      </c>
      <c r="BW5">
        <v>341.3</v>
      </c>
      <c r="BX5">
        <v>350.2000000008</v>
      </c>
      <c r="BY5">
        <v>358.70000000070002</v>
      </c>
      <c r="BZ5">
        <v>366.29999999969999</v>
      </c>
      <c r="CA5">
        <v>374.20000000020002</v>
      </c>
      <c r="CB5">
        <v>381.50000000130001</v>
      </c>
      <c r="CC5">
        <v>388.80000000059999</v>
      </c>
      <c r="CD5">
        <v>396.70000000110002</v>
      </c>
      <c r="CE5">
        <v>404.90000000139997</v>
      </c>
      <c r="CF5">
        <v>412.3</v>
      </c>
      <c r="CG5">
        <v>419.30000000140001</v>
      </c>
      <c r="CH5">
        <v>426.300000001</v>
      </c>
      <c r="CI5">
        <v>432.8999999998</v>
      </c>
      <c r="CJ5">
        <v>438.60000000129997</v>
      </c>
      <c r="CK5">
        <v>444.60000000069999</v>
      </c>
      <c r="CL5">
        <v>451.2000000013</v>
      </c>
      <c r="CM5">
        <v>455.2999999996</v>
      </c>
      <c r="CN5">
        <v>456.10000000119999</v>
      </c>
      <c r="CO5">
        <v>456.10000000119999</v>
      </c>
      <c r="CP5">
        <v>456.00000000009999</v>
      </c>
      <c r="CQ5">
        <v>456.00000000009999</v>
      </c>
      <c r="CR5">
        <v>456.00000000009999</v>
      </c>
      <c r="CS5">
        <v>456.00000000009999</v>
      </c>
      <c r="CT5">
        <v>455.90000000079999</v>
      </c>
      <c r="CU5">
        <v>455.79999999969999</v>
      </c>
      <c r="CV5">
        <v>455.90000000079999</v>
      </c>
      <c r="CW5">
        <v>455.90000000079999</v>
      </c>
      <c r="CX5">
        <v>455.79999999969999</v>
      </c>
      <c r="CY5">
        <v>455.79999999969999</v>
      </c>
      <c r="CZ5">
        <v>455.79999999969999</v>
      </c>
      <c r="DA5">
        <v>455.7000000004</v>
      </c>
      <c r="DB5">
        <v>455.7000000004</v>
      </c>
      <c r="DC5">
        <v>455.7000000004</v>
      </c>
      <c r="DD5">
        <v>455.7000000004</v>
      </c>
      <c r="DE5">
        <v>455.7000000004</v>
      </c>
      <c r="DF5">
        <v>455.7000000004</v>
      </c>
      <c r="DG5">
        <v>0.7000000005</v>
      </c>
      <c r="DH5">
        <v>1.1000000013</v>
      </c>
      <c r="DI5">
        <v>1.2000000006</v>
      </c>
      <c r="DJ5">
        <v>1.1000000013</v>
      </c>
      <c r="DK5">
        <v>1.2000000006</v>
      </c>
      <c r="DL5">
        <v>1.2999999999</v>
      </c>
      <c r="DM5">
        <v>1.2999999999</v>
      </c>
      <c r="DN5">
        <v>1.2999999999</v>
      </c>
      <c r="DO5">
        <v>1.2000000006</v>
      </c>
      <c r="DP5">
        <v>1.2999999999</v>
      </c>
      <c r="DQ5">
        <v>1.2999999999</v>
      </c>
      <c r="DR5">
        <v>1.2999999999</v>
      </c>
      <c r="DS5">
        <v>1.400000001</v>
      </c>
      <c r="DT5">
        <v>1.400000001</v>
      </c>
      <c r="DU5">
        <v>1.400000001</v>
      </c>
      <c r="DV5">
        <v>1.5000000003</v>
      </c>
      <c r="DW5">
        <v>1.5000000003</v>
      </c>
      <c r="DX5">
        <v>2.3000000000999998</v>
      </c>
      <c r="DY5">
        <v>6.9999999996</v>
      </c>
      <c r="DZ5">
        <v>13.6000000002</v>
      </c>
      <c r="EA5">
        <v>21.0000000006</v>
      </c>
      <c r="EB5">
        <v>29.0999999997</v>
      </c>
      <c r="EC5">
        <v>37.5000000004</v>
      </c>
      <c r="ED5">
        <v>46.400000001099997</v>
      </c>
      <c r="EE5">
        <v>54.200000000499998</v>
      </c>
      <c r="EF5">
        <v>62.100000000999998</v>
      </c>
      <c r="EG5">
        <v>70.700000000200006</v>
      </c>
      <c r="EH5">
        <v>79.499999999799996</v>
      </c>
      <c r="EI5">
        <v>88.499999999799996</v>
      </c>
      <c r="EJ5">
        <v>98.200000000399996</v>
      </c>
      <c r="EK5">
        <v>106.600000001</v>
      </c>
      <c r="EL5">
        <v>115.4000000006</v>
      </c>
      <c r="EM5">
        <v>125.1000000011</v>
      </c>
      <c r="EN5">
        <v>134.79999999980001</v>
      </c>
      <c r="EO5">
        <v>144.70000000069999</v>
      </c>
      <c r="EP5">
        <v>154.20000000089999</v>
      </c>
      <c r="EQ5">
        <v>162.7000000008</v>
      </c>
      <c r="ER5">
        <v>171.5999999997</v>
      </c>
      <c r="ES5">
        <v>181.00000000049999</v>
      </c>
      <c r="ET5">
        <v>190.59999999990001</v>
      </c>
      <c r="EU5">
        <v>200.70000000120001</v>
      </c>
      <c r="EV5">
        <v>209.80000000050001</v>
      </c>
      <c r="EW5">
        <v>218.39999999969999</v>
      </c>
      <c r="EX5">
        <v>227.3999999998</v>
      </c>
      <c r="EY5">
        <v>236.6000000002</v>
      </c>
      <c r="EZ5">
        <v>246.50000000110001</v>
      </c>
      <c r="FA5">
        <v>256.10000000050002</v>
      </c>
      <c r="FB5">
        <v>264.60000000039997</v>
      </c>
      <c r="FC5">
        <v>273.19999999959998</v>
      </c>
      <c r="FD5">
        <v>282.19999999959998</v>
      </c>
      <c r="FE5">
        <v>291.30000000080003</v>
      </c>
      <c r="FF5">
        <v>300.69999999980001</v>
      </c>
      <c r="FG5">
        <v>309.80000000090001</v>
      </c>
      <c r="FH5">
        <v>318.10000000039997</v>
      </c>
      <c r="FI5">
        <v>326.30000000059999</v>
      </c>
      <c r="FJ5">
        <v>334.70000000120001</v>
      </c>
      <c r="FK5">
        <v>343.6000000002</v>
      </c>
      <c r="FL5">
        <v>352.7000000013</v>
      </c>
      <c r="FM5">
        <v>360.89999999970001</v>
      </c>
      <c r="FN5">
        <v>368.80000000019999</v>
      </c>
      <c r="FO5">
        <v>376.29999999990002</v>
      </c>
      <c r="FP5">
        <v>383.9000000007</v>
      </c>
      <c r="FQ5">
        <v>392.10000000090002</v>
      </c>
      <c r="FR5">
        <v>400.30000000119998</v>
      </c>
      <c r="FS5">
        <v>407.90000000020001</v>
      </c>
      <c r="FT5">
        <v>415.0000000009</v>
      </c>
      <c r="FU5">
        <v>422.00000000049999</v>
      </c>
      <c r="FV5">
        <v>428.90000000079999</v>
      </c>
      <c r="FW5">
        <v>434.80000000090001</v>
      </c>
      <c r="FX5">
        <v>440.00000000049999</v>
      </c>
      <c r="FY5">
        <v>445.80000000130002</v>
      </c>
      <c r="FZ5">
        <v>451.69999999959998</v>
      </c>
      <c r="GA5">
        <v>455.10000000100001</v>
      </c>
      <c r="GB5">
        <v>455.79999999969999</v>
      </c>
      <c r="GC5">
        <v>455.79999999969999</v>
      </c>
      <c r="GD5">
        <v>455.79999999969999</v>
      </c>
      <c r="GE5">
        <v>455.90000000079999</v>
      </c>
      <c r="GF5">
        <v>455.90000000079999</v>
      </c>
      <c r="GG5">
        <v>455.79999999969999</v>
      </c>
      <c r="GH5">
        <v>455.7000000004</v>
      </c>
      <c r="GI5">
        <v>455.7000000004</v>
      </c>
      <c r="GJ5">
        <v>455.7000000004</v>
      </c>
      <c r="GK5">
        <v>455.7000000004</v>
      </c>
      <c r="GL5">
        <v>455.7000000004</v>
      </c>
      <c r="GM5">
        <v>455.7000000004</v>
      </c>
      <c r="GN5">
        <v>455.6000000011</v>
      </c>
      <c r="GO5">
        <v>455.7000000004</v>
      </c>
      <c r="GP5">
        <v>455.7000000004</v>
      </c>
      <c r="GQ5">
        <v>455.6000000011</v>
      </c>
      <c r="GR5">
        <v>455.6000000011</v>
      </c>
      <c r="GS5">
        <v>455.6000000011</v>
      </c>
      <c r="GT5">
        <v>455.6000000011</v>
      </c>
      <c r="GU5">
        <v>455.7000000004</v>
      </c>
      <c r="GV5">
        <v>455.7000000004</v>
      </c>
      <c r="GW5">
        <v>1</v>
      </c>
      <c r="GX5">
        <v>114.49999999969999</v>
      </c>
      <c r="GY5">
        <v>107.6000000012</v>
      </c>
      <c r="GZ5">
        <v>107.6000000012</v>
      </c>
      <c r="HA5">
        <v>125.1000000011</v>
      </c>
      <c r="HB5">
        <v>112.0651864047</v>
      </c>
      <c r="HC5">
        <v>-17.499999999900002</v>
      </c>
      <c r="HD5">
        <v>455.7000000004</v>
      </c>
      <c r="HE5">
        <v>315.54612938550002</v>
      </c>
      <c r="HF5">
        <v>91.344473685699995</v>
      </c>
      <c r="HG5">
        <v>456.10000000119999</v>
      </c>
      <c r="HH5">
        <v>455.90001096579999</v>
      </c>
      <c r="HI5">
        <v>456.10000000119999</v>
      </c>
      <c r="HJ5">
        <v>455.90000000079999</v>
      </c>
      <c r="HK5">
        <v>93.841642228699996</v>
      </c>
      <c r="HL5">
        <v>3.9445209397999998</v>
      </c>
      <c r="HM5">
        <v>3.7562237372</v>
      </c>
      <c r="HN5">
        <v>3.7957280245999998</v>
      </c>
      <c r="HO5">
        <v>3.7412393742000001</v>
      </c>
      <c r="HP5">
        <v>4.0615713426999998</v>
      </c>
      <c r="HQ5">
        <v>3.0764066970999999</v>
      </c>
      <c r="HR5">
        <v>20.720712719000002</v>
      </c>
      <c r="HS5">
        <v>-23.460410557199999</v>
      </c>
      <c r="HT5">
        <v>-160</v>
      </c>
      <c r="HU5">
        <v>427.61131579020002</v>
      </c>
      <c r="HV5">
        <v>82.1114369501</v>
      </c>
      <c r="HW5">
        <v>560</v>
      </c>
      <c r="HX5">
        <v>20.720712719000002</v>
      </c>
      <c r="HY5">
        <v>-23.460410557199999</v>
      </c>
      <c r="HZ5">
        <v>-160</v>
      </c>
      <c r="IA5">
        <v>427.61131579020002</v>
      </c>
      <c r="IB5">
        <v>82.1114369501</v>
      </c>
      <c r="IC5">
        <v>560</v>
      </c>
      <c r="ID5">
        <v>28.288695175600001</v>
      </c>
      <c r="IE5">
        <v>1.0526315791</v>
      </c>
      <c r="IF5">
        <v>-32.844574780099997</v>
      </c>
      <c r="IG5">
        <v>-224</v>
      </c>
      <c r="IH5">
        <v>451.38830043820002</v>
      </c>
      <c r="II5">
        <v>91.495601172999997</v>
      </c>
      <c r="IJ5">
        <v>624</v>
      </c>
      <c r="IK5">
        <v>406.89060307120002</v>
      </c>
      <c r="IL5">
        <v>105.57184750730001</v>
      </c>
      <c r="IM5">
        <v>433.26433114039997</v>
      </c>
      <c r="IN5">
        <v>114.9560117302</v>
      </c>
      <c r="IO5">
        <v>7.5999999989999996</v>
      </c>
      <c r="IP5">
        <v>6.6000000005999997</v>
      </c>
      <c r="IQ5">
        <v>10.1000000013</v>
      </c>
      <c r="IR5">
        <v>3.7639130479</v>
      </c>
      <c r="IS5">
        <v>3.7639130479</v>
      </c>
      <c r="IT5">
        <v>17.0999999991</v>
      </c>
      <c r="IU5">
        <v>-25.806451612899998</v>
      </c>
      <c r="IV5">
        <v>19.8</v>
      </c>
      <c r="IW5">
        <v>58.651026393000002</v>
      </c>
      <c r="IX5">
        <v>13.0999999983</v>
      </c>
      <c r="IY5">
        <v>91.495601172999997</v>
      </c>
      <c r="IZ5">
        <v>-29.0174989092</v>
      </c>
      <c r="JA5">
        <v>0.27724349850000002</v>
      </c>
      <c r="JB5">
        <v>-2.017586E-4</v>
      </c>
      <c r="JC5">
        <v>3.7440000000000002E-7</v>
      </c>
      <c r="JD5">
        <v>0.25351621029999999</v>
      </c>
      <c r="JE5">
        <v>0.19125235330000001</v>
      </c>
      <c r="JF5">
        <v>8.9316493400000002E-2</v>
      </c>
      <c r="JG5">
        <v>112.10727594310001</v>
      </c>
      <c r="JH5">
        <v>4.0615713426999998</v>
      </c>
      <c r="JI5">
        <v>3.9768475000000001E-3</v>
      </c>
      <c r="JJ5">
        <v>-8.0994000000000004E-5</v>
      </c>
      <c r="JK5">
        <v>3.9445209397999998</v>
      </c>
      <c r="JL5">
        <v>0.85636016250000002</v>
      </c>
      <c r="JM5">
        <v>0.34515144110000001</v>
      </c>
      <c r="JN5" t="s">
        <v>538</v>
      </c>
      <c r="JQ5">
        <v>1</v>
      </c>
    </row>
    <row r="6" spans="1:277">
      <c r="A6" t="s">
        <v>595</v>
      </c>
      <c r="B6" t="s">
        <v>596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576</v>
      </c>
      <c r="K6" t="s">
        <v>577</v>
      </c>
      <c r="L6" t="s">
        <v>578</v>
      </c>
      <c r="M6" t="s">
        <v>579</v>
      </c>
      <c r="N6" t="s">
        <v>580</v>
      </c>
      <c r="O6">
        <v>0</v>
      </c>
      <c r="P6">
        <v>0</v>
      </c>
      <c r="Q6">
        <v>0.50000000010000001</v>
      </c>
      <c r="R6">
        <v>0.1000000011</v>
      </c>
      <c r="S6">
        <v>0.1000000011</v>
      </c>
      <c r="T6">
        <v>0.1000000011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0.1000000011</v>
      </c>
      <c r="AC6">
        <v>0.1000000011</v>
      </c>
      <c r="AD6">
        <v>0.1000000011</v>
      </c>
      <c r="AE6">
        <v>0.1000000011</v>
      </c>
      <c r="AF6">
        <v>0.20000000039999999</v>
      </c>
      <c r="AG6">
        <v>0.1000000011</v>
      </c>
      <c r="AH6">
        <v>0.20000000039999999</v>
      </c>
      <c r="AI6">
        <v>0.1000000011</v>
      </c>
      <c r="AJ6">
        <v>0.20000000039999999</v>
      </c>
      <c r="AK6">
        <v>0.3000000015</v>
      </c>
      <c r="AL6">
        <v>3.4000000014</v>
      </c>
      <c r="AM6">
        <v>10.0000000002</v>
      </c>
      <c r="AN6">
        <v>17.400000000599999</v>
      </c>
      <c r="AO6">
        <v>25.800000001299999</v>
      </c>
      <c r="AP6">
        <v>34.300000001199997</v>
      </c>
      <c r="AQ6">
        <v>43.200000000099998</v>
      </c>
      <c r="AR6">
        <v>51.900000000399999</v>
      </c>
      <c r="AS6">
        <v>60.400000000299997</v>
      </c>
      <c r="AT6">
        <v>68.700000001600003</v>
      </c>
      <c r="AU6">
        <v>78.000000001299995</v>
      </c>
      <c r="AV6">
        <v>87.200000001800007</v>
      </c>
      <c r="AW6">
        <v>96.600000000799994</v>
      </c>
      <c r="AX6">
        <v>105.8000000012</v>
      </c>
      <c r="AY6">
        <v>114.60000000079999</v>
      </c>
      <c r="AZ6">
        <v>123.8000000012</v>
      </c>
      <c r="BA6">
        <v>133.30000000129999</v>
      </c>
      <c r="BB6">
        <v>142.80000000140001</v>
      </c>
      <c r="BC6">
        <v>152.50000000009999</v>
      </c>
      <c r="BD6">
        <v>161.8000000017</v>
      </c>
      <c r="BE6">
        <v>170.6000000013</v>
      </c>
      <c r="BF6">
        <v>180.00000000029999</v>
      </c>
      <c r="BG6">
        <v>189.7000000008</v>
      </c>
      <c r="BH6">
        <v>199.30000000019999</v>
      </c>
      <c r="BI6">
        <v>208.6000000018</v>
      </c>
      <c r="BJ6">
        <v>217.5000000007</v>
      </c>
      <c r="BK6">
        <v>226.6000000018</v>
      </c>
      <c r="BL6">
        <v>236.20000000120001</v>
      </c>
      <c r="BM6">
        <v>245.5000000009</v>
      </c>
      <c r="BN6">
        <v>254.90000000169999</v>
      </c>
      <c r="BO6">
        <v>263.90000000169999</v>
      </c>
      <c r="BP6">
        <v>272.5000000009</v>
      </c>
      <c r="BQ6">
        <v>281.30000000059999</v>
      </c>
      <c r="BR6">
        <v>290.40000000169999</v>
      </c>
      <c r="BS6">
        <v>299.50000000099999</v>
      </c>
      <c r="BT6">
        <v>308.40000000169999</v>
      </c>
      <c r="BU6">
        <v>316.80000000050001</v>
      </c>
      <c r="BV6">
        <v>324.80000000029997</v>
      </c>
      <c r="BW6">
        <v>333.30000000019999</v>
      </c>
      <c r="BX6">
        <v>341.90000000129999</v>
      </c>
      <c r="BY6">
        <v>350.3000000001</v>
      </c>
      <c r="BZ6">
        <v>358.50000000030002</v>
      </c>
      <c r="CA6">
        <v>366.50000000009999</v>
      </c>
      <c r="CB6">
        <v>374.00000000159997</v>
      </c>
      <c r="CC6">
        <v>381.60000000060001</v>
      </c>
      <c r="CD6">
        <v>389.50000000109998</v>
      </c>
      <c r="CE6">
        <v>397.20000000120001</v>
      </c>
      <c r="CF6">
        <v>404.80000000029997</v>
      </c>
      <c r="CG6">
        <v>412.00000000030002</v>
      </c>
      <c r="CH6">
        <v>419.10000000100001</v>
      </c>
      <c r="CI6">
        <v>425.80000000090001</v>
      </c>
      <c r="CJ6">
        <v>433.0000000009</v>
      </c>
      <c r="CK6">
        <v>440.50000000059998</v>
      </c>
      <c r="CL6">
        <v>446.20000000030001</v>
      </c>
      <c r="CM6">
        <v>447.80000000170003</v>
      </c>
      <c r="CN6">
        <v>447.80000000170003</v>
      </c>
      <c r="CO6">
        <v>447.80000000170003</v>
      </c>
      <c r="CP6">
        <v>447.80000000170003</v>
      </c>
      <c r="CQ6">
        <v>447.90000000100002</v>
      </c>
      <c r="CR6">
        <v>447.90000000100002</v>
      </c>
      <c r="CS6">
        <v>447.90000000100002</v>
      </c>
      <c r="CT6">
        <v>447.90000000100002</v>
      </c>
      <c r="CU6">
        <v>447.90000000100002</v>
      </c>
      <c r="CV6">
        <v>447.90000000100002</v>
      </c>
      <c r="CW6">
        <v>447.90000000100002</v>
      </c>
      <c r="CX6">
        <v>447.90000000100002</v>
      </c>
      <c r="CY6">
        <v>447.90000000100002</v>
      </c>
      <c r="CZ6">
        <v>447.90000000100002</v>
      </c>
      <c r="DA6">
        <v>447.90000000100002</v>
      </c>
      <c r="DB6">
        <v>447.90000000100002</v>
      </c>
      <c r="DC6">
        <v>448.00000000030002</v>
      </c>
      <c r="DD6">
        <v>448.00000000030002</v>
      </c>
      <c r="DE6">
        <v>448.00000000030002</v>
      </c>
      <c r="DF6">
        <v>448.00000000030002</v>
      </c>
      <c r="DG6">
        <v>0.40000000079999998</v>
      </c>
      <c r="DH6">
        <v>0.20000000039999999</v>
      </c>
      <c r="DI6">
        <v>0.20000000039999999</v>
      </c>
      <c r="DJ6">
        <v>0.3000000015</v>
      </c>
      <c r="DK6">
        <v>0.40000000079999998</v>
      </c>
      <c r="DL6">
        <v>0.40000000079999998</v>
      </c>
      <c r="DM6">
        <v>0.3000000015</v>
      </c>
      <c r="DN6">
        <v>0.3000000015</v>
      </c>
      <c r="DO6">
        <v>0.3000000015</v>
      </c>
      <c r="DP6">
        <v>0.3000000015</v>
      </c>
      <c r="DQ6">
        <v>0.40000000079999998</v>
      </c>
      <c r="DR6">
        <v>0.3000000015</v>
      </c>
      <c r="DS6">
        <v>0.40000000079999998</v>
      </c>
      <c r="DT6">
        <v>0.40000000079999998</v>
      </c>
      <c r="DU6">
        <v>0.3000000015</v>
      </c>
      <c r="DV6">
        <v>0.40000000079999998</v>
      </c>
      <c r="DW6">
        <v>0.50000000010000001</v>
      </c>
      <c r="DX6">
        <v>0.60000000119999997</v>
      </c>
      <c r="DY6">
        <v>0.7000000005</v>
      </c>
      <c r="DZ6">
        <v>4.1000000000999997</v>
      </c>
      <c r="EA6">
        <v>11.0000000004</v>
      </c>
      <c r="EB6">
        <v>18.400000000799999</v>
      </c>
      <c r="EC6">
        <v>26.700000000300001</v>
      </c>
      <c r="ED6">
        <v>35.200000000300001</v>
      </c>
      <c r="EE6">
        <v>43.700000000199999</v>
      </c>
      <c r="EF6">
        <v>52.300000001199997</v>
      </c>
      <c r="EG6">
        <v>60.500000001399997</v>
      </c>
      <c r="EH6">
        <v>68.800000000899999</v>
      </c>
      <c r="EI6">
        <v>77.800000000899999</v>
      </c>
      <c r="EJ6">
        <v>86.900000000199995</v>
      </c>
      <c r="EK6">
        <v>96.200000001800007</v>
      </c>
      <c r="EL6">
        <v>105.4000000004</v>
      </c>
      <c r="EM6">
        <v>114.10000000070001</v>
      </c>
      <c r="EN6">
        <v>123.2</v>
      </c>
      <c r="EO6">
        <v>132.8000000012</v>
      </c>
      <c r="EP6">
        <v>142.30000000129999</v>
      </c>
      <c r="EQ6">
        <v>151.8000000015</v>
      </c>
      <c r="ER6">
        <v>161.00000000009999</v>
      </c>
      <c r="ES6">
        <v>170.00000000009999</v>
      </c>
      <c r="ET6">
        <v>179.30000000160001</v>
      </c>
      <c r="EU6">
        <v>189.00000000029999</v>
      </c>
      <c r="EV6">
        <v>198.60000000150001</v>
      </c>
      <c r="EW6">
        <v>208.20000000089999</v>
      </c>
      <c r="EX6">
        <v>217.10000000170001</v>
      </c>
      <c r="EY6">
        <v>226.00000000060001</v>
      </c>
      <c r="EZ6">
        <v>235.6000000018</v>
      </c>
      <c r="FA6">
        <v>245.10000000010001</v>
      </c>
      <c r="FB6">
        <v>254.40000000160001</v>
      </c>
      <c r="FC6">
        <v>263.5000000009</v>
      </c>
      <c r="FD6">
        <v>272.20000000120001</v>
      </c>
      <c r="FE6">
        <v>281.2000000013</v>
      </c>
      <c r="FF6">
        <v>290.40000000169999</v>
      </c>
      <c r="FG6">
        <v>299.50000000099999</v>
      </c>
      <c r="FH6">
        <v>308.60000000029999</v>
      </c>
      <c r="FI6">
        <v>317.1000000002</v>
      </c>
      <c r="FJ6">
        <v>325.30000000040002</v>
      </c>
      <c r="FK6">
        <v>333.90000000139997</v>
      </c>
      <c r="FL6">
        <v>342.70000000110002</v>
      </c>
      <c r="FM6">
        <v>351.10000000169998</v>
      </c>
      <c r="FN6">
        <v>359.50000000049999</v>
      </c>
      <c r="FO6">
        <v>367.40000000100002</v>
      </c>
      <c r="FP6">
        <v>375.1000000011</v>
      </c>
      <c r="FQ6">
        <v>383.00000000159997</v>
      </c>
      <c r="FR6">
        <v>390.9000000003</v>
      </c>
      <c r="FS6">
        <v>398.70000000160002</v>
      </c>
      <c r="FT6">
        <v>406.30000000059999</v>
      </c>
      <c r="FU6">
        <v>413.60000000169998</v>
      </c>
      <c r="FV6">
        <v>420.40000000089998</v>
      </c>
      <c r="FW6">
        <v>426.90000000039998</v>
      </c>
      <c r="FX6">
        <v>433.40000000169999</v>
      </c>
      <c r="FY6">
        <v>440.70000000099998</v>
      </c>
      <c r="FZ6">
        <v>446.00000000170002</v>
      </c>
      <c r="GA6">
        <v>447.80000000170003</v>
      </c>
      <c r="GB6">
        <v>447.90000000100002</v>
      </c>
      <c r="GC6">
        <v>447.90000000100002</v>
      </c>
      <c r="GD6">
        <v>447.90000000100002</v>
      </c>
      <c r="GE6">
        <v>447.90000000100002</v>
      </c>
      <c r="GF6">
        <v>447.90000000100002</v>
      </c>
      <c r="GG6">
        <v>447.90000000100002</v>
      </c>
      <c r="GH6">
        <v>447.90000000100002</v>
      </c>
      <c r="GI6">
        <v>447.90000000100002</v>
      </c>
      <c r="GJ6">
        <v>447.80000000170003</v>
      </c>
      <c r="GK6">
        <v>447.80000000170003</v>
      </c>
      <c r="GL6">
        <v>447.80000000170003</v>
      </c>
      <c r="GM6">
        <v>447.90000000100002</v>
      </c>
      <c r="GN6">
        <v>447.90000000100002</v>
      </c>
      <c r="GO6">
        <v>447.90000000100002</v>
      </c>
      <c r="GP6">
        <v>447.90000000100002</v>
      </c>
      <c r="GQ6">
        <v>447.90000000100002</v>
      </c>
      <c r="GR6">
        <v>448.00000000030002</v>
      </c>
      <c r="GS6">
        <v>447.90000000100002</v>
      </c>
      <c r="GT6">
        <v>448.00000000030002</v>
      </c>
      <c r="GU6">
        <v>448.00000000030002</v>
      </c>
      <c r="GV6">
        <v>448.00000000030002</v>
      </c>
      <c r="GW6">
        <v>1</v>
      </c>
      <c r="GX6">
        <v>104.00000000119999</v>
      </c>
      <c r="GY6">
        <v>96.600000000799994</v>
      </c>
      <c r="GZ6">
        <v>96.600000000799994</v>
      </c>
      <c r="HA6">
        <v>114.10000000070001</v>
      </c>
      <c r="HB6">
        <v>100.71523437579999</v>
      </c>
      <c r="HC6">
        <v>-17.499999999900002</v>
      </c>
      <c r="HD6">
        <v>448.00000000030002</v>
      </c>
      <c r="HE6">
        <v>318.4520870536</v>
      </c>
      <c r="HF6">
        <v>82.270279017999997</v>
      </c>
      <c r="HG6">
        <v>448.00000000030002</v>
      </c>
      <c r="HH6">
        <v>448.00000000030002</v>
      </c>
      <c r="HI6">
        <v>448.00000000030002</v>
      </c>
      <c r="HJ6">
        <v>448.00000000030002</v>
      </c>
      <c r="HK6">
        <v>93.841642228699996</v>
      </c>
      <c r="HL6">
        <v>3.9714888262999999</v>
      </c>
      <c r="HM6">
        <v>3.8055184002</v>
      </c>
      <c r="HN6">
        <v>3.8174068714999998</v>
      </c>
      <c r="HO6">
        <v>3.7181612377</v>
      </c>
      <c r="HP6">
        <v>4.0549825476999999</v>
      </c>
      <c r="HQ6">
        <v>3.0973540737</v>
      </c>
      <c r="HR6">
        <v>18.444955357800001</v>
      </c>
      <c r="HS6">
        <v>-21.114369501500001</v>
      </c>
      <c r="HT6">
        <v>-144</v>
      </c>
      <c r="HU6">
        <v>419.16732142939998</v>
      </c>
      <c r="HV6">
        <v>82.1114369501</v>
      </c>
      <c r="HW6">
        <v>560</v>
      </c>
      <c r="HX6">
        <v>18.444955357800001</v>
      </c>
      <c r="HY6">
        <v>-21.114369501500001</v>
      </c>
      <c r="HZ6">
        <v>-144</v>
      </c>
      <c r="IA6">
        <v>419.16732142939998</v>
      </c>
      <c r="IB6">
        <v>82.1114369501</v>
      </c>
      <c r="IC6">
        <v>560</v>
      </c>
      <c r="ID6">
        <v>28.832678570900001</v>
      </c>
      <c r="IE6">
        <v>0.2187165183</v>
      </c>
      <c r="IF6">
        <v>-30.4985337243</v>
      </c>
      <c r="IG6">
        <v>-208</v>
      </c>
      <c r="IH6">
        <v>445.75334821600001</v>
      </c>
      <c r="II6">
        <v>91.495601172999997</v>
      </c>
      <c r="IJ6">
        <v>624</v>
      </c>
      <c r="IK6">
        <v>400.72236607159999</v>
      </c>
      <c r="IL6">
        <v>103.22580645159999</v>
      </c>
      <c r="IM6">
        <v>428.94079241100002</v>
      </c>
      <c r="IN6">
        <v>112.6099706745</v>
      </c>
      <c r="IO6">
        <v>7.4000000004000004</v>
      </c>
      <c r="IP6">
        <v>7.4999999997</v>
      </c>
      <c r="IQ6">
        <v>9.7000000004999993</v>
      </c>
      <c r="IR6">
        <v>3.6430968844999998</v>
      </c>
      <c r="IS6">
        <v>3.6430968844999998</v>
      </c>
      <c r="IT6">
        <v>16.700000000100001</v>
      </c>
      <c r="IU6">
        <v>-23.460410557199999</v>
      </c>
      <c r="IV6">
        <v>18.600000001200002</v>
      </c>
      <c r="IW6">
        <v>21.114369501500001</v>
      </c>
      <c r="IX6">
        <v>14.9000000001</v>
      </c>
      <c r="IY6">
        <v>89.149560117299998</v>
      </c>
      <c r="IZ6">
        <v>-26.186984369699999</v>
      </c>
      <c r="JA6">
        <v>0.27802900219999999</v>
      </c>
      <c r="JB6">
        <v>-2.1472740000000001E-4</v>
      </c>
      <c r="JC6">
        <v>3.981E-7</v>
      </c>
      <c r="JD6">
        <v>0.25179474089999998</v>
      </c>
      <c r="JE6">
        <v>0.1658196237</v>
      </c>
      <c r="JF6">
        <v>5.1197393799999998E-2</v>
      </c>
      <c r="JG6">
        <v>100.7457766823</v>
      </c>
      <c r="JH6">
        <v>4.0549825476999999</v>
      </c>
      <c r="JI6">
        <v>5.1518770999999996E-3</v>
      </c>
      <c r="JJ6">
        <v>-8.9172700000000001E-5</v>
      </c>
      <c r="JK6">
        <v>3.9714888262999999</v>
      </c>
      <c r="JL6">
        <v>0.63197291830000002</v>
      </c>
      <c r="JM6">
        <v>0.19881880690000001</v>
      </c>
      <c r="JN6" t="s">
        <v>538</v>
      </c>
      <c r="JQ6">
        <v>1</v>
      </c>
    </row>
    <row r="7" spans="1:277">
      <c r="A7" t="s">
        <v>597</v>
      </c>
      <c r="B7" t="s">
        <v>598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583</v>
      </c>
      <c r="K7" t="s">
        <v>584</v>
      </c>
      <c r="L7" t="s">
        <v>585</v>
      </c>
      <c r="M7" t="s">
        <v>586</v>
      </c>
      <c r="N7" t="s">
        <v>587</v>
      </c>
      <c r="O7">
        <v>0</v>
      </c>
      <c r="P7">
        <v>0</v>
      </c>
      <c r="Q7">
        <v>0</v>
      </c>
      <c r="R7">
        <v>0.20000000039999999</v>
      </c>
      <c r="S7">
        <v>0.29999999970000002</v>
      </c>
      <c r="T7">
        <v>0.29999999970000002</v>
      </c>
      <c r="U7">
        <v>0.20000000039999999</v>
      </c>
      <c r="V7">
        <v>0.29999999970000002</v>
      </c>
      <c r="W7">
        <v>0.29999999970000002</v>
      </c>
      <c r="X7">
        <v>0.39999999899999999</v>
      </c>
      <c r="Y7">
        <v>0.39999999899999999</v>
      </c>
      <c r="Z7">
        <v>0.39999999899999999</v>
      </c>
      <c r="AA7">
        <v>0.39999999899999999</v>
      </c>
      <c r="AB7">
        <v>0.50000000010000001</v>
      </c>
      <c r="AC7">
        <v>0.50000000010000001</v>
      </c>
      <c r="AD7">
        <v>0.59999999940000004</v>
      </c>
      <c r="AE7">
        <v>0.59999999940000004</v>
      </c>
      <c r="AF7">
        <v>0.69999999869999996</v>
      </c>
      <c r="AG7">
        <v>0.69999999869999996</v>
      </c>
      <c r="AH7">
        <v>0.59999999940000004</v>
      </c>
      <c r="AI7">
        <v>0.79999999980000003</v>
      </c>
      <c r="AJ7">
        <v>0.69999999869999996</v>
      </c>
      <c r="AK7">
        <v>0.89999999909999995</v>
      </c>
      <c r="AL7">
        <v>4.7999999987999997</v>
      </c>
      <c r="AM7">
        <v>11.5999999998</v>
      </c>
      <c r="AN7">
        <v>19.0999999995</v>
      </c>
      <c r="AO7">
        <v>27.8999999991</v>
      </c>
      <c r="AP7">
        <v>36.5999999995</v>
      </c>
      <c r="AQ7">
        <v>44.899999999000002</v>
      </c>
      <c r="AR7">
        <v>53.899999999000002</v>
      </c>
      <c r="AS7">
        <v>62.5</v>
      </c>
      <c r="AT7">
        <v>70.899999998799998</v>
      </c>
      <c r="AU7">
        <v>80.3999999989</v>
      </c>
      <c r="AV7">
        <v>89.799999999700006</v>
      </c>
      <c r="AW7">
        <v>98.799999999799994</v>
      </c>
      <c r="AX7">
        <v>108.6999999989</v>
      </c>
      <c r="AY7">
        <v>117.50000000030001</v>
      </c>
      <c r="AZ7">
        <v>126.8</v>
      </c>
      <c r="BA7">
        <v>136.59999999979999</v>
      </c>
      <c r="BB7">
        <v>145.89999999950001</v>
      </c>
      <c r="BC7">
        <v>155.49999999889999</v>
      </c>
      <c r="BD7">
        <v>164.80000000050001</v>
      </c>
      <c r="BE7">
        <v>173.60000000010001</v>
      </c>
      <c r="BF7">
        <v>183.49999999920001</v>
      </c>
      <c r="BG7">
        <v>193.1999999997</v>
      </c>
      <c r="BH7">
        <v>202.49999999939999</v>
      </c>
      <c r="BI7">
        <v>211.99999999950001</v>
      </c>
      <c r="BJ7">
        <v>220.59999999870001</v>
      </c>
      <c r="BK7">
        <v>229.7999999992</v>
      </c>
      <c r="BL7">
        <v>239.49999999970001</v>
      </c>
      <c r="BM7">
        <v>248.7000000001</v>
      </c>
      <c r="BN7">
        <v>257.99999999980002</v>
      </c>
      <c r="BO7">
        <v>267.20000000020002</v>
      </c>
      <c r="BP7">
        <v>275.59999999899998</v>
      </c>
      <c r="BQ7">
        <v>284.59999999899998</v>
      </c>
      <c r="BR7">
        <v>293.70000000020002</v>
      </c>
      <c r="BS7">
        <v>302.49999999980002</v>
      </c>
      <c r="BT7">
        <v>311.39999999870003</v>
      </c>
      <c r="BU7">
        <v>319.79999999929998</v>
      </c>
      <c r="BV7">
        <v>327.90000000020001</v>
      </c>
      <c r="BW7">
        <v>336.49999999940002</v>
      </c>
      <c r="BX7">
        <v>344.90000000010002</v>
      </c>
      <c r="BY7">
        <v>353.10000000029999</v>
      </c>
      <c r="BZ7">
        <v>361.19999999940001</v>
      </c>
      <c r="CA7">
        <v>369.49999999890002</v>
      </c>
      <c r="CB7">
        <v>376.8</v>
      </c>
      <c r="CC7">
        <v>384.0999999993</v>
      </c>
      <c r="CD7">
        <v>391.89999999870003</v>
      </c>
      <c r="CE7">
        <v>399.5999999988</v>
      </c>
      <c r="CF7">
        <v>407.10000000039997</v>
      </c>
      <c r="CG7">
        <v>414.30000000040002</v>
      </c>
      <c r="CH7">
        <v>421.50000000040001</v>
      </c>
      <c r="CI7">
        <v>428.09999999920001</v>
      </c>
      <c r="CJ7">
        <v>434.90000000020001</v>
      </c>
      <c r="CK7">
        <v>440.80000000029997</v>
      </c>
      <c r="CL7">
        <v>443.19999999970003</v>
      </c>
      <c r="CM7">
        <v>443.29999999900002</v>
      </c>
      <c r="CN7">
        <v>443.29999999900002</v>
      </c>
      <c r="CO7">
        <v>443.40000000010002</v>
      </c>
      <c r="CP7">
        <v>443.29999999900002</v>
      </c>
      <c r="CQ7">
        <v>443.19999999970003</v>
      </c>
      <c r="CR7">
        <v>443.19999999970003</v>
      </c>
      <c r="CS7">
        <v>443.29999999900002</v>
      </c>
      <c r="CT7">
        <v>443.19999999970003</v>
      </c>
      <c r="CU7">
        <v>443.19999999970003</v>
      </c>
      <c r="CV7">
        <v>443.19999999970003</v>
      </c>
      <c r="CW7">
        <v>443.10000000039997</v>
      </c>
      <c r="CX7">
        <v>443.10000000039997</v>
      </c>
      <c r="CY7">
        <v>442.99999999929997</v>
      </c>
      <c r="CZ7">
        <v>443.10000000039997</v>
      </c>
      <c r="DA7">
        <v>443.10000000039997</v>
      </c>
      <c r="DB7">
        <v>443.10000000039997</v>
      </c>
      <c r="DC7">
        <v>442.99999999929997</v>
      </c>
      <c r="DD7">
        <v>442.99999999929997</v>
      </c>
      <c r="DE7">
        <v>442.99999999929997</v>
      </c>
      <c r="DF7">
        <v>442.99999999929997</v>
      </c>
      <c r="DG7">
        <v>0.50000000010000001</v>
      </c>
      <c r="DH7">
        <v>0.89999999909999995</v>
      </c>
      <c r="DI7">
        <v>1.0000000002</v>
      </c>
      <c r="DJ7">
        <v>1.0000000002</v>
      </c>
      <c r="DK7">
        <v>1.0999999995</v>
      </c>
      <c r="DL7">
        <v>1.0999999995</v>
      </c>
      <c r="DM7">
        <v>1.0999999995</v>
      </c>
      <c r="DN7">
        <v>1.0999999995</v>
      </c>
      <c r="DO7">
        <v>1.0999999995</v>
      </c>
      <c r="DP7">
        <v>1.0999999995</v>
      </c>
      <c r="DQ7">
        <v>1.1999999988000001</v>
      </c>
      <c r="DR7">
        <v>1.1999999988000001</v>
      </c>
      <c r="DS7">
        <v>1.1999999988000001</v>
      </c>
      <c r="DT7">
        <v>1.1999999988000001</v>
      </c>
      <c r="DU7">
        <v>1.1999999988000001</v>
      </c>
      <c r="DV7">
        <v>1.2999999999</v>
      </c>
      <c r="DW7">
        <v>1.2999999999</v>
      </c>
      <c r="DX7">
        <v>1.3999999992000001</v>
      </c>
      <c r="DY7">
        <v>1.8</v>
      </c>
      <c r="DZ7">
        <v>6.5999999988000004</v>
      </c>
      <c r="EA7">
        <v>13.4999999991</v>
      </c>
      <c r="EB7">
        <v>21.199999999199999</v>
      </c>
      <c r="EC7">
        <v>29.8999999995</v>
      </c>
      <c r="ED7">
        <v>38.399999999499997</v>
      </c>
      <c r="EE7">
        <v>46.5000000004</v>
      </c>
      <c r="EF7">
        <v>55.099999999600001</v>
      </c>
      <c r="EG7">
        <v>63.500000000199996</v>
      </c>
      <c r="EH7">
        <v>71.899999999000002</v>
      </c>
      <c r="EI7">
        <v>81.299999999799994</v>
      </c>
      <c r="EJ7">
        <v>90.299999999799994</v>
      </c>
      <c r="EK7">
        <v>99.199999998699994</v>
      </c>
      <c r="EL7">
        <v>108.6999999989</v>
      </c>
      <c r="EM7">
        <v>117.8</v>
      </c>
      <c r="EN7">
        <v>127.00000000039999</v>
      </c>
      <c r="EO7">
        <v>136.69999999909999</v>
      </c>
      <c r="EP7">
        <v>145.89999999950001</v>
      </c>
      <c r="EQ7">
        <v>155.3999999996</v>
      </c>
      <c r="ER7">
        <v>164.60000000010001</v>
      </c>
      <c r="ES7">
        <v>173.69999999940001</v>
      </c>
      <c r="ET7">
        <v>183.69999999960001</v>
      </c>
      <c r="EU7">
        <v>193.29999999899999</v>
      </c>
      <c r="EV7">
        <v>202.40000000009999</v>
      </c>
      <c r="EW7">
        <v>212.0999999988</v>
      </c>
      <c r="EX7">
        <v>220.9000000003</v>
      </c>
      <c r="EY7">
        <v>230.2</v>
      </c>
      <c r="EZ7">
        <v>239.9999999998</v>
      </c>
      <c r="FA7">
        <v>249.39999999880001</v>
      </c>
      <c r="FB7">
        <v>258.7999999996</v>
      </c>
      <c r="FC7">
        <v>267.70000000030001</v>
      </c>
      <c r="FD7">
        <v>276.59999999920001</v>
      </c>
      <c r="FE7">
        <v>286.09999999939998</v>
      </c>
      <c r="FF7">
        <v>295.29999999979998</v>
      </c>
      <c r="FG7">
        <v>304.00000000009999</v>
      </c>
      <c r="FH7">
        <v>313.19999999869998</v>
      </c>
      <c r="FI7">
        <v>321.79999999969999</v>
      </c>
      <c r="FJ7">
        <v>329.79999999950002</v>
      </c>
      <c r="FK7">
        <v>338.59999999910002</v>
      </c>
      <c r="FL7">
        <v>347.20000000020002</v>
      </c>
      <c r="FM7">
        <v>355.70000000009998</v>
      </c>
      <c r="FN7">
        <v>364.2</v>
      </c>
      <c r="FO7">
        <v>371.99999999940002</v>
      </c>
      <c r="FP7">
        <v>379.2999999987</v>
      </c>
      <c r="FQ7">
        <v>387.39999999960003</v>
      </c>
      <c r="FR7">
        <v>395.199999999</v>
      </c>
      <c r="FS7">
        <v>402.69999999869998</v>
      </c>
      <c r="FT7">
        <v>410.20000000030001</v>
      </c>
      <c r="FU7">
        <v>417.79999999929998</v>
      </c>
      <c r="FV7">
        <v>424.79999999889998</v>
      </c>
      <c r="FW7">
        <v>430.50000000040001</v>
      </c>
      <c r="FX7">
        <v>436.29999999939997</v>
      </c>
      <c r="FY7">
        <v>441.1</v>
      </c>
      <c r="FZ7">
        <v>443.29999999900002</v>
      </c>
      <c r="GA7">
        <v>443.29999999900002</v>
      </c>
      <c r="GB7">
        <v>443.19999999970003</v>
      </c>
      <c r="GC7">
        <v>443.19999999970003</v>
      </c>
      <c r="GD7">
        <v>443.29999999900002</v>
      </c>
      <c r="GE7">
        <v>443.29999999900002</v>
      </c>
      <c r="GF7">
        <v>443.29999999900002</v>
      </c>
      <c r="GG7">
        <v>443.29999999900002</v>
      </c>
      <c r="GH7">
        <v>443.19999999970003</v>
      </c>
      <c r="GI7">
        <v>443.19999999970003</v>
      </c>
      <c r="GJ7">
        <v>443.10000000039997</v>
      </c>
      <c r="GK7">
        <v>443.10000000039997</v>
      </c>
      <c r="GL7">
        <v>443.10000000039997</v>
      </c>
      <c r="GM7">
        <v>443.10000000039997</v>
      </c>
      <c r="GN7">
        <v>443.10000000039997</v>
      </c>
      <c r="GO7">
        <v>443.10000000039997</v>
      </c>
      <c r="GP7">
        <v>442.99999999929997</v>
      </c>
      <c r="GQ7">
        <v>442.99999999929997</v>
      </c>
      <c r="GR7">
        <v>442.9</v>
      </c>
      <c r="GS7">
        <v>442.9</v>
      </c>
      <c r="GT7">
        <v>442.99999999929997</v>
      </c>
      <c r="GU7">
        <v>442.99999999929997</v>
      </c>
      <c r="GV7">
        <v>442.99999999929997</v>
      </c>
      <c r="GW7">
        <v>1</v>
      </c>
      <c r="GX7">
        <v>107.1000000011</v>
      </c>
      <c r="GY7">
        <v>98.799999999799994</v>
      </c>
      <c r="GZ7">
        <v>98.799999999799994</v>
      </c>
      <c r="HA7">
        <v>117.8</v>
      </c>
      <c r="HB7">
        <v>103.44125408799999</v>
      </c>
      <c r="HC7">
        <v>-19.0000000002</v>
      </c>
      <c r="HD7">
        <v>442.99999999929997</v>
      </c>
      <c r="HE7">
        <v>312.93632570139999</v>
      </c>
      <c r="HF7">
        <v>83.089703394899999</v>
      </c>
      <c r="HG7">
        <v>443.40000000010002</v>
      </c>
      <c r="HH7">
        <v>443.29999999900002</v>
      </c>
      <c r="HI7">
        <v>443.40000000010002</v>
      </c>
      <c r="HJ7">
        <v>443.29999999900002</v>
      </c>
      <c r="HK7">
        <v>91.495601172999997</v>
      </c>
      <c r="HL7">
        <v>4.0086542290000002</v>
      </c>
      <c r="HM7">
        <v>3.8225831869000002</v>
      </c>
      <c r="HN7">
        <v>3.8447224252000001</v>
      </c>
      <c r="HO7">
        <v>3.7667922951000001</v>
      </c>
      <c r="HP7">
        <v>4.0997992530999996</v>
      </c>
      <c r="HQ7">
        <v>3.1428027703999999</v>
      </c>
      <c r="HR7">
        <v>20.351550693099998</v>
      </c>
      <c r="HS7">
        <v>-21.114369501500001</v>
      </c>
      <c r="HT7">
        <v>-144</v>
      </c>
      <c r="HU7">
        <v>416.37757978939999</v>
      </c>
      <c r="HV7">
        <v>79.765395894400001</v>
      </c>
      <c r="HW7">
        <v>544</v>
      </c>
      <c r="HX7">
        <v>20.351550693099998</v>
      </c>
      <c r="HY7">
        <v>-21.114369501500001</v>
      </c>
      <c r="HZ7">
        <v>-144</v>
      </c>
      <c r="IA7">
        <v>416.37757978939999</v>
      </c>
      <c r="IB7">
        <v>79.765395894400001</v>
      </c>
      <c r="IC7">
        <v>544</v>
      </c>
      <c r="ID7">
        <v>26.922420209599998</v>
      </c>
      <c r="IE7">
        <v>0.74857336060000002</v>
      </c>
      <c r="IF7">
        <v>-30.4985337243</v>
      </c>
      <c r="IG7">
        <v>-208</v>
      </c>
      <c r="IH7">
        <v>440.84343069810001</v>
      </c>
      <c r="II7">
        <v>89.149560117299998</v>
      </c>
      <c r="IJ7">
        <v>608</v>
      </c>
      <c r="IK7">
        <v>396.02602909640001</v>
      </c>
      <c r="IL7">
        <v>100.87976539589999</v>
      </c>
      <c r="IM7">
        <v>424.45360324960001</v>
      </c>
      <c r="IN7">
        <v>110.26392961880001</v>
      </c>
      <c r="IO7">
        <v>7.7000000001000002</v>
      </c>
      <c r="IP7">
        <v>6.8000000009999999</v>
      </c>
      <c r="IQ7">
        <v>10.0000000002</v>
      </c>
      <c r="IR7">
        <v>3.1191613934000002</v>
      </c>
      <c r="IS7">
        <v>3.1191613934000002</v>
      </c>
      <c r="IT7">
        <v>18.299999999699999</v>
      </c>
      <c r="IU7">
        <v>-23.460410557199999</v>
      </c>
      <c r="IV7">
        <v>19.700000000700001</v>
      </c>
      <c r="IW7">
        <v>44.5747800587</v>
      </c>
      <c r="IX7">
        <v>14.799999999000001</v>
      </c>
      <c r="IY7">
        <v>86.803519061599999</v>
      </c>
      <c r="IZ7">
        <v>-26.661797570299999</v>
      </c>
      <c r="JA7">
        <v>0.27523904160000001</v>
      </c>
      <c r="JB7">
        <v>-2.115392E-4</v>
      </c>
      <c r="JC7">
        <v>3.9449999999999999E-7</v>
      </c>
      <c r="JD7">
        <v>0.24946027840000001</v>
      </c>
      <c r="JE7">
        <v>0.16255063410000001</v>
      </c>
      <c r="JF7">
        <v>6.0385579600000003E-2</v>
      </c>
      <c r="JG7">
        <v>103.7142710717</v>
      </c>
      <c r="JH7">
        <v>4.0997992530999996</v>
      </c>
      <c r="JI7">
        <v>4.9797087E-3</v>
      </c>
      <c r="JJ7">
        <v>-9.1756799999999995E-5</v>
      </c>
      <c r="JK7">
        <v>4.0086542290000002</v>
      </c>
      <c r="JL7">
        <v>0.71116440359999999</v>
      </c>
      <c r="JM7">
        <v>0.23436193420000001</v>
      </c>
      <c r="JN7" t="s">
        <v>538</v>
      </c>
      <c r="JQ7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73.447703119899998</v>
      </c>
      <c r="D16" s="9">
        <f>AVERAGE(C18:C20)</f>
        <v>70.243224357233345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76.011740302999996</v>
      </c>
      <c r="D17" s="9">
        <f>AVERAGE(C21:C23)</f>
        <v>27.415078497366665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67.614356772000008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73.718172739400003</v>
      </c>
      <c r="D19" s="6">
        <f>AVERAGE('Summary(3pcs)'!E34:E35)</f>
        <v>142.47950059283792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69.397143560300009</v>
      </c>
      <c r="D20" s="9">
        <f>AVERAGE('Summary(3pcs)'!E36:E38)</f>
        <v>152.05209826943789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70.245235492099994</v>
      </c>
      <c r="D21" s="9">
        <f>AVERAGE('Summary(3pcs)'!E39:E41)</f>
        <v>-74.909507721995439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-0.60312914090000003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-8.4747227616000007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5.4488375044000001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0.32454624110000002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-2.4780818831000002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-0.82611703925000013</v>
      </c>
      <c r="C39" s="5">
        <f>'Summary(3pcs)'!M34</f>
        <v>-0.60312914090000003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-8.4747227616000007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5.4488375044000001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0.32454624110000002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-0.61952047077500005</v>
      </c>
      <c r="C43" s="8">
        <f>'Summary(3pcs)'!M39</f>
        <v>-2.4780818831000002</v>
      </c>
      <c r="D43" s="6">
        <f t="shared" ref="D43:D54" si="2">C55</f>
        <v>9.0294645447999997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-0.45554274850000009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6.6980776836999993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11.9917469551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0.53659518499999992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6.8159366087749991</v>
      </c>
      <c r="C55" s="5">
        <f>'Summary(3pcs)'!N34</f>
        <v>9.0294645447999997</v>
      </c>
      <c r="D55" s="6">
        <f>AVERAGE(D31:D33)</f>
        <v>-1.2096714660333336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-0.45554274850000009</v>
      </c>
      <c r="D56" s="9">
        <f>AVERAGE(D34:D36)</f>
        <v>-0.71784521400000001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6.6980776836999993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11.9917469551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3.1341487962499999</v>
      </c>
      <c r="C59" s="8">
        <f>'Summary(3pcs)'!N39</f>
        <v>0.53659518499999992</v>
      </c>
      <c r="D59" s="9">
        <f>AVERAGE(D43:D45)</f>
        <v>5.090666493333333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5.5094473800333335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-3.143094301333333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0.68570608033333313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-2.7127499579999999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-6.9863254820000007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-2.570840359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-6.7142879959999995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-0.14415454899999958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1.5511569979999997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-6.856732547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7.3626937899999998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2.04032898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0.92541551600000016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-11.103994370000001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-3.9834643600000001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-13.945157050000001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-3.030355036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2022-09-23T04:15:17Z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