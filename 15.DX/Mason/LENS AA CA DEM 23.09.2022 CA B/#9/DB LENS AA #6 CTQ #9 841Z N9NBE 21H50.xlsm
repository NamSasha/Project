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<sst xmlns="http://schemas.openxmlformats.org/spreadsheetml/2006/main" count="1419" uniqueCount="671">
  <si>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</si>
  <si>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</si>
  <si>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</si>
  <si>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</si>
  <si>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</si>
  <si>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</si>
  <si>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</si>
  <si>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</si>
  <si>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</si>
  <si>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</si>
  <si>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</si>
  <si>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</si>
  <si>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</si>
  <si>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</si>
  <si>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</si>
  <si>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</si>
  <si>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</si>
  <si>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</si>
  <si>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</si>
  <si>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</si>
  <si>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</si>
  <si>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</si>
  <si>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</si>
  <si>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</si>
  <si>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</si>
  <si>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</si>
  <si>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</si>
  <si>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</si>
  <si>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</si>
  <si>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</si>
  <si>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</si>
  <si>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</si>
  <si>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</si>
  <si>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</si>
  <si>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</si>
  <si>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</si>
  <si>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</si>
  <si>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</si>
  <si>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</si>
  <si>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</si>
  <si>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</si>
  <si>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</si>
  <si>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</si>
  <si>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</si>
  <si>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</si>
  <si>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</si>
  <si>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</si>
  <si>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</si>
  <si>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</si>
  <si>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</si>
  <si>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</si>
  <si>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</si>
  <si>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</si>
  <si>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</si>
  <si>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</si>
  <si>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</si>
  <si>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</si>
  <si>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</si>
  <si>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</si>
  <si>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</si>
  <si>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</si>
  <si>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</si>
  <si>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</si>
  <si>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</si>
  <si>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</si>
  <si>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</si>
  <si>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</si>
  <si>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</si>
  <si>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</si>
  <si>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</si>
  <si>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</si>
  <si>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</si>
  <si>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</si>
  <si>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</si>
  <si>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</si>
  <si>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</si>
  <si>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</si>
  <si>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</si>
  <si>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</si>
  <si>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</si>
  <si>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</si>
  <si>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</si>
  <si>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</si>
  <si>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</si>
  <si>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</si>
  <si>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</si>
  <si>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</si>
  <si>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</si>
  <si>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</si>
  <si>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</si>
  <si>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</si>
  <si>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</si>
  <si>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</si>
  <si>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</si>
  <si>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</si>
  <si>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</si>
  <si>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</si>
  <si>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</si>
  <si>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</si>
  <si>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</si>
  <si>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</si>
  <si>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</si>
  <si>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</si>
  <si>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</si>
  <si>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</si>
  <si>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</si>
  <si>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</si>
  <si>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</si>
  <si>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</si>
  <si>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</si>
  <si>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</si>
  <si>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</si>
  <si>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</si>
  <si>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</si>
  <si>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</si>
  <si>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</si>
  <si>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</si>
  <si>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</si>
  <si>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</si>
  <si>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</si>
  <si>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</si>
  <si>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</si>
  <si>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</si>
  <si>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</si>
  <si>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</si>
  <si>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</si>
  <si>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</si>
  <si>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</si>
  <si>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</si>
  <si>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</si>
  <si>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</si>
  <si>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</si>
  <si>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</si>
  <si>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</si>
  <si>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</si>
  <si>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</si>
  <si>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</si>
  <si>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</si>
  <si>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</si>
  <si>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</si>
  <si>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</si>
  <si>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</si>
  <si>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</si>
  <si>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</si>
  <si>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</si>
  <si>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</si>
  <si>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</si>
  <si>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</si>
  <si>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</si>
  <si>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</si>
  <si>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</si>
  <si>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</si>
  <si>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</si>
  <si>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</si>
  <si>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</si>
  <si>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</si>
  <si>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</si>
  <si>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</si>
  <si>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</si>
  <si>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</si>
  <si>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</si>
  <si>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</si>
  <si>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</si>
  <si>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</si>
  <si>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</si>
  <si>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</si>
  <si>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</si>
  <si>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</si>
  <si>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</si>
  <si>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</si>
  <si>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</si>
  <si>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</si>
  <si>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 VSY841ZN9NBE_2022092319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</si>
  <si>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</si>
  <si>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</si>
  <si>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</si>
  <si>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</si>
  <si>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</si>
  <si>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</si>
  <si>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</si>
  <si>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</si>
  <si>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</si>
  <si>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</si>
  <si>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</si>
  <si>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</si>
  <si>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</si>
  <si>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</si>
  <si>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</si>
  <si>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</si>
  <si>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</si>
  <si>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</si>
  <si>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</si>
  <si>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</si>
  <si>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</si>
  <si>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</si>
  <si>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</si>
  <si>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</si>
  <si>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</si>
  <si>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</si>
  <si>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</si>
  <si>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</si>
  <si>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</si>
  <si>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</si>
  <si>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</si>
  <si>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</si>
  <si>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</si>
  <si>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</si>
  <si>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</si>
  <si>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</si>
  <si>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T220923190923429VCMLEBC060</t>
  </si>
  <si>
    <t>'2022-09-23 19:09:32:655</t>
  </si>
  <si>
    <t>VCMLEBC060A</t>
  </si>
  <si>
    <t>DB_C1001</t>
  </si>
  <si>
    <t>210615ADOE</t>
  </si>
  <si>
    <t>R13A_OC_MFG_C10_21091603_b1779c9</t>
  </si>
  <si>
    <t xml:space="preserve"> VSY841ZN9NBE</t>
  </si>
  <si>
    <t>22cd12210277</t>
  </si>
  <si>
    <t>0x5240f5628e5ee603</t>
  </si>
  <si>
    <t>AS4C3531A31LA5B2A838025011</t>
  </si>
  <si>
    <t>AJ8C35333273B1B3A622</t>
  </si>
  <si>
    <t>DNA22245022640M12A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</si>
  <si>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</si>
  <si>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</si>
  <si>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</si>
  <si>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</si>
  <si>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</si>
  <si>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</si>
  <si>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AG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</si>
  <si>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</si>
  <si>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</si>
  <si>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</si>
  <si>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</si>
  <si>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</si>
  <si>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</si>
  <si>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</si>
  <si>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</si>
  <si>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</si>
  <si>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</si>
  <si>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</si>
  <si>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</si>
  <si>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</si>
  <si>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</si>
  <si>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</si>
  <si>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</si>
  <si>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</si>
  <si>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</si>
  <si>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</si>
  <si>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</si>
  <si>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</si>
  <si>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</si>
  <si>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</si>
  <si>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</si>
  <si>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</si>
  <si>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</si>
  <si>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</si>
  <si>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</si>
  <si>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</si>
  <si>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</si>
  <si>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</si>
  <si>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T220923190950051VCMLEBC060</t>
  </si>
  <si>
    <t>'2022-09-23 19:10:19:775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</si>
  <si>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</si>
  <si>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</si>
  <si>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</si>
  <si>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</si>
  <si>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</si>
  <si>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</si>
  <si>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</si>
  <si>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</si>
  <si>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</si>
  <si>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</si>
  <si>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</si>
  <si>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</si>
  <si>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</si>
  <si>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</si>
  <si>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</si>
  <si>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</si>
  <si>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19:10:09:747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</si>
  <si>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</si>
  <si>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</si>
  <si>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</si>
  <si>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</si>
  <si>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</si>
  <si>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</si>
  <si>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</si>
  <si>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</si>
  <si>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</si>
  <si>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</si>
  <si>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</si>
  <si>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</si>
  <si>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</si>
  <si>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</si>
  <si>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</si>
  <si>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</si>
  <si>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</si>
  <si>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</si>
  <si>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</si>
  <si>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</si>
  <si>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</si>
  <si>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</si>
  <si>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</si>
  <si>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</si>
  <si>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</si>
  <si>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</si>
  <si>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</si>
  <si>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</si>
  <si>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</si>
  <si>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</si>
  <si>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</si>
  <si>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</si>
  <si>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</si>
  <si>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</si>
  <si>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</si>
  <si>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</si>
  <si>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</si>
  <si>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</si>
  <si>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</si>
  <si>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</si>
  <si>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</si>
  <si>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</si>
  <si>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</si>
  <si>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</si>
  <si>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</si>
  <si>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</si>
  <si>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</si>
  <si>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</si>
  <si>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</si>
  <si>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</si>
  <si>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</si>
  <si>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</si>
  <si>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</si>
  <si>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</si>
  <si>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</si>
  <si>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</si>
  <si>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</si>
  <si>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</si>
  <si>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</si>
  <si>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</si>
  <si>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</si>
  <si>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</si>
  <si>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</si>
  <si>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</si>
  <si>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</si>
  <si>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</si>
  <si>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</si>
  <si>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</si>
  <si>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</si>
  <si>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</si>
  <si>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</si>
  <si>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</si>
  <si>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</si>
  <si>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</si>
  <si>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</si>
  <si>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</si>
  <si>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</si>
  <si>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</si>
  <si>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</si>
  <si>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</si>
  <si>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</si>
  <si>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</si>
  <si>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</si>
  <si>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</si>
  <si>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</si>
  <si>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</si>
  <si>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</si>
  <si>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</si>
  <si>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</si>
  <si>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</si>
  <si>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</si>
  <si>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</si>
  <si>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</si>
  <si>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</si>
  <si>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</si>
  <si>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</si>
  <si>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</si>
  <si>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</si>
  <si>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</si>
  <si>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</si>
  <si>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</si>
  <si>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</si>
  <si>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</si>
  <si>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</si>
  <si>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</si>
  <si>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</si>
  <si>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</si>
  <si>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</si>
  <si>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</si>
  <si>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</si>
  <si>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</si>
  <si>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</si>
  <si>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</si>
  <si>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</si>
  <si>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</si>
  <si>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</si>
  <si>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</si>
  <si>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</si>
  <si>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</si>
  <si>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</si>
  <si>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</si>
  <si>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</si>
  <si>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</si>
  <si>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</si>
  <si>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</si>
  <si>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</si>
  <si>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</si>
  <si>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</si>
  <si>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</si>
  <si>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</si>
  <si>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</si>
  <si>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</si>
  <si>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</si>
  <si>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</si>
  <si>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</si>
  <si>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</si>
  <si>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</si>
  <si>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</si>
  <si>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</si>
  <si>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</si>
  <si>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</si>
  <si>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</si>
  <si>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</si>
  <si>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</si>
  <si>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</si>
  <si>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</si>
  <si>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</si>
  <si>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</si>
  <si>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</si>
  <si>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</si>
  <si>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</si>
  <si>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</si>
  <si>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</si>
  <si>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</si>
  <si>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</si>
  <si>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</si>
  <si>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</si>
  <si>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</si>
  <si>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</si>
  <si>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</si>
  <si>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</si>
  <si>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</si>
  <si>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</si>
  <si>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</si>
  <si>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</si>
  <si>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</si>
  <si>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</si>
  <si>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</si>
  <si>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</si>
  <si>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</si>
  <si>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</si>
  <si>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</si>
  <si>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</si>
  <si>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</si>
  <si>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</si>
  <si>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</si>
  <si>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</si>
  <si>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</si>
  <si>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</si>
  <si>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</si>
  <si>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</si>
  <si>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</si>
  <si>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</si>
  <si>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</si>
  <si>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</si>
  <si>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</si>
  <si>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</si>
  <si>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</si>
  <si>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</si>
  <si>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</si>
  <si>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</si>
  <si>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</si>
  <si>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</si>
  <si>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</si>
  <si>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</si>
  <si>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</si>
  <si>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</si>
  <si>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</si>
  <si>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</si>
  <si>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</si>
  <si>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</si>
  <si>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</si>
  <si>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</si>
  <si>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</si>
  <si>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</si>
  <si>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</si>
  <si>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</si>
  <si>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</si>
  <si>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</si>
  <si>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</si>
  <si>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</si>
  <si>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</si>
  <si>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</si>
  <si>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</si>
  <si>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</si>
  <si>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</si>
  <si>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</si>
  <si>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</si>
  <si>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</si>
  <si>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</si>
  <si>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</si>
  <si>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</si>
  <si>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</si>
  <si>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</si>
  <si>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</si>
  <si>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</si>
  <si>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</si>
  <si>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</si>
  <si>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</si>
  <si>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</si>
  <si>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</si>
  <si>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</si>
  <si>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</si>
  <si>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</si>
  <si>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</si>
  <si>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</si>
  <si>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</si>
  <si>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</si>
  <si>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</si>
  <si>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</si>
  <si>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</si>
  <si>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</si>
  <si>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</si>
  <si>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</si>
  <si>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</si>
  <si>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</si>
  <si>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</si>
  <si>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</si>
  <si>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</si>
  <si>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</si>
  <si>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</si>
  <si>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</si>
  <si>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</si>
  <si>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</si>
  <si>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</si>
  <si>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</si>
  <si>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</si>
  <si>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T220923190935283VCMLEBC060</t>
  </si>
  <si>
    <t>'2022-09-23 19:09:47:828</t>
  </si>
  <si>
    <t>R13A_IPQC_MFG_Laser_C10_21090805_b1779c9</t>
  </si>
  <si>
    <t>v9p4</t>
  </si>
  <si>
    <t>T220923191029512VCMLEBC060</t>
  </si>
  <si>
    <t>'2022-09-23 19:10:38:687</t>
  </si>
  <si>
    <t>22cd12220963</t>
  </si>
  <si>
    <t>0x5240f562818faf01</t>
  </si>
  <si>
    <t>AS4C3531933JA5B2B037022103</t>
  </si>
  <si>
    <t>AJ8C3533127HB2B3A633</t>
  </si>
  <si>
    <t>DNA22245023110L12A</t>
  </si>
  <si>
    <t>T220923191133744VCMLEBC060</t>
  </si>
  <si>
    <t>'2022-09-23 19:11:42:912</t>
  </si>
  <si>
    <t>22cd12220961</t>
  </si>
  <si>
    <t>0x5240f5628e5f0103</t>
  </si>
  <si>
    <t>AS4C3531A322A5B2B139010006</t>
  </si>
  <si>
    <t>AJ8C3533225PB4B3A643</t>
  </si>
  <si>
    <t>DNA22245022640H14A</t>
  </si>
  <si>
    <t>T220923191056161VCMLEBC060</t>
  </si>
  <si>
    <t>'2022-09-23 19:11:25:575</t>
  </si>
  <si>
    <t>'2022-09-23 19:11:15:548</t>
  </si>
  <si>
    <t>T220923191041384VCMLEBC060</t>
  </si>
  <si>
    <t>'2022-09-23 19:10:53:924</t>
  </si>
  <si>
    <t>T220923191239438VCMLEBC060</t>
  </si>
  <si>
    <t>'2022-09-23 19:12:48:296</t>
  </si>
  <si>
    <t>22cd20030867</t>
  </si>
  <si>
    <t>0x5240fe6277f30607</t>
  </si>
  <si>
    <t>AS4C3461958KA1B2A037018118</t>
  </si>
  <si>
    <t>AJ9C3523C29DF3B3A635</t>
  </si>
  <si>
    <t>DNA22233142330D14A</t>
  </si>
  <si>
    <t>T220923191200312VCMLEBC060</t>
  </si>
  <si>
    <t>'2022-09-23 19:12:29:506</t>
  </si>
  <si>
    <t>'2022-09-23 19:12:19:483</t>
  </si>
  <si>
    <t>T220923191145588VCMLEBC060</t>
  </si>
  <si>
    <t>'2022-09-23 19:11:58:122</t>
  </si>
  <si>
    <t>T220923191305888VCMLEBC060</t>
  </si>
  <si>
    <t>'2022-09-23 19:13:25:578</t>
  </si>
  <si>
    <t>T220923191251084VCMLEBC060</t>
  </si>
  <si>
    <t>'2022-09-23 19:13:03:613</t>
  </si>
  <si>
    <t>T220923191344895VCMLEBC060</t>
  </si>
  <si>
    <t>'2022-09-23 19:13:53:708</t>
  </si>
  <si>
    <t>22cd12210254</t>
  </si>
  <si>
    <t>0x5240f5628e5f0905</t>
  </si>
  <si>
    <t>AS4C3531B33FA5B2B539021112</t>
  </si>
  <si>
    <t>AJ8C35332266B4B3A632</t>
  </si>
  <si>
    <t>DNA22245022640K13A</t>
  </si>
  <si>
    <t>T220923191451999VCMLEBC060</t>
  </si>
  <si>
    <t>'2022-09-23 19:15:00:795</t>
  </si>
  <si>
    <t>22cd12210282</t>
  </si>
  <si>
    <t>0x5240fe6291a4f405</t>
  </si>
  <si>
    <t>AS4C3531A31HA5B2A736025004</t>
  </si>
  <si>
    <t>AJ8C3533127LB1B3A623</t>
  </si>
  <si>
    <t>DNA22245022640L11A</t>
  </si>
  <si>
    <t>T220923191614044VCMLEBC060</t>
  </si>
  <si>
    <t>'2022-09-23 19:16:22:906</t>
  </si>
  <si>
    <t>22cd12210197</t>
  </si>
  <si>
    <t>0x5240fe6277f3ae01</t>
  </si>
  <si>
    <t>AS4C3531A31NA5B2A737034130</t>
  </si>
  <si>
    <t>AJ8C35333274B4B3A619</t>
  </si>
  <si>
    <t>DNA22245023110K12A</t>
  </si>
  <si>
    <t>T220923191727264VCMLEBC060</t>
  </si>
  <si>
    <t>'2022-09-23 19:17:36:021</t>
  </si>
  <si>
    <t>22cd12210122</t>
  </si>
  <si>
    <t>0x5240f56290e8eb07</t>
  </si>
  <si>
    <t>AS4C3531B33HA5B2A739044115</t>
  </si>
  <si>
    <t>AJ8C35332262B1B3A629</t>
  </si>
  <si>
    <t>DNA22245022640M06A</t>
  </si>
  <si>
    <t>'2022-09-23 19:13:35:600</t>
  </si>
  <si>
    <t>T220923191411155VCMLEBC060</t>
  </si>
  <si>
    <t>'2022-09-23 19:14:40:286</t>
  </si>
  <si>
    <t>T220923191518244VCMLEBC060</t>
  </si>
  <si>
    <t>'2022-09-23 19:15:47:896</t>
  </si>
  <si>
    <t>T220923191640396VCMLEBC060</t>
  </si>
  <si>
    <t>'2022-09-23 19:17:10:129</t>
  </si>
  <si>
    <t>'2022-09-23 19:14:30:261</t>
  </si>
  <si>
    <t>'2022-09-23 19:15:37:869</t>
  </si>
  <si>
    <t>'2022-09-23 19:17:00:104</t>
  </si>
  <si>
    <t>T220923191356392VCMLEBC060</t>
  </si>
  <si>
    <t>'2022-09-23 19:14:08:925</t>
  </si>
  <si>
    <t>T220923191503480VCMLEBC060</t>
  </si>
  <si>
    <t>'2022-09-23 19:15:16:014</t>
  </si>
  <si>
    <t>T220923191625593VCMLEBC060</t>
  </si>
  <si>
    <t>'2022-09-23 19:16:38:127</t>
  </si>
  <si>
    <t>T220923191738712VCMLEBC060</t>
  </si>
  <si>
    <t>'2022-09-23 19:17:51:252</t>
  </si>
  <si>
    <t>T220923191833137VCMLEBC060</t>
  </si>
  <si>
    <t>'2022-09-23 19:18:41:924</t>
  </si>
  <si>
    <t>22cd12210396</t>
  </si>
  <si>
    <t>0x5240f562818f9f03</t>
  </si>
  <si>
    <t>AS4C3531A321A5B2B043011001</t>
  </si>
  <si>
    <t>AJ8C35332263B4B3A634</t>
  </si>
  <si>
    <t>DNA22245022640M11A</t>
  </si>
  <si>
    <t>T220923192024879VCMLEBC060</t>
  </si>
  <si>
    <t>'2022-09-23 19:20:33:586</t>
  </si>
  <si>
    <t>22cd20030890</t>
  </si>
  <si>
    <t>0x5240fe6277f30e01</t>
  </si>
  <si>
    <t>AS4C3461B573A1B2A137035007</t>
  </si>
  <si>
    <t>AJ9C3523A2CCF4B3A654</t>
  </si>
  <si>
    <t>DNA22233142330I10A</t>
  </si>
  <si>
    <t>T220923192130563VCMLEBC060</t>
  </si>
  <si>
    <t>'2022-09-23 19:21:39:429</t>
  </si>
  <si>
    <t>22cd12210224</t>
  </si>
  <si>
    <t>0x5240f5628e5ef603</t>
  </si>
  <si>
    <t>AS4C3531B33GA5B2B043027013</t>
  </si>
  <si>
    <t>AJ8C3533127JB4B3A631</t>
  </si>
  <si>
    <t>DNA22245022640M05A</t>
  </si>
  <si>
    <t>T220923192242409VCMLEBC060</t>
  </si>
  <si>
    <t>'2022-09-23 19:22:51:279</t>
  </si>
  <si>
    <t>22cd12210249</t>
  </si>
  <si>
    <t>0x5240f5628e5ee407</t>
  </si>
  <si>
    <t>AS4C3531B33JA5B2A642039117</t>
  </si>
  <si>
    <t>AJ8C35333272B2B3A627</t>
  </si>
  <si>
    <t>DNA22245022640M07A</t>
  </si>
  <si>
    <t>T220923191753450VCMLEBC060</t>
  </si>
  <si>
    <t>'2022-09-23 19:18:23:178</t>
  </si>
  <si>
    <t>T220923191859374VCMLEBC060</t>
  </si>
  <si>
    <t>'2022-09-23 19:19:28:307</t>
  </si>
  <si>
    <t>T220923192051101VCMLEBC060</t>
  </si>
  <si>
    <t>'2022-09-23 19:21:20:896</t>
  </si>
  <si>
    <t>T220923192156882VCMLEBC060</t>
  </si>
  <si>
    <t>'2022-09-23 19:22:26:532</t>
  </si>
  <si>
    <t>T220923192308794VCMLEBC060</t>
  </si>
  <si>
    <t>'2022-09-23 19:23:38:580</t>
  </si>
  <si>
    <t>'2022-09-23 19:18:13:147</t>
  </si>
  <si>
    <t>'2022-09-23 19:19:18:278</t>
  </si>
  <si>
    <t>'2022-09-23 19:21:10:870</t>
  </si>
  <si>
    <t>'2022-09-23 19:22:16:509</t>
  </si>
  <si>
    <t>'2022-09-23 19:23:28:550</t>
  </si>
  <si>
    <t>T220923191844607VCMLEBC060</t>
  </si>
  <si>
    <t>'2022-09-23 19:18:57:136</t>
  </si>
  <si>
    <t>T220923192036326VCMLEBC060</t>
  </si>
  <si>
    <t>'2022-09-23 19:20:48:863</t>
  </si>
  <si>
    <t>T220923192142121VCMLEBC060</t>
  </si>
  <si>
    <t>'2022-09-23 19:21:54:657</t>
  </si>
  <si>
    <t>T220923192254015VCMLEBC060</t>
  </si>
  <si>
    <t>'2022-09-23 19:23:06:557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</si>
</sst>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2.2927413006999999</c:v>
                </c:pt>
                <c:pt idx="1">
                  <c:v>3.1225418519999999</c:v>
                </c:pt>
                <c:pt idx="2">
                  <c:v>3.5076987882999999</c:v>
                </c:pt>
                <c:pt idx="3">
                  <c:v>3.0702566392000001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3.2531829934999998</c:v>
                </c:pt>
                <c:pt idx="1">
                  <c:v>1.29155395</c:v>
                </c:pt>
                <c:pt idx="2">
                  <c:v>6.6653504005999995</c:v>
                </c:pt>
                <c:pt idx="3">
                  <c:v>-4.6998627386000003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2.9743273136666666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3.7366957813666666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09344"/>
        <c:axId val="51210880"/>
      </c:scatterChart>
      <c:valAx>
        <c:axId val="512093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210880"/>
        <c:crosses val="autoZero"/>
        <c:crossBetween val="midCat"/>
        <c:majorUnit val="10"/>
      </c:valAx>
      <c:valAx>
        <c:axId val="512108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209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4.6547934947999998</c:v>
                </c:pt>
                <c:pt idx="1">
                  <c:v>2.4409472305</c:v>
                </c:pt>
                <c:pt idx="2">
                  <c:v>5.1333977217999998</c:v>
                </c:pt>
                <c:pt idx="3">
                  <c:v>5.4871546310000001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6.7581025385000002</c:v>
                </c:pt>
                <c:pt idx="1">
                  <c:v>0.54722400190000009</c:v>
                </c:pt>
                <c:pt idx="2">
                  <c:v>5.9906615364000002</c:v>
                </c:pt>
                <c:pt idx="3">
                  <c:v>0.57700897289999986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3.3886657881666671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0.86848793393333334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52032"/>
        <c:axId val="97862016"/>
      </c:scatterChart>
      <c:valAx>
        <c:axId val="9785203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97862016"/>
        <c:crosses val="autoZero"/>
        <c:crossBetween val="midCat"/>
        <c:majorUnit val="10"/>
      </c:valAx>
      <c:valAx>
        <c:axId val="9786201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97852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7.9147620543999997</c:v>
                </c:pt>
                <c:pt idx="1">
                  <c:v>1.9760586079</c:v>
                </c:pt>
                <c:pt idx="2">
                  <c:v>-4.2737032167000004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0.11679201729999988</c:v>
                </c:pt>
                <c:pt idx="1">
                  <c:v>3.2095127645999999</c:v>
                </c:pt>
                <c:pt idx="2">
                  <c:v>-0.42034510209999976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6.1784381357333338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2.2281541755333332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86592"/>
        <c:axId val="97888128"/>
      </c:scatterChart>
      <c:valAx>
        <c:axId val="978865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97888128"/>
        <c:crosses val="autoZero"/>
        <c:crossBetween val="midCat"/>
        <c:majorUnit val="10"/>
      </c:valAx>
      <c:valAx>
        <c:axId val="978881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9788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-1.0094924521999999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5.0097597144999995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-1.1023790203333335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2.599642459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704704"/>
        <c:axId val="131706240"/>
      </c:scatterChart>
      <c:valAx>
        <c:axId val="13170470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706240"/>
        <c:crosses val="autoZero"/>
        <c:crossBetween val="midCat"/>
        <c:majorUnit val="10"/>
      </c:valAx>
      <c:valAx>
        <c:axId val="1317062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704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91.227695555400004</c:v>
                </c:pt>
                <c:pt idx="1">
                  <c:v>91.461969154000002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91.560972799933324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744896"/>
        <c:axId val="131746432"/>
      </c:scatterChart>
      <c:valAx>
        <c:axId val="13174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746432"/>
        <c:crosses val="autoZero"/>
        <c:crossBetween val="midCat"/>
      </c:valAx>
      <c:valAx>
        <c:axId val="13174643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74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91.993253690399996</c:v>
                </c:pt>
                <c:pt idx="1">
                  <c:v>88.787195056000002</c:v>
                </c:pt>
                <c:pt idx="2">
                  <c:v>91.444358196899998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90.638723755866678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791872"/>
        <c:axId val="132055808"/>
      </c:scatterChart>
      <c:valAx>
        <c:axId val="13179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055808"/>
        <c:crosses val="autoZero"/>
        <c:crossBetween val="midCat"/>
      </c:valAx>
      <c:valAx>
        <c:axId val="13205580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791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91.684618014700007</c:v>
                </c:pt>
                <c:pt idx="1">
                  <c:v>91.710071438400007</c:v>
                </c:pt>
                <c:pt idx="2">
                  <c:v>85.570453554799997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89.393579297966667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13152"/>
        <c:axId val="132114688"/>
      </c:scatterChart>
      <c:valAx>
        <c:axId val="13211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114688"/>
        <c:crosses val="autoZero"/>
        <c:crossBetween val="midCat"/>
      </c:valAx>
      <c:valAx>
        <c:axId val="13211468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113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90.900212900699998</c:v>
                </c:pt>
                <c:pt idx="1">
                  <c:v>89.539135682899996</c:v>
                </c:pt>
                <c:pt idx="2">
                  <c:v>90.388596706900003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88.893647947399998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5536"/>
        <c:axId val="132147072"/>
      </c:scatterChart>
      <c:valAx>
        <c:axId val="13214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147072"/>
        <c:crosses val="autoZero"/>
        <c:crossBetween val="midCat"/>
      </c:valAx>
      <c:valAx>
        <c:axId val="13214707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145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-18.041931152300002</c:v>
                </c:pt>
                <c:pt idx="1">
                  <c:v>9.0737342834000003</c:v>
                </c:pt>
                <c:pt idx="2">
                  <c:v>0.96871852870000019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-4.3011171818000005</c:v>
                </c:pt>
                <c:pt idx="1">
                  <c:v>-9.1355061530999997</c:v>
                </c:pt>
                <c:pt idx="2">
                  <c:v>-16.441701889000001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-2.6664927800666671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-9.9594417412999992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855296"/>
        <c:axId val="132856832"/>
      </c:scatterChart>
      <c:valAx>
        <c:axId val="13285529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856832"/>
        <c:crosses val="autoZero"/>
        <c:crossBetween val="midCat"/>
        <c:majorUnit val="10"/>
      </c:valAx>
      <c:valAx>
        <c:axId val="13285683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855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6.4818630219000006</c:v>
                </c:pt>
                <c:pt idx="1">
                  <c:v>-0.10271835329999979</c:v>
                </c:pt>
                <c:pt idx="2">
                  <c:v>4.7963085175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-4.3629068136000004</c:v>
                </c:pt>
                <c:pt idx="1">
                  <c:v>-2.4953894018999998</c:v>
                </c:pt>
                <c:pt idx="2">
                  <c:v>-4.1454682350000001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3.7251510620333335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-3.6679214835000002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889600"/>
        <c:axId val="132903680"/>
      </c:scatterChart>
      <c:valAx>
        <c:axId val="13288960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903680"/>
        <c:crosses val="autoZero"/>
        <c:crossBetween val="midCat"/>
        <c:majorUnit val="10"/>
      </c:valAx>
      <c:valAx>
        <c:axId val="1329036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88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5.0048217773000001</c:v>
                </c:pt>
                <c:pt idx="1">
                  <c:v>-0.80822825429999989</c:v>
                </c:pt>
                <c:pt idx="2">
                  <c:v>-1.8543097973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-7.2093644142000004</c:v>
                </c:pt>
                <c:pt idx="1">
                  <c:v>-7.0254063605999999</c:v>
                </c:pt>
                <c:pt idx="2">
                  <c:v>-8.2393188476999999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0.78076124190000018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-7.491363207500001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55520"/>
        <c:axId val="132557056"/>
      </c:scatterChart>
      <c:valAx>
        <c:axId val="13255552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557056"/>
        <c:crosses val="autoZero"/>
        <c:crossBetween val="midCat"/>
        <c:majorUnit val="10"/>
      </c:valAx>
      <c:valAx>
        <c:axId val="13255705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555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2.9247798920000001</c:v>
                </c:pt>
                <c:pt idx="1">
                  <c:v>7.5988321303999999</c:v>
                </c:pt>
                <c:pt idx="2">
                  <c:v>6.9536294936999994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-5.6271877289000001</c:v>
                </c:pt>
                <c:pt idx="1">
                  <c:v>-4.4374918937999999</c:v>
                </c:pt>
                <c:pt idx="2">
                  <c:v>-5.9340229033999998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5.825747172033334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-5.3329008420333333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737280"/>
        <c:axId val="132743168"/>
      </c:scatterChart>
      <c:valAx>
        <c:axId val="13273728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743168"/>
        <c:crosses val="autoZero"/>
        <c:crossBetween val="midCat"/>
        <c:majorUnit val="10"/>
      </c:valAx>
      <c:valAx>
        <c:axId val="13274316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737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152</v>
      </c>
      <c r="C3" s="72">
        <v>0.2</v>
      </c>
      <c r="D3" s="72" t="s">
        <v>153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>
      <selection activeCell="C20" sqref="C20"/>
    </sheetView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6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 VSY841ZN9NBE_2022092319_D50_ON_OC.csv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 VSY841ZN9NBE_2022092319_FPDC_INFD_normal.csv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 VSY841ZN9NBE_2022092319_INFDMargin_IPQC.csv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 VSY841ZN9NBE_2022092319_VCM_MEASURE.csv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172</v>
      </c>
      <c r="D8" s="20"/>
    </row>
    <row r="19" spans="3:3">
      <c r="C19" s="74" t="s">
        <v>159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A32" sqref="A32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227</v>
      </c>
      <c r="S31" s="84" t="s">
        <v>151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166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167</v>
      </c>
      <c r="N33" s="41" t="s">
        <v>168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22cd12210277</v>
      </c>
      <c r="C34" s="44">
        <f>IPQC!S2+VLOOKUP($R$31,$AD$38:$AK$42,6,FALSE)+VLOOKUP('File location'!$B$1,'Tester offset'!$A$2:$D$4,2,FALSE)</f>
        <v>91.227695555400004</v>
      </c>
      <c r="D34" s="44">
        <f>IPQC!Z2+VLOOKUP($R$31,$AD$38:$AK$42,6,FALSE)</f>
        <v>81.146031272000002</v>
      </c>
      <c r="E34" s="44">
        <f>VCM!HU2-'Summary(3pcs)'!C34-'Summary(3pcs)'!$D$32</f>
        <v>146.04017829753786</v>
      </c>
      <c r="F34" s="90">
        <f>AVERAGEIF($A$34:$A$45,1,$C$34:$C$45)</f>
        <v>91.560972799933324</v>
      </c>
      <c r="G34" s="91">
        <f>AVERAGEIF($A$34:$A$45,1,$D$34:$D$45)</f>
        <v>79.442342730600004</v>
      </c>
      <c r="H34" s="91">
        <f>AVERAGEIF($A$34:$A$45,1,$E$34:$E$45)</f>
        <v>149.03223304280456</v>
      </c>
      <c r="I34" s="91">
        <f>85-F34</f>
        <v>-6.5609727999333245</v>
      </c>
      <c r="J34"/>
      <c r="K34" s="79">
        <f>T34</f>
        <v>1</v>
      </c>
      <c r="L34" s="80" t="str">
        <f>OC!J2</f>
        <v>22cd12210277</v>
      </c>
      <c r="M34" s="44">
        <f>OC!S2+VLOOKUP($R$31,$AD$38:$AK$42,4,FALSE)</f>
        <v>2.2927413006999999</v>
      </c>
      <c r="N34" s="44">
        <f>OC!T2+VLOOKUP($R$31,$AD$38:$AK$42,5,FALSE)</f>
        <v>3.2531829934999998</v>
      </c>
      <c r="O34" s="92">
        <f>AVERAGEIF($K$34:$K$45,1,$M$34:$M$45)</f>
        <v>2.9743273136666666</v>
      </c>
      <c r="P34" s="92">
        <f>AVERAGEIF($K$34:$K$45,1,$N$34:$N$45)</f>
        <v>3.7366957813666666</v>
      </c>
      <c r="Q34" s="90">
        <f>P34*0.001</f>
        <v>3.7366957813666666E-3</v>
      </c>
      <c r="R34" s="90">
        <f>O34*0.001</f>
        <v>2.9743273136666666E-3</v>
      </c>
      <c r="T34" s="79">
        <v>1</v>
      </c>
      <c r="U34" s="80" t="str">
        <f>FPDC!J2</f>
        <v>22cd12210277</v>
      </c>
      <c r="V34" s="75">
        <f>FPDC!R2+VLOOKUP($R$31,$AD$38:$AK$42,2,FALSE)+VLOOKUP($R$31,$AD$38:$AK$42,7,FALSE)+VLOOKUP('File location'!$B$1,'Tester offset'!$A$2:$D$4,3,FALSE)</f>
        <v>2.9247798920000001</v>
      </c>
      <c r="W34" s="76">
        <f>FPDC!S2+VLOOKUP($R$31,$AD$38:$AK$42,3,FALSE)+VLOOKUP($R$31,$AD$38:$AK$42,8,FALSE)+VLOOKUP('File location'!$B$1,'Tester offset'!$A$2:$D$4,4,FALSE)</f>
        <v>-5.6271877289000001</v>
      </c>
      <c r="X34" s="92">
        <f>AVERAGEIF($T$34:$T$45,1,$V$34:$V$45)</f>
        <v>5.825747172033334</v>
      </c>
      <c r="Y34" s="92">
        <f>AVERAGEIF($T$34:$T$45,1,$W$34:$W$45)</f>
        <v>-5.3329008420333333</v>
      </c>
      <c r="Z34" s="90">
        <f>(X34*-0.01)/4</f>
        <v>-1.4564367930083335E-2</v>
      </c>
      <c r="AA34" s="90">
        <f>(Y34*-0.01)/4</f>
        <v>1.3332252105083334E-2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22cd12220963</v>
      </c>
      <c r="C35" s="44">
        <f>IPQC!S3+VLOOKUP($R$31,$AD$38:$AK$42,6,FALSE)+VLOOKUP('File location'!$B$1,'Tester offset'!$A$2:$D$4,2,FALSE)</f>
        <v>91.461969154000002</v>
      </c>
      <c r="D35" s="44">
        <f>IPQC!Z3+VLOOKUP($R$31,$AD$38:$AK$42,6,FALSE)</f>
        <v>78.359770518900007</v>
      </c>
      <c r="E35" s="44">
        <f>VCM!HU3-'Summary(3pcs)'!C35-'Summary(3pcs)'!$D$32</f>
        <v>144.23006226383791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22cd12220963</v>
      </c>
      <c r="M35" s="44">
        <f>OC!S3+VLOOKUP($R$31,$AD$38:$AK$42,4,FALSE)</f>
        <v>3.1225418519999999</v>
      </c>
      <c r="N35" s="44">
        <f>OC!T3+VLOOKUP($R$31,$AD$38:$AK$42,5,FALSE)</f>
        <v>1.29155395</v>
      </c>
      <c r="O35" s="92"/>
      <c r="P35" s="92"/>
      <c r="Q35" s="90"/>
      <c r="R35" s="90"/>
      <c r="T35" s="79">
        <v>1</v>
      </c>
      <c r="U35" s="80" t="str">
        <f>FPDC!J3</f>
        <v>22cd12220963</v>
      </c>
      <c r="V35" s="75">
        <f>FPDC!R3+VLOOKUP($R$31,$AD$38:$AK$42,2,FALSE)+VLOOKUP($R$31,$AD$38:$AK$42,7,FALSE)+VLOOKUP('File location'!$B$1,'Tester offset'!$A$2:$D$4,3,FALSE)</f>
        <v>7.5988321303999999</v>
      </c>
      <c r="W35" s="76">
        <f>FPDC!S3+VLOOKUP($R$31,$AD$38:$AK$42,3,FALSE)+VLOOKUP($R$31,$AD$38:$AK$42,8,FALSE)+VLOOKUP('File location'!$B$1,'Tester offset'!$A$2:$D$4,4,FALSE)</f>
        <v>-4.4374918937999999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22cd12220961</v>
      </c>
      <c r="C36" s="44">
        <f>IPQC!S4+VLOOKUP($R$31,$AD$38:$AK$42,6,FALSE)+VLOOKUP('File location'!$B$1,'Tester offset'!$A$2:$D$4,2,FALSE)</f>
        <v>91.993253690399996</v>
      </c>
      <c r="D36" s="44">
        <f>IPQC!Z4+VLOOKUP($R$31,$AD$38:$AK$42,6,FALSE)</f>
        <v>78.821226400900002</v>
      </c>
      <c r="E36" s="44">
        <f>VCM!HU4-'Summary(3pcs)'!C36-'Summary(3pcs)'!$D$32</f>
        <v>156.82645856703789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22cd12220961</v>
      </c>
      <c r="M36" s="44">
        <f>OC!S4+VLOOKUP($R$31,$AD$38:$AK$42,4,FALSE)</f>
        <v>3.5076987882999999</v>
      </c>
      <c r="N36" s="44">
        <f>OC!T4+VLOOKUP($R$31,$AD$38:$AK$42,5,FALSE)</f>
        <v>6.6653504005999995</v>
      </c>
      <c r="O36" s="92"/>
      <c r="P36" s="92"/>
      <c r="Q36" s="90"/>
      <c r="R36" s="90"/>
      <c r="T36" s="79">
        <v>1</v>
      </c>
      <c r="U36" s="80" t="str">
        <f>FPDC!J4</f>
        <v>22cd12220961</v>
      </c>
      <c r="V36" s="75">
        <f>FPDC!R4+VLOOKUP($R$31,$AD$38:$AK$42,2,FALSE)+VLOOKUP($R$31,$AD$38:$AK$42,7,FALSE)+VLOOKUP('File location'!$B$1,'Tester offset'!$A$2:$D$4,3,FALSE)</f>
        <v>6.9536294936999994</v>
      </c>
      <c r="W36" s="76">
        <f>FPDC!S4+VLOOKUP($R$31,$AD$38:$AK$42,3,FALSE)+VLOOKUP($R$31,$AD$38:$AK$42,8,FALSE)+VLOOKUP('File location'!$B$1,'Tester offset'!$A$2:$D$4,4,FALSE)</f>
        <v>-5.9340229033999998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22cd20030867</v>
      </c>
      <c r="C37" s="44">
        <f>IPQC!S5+VLOOKUP($R$31,$AD$38:$AK$42,6,FALSE)+VLOOKUP('File location'!$B$1,'Tester offset'!$A$2:$D$4,2,FALSE)</f>
        <v>88.787195056000002</v>
      </c>
      <c r="D37" s="44">
        <f>IPQC!Z5+VLOOKUP($R$31,$AD$38:$AK$42,6,FALSE)</f>
        <v>76.572085818900007</v>
      </c>
      <c r="E37" s="44">
        <f>VCM!HU5-'Summary(3pcs)'!C37-'Summary(3pcs)'!$D$32</f>
        <v>161.3499762300379</v>
      </c>
      <c r="F37" s="90">
        <f>AVERAGEIF($A$34:$A$45,2,$C$34:$C$45)</f>
        <v>90.638723755866678</v>
      </c>
      <c r="G37" s="91">
        <f>AVERAGEIF($A$34:$A$45,2,$D$34:$D$45)</f>
        <v>80.480109296099997</v>
      </c>
      <c r="H37" s="91">
        <f>AVERAGEIF($A$34:$A$45,2,$E$34:$E$45)</f>
        <v>161.33959823123789</v>
      </c>
      <c r="I37" s="91">
        <f>85-F37</f>
        <v>-5.6387237558666783</v>
      </c>
      <c r="J37"/>
      <c r="K37" s="79">
        <f t="shared" si="1"/>
        <v>2</v>
      </c>
      <c r="L37" s="80" t="str">
        <f>OC!J5</f>
        <v>22cd20030867</v>
      </c>
      <c r="M37" s="44">
        <f>OC!S5+VLOOKUP($R$31,$AD$38:$AK$42,4,FALSE)</f>
        <v>3.0702566392000001</v>
      </c>
      <c r="N37" s="44">
        <f>OC!T5+VLOOKUP($R$31,$AD$38:$AK$42,5,FALSE)</f>
        <v>-4.6998627386000003</v>
      </c>
      <c r="O37" s="92">
        <f>AVERAGEIF($K$34:$K$45,2,$M$34:$M$45)</f>
        <v>3.3886657881666671</v>
      </c>
      <c r="P37" s="92">
        <f>AVERAGEIF($K$34:$K$45,2,$N$34:$N$45)</f>
        <v>0.86848793393333334</v>
      </c>
      <c r="Q37" s="90">
        <f>P37*0.001</f>
        <v>8.6848793393333337E-4</v>
      </c>
      <c r="R37" s="90">
        <f>O37*0.001</f>
        <v>3.3886657881666673E-3</v>
      </c>
      <c r="T37" s="79">
        <v>2</v>
      </c>
      <c r="U37" s="80" t="str">
        <f>FPDC!J5</f>
        <v>22cd20030867</v>
      </c>
      <c r="V37" s="75">
        <f>FPDC!R5+VLOOKUP($R$31,$AD$38:$AK$42,2,FALSE)+VLOOKUP($R$31,$AD$38:$AK$42,7,FALSE)+VLOOKUP('File location'!$B$1,'Tester offset'!$A$2:$D$4,3,FALSE)</f>
        <v>-18.041931152300002</v>
      </c>
      <c r="W37" s="76">
        <f>FPDC!S5+VLOOKUP($R$31,$AD$38:$AK$42,3,FALSE)+VLOOKUP($R$31,$AD$38:$AK$42,8,FALSE)+VLOOKUP('File location'!$B$1,'Tester offset'!$A$2:$D$4,4,FALSE)</f>
        <v>-4.3011171818000005</v>
      </c>
      <c r="X37" s="92">
        <f>AVERAGEIF($T$34:$T$45,2,$V$34:$V$45)</f>
        <v>-2.6664927800666671</v>
      </c>
      <c r="Y37" s="92">
        <f>AVERAGEIF($T$34:$T$45,2,$W$34:$W$45)</f>
        <v>-9.9594417412999992</v>
      </c>
      <c r="Z37" s="90">
        <f>(X37*-0.01)/4</f>
        <v>6.6662319501666683E-3</v>
      </c>
      <c r="AA37" s="90">
        <f>(Y37*-0.01)/4</f>
        <v>2.489860435325E-2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22cd12210254</v>
      </c>
      <c r="C38" s="44">
        <f>IPQC!S6+VLOOKUP($R$31,$AD$38:$AK$42,6,FALSE)+VLOOKUP('File location'!$B$1,'Tester offset'!$A$2:$D$4,2,FALSE)</f>
        <v>91.444358196899998</v>
      </c>
      <c r="D38" s="44">
        <f>IPQC!Z6+VLOOKUP($R$31,$AD$38:$AK$42,6,FALSE)</f>
        <v>78.284525151699995</v>
      </c>
      <c r="E38" s="44">
        <f>VCM!HU6-'Summary(3pcs)'!C38-'Summary(3pcs)'!$D$32</f>
        <v>163.1142339586379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22cd12210254</v>
      </c>
      <c r="M38" s="44">
        <f>OC!S6+VLOOKUP($R$31,$AD$38:$AK$42,4,FALSE)</f>
        <v>4.6547934947999998</v>
      </c>
      <c r="N38" s="44">
        <f>OC!T6+VLOOKUP($R$31,$AD$38:$AK$42,5,FALSE)</f>
        <v>6.7581025385000002</v>
      </c>
      <c r="O38" s="92"/>
      <c r="P38" s="92"/>
      <c r="Q38" s="90"/>
      <c r="R38" s="90"/>
      <c r="T38" s="79">
        <v>2</v>
      </c>
      <c r="U38" s="80" t="str">
        <f>FPDC!J6</f>
        <v>22cd12210254</v>
      </c>
      <c r="V38" s="75">
        <f>FPDC!R6+VLOOKUP($R$31,$AD$38:$AK$42,2,FALSE)+VLOOKUP($R$31,$AD$38:$AK$42,7,FALSE)+VLOOKUP('File location'!$B$1,'Tester offset'!$A$2:$D$4,3,FALSE)</f>
        <v>9.0737342834000003</v>
      </c>
      <c r="W38" s="76">
        <f>FPDC!S6+VLOOKUP($R$31,$AD$38:$AK$42,3,FALSE)+VLOOKUP($R$31,$AD$38:$AK$42,8,FALSE)+VLOOKUP('File location'!$B$1,'Tester offset'!$A$2:$D$4,4,FALSE)</f>
        <v>-9.1355061530999997</v>
      </c>
      <c r="X38" s="92"/>
      <c r="Y38" s="92"/>
      <c r="Z38" s="90"/>
      <c r="AA38" s="90"/>
      <c r="AD38" s="79" t="s">
        <v>169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22cd12210282</v>
      </c>
      <c r="C39" s="44">
        <f>IPQC!S7+VLOOKUP($R$31,$AD$38:$AK$42,6,FALSE)+VLOOKUP('File location'!$B$1,'Tester offset'!$A$2:$D$4,2,FALSE)</f>
        <v>91.684618014700007</v>
      </c>
      <c r="D39" s="44">
        <f>IPQC!Z7+VLOOKUP($R$31,$AD$38:$AK$42,6,FALSE)</f>
        <v>86.583716917700002</v>
      </c>
      <c r="E39" s="44">
        <f>VCM!HU7-'Summary(3pcs)'!C39-'Summary(3pcs)'!$D$32</f>
        <v>159.55458450503789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22cd12210282</v>
      </c>
      <c r="M39" s="44">
        <f>OC!S7+VLOOKUP($R$31,$AD$38:$AK$42,4,FALSE)</f>
        <v>2.4409472305</v>
      </c>
      <c r="N39" s="44">
        <f>OC!T7+VLOOKUP($R$31,$AD$38:$AK$42,5,FALSE)</f>
        <v>0.54722400190000009</v>
      </c>
      <c r="O39" s="92"/>
      <c r="P39" s="92"/>
      <c r="Q39" s="90"/>
      <c r="R39" s="90"/>
      <c r="T39" s="79">
        <v>2</v>
      </c>
      <c r="U39" s="80" t="str">
        <f>FPDC!J7</f>
        <v>22cd12210282</v>
      </c>
      <c r="V39" s="75">
        <f>FPDC!R7+VLOOKUP($R$31,$AD$38:$AK$42,2,FALSE)+VLOOKUP($R$31,$AD$38:$AK$42,7,FALSE)+VLOOKUP('File location'!$B$1,'Tester offset'!$A$2:$D$4,3,FALSE)</f>
        <v>0.96871852870000019</v>
      </c>
      <c r="W39" s="76">
        <f>FPDC!S7+VLOOKUP($R$31,$AD$38:$AK$42,3,FALSE)+VLOOKUP($R$31,$AD$38:$AK$42,8,FALSE)+VLOOKUP('File location'!$B$1,'Tester offset'!$A$2:$D$4,4,FALSE)</f>
        <v>-16.441701889000001</v>
      </c>
      <c r="X39" s="92"/>
      <c r="Y39" s="92"/>
      <c r="Z39" s="90"/>
      <c r="AA39" s="90"/>
      <c r="AD39" s="30" t="s">
        <v>170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22cd12210197</v>
      </c>
      <c r="C40" s="44">
        <f>IPQC!S8+VLOOKUP($R$31,$AD$38:$AK$42,6,FALSE)+VLOOKUP('File location'!$B$1,'Tester offset'!$A$2:$D$4,2,FALSE)</f>
        <v>91.710071438400007</v>
      </c>
      <c r="D40" s="44">
        <f>IPQC!Z8+VLOOKUP($R$31,$AD$38:$AK$42,6,FALSE)</f>
        <v>81.826279454000002</v>
      </c>
      <c r="E40" s="44">
        <f>VCM!HU8-'Summary(3pcs)'!C40-'Summary(3pcs)'!$D$32</f>
        <v>162.71528451013791</v>
      </c>
      <c r="F40" s="90">
        <f>AVERAGEIF($A$34:$A$45,3,$C$34:$C$45)</f>
        <v>89.393579297966667</v>
      </c>
      <c r="G40" s="91">
        <f>AVERAGEIF($A$34:$A$45,3,$D$34:$D$45)</f>
        <v>77.50102177796667</v>
      </c>
      <c r="H40" s="91">
        <f>AVERAGEIF($A$34:$A$45,3,$E$34:$E$45)</f>
        <v>161.95204743220458</v>
      </c>
      <c r="I40" s="91">
        <f>85-F40</f>
        <v>-4.3935792979666672</v>
      </c>
      <c r="J40"/>
      <c r="K40" s="79">
        <f t="shared" si="1"/>
        <v>3</v>
      </c>
      <c r="L40" s="80" t="str">
        <f>OC!J8</f>
        <v>22cd12210197</v>
      </c>
      <c r="M40" s="44">
        <f>OC!S8+VLOOKUP($R$31,$AD$38:$AK$42,4,FALSE)</f>
        <v>5.1333977217999998</v>
      </c>
      <c r="N40" s="44">
        <f>OC!T8+VLOOKUP($R$31,$AD$38:$AK$42,5,FALSE)</f>
        <v>5.9906615364000002</v>
      </c>
      <c r="O40" s="92">
        <f>AVERAGEIF($K$34:$K$45,3,$M$34:$M$45)</f>
        <v>6.1784381357333338</v>
      </c>
      <c r="P40" s="92">
        <f>AVERAGEIF($K$34:$K$45,3,$N$34:$N$45)</f>
        <v>2.2281541755333332</v>
      </c>
      <c r="Q40" s="90">
        <f>P40*0.001</f>
        <v>2.2281541755333331E-3</v>
      </c>
      <c r="R40" s="90">
        <f>O40*0.001</f>
        <v>6.1784381357333339E-3</v>
      </c>
      <c r="T40" s="79">
        <v>3</v>
      </c>
      <c r="U40" s="80" t="str">
        <f>FPDC!J8</f>
        <v>22cd12210197</v>
      </c>
      <c r="V40" s="75">
        <f>FPDC!R8+VLOOKUP($R$31,$AD$38:$AK$42,2,FALSE)+VLOOKUP($R$31,$AD$38:$AK$42,7,FALSE)+VLOOKUP('File location'!$B$1,'Tester offset'!$A$2:$D$4,3,FALSE)</f>
        <v>6.4818630219000006</v>
      </c>
      <c r="W40" s="76">
        <f>FPDC!S8+VLOOKUP($R$31,$AD$38:$AK$42,3,FALSE)+VLOOKUP($R$31,$AD$38:$AK$42,8,FALSE)+VLOOKUP('File location'!$B$1,'Tester offset'!$A$2:$D$4,4,FALSE)</f>
        <v>-4.3629068136000004</v>
      </c>
      <c r="X40" s="92">
        <f>AVERAGEIF($T$34:$T$45,3,$V$34:$V$45)</f>
        <v>3.7251510620333335</v>
      </c>
      <c r="Y40" s="92">
        <f>AVERAGEIF($T$34:$T$45,3,$W$34:$W$45)</f>
        <v>-3.6679214835000002</v>
      </c>
      <c r="Z40" s="90">
        <f>(X40*-0.01)/4</f>
        <v>-9.3128776550833337E-3</v>
      </c>
      <c r="AA40" s="90">
        <f>(Y40*-0.01)/4</f>
        <v>9.1698037087500003E-3</v>
      </c>
      <c r="AD40" s="30" t="s">
        <v>171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22cd12210122</v>
      </c>
      <c r="C41" s="44">
        <f>IPQC!S9+VLOOKUP($R$31,$AD$38:$AK$42,6,FALSE)+VLOOKUP('File location'!$B$1,'Tester offset'!$A$2:$D$4,2,FALSE)</f>
        <v>85.570453554799997</v>
      </c>
      <c r="D41" s="44">
        <f>IPQC!Z9+VLOOKUP($R$31,$AD$38:$AK$42,6,FALSE)</f>
        <v>73.176508220599999</v>
      </c>
      <c r="E41" s="44">
        <f>VCM!HU9-'Summary(3pcs)'!C41-'Summary(3pcs)'!$D$32</f>
        <v>158.91935166823794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22cd12210122</v>
      </c>
      <c r="M41" s="44">
        <f>OC!S9+VLOOKUP($R$31,$AD$38:$AK$42,4,FALSE)</f>
        <v>5.4871546310000001</v>
      </c>
      <c r="N41" s="44">
        <f>OC!T9+VLOOKUP($R$31,$AD$38:$AK$42,5,FALSE)</f>
        <v>0.57700897289999986</v>
      </c>
      <c r="O41" s="92"/>
      <c r="P41" s="92"/>
      <c r="Q41" s="90"/>
      <c r="R41" s="90"/>
      <c r="T41" s="79">
        <v>3</v>
      </c>
      <c r="U41" s="80" t="str">
        <f>FPDC!J9</f>
        <v>22cd12210122</v>
      </c>
      <c r="V41" s="75">
        <f>FPDC!R9+VLOOKUP($R$31,$AD$38:$AK$42,2,FALSE)+VLOOKUP($R$31,$AD$38:$AK$42,7,FALSE)+VLOOKUP('File location'!$B$1,'Tester offset'!$A$2:$D$4,3,FALSE)</f>
        <v>-0.10271835329999979</v>
      </c>
      <c r="W41" s="76">
        <f>FPDC!S9+VLOOKUP($R$31,$AD$38:$AK$42,3,FALSE)+VLOOKUP($R$31,$AD$38:$AK$42,8,FALSE)+VLOOKUP('File location'!$B$1,'Tester offset'!$A$2:$D$4,4,FALSE)</f>
        <v>-2.4953894018999998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22cd12210396</v>
      </c>
      <c r="C42" s="44">
        <f>IPQC!S10+VLOOKUP($R$31,$AD$38:$AK$42,6,FALSE)+VLOOKUP('File location'!$B$1,'Tester offset'!$A$2:$D$4,2,FALSE)</f>
        <v>90.900212900699998</v>
      </c>
      <c r="D42" s="44">
        <f>IPQC!Z10+VLOOKUP($R$31,$AD$38:$AK$42,6,FALSE)</f>
        <v>77.500277659299996</v>
      </c>
      <c r="E42" s="44">
        <f>VCM!HU10-'Summary(3pcs)'!C42-'Summary(3pcs)'!$D$32</f>
        <v>164.22150611823787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22cd12210396</v>
      </c>
      <c r="M42" s="44">
        <f>OC!S10+VLOOKUP($R$31,$AD$38:$AK$42,4,FALSE)</f>
        <v>7.9147620543999997</v>
      </c>
      <c r="N42" s="44">
        <f>OC!T10+VLOOKUP($R$31,$AD$38:$AK$42,5,FALSE)</f>
        <v>0.11679201729999988</v>
      </c>
      <c r="O42" s="92"/>
      <c r="P42" s="92"/>
      <c r="Q42" s="90"/>
      <c r="R42" s="90"/>
      <c r="T42" s="79">
        <v>3</v>
      </c>
      <c r="U42" s="80" t="str">
        <f>FPDC!J10</f>
        <v>22cd12210396</v>
      </c>
      <c r="V42" s="75">
        <f>FPDC!R10+VLOOKUP($R$31,$AD$38:$AK$42,2,FALSE)+VLOOKUP($R$31,$AD$38:$AK$42,7,FALSE)+VLOOKUP('File location'!$B$1,'Tester offset'!$A$2:$D$4,3,FALSE)</f>
        <v>4.7963085175</v>
      </c>
      <c r="W42" s="76">
        <f>FPDC!S10+VLOOKUP($R$31,$AD$38:$AK$42,3,FALSE)+VLOOKUP($R$31,$AD$38:$AK$42,8,FALSE)+VLOOKUP('File location'!$B$1,'Tester offset'!$A$2:$D$4,4,FALSE)</f>
        <v>-4.1454682350000001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22cd20030890</v>
      </c>
      <c r="C43" s="44">
        <f>IPQC!S11+VLOOKUP($R$31,$AD$38:$AK$42,6,FALSE)+VLOOKUP('File location'!$B$1,'Tester offset'!$A$2:$D$4,2,FALSE)</f>
        <v>89.539135682899996</v>
      </c>
      <c r="D43" s="44">
        <f>IPQC!Z11+VLOOKUP($R$31,$AD$38:$AK$42,6,FALSE)</f>
        <v>79.537908688000002</v>
      </c>
      <c r="E43" s="44">
        <f>VCM!HU11-'Summary(3pcs)'!C43-'Summary(3pcs)'!$D$32</f>
        <v>158.64724163813793</v>
      </c>
      <c r="F43" s="90">
        <f>AVERAGEIF($A$34:$A$45,4,$C$34:$C$45)</f>
        <v>88.893647947399998</v>
      </c>
      <c r="G43" s="91">
        <f>AVERAGEIF($A$34:$A$45,4,$D$34:$D$45)</f>
        <v>77.958171310066675</v>
      </c>
      <c r="H43" s="91">
        <f>AVERAGEIF($A$34:$A$45,4,$E$34:$E$45)</f>
        <v>161.20632291937125</v>
      </c>
      <c r="I43" s="91">
        <f>85-F43</f>
        <v>-3.8936479473999981</v>
      </c>
      <c r="J43"/>
      <c r="K43" s="79">
        <f t="shared" si="1"/>
        <v>4</v>
      </c>
      <c r="L43" s="80" t="str">
        <f>OC!J11</f>
        <v>22cd20030890</v>
      </c>
      <c r="M43" s="44">
        <f>OC!S11+VLOOKUP($R$31,$AD$38:$AK$42,4,FALSE)</f>
        <v>1.9760586079</v>
      </c>
      <c r="N43" s="44">
        <f>OC!T11+VLOOKUP($R$31,$AD$38:$AK$42,5,FALSE)</f>
        <v>3.2095127645999999</v>
      </c>
      <c r="O43" s="92">
        <f>AVERAGEIF($K$34:$K$45,4,$M$34:$M$45)</f>
        <v>-1.1023790203333335</v>
      </c>
      <c r="P43" s="92">
        <f>AVERAGEIF($K$34:$K$45,4,$N$34:$N$45)</f>
        <v>2.599642459</v>
      </c>
      <c r="Q43" s="90">
        <f>P43*0.001</f>
        <v>2.599642459E-3</v>
      </c>
      <c r="R43" s="90">
        <f>O43*0.001</f>
        <v>-1.1023790203333334E-3</v>
      </c>
      <c r="T43" s="79">
        <v>4</v>
      </c>
      <c r="U43" s="80" t="str">
        <f>FPDC!J11</f>
        <v>22cd20030890</v>
      </c>
      <c r="V43" s="75">
        <f>FPDC!R11+VLOOKUP($R$31,$AD$38:$AK$42,2,FALSE)+VLOOKUP($R$31,$AD$38:$AK$42,7,FALSE)+VLOOKUP('File location'!$B$1,'Tester offset'!$A$2:$D$4,3,FALSE)</f>
        <v>5.0048217773000001</v>
      </c>
      <c r="W43" s="76">
        <f>FPDC!S11+VLOOKUP($R$31,$AD$38:$AK$42,3,FALSE)+VLOOKUP($R$31,$AD$38:$AK$42,8,FALSE)+VLOOKUP('File location'!$B$1,'Tester offset'!$A$2:$D$4,4,FALSE)</f>
        <v>-7.2093644142000004</v>
      </c>
      <c r="X43" s="92">
        <f>AVERAGEIF($T$34:$T$45,4,$V$34:$V$45)</f>
        <v>0.78076124190000018</v>
      </c>
      <c r="Y43" s="92">
        <f>AVERAGEIF($T$34:$T$45,4,$W$34:$W$45)</f>
        <v>-7.491363207500001</v>
      </c>
      <c r="Z43" s="90">
        <f>(X43*-0.01)/4</f>
        <v>-1.9519031047500004E-3</v>
      </c>
      <c r="AA43" s="90">
        <f>(Y43*-0.01)/4</f>
        <v>1.8728408018750003E-2</v>
      </c>
    </row>
    <row r="44" spans="1:37" s="32" customFormat="1" ht="17.100000000000001" customHeight="1">
      <c r="A44" s="79">
        <f t="shared" si="0"/>
        <v>4</v>
      </c>
      <c r="B44" s="80" t="str">
        <f>IPQC!J12</f>
        <v>22cd12210224</v>
      </c>
      <c r="C44" s="44">
        <f>IPQC!S12+VLOOKUP($R$31,$AD$38:$AK$42,6,FALSE)+VLOOKUP('File location'!$B$1,'Tester offset'!$A$2:$D$4,2,FALSE)</f>
        <v>90.388596706900003</v>
      </c>
      <c r="D44" s="44">
        <f>IPQC!Z12+VLOOKUP($R$31,$AD$38:$AK$42,6,FALSE)</f>
        <v>80.513583080000004</v>
      </c>
      <c r="E44" s="44">
        <f>VCM!HU12-'Summary(3pcs)'!C44-'Summary(3pcs)'!$D$32</f>
        <v>157.21463150823791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22cd12210224</v>
      </c>
      <c r="M44" s="44">
        <f>OC!S12+VLOOKUP($R$31,$AD$38:$AK$42,4,FALSE)</f>
        <v>-4.2737032167000004</v>
      </c>
      <c r="N44" s="44">
        <f>OC!T12+VLOOKUP($R$31,$AD$38:$AK$42,5,FALSE)</f>
        <v>-0.42034510209999976</v>
      </c>
      <c r="O44" s="92"/>
      <c r="P44" s="92"/>
      <c r="Q44" s="90"/>
      <c r="R44" s="90"/>
      <c r="T44" s="79">
        <v>4</v>
      </c>
      <c r="U44" s="80" t="str">
        <f>FPDC!J12</f>
        <v>22cd12210224</v>
      </c>
      <c r="V44" s="75">
        <f>FPDC!R12+VLOOKUP($R$31,$AD$38:$AK$42,2,FALSE)+VLOOKUP($R$31,$AD$38:$AK$42,7,FALSE)+VLOOKUP('File location'!$B$1,'Tester offset'!$A$2:$D$4,3,FALSE)</f>
        <v>-0.80822825429999989</v>
      </c>
      <c r="W44" s="76">
        <f>FPDC!S12+VLOOKUP($R$31,$AD$38:$AK$42,3,FALSE)+VLOOKUP($R$31,$AD$38:$AK$42,8,FALSE)+VLOOKUP('File location'!$B$1,'Tester offset'!$A$2:$D$4,4,FALSE)</f>
        <v>-7.0254063605999999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22cd12210249</v>
      </c>
      <c r="C45" s="44">
        <f>IPQC!S13+VLOOKUP($R$31,$AD$38:$AK$42,6,FALSE)+VLOOKUP('File location'!$B$1,'Tester offset'!$A$2:$D$4,2,FALSE)</f>
        <v>86.753211452399995</v>
      </c>
      <c r="D45" s="44">
        <f>IPQC!Z13+VLOOKUP($R$31,$AD$38:$AK$42,6,FALSE)</f>
        <v>73.823022162200004</v>
      </c>
      <c r="E45" s="44">
        <f>VCM!HU13-'Summary(3pcs)'!C45-'Summary(3pcs)'!$D$32</f>
        <v>167.7570956117379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22cd12210249</v>
      </c>
      <c r="M45" s="44">
        <f>OC!S13+VLOOKUP($R$31,$AD$38:$AK$42,4,FALSE)</f>
        <v>-1.0094924521999999</v>
      </c>
      <c r="N45" s="44">
        <f>OC!T13+VLOOKUP($R$31,$AD$38:$AK$42,5,FALSE)</f>
        <v>5.0097597144999995</v>
      </c>
      <c r="O45" s="92"/>
      <c r="P45" s="92"/>
      <c r="Q45" s="90"/>
      <c r="R45" s="90"/>
      <c r="T45" s="79">
        <v>4</v>
      </c>
      <c r="U45" s="80" t="str">
        <f>FPDC!J13</f>
        <v>22cd12210249</v>
      </c>
      <c r="V45" s="75">
        <f>FPDC!R13+VLOOKUP($R$31,$AD$38:$AK$42,2,FALSE)+VLOOKUP($R$31,$AD$38:$AK$42,7,FALSE)+VLOOKUP('File location'!$B$1,'Tester offset'!$A$2:$D$4,3,FALSE)</f>
        <v>-1.8543097973</v>
      </c>
      <c r="W45" s="76">
        <f>FPDC!S13+VLOOKUP($R$31,$AD$38:$AK$42,3,FALSE)+VLOOKUP($R$31,$AD$38:$AK$42,8,FALSE)+VLOOKUP('File location'!$B$1,'Tester offset'!$A$2:$D$4,4,FALSE)</f>
        <v>-8.2393188476999999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160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154</v>
      </c>
      <c r="G48" s="89"/>
      <c r="H48" s="78" t="s">
        <v>141</v>
      </c>
      <c r="I48" s="32"/>
      <c r="K48" s="32"/>
      <c r="L48" s="32"/>
      <c r="M48" s="32"/>
      <c r="N48" s="32"/>
      <c r="O48" s="93" t="s">
        <v>155</v>
      </c>
      <c r="P48" s="89"/>
      <c r="Q48" s="78" t="s">
        <v>161</v>
      </c>
      <c r="R48" s="32"/>
      <c r="S48" s="32"/>
      <c r="T48" s="32"/>
      <c r="U48" s="32"/>
      <c r="V48" s="32"/>
      <c r="W48" s="32"/>
      <c r="X48" s="32"/>
      <c r="Y48" s="93" t="s">
        <v>155</v>
      </c>
      <c r="Z48" s="89"/>
      <c r="AA48" s="78" t="s">
        <v>104</v>
      </c>
    </row>
    <row r="49" spans="6:27" ht="17.25">
      <c r="F49" s="89" t="s">
        <v>156</v>
      </c>
      <c r="G49" s="89"/>
      <c r="H49" s="78" t="s">
        <v>107</v>
      </c>
      <c r="I49" s="32"/>
      <c r="K49" s="32"/>
      <c r="L49" s="32"/>
      <c r="M49" s="32"/>
      <c r="N49" s="32"/>
      <c r="O49" s="93" t="s">
        <v>164</v>
      </c>
      <c r="P49" s="89"/>
      <c r="Q49" s="78" t="s">
        <v>162</v>
      </c>
      <c r="R49" s="32"/>
      <c r="S49" s="32"/>
      <c r="T49" s="32"/>
      <c r="U49" s="32"/>
      <c r="V49" s="32"/>
      <c r="W49" s="32"/>
      <c r="X49" s="32"/>
      <c r="Y49" s="93" t="s">
        <v>158</v>
      </c>
      <c r="Z49" s="89"/>
      <c r="AA49" s="78" t="s">
        <v>163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164</v>
      </c>
      <c r="P50" s="89"/>
      <c r="Q50" s="78" t="s">
        <v>165</v>
      </c>
      <c r="R50" s="32"/>
      <c r="S50" s="32"/>
      <c r="T50" s="32"/>
      <c r="U50" s="32"/>
      <c r="V50" s="32"/>
      <c r="W50" s="32"/>
      <c r="X50" s="32"/>
      <c r="Y50" s="93" t="s">
        <v>157</v>
      </c>
      <c r="Z50" s="89"/>
      <c r="AA50" s="78" t="s">
        <v>142</v>
      </c>
    </row>
    <row r="52" spans="6:27" ht="19.5">
      <c r="I52" s="45"/>
      <c r="J52" s="45"/>
      <c r="K52" s="81" t="s">
        <v>150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91.227695555400004</v>
      </c>
      <c r="L54" s="49">
        <f t="shared" ref="L54:L65" si="4">D34</f>
        <v>81.146031272000002</v>
      </c>
      <c r="M54" s="49">
        <f t="shared" ref="M54:M65" si="5">E34</f>
        <v>146.04017829753786</v>
      </c>
      <c r="N54" s="49">
        <f t="shared" ref="N54:O65" si="6">M34</f>
        <v>2.2927413006999999</v>
      </c>
      <c r="O54" s="49">
        <f t="shared" si="6"/>
        <v>3.2531829934999998</v>
      </c>
      <c r="P54" s="49">
        <f t="shared" ref="P54:P65" si="7">V34</f>
        <v>2.9247798920000001</v>
      </c>
      <c r="Q54" s="50">
        <f t="shared" ref="Q54:Q65" si="8">W34</f>
        <v>-5.6271877289000001</v>
      </c>
    </row>
    <row r="55" spans="6:27" ht="19.5">
      <c r="I55" s="47">
        <f t="shared" si="2"/>
        <v>1</v>
      </c>
      <c r="J55" s="46"/>
      <c r="K55" s="51">
        <f t="shared" si="3"/>
        <v>91.461969154000002</v>
      </c>
      <c r="L55" s="52">
        <f t="shared" si="4"/>
        <v>78.359770518900007</v>
      </c>
      <c r="M55" s="52">
        <f t="shared" si="5"/>
        <v>144.23006226383791</v>
      </c>
      <c r="N55" s="52">
        <f t="shared" si="6"/>
        <v>3.1225418519999999</v>
      </c>
      <c r="O55" s="52">
        <f t="shared" si="6"/>
        <v>1.29155395</v>
      </c>
      <c r="P55" s="52">
        <f t="shared" si="7"/>
        <v>7.5988321303999999</v>
      </c>
      <c r="Q55" s="53">
        <f t="shared" si="8"/>
        <v>-4.4374918937999999</v>
      </c>
    </row>
    <row r="56" spans="6:27" ht="19.5">
      <c r="I56" s="47">
        <f t="shared" si="2"/>
        <v>1</v>
      </c>
      <c r="J56" s="46"/>
      <c r="K56" s="54">
        <f t="shared" si="3"/>
        <v>91.993253690399996</v>
      </c>
      <c r="L56" s="55">
        <f t="shared" si="4"/>
        <v>78.821226400900002</v>
      </c>
      <c r="M56" s="55">
        <f t="shared" si="5"/>
        <v>156.82645856703789</v>
      </c>
      <c r="N56" s="55">
        <f t="shared" si="6"/>
        <v>3.5076987882999999</v>
      </c>
      <c r="O56" s="55">
        <f t="shared" si="6"/>
        <v>6.6653504005999995</v>
      </c>
      <c r="P56" s="55">
        <f t="shared" si="7"/>
        <v>6.9536294936999994</v>
      </c>
      <c r="Q56" s="56">
        <f t="shared" si="8"/>
        <v>-5.9340229033999998</v>
      </c>
    </row>
    <row r="57" spans="6:27" ht="19.5">
      <c r="I57" s="47">
        <f t="shared" si="2"/>
        <v>2</v>
      </c>
      <c r="J57" s="46"/>
      <c r="K57" s="57">
        <f t="shared" si="3"/>
        <v>88.787195056000002</v>
      </c>
      <c r="L57" s="58">
        <f t="shared" si="4"/>
        <v>76.572085818900007</v>
      </c>
      <c r="M57" s="58">
        <f t="shared" si="5"/>
        <v>161.3499762300379</v>
      </c>
      <c r="N57" s="58">
        <f t="shared" si="6"/>
        <v>3.0702566392000001</v>
      </c>
      <c r="O57" s="58">
        <f t="shared" si="6"/>
        <v>-4.6998627386000003</v>
      </c>
      <c r="P57" s="58">
        <f t="shared" si="7"/>
        <v>-18.041931152300002</v>
      </c>
      <c r="Q57" s="59">
        <f t="shared" si="8"/>
        <v>-4.3011171818000005</v>
      </c>
    </row>
    <row r="58" spans="6:27" ht="19.5">
      <c r="I58" s="47">
        <f t="shared" si="2"/>
        <v>2</v>
      </c>
      <c r="J58" s="46"/>
      <c r="K58" s="57">
        <f t="shared" si="3"/>
        <v>91.444358196899998</v>
      </c>
      <c r="L58" s="58">
        <f t="shared" si="4"/>
        <v>78.284525151699995</v>
      </c>
      <c r="M58" s="58">
        <f t="shared" si="5"/>
        <v>163.1142339586379</v>
      </c>
      <c r="N58" s="58">
        <f t="shared" si="6"/>
        <v>4.6547934947999998</v>
      </c>
      <c r="O58" s="58">
        <f t="shared" si="6"/>
        <v>6.7581025385000002</v>
      </c>
      <c r="P58" s="58">
        <f t="shared" si="7"/>
        <v>9.0737342834000003</v>
      </c>
      <c r="Q58" s="59">
        <f t="shared" si="8"/>
        <v>-9.1355061530999997</v>
      </c>
    </row>
    <row r="59" spans="6:27" ht="19.5">
      <c r="I59" s="47">
        <f t="shared" si="2"/>
        <v>2</v>
      </c>
      <c r="J59" s="46"/>
      <c r="K59" s="57">
        <f t="shared" si="3"/>
        <v>91.684618014700007</v>
      </c>
      <c r="L59" s="58">
        <f t="shared" si="4"/>
        <v>86.583716917700002</v>
      </c>
      <c r="M59" s="58">
        <f t="shared" si="5"/>
        <v>159.55458450503789</v>
      </c>
      <c r="N59" s="58">
        <f t="shared" si="6"/>
        <v>2.4409472305</v>
      </c>
      <c r="O59" s="58">
        <f t="shared" si="6"/>
        <v>0.54722400190000009</v>
      </c>
      <c r="P59" s="58">
        <f t="shared" si="7"/>
        <v>0.96871852870000019</v>
      </c>
      <c r="Q59" s="59">
        <f t="shared" si="8"/>
        <v>-16.441701889000001</v>
      </c>
    </row>
    <row r="60" spans="6:27" ht="19.5">
      <c r="I60" s="47">
        <f t="shared" si="2"/>
        <v>3</v>
      </c>
      <c r="J60" s="46"/>
      <c r="K60" s="60">
        <f t="shared" si="3"/>
        <v>91.710071438400007</v>
      </c>
      <c r="L60" s="61">
        <f t="shared" si="4"/>
        <v>81.826279454000002</v>
      </c>
      <c r="M60" s="61">
        <f t="shared" si="5"/>
        <v>162.71528451013791</v>
      </c>
      <c r="N60" s="61">
        <f t="shared" si="6"/>
        <v>5.1333977217999998</v>
      </c>
      <c r="O60" s="61">
        <f t="shared" si="6"/>
        <v>5.9906615364000002</v>
      </c>
      <c r="P60" s="61">
        <f t="shared" si="7"/>
        <v>6.4818630219000006</v>
      </c>
      <c r="Q60" s="62">
        <f t="shared" si="8"/>
        <v>-4.3629068136000004</v>
      </c>
    </row>
    <row r="61" spans="6:27" ht="19.5">
      <c r="I61" s="47">
        <f t="shared" si="2"/>
        <v>3</v>
      </c>
      <c r="J61" s="46"/>
      <c r="K61" s="63">
        <f t="shared" si="3"/>
        <v>85.570453554799997</v>
      </c>
      <c r="L61" s="64">
        <f t="shared" si="4"/>
        <v>73.176508220599999</v>
      </c>
      <c r="M61" s="64">
        <f t="shared" si="5"/>
        <v>158.91935166823794</v>
      </c>
      <c r="N61" s="64">
        <f t="shared" si="6"/>
        <v>5.4871546310000001</v>
      </c>
      <c r="O61" s="64">
        <f t="shared" si="6"/>
        <v>0.57700897289999986</v>
      </c>
      <c r="P61" s="64">
        <f t="shared" si="7"/>
        <v>-0.10271835329999979</v>
      </c>
      <c r="Q61" s="65">
        <f t="shared" si="8"/>
        <v>-2.4953894018999998</v>
      </c>
    </row>
    <row r="62" spans="6:27" ht="19.5">
      <c r="I62" s="47">
        <f t="shared" si="2"/>
        <v>3</v>
      </c>
      <c r="J62" s="46"/>
      <c r="K62" s="66">
        <f t="shared" si="3"/>
        <v>90.900212900699998</v>
      </c>
      <c r="L62" s="67">
        <f t="shared" si="4"/>
        <v>77.500277659299996</v>
      </c>
      <c r="M62" s="67">
        <f t="shared" si="5"/>
        <v>164.22150611823787</v>
      </c>
      <c r="N62" s="67">
        <f t="shared" si="6"/>
        <v>7.9147620543999997</v>
      </c>
      <c r="O62" s="67">
        <f t="shared" si="6"/>
        <v>0.11679201729999988</v>
      </c>
      <c r="P62" s="67">
        <f t="shared" si="7"/>
        <v>4.7963085175</v>
      </c>
      <c r="Q62" s="68">
        <f t="shared" si="8"/>
        <v>-4.1454682350000001</v>
      </c>
    </row>
    <row r="63" spans="6:27" ht="19.5">
      <c r="I63" s="47">
        <f t="shared" si="2"/>
        <v>4</v>
      </c>
      <c r="J63" s="46"/>
      <c r="K63" s="57">
        <f t="shared" si="3"/>
        <v>89.539135682899996</v>
      </c>
      <c r="L63" s="58">
        <f t="shared" si="4"/>
        <v>79.537908688000002</v>
      </c>
      <c r="M63" s="58">
        <f t="shared" si="5"/>
        <v>158.64724163813793</v>
      </c>
      <c r="N63" s="58">
        <f t="shared" si="6"/>
        <v>1.9760586079</v>
      </c>
      <c r="O63" s="58">
        <f t="shared" si="6"/>
        <v>3.2095127645999999</v>
      </c>
      <c r="P63" s="58">
        <f t="shared" si="7"/>
        <v>5.0048217773000001</v>
      </c>
      <c r="Q63" s="59">
        <f t="shared" si="8"/>
        <v>-7.2093644142000004</v>
      </c>
    </row>
    <row r="64" spans="6:27" ht="19.5">
      <c r="I64" s="47">
        <f t="shared" si="2"/>
        <v>4</v>
      </c>
      <c r="J64" s="46"/>
      <c r="K64" s="57">
        <f t="shared" si="3"/>
        <v>90.388596706900003</v>
      </c>
      <c r="L64" s="58">
        <f t="shared" si="4"/>
        <v>80.513583080000004</v>
      </c>
      <c r="M64" s="58">
        <f t="shared" si="5"/>
        <v>157.21463150823791</v>
      </c>
      <c r="N64" s="58">
        <f t="shared" si="6"/>
        <v>-4.2737032167000004</v>
      </c>
      <c r="O64" s="58">
        <f t="shared" si="6"/>
        <v>-0.42034510209999976</v>
      </c>
      <c r="P64" s="58">
        <f t="shared" si="7"/>
        <v>-0.80822825429999989</v>
      </c>
      <c r="Q64" s="59">
        <f t="shared" si="8"/>
        <v>-7.0254063605999999</v>
      </c>
    </row>
    <row r="65" spans="9:17" ht="20.25" thickBot="1">
      <c r="I65" s="47">
        <f t="shared" si="2"/>
        <v>4</v>
      </c>
      <c r="J65" s="46"/>
      <c r="K65" s="69">
        <f t="shared" si="3"/>
        <v>86.753211452399995</v>
      </c>
      <c r="L65" s="70">
        <f t="shared" si="4"/>
        <v>73.823022162200004</v>
      </c>
      <c r="M65" s="70">
        <f t="shared" si="5"/>
        <v>167.7570956117379</v>
      </c>
      <c r="N65" s="70">
        <f t="shared" si="6"/>
        <v>-1.0094924521999999</v>
      </c>
      <c r="O65" s="70">
        <f t="shared" si="6"/>
        <v>5.0097597144999995</v>
      </c>
      <c r="P65" s="70">
        <f t="shared" si="7"/>
        <v>-1.8543097973</v>
      </c>
      <c r="Q65" s="71">
        <f t="shared" si="8"/>
        <v>-8.2393188476999999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  <c r="Z1" t="s">
        <v>198</v>
      </c>
      <c r="AA1" t="s">
        <v>199</v>
      </c>
      <c r="AB1" t="s">
        <v>200</v>
      </c>
      <c r="AC1" t="s">
        <v>201</v>
      </c>
      <c r="AD1" t="s">
        <v>202</v>
      </c>
      <c r="AE1" t="s">
        <v>203</v>
      </c>
      <c r="AF1" t="s">
        <v>204</v>
      </c>
      <c r="AG1" t="s">
        <v>205</v>
      </c>
      <c r="AH1" t="s">
        <v>206</v>
      </c>
      <c r="AI1" t="s">
        <v>207</v>
      </c>
      <c r="AJ1" t="s">
        <v>208</v>
      </c>
    </row>
    <row r="2" spans="1:36">
      <c r="A2" t="s">
        <v>209</v>
      </c>
      <c r="B2" t="s">
        <v>210</v>
      </c>
      <c r="C2" t="s">
        <v>211</v>
      </c>
      <c r="D2">
        <v>3</v>
      </c>
      <c r="E2" t="s">
        <v>212</v>
      </c>
      <c r="F2" t="s">
        <v>213</v>
      </c>
      <c r="G2" t="s">
        <v>214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2114.7927413007001</v>
      </c>
      <c r="R2">
        <v>1513.2468170064999</v>
      </c>
      <c r="S2">
        <v>2.2927413006999999</v>
      </c>
      <c r="T2">
        <v>-0.74681700650000005</v>
      </c>
      <c r="U2">
        <v>2.4113063498999998</v>
      </c>
      <c r="V2">
        <v>735.23500000000001</v>
      </c>
      <c r="W2">
        <v>389.76710000000003</v>
      </c>
      <c r="X2">
        <v>390.86720000000003</v>
      </c>
      <c r="Y2">
        <v>388.8587</v>
      </c>
      <c r="Z2">
        <v>388.56990000000002</v>
      </c>
      <c r="AA2">
        <v>562.37536250000005</v>
      </c>
      <c r="AB2" t="s">
        <v>221</v>
      </c>
      <c r="AC2" t="s">
        <v>222</v>
      </c>
      <c r="AD2" t="s">
        <v>223</v>
      </c>
      <c r="AE2" t="s">
        <v>224</v>
      </c>
      <c r="AF2" t="s">
        <v>225</v>
      </c>
      <c r="AG2">
        <v>7</v>
      </c>
      <c r="AH2" t="s">
        <v>226</v>
      </c>
      <c r="AJ2">
        <v>1</v>
      </c>
    </row>
    <row r="3" spans="1:36">
      <c r="A3" t="s">
        <v>539</v>
      </c>
      <c r="B3" t="s">
        <v>540</v>
      </c>
      <c r="C3" t="s">
        <v>211</v>
      </c>
      <c r="D3">
        <v>3</v>
      </c>
      <c r="E3" t="s">
        <v>212</v>
      </c>
      <c r="F3" t="s">
        <v>213</v>
      </c>
      <c r="G3" t="s">
        <v>214</v>
      </c>
      <c r="H3" t="s">
        <v>215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2115.6225418519998</v>
      </c>
      <c r="R3">
        <v>1515.20844605</v>
      </c>
      <c r="S3">
        <v>3.1225418519999999</v>
      </c>
      <c r="T3">
        <v>-2.70844605</v>
      </c>
      <c r="U3">
        <v>4.1335151655000004</v>
      </c>
      <c r="V3">
        <v>734.19240000000002</v>
      </c>
      <c r="W3">
        <v>390.8116</v>
      </c>
      <c r="X3">
        <v>396.69380000000001</v>
      </c>
      <c r="Y3">
        <v>391.51560000000001</v>
      </c>
      <c r="Z3">
        <v>390.90570000000002</v>
      </c>
      <c r="AA3">
        <v>563.33703749999995</v>
      </c>
      <c r="AB3" t="s">
        <v>221</v>
      </c>
      <c r="AC3" t="s">
        <v>222</v>
      </c>
      <c r="AD3" t="s">
        <v>223</v>
      </c>
      <c r="AE3" t="s">
        <v>224</v>
      </c>
      <c r="AF3" t="s">
        <v>225</v>
      </c>
      <c r="AG3">
        <v>7</v>
      </c>
      <c r="AH3" t="s">
        <v>226</v>
      </c>
      <c r="AJ3">
        <v>1</v>
      </c>
    </row>
    <row r="4" spans="1:36">
      <c r="A4" t="s">
        <v>546</v>
      </c>
      <c r="B4" t="s">
        <v>547</v>
      </c>
      <c r="C4" t="s">
        <v>211</v>
      </c>
      <c r="D4">
        <v>3</v>
      </c>
      <c r="E4" t="s">
        <v>212</v>
      </c>
      <c r="F4" t="s">
        <v>213</v>
      </c>
      <c r="G4" t="s">
        <v>214</v>
      </c>
      <c r="H4" t="s">
        <v>215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2116.0076987882999</v>
      </c>
      <c r="R4">
        <v>1509.8346495994001</v>
      </c>
      <c r="S4">
        <v>3.5076987882999999</v>
      </c>
      <c r="T4">
        <v>2.6653504005999999</v>
      </c>
      <c r="U4">
        <v>4.4054561112000004</v>
      </c>
      <c r="V4">
        <v>734.81700000000001</v>
      </c>
      <c r="W4">
        <v>391.18790000000001</v>
      </c>
      <c r="X4">
        <v>392.82670000000002</v>
      </c>
      <c r="Y4">
        <v>390.11500000000001</v>
      </c>
      <c r="Z4">
        <v>390.63659999999999</v>
      </c>
      <c r="AA4">
        <v>563.00427500000001</v>
      </c>
      <c r="AB4" t="s">
        <v>221</v>
      </c>
      <c r="AC4" t="s">
        <v>222</v>
      </c>
      <c r="AD4" t="s">
        <v>223</v>
      </c>
      <c r="AE4" t="s">
        <v>224</v>
      </c>
      <c r="AF4" t="s">
        <v>225</v>
      </c>
      <c r="AG4">
        <v>7</v>
      </c>
      <c r="AH4" t="s">
        <v>226</v>
      </c>
      <c r="AJ4">
        <v>1</v>
      </c>
    </row>
    <row r="5" spans="1:36">
      <c r="A5" t="s">
        <v>558</v>
      </c>
      <c r="B5" t="s">
        <v>559</v>
      </c>
      <c r="C5" t="s">
        <v>211</v>
      </c>
      <c r="D5">
        <v>3</v>
      </c>
      <c r="E5" t="s">
        <v>212</v>
      </c>
      <c r="F5" t="s">
        <v>213</v>
      </c>
      <c r="G5" t="s">
        <v>214</v>
      </c>
      <c r="H5" t="s">
        <v>215</v>
      </c>
      <c r="J5" t="s">
        <v>560</v>
      </c>
      <c r="K5" t="s">
        <v>561</v>
      </c>
      <c r="L5" t="s">
        <v>562</v>
      </c>
      <c r="M5" t="s">
        <v>563</v>
      </c>
      <c r="N5" t="s">
        <v>564</v>
      </c>
      <c r="O5">
        <v>0</v>
      </c>
      <c r="P5">
        <v>0</v>
      </c>
      <c r="Q5">
        <v>2115.5702566392001</v>
      </c>
      <c r="R5">
        <v>1521.1998627385999</v>
      </c>
      <c r="S5">
        <v>3.0702566392000001</v>
      </c>
      <c r="T5">
        <v>-8.6998627386000003</v>
      </c>
      <c r="U5">
        <v>9.2257296459999996</v>
      </c>
      <c r="V5">
        <v>744.16660000000002</v>
      </c>
      <c r="W5">
        <v>391.9357</v>
      </c>
      <c r="X5">
        <v>399.9753</v>
      </c>
      <c r="Y5">
        <v>393.3913</v>
      </c>
      <c r="Z5">
        <v>395.7971</v>
      </c>
      <c r="AA5">
        <v>569.72072500000002</v>
      </c>
      <c r="AB5" t="s">
        <v>221</v>
      </c>
      <c r="AC5" t="s">
        <v>222</v>
      </c>
      <c r="AD5" t="s">
        <v>223</v>
      </c>
      <c r="AE5" t="s">
        <v>224</v>
      </c>
      <c r="AF5" t="s">
        <v>225</v>
      </c>
      <c r="AG5">
        <v>7</v>
      </c>
      <c r="AH5" t="s">
        <v>226</v>
      </c>
      <c r="AJ5">
        <v>1</v>
      </c>
    </row>
    <row r="6" spans="1:36">
      <c r="A6" t="s">
        <v>574</v>
      </c>
      <c r="B6" t="s">
        <v>575</v>
      </c>
      <c r="C6" t="s">
        <v>211</v>
      </c>
      <c r="D6">
        <v>3</v>
      </c>
      <c r="E6" t="s">
        <v>212</v>
      </c>
      <c r="F6" t="s">
        <v>213</v>
      </c>
      <c r="G6" t="s">
        <v>214</v>
      </c>
      <c r="H6" t="s">
        <v>215</v>
      </c>
      <c r="J6" t="s">
        <v>576</v>
      </c>
      <c r="K6" t="s">
        <v>577</v>
      </c>
      <c r="L6" t="s">
        <v>578</v>
      </c>
      <c r="M6" t="s">
        <v>579</v>
      </c>
      <c r="N6" t="s">
        <v>580</v>
      </c>
      <c r="O6">
        <v>0</v>
      </c>
      <c r="P6">
        <v>0</v>
      </c>
      <c r="Q6">
        <v>2117.1547934947998</v>
      </c>
      <c r="R6">
        <v>1509.7418974615</v>
      </c>
      <c r="S6">
        <v>4.6547934947999998</v>
      </c>
      <c r="T6">
        <v>2.7581025385000002</v>
      </c>
      <c r="U6">
        <v>5.4105667071000001</v>
      </c>
      <c r="V6">
        <v>753.24659999999994</v>
      </c>
      <c r="W6">
        <v>402.16719999999998</v>
      </c>
      <c r="X6">
        <v>401.524</v>
      </c>
      <c r="Y6">
        <v>401.06279999999998</v>
      </c>
      <c r="Z6">
        <v>401.11149999999998</v>
      </c>
      <c r="AA6">
        <v>577.35648749999996</v>
      </c>
      <c r="AB6" t="s">
        <v>221</v>
      </c>
      <c r="AC6" t="s">
        <v>222</v>
      </c>
      <c r="AD6" t="s">
        <v>223</v>
      </c>
      <c r="AE6" t="s">
        <v>224</v>
      </c>
      <c r="AF6" t="s">
        <v>225</v>
      </c>
      <c r="AG6">
        <v>7</v>
      </c>
      <c r="AH6" t="s">
        <v>226</v>
      </c>
      <c r="AJ6">
        <v>1</v>
      </c>
    </row>
    <row r="7" spans="1:36">
      <c r="A7" t="s">
        <v>581</v>
      </c>
      <c r="B7" t="s">
        <v>582</v>
      </c>
      <c r="C7" t="s">
        <v>211</v>
      </c>
      <c r="D7">
        <v>3</v>
      </c>
      <c r="E7" t="s">
        <v>212</v>
      </c>
      <c r="F7" t="s">
        <v>213</v>
      </c>
      <c r="G7" t="s">
        <v>214</v>
      </c>
      <c r="H7" t="s">
        <v>215</v>
      </c>
      <c r="J7" t="s">
        <v>583</v>
      </c>
      <c r="K7" t="s">
        <v>584</v>
      </c>
      <c r="L7" t="s">
        <v>585</v>
      </c>
      <c r="M7" t="s">
        <v>586</v>
      </c>
      <c r="N7" t="s">
        <v>587</v>
      </c>
      <c r="O7">
        <v>0</v>
      </c>
      <c r="P7">
        <v>0</v>
      </c>
      <c r="Q7">
        <v>2114.9409472305001</v>
      </c>
      <c r="R7">
        <v>1515.9527759980999</v>
      </c>
      <c r="S7">
        <v>2.4409472305</v>
      </c>
      <c r="T7">
        <v>-3.4527759980999999</v>
      </c>
      <c r="U7">
        <v>4.2284613601999999</v>
      </c>
      <c r="V7">
        <v>748.46929999999998</v>
      </c>
      <c r="W7">
        <v>396.15870000000001</v>
      </c>
      <c r="X7">
        <v>400.06479999999999</v>
      </c>
      <c r="Y7">
        <v>396.76069999999999</v>
      </c>
      <c r="Z7">
        <v>396.42110000000002</v>
      </c>
      <c r="AA7">
        <v>572.91031250000003</v>
      </c>
      <c r="AB7" t="s">
        <v>221</v>
      </c>
      <c r="AC7" t="s">
        <v>222</v>
      </c>
      <c r="AD7" t="s">
        <v>223</v>
      </c>
      <c r="AE7" t="s">
        <v>224</v>
      </c>
      <c r="AF7" t="s">
        <v>225</v>
      </c>
      <c r="AG7">
        <v>7</v>
      </c>
      <c r="AH7" t="s">
        <v>226</v>
      </c>
      <c r="AJ7">
        <v>1</v>
      </c>
    </row>
    <row r="8" spans="1:36">
      <c r="A8" t="s">
        <v>588</v>
      </c>
      <c r="B8" t="s">
        <v>589</v>
      </c>
      <c r="C8" t="s">
        <v>211</v>
      </c>
      <c r="D8">
        <v>3</v>
      </c>
      <c r="E8" t="s">
        <v>212</v>
      </c>
      <c r="F8" t="s">
        <v>213</v>
      </c>
      <c r="G8" t="s">
        <v>214</v>
      </c>
      <c r="H8" t="s">
        <v>215</v>
      </c>
      <c r="J8" t="s">
        <v>590</v>
      </c>
      <c r="K8" t="s">
        <v>591</v>
      </c>
      <c r="L8" t="s">
        <v>592</v>
      </c>
      <c r="M8" t="s">
        <v>593</v>
      </c>
      <c r="N8" t="s">
        <v>594</v>
      </c>
      <c r="O8">
        <v>0</v>
      </c>
      <c r="P8">
        <v>0</v>
      </c>
      <c r="Q8">
        <v>2117.6333977218001</v>
      </c>
      <c r="R8">
        <v>1510.5093384636</v>
      </c>
      <c r="S8">
        <v>5.1333977217999998</v>
      </c>
      <c r="T8">
        <v>1.9906615364</v>
      </c>
      <c r="U8">
        <v>5.5058610154999998</v>
      </c>
      <c r="V8">
        <v>752.74860000000001</v>
      </c>
      <c r="W8">
        <v>401.34840000000003</v>
      </c>
      <c r="X8">
        <v>402.16899999999998</v>
      </c>
      <c r="Y8">
        <v>398.38470000000001</v>
      </c>
      <c r="Z8">
        <v>402.16129999999998</v>
      </c>
      <c r="AA8">
        <v>576.88222499999995</v>
      </c>
      <c r="AB8" t="s">
        <v>221</v>
      </c>
      <c r="AC8" t="s">
        <v>222</v>
      </c>
      <c r="AD8" t="s">
        <v>223</v>
      </c>
      <c r="AE8" t="s">
        <v>224</v>
      </c>
      <c r="AF8" t="s">
        <v>225</v>
      </c>
      <c r="AG8">
        <v>7</v>
      </c>
      <c r="AH8" t="s">
        <v>226</v>
      </c>
      <c r="AJ8">
        <v>1</v>
      </c>
    </row>
    <row r="9" spans="1:36">
      <c r="A9" t="s">
        <v>595</v>
      </c>
      <c r="B9" t="s">
        <v>596</v>
      </c>
      <c r="C9" t="s">
        <v>211</v>
      </c>
      <c r="D9">
        <v>3</v>
      </c>
      <c r="E9" t="s">
        <v>212</v>
      </c>
      <c r="F9" t="s">
        <v>213</v>
      </c>
      <c r="G9" t="s">
        <v>214</v>
      </c>
      <c r="H9" t="s">
        <v>215</v>
      </c>
      <c r="J9" t="s">
        <v>597</v>
      </c>
      <c r="K9" t="s">
        <v>598</v>
      </c>
      <c r="L9" t="s">
        <v>599</v>
      </c>
      <c r="M9" t="s">
        <v>600</v>
      </c>
      <c r="N9" t="s">
        <v>601</v>
      </c>
      <c r="O9">
        <v>0</v>
      </c>
      <c r="P9">
        <v>0</v>
      </c>
      <c r="Q9">
        <v>2117.9871546310001</v>
      </c>
      <c r="R9">
        <v>1515.9229910270999</v>
      </c>
      <c r="S9">
        <v>5.4871546310000001</v>
      </c>
      <c r="T9">
        <v>-3.4229910271000001</v>
      </c>
      <c r="U9">
        <v>6.4672817717999997</v>
      </c>
      <c r="V9">
        <v>739.27300000000002</v>
      </c>
      <c r="W9">
        <v>392.9341</v>
      </c>
      <c r="X9">
        <v>393.79329999999999</v>
      </c>
      <c r="Y9">
        <v>389.45119999999997</v>
      </c>
      <c r="Z9">
        <v>393.6121</v>
      </c>
      <c r="AA9">
        <v>565.86033750000001</v>
      </c>
      <c r="AB9" t="s">
        <v>221</v>
      </c>
      <c r="AC9" t="s">
        <v>222</v>
      </c>
      <c r="AD9" t="s">
        <v>223</v>
      </c>
      <c r="AE9" t="s">
        <v>224</v>
      </c>
      <c r="AF9" t="s">
        <v>225</v>
      </c>
      <c r="AG9">
        <v>7</v>
      </c>
      <c r="AH9" t="s">
        <v>226</v>
      </c>
      <c r="AJ9">
        <v>1</v>
      </c>
    </row>
    <row r="10" spans="1:36">
      <c r="A10" t="s">
        <v>620</v>
      </c>
      <c r="B10" t="s">
        <v>621</v>
      </c>
      <c r="C10" t="s">
        <v>211</v>
      </c>
      <c r="D10">
        <v>3</v>
      </c>
      <c r="E10" t="s">
        <v>212</v>
      </c>
      <c r="F10" t="s">
        <v>213</v>
      </c>
      <c r="G10" t="s">
        <v>214</v>
      </c>
      <c r="H10" t="s">
        <v>215</v>
      </c>
      <c r="J10" t="s">
        <v>622</v>
      </c>
      <c r="K10" t="s">
        <v>623</v>
      </c>
      <c r="L10" t="s">
        <v>624</v>
      </c>
      <c r="M10" t="s">
        <v>625</v>
      </c>
      <c r="N10" t="s">
        <v>626</v>
      </c>
      <c r="O10">
        <v>0</v>
      </c>
      <c r="P10">
        <v>0</v>
      </c>
      <c r="Q10">
        <v>2120.4147620543999</v>
      </c>
      <c r="R10">
        <v>1516.3832079827</v>
      </c>
      <c r="S10">
        <v>7.9147620543999997</v>
      </c>
      <c r="T10">
        <v>-3.8832079827000001</v>
      </c>
      <c r="U10">
        <v>8.8160514186000007</v>
      </c>
      <c r="V10">
        <v>750.18349999999998</v>
      </c>
      <c r="W10">
        <v>398.68169999999998</v>
      </c>
      <c r="X10">
        <v>401.76100000000002</v>
      </c>
      <c r="Y10">
        <v>394.98270000000002</v>
      </c>
      <c r="Z10">
        <v>404.2867</v>
      </c>
      <c r="AA10">
        <v>575.05576250000001</v>
      </c>
      <c r="AB10" t="s">
        <v>221</v>
      </c>
      <c r="AC10" t="s">
        <v>222</v>
      </c>
      <c r="AD10" t="s">
        <v>223</v>
      </c>
      <c r="AE10" t="s">
        <v>224</v>
      </c>
      <c r="AF10" t="s">
        <v>225</v>
      </c>
      <c r="AG10">
        <v>7</v>
      </c>
      <c r="AH10" t="s">
        <v>226</v>
      </c>
      <c r="AJ10">
        <v>1</v>
      </c>
    </row>
    <row r="11" spans="1:36">
      <c r="A11" t="s">
        <v>627</v>
      </c>
      <c r="B11" t="s">
        <v>628</v>
      </c>
      <c r="C11" t="s">
        <v>211</v>
      </c>
      <c r="D11">
        <v>3</v>
      </c>
      <c r="E11" t="s">
        <v>212</v>
      </c>
      <c r="F11" t="s">
        <v>213</v>
      </c>
      <c r="G11" t="s">
        <v>214</v>
      </c>
      <c r="H11" t="s">
        <v>215</v>
      </c>
      <c r="J11" t="s">
        <v>629</v>
      </c>
      <c r="K11" t="s">
        <v>630</v>
      </c>
      <c r="L11" t="s">
        <v>631</v>
      </c>
      <c r="M11" t="s">
        <v>632</v>
      </c>
      <c r="N11" t="s">
        <v>633</v>
      </c>
      <c r="O11">
        <v>0</v>
      </c>
      <c r="P11">
        <v>0</v>
      </c>
      <c r="Q11">
        <v>2114.4760586079001</v>
      </c>
      <c r="R11">
        <v>1513.2904872354</v>
      </c>
      <c r="S11">
        <v>1.9760586079</v>
      </c>
      <c r="T11">
        <v>-0.79048723539999999</v>
      </c>
      <c r="U11">
        <v>2.128303947</v>
      </c>
      <c r="V11">
        <v>746.37199999999996</v>
      </c>
      <c r="W11">
        <v>393.32479999999998</v>
      </c>
      <c r="X11">
        <v>398.72739999999999</v>
      </c>
      <c r="Y11">
        <v>394.15550000000002</v>
      </c>
      <c r="Z11">
        <v>395.79250000000002</v>
      </c>
      <c r="AA11">
        <v>570.93602499999997</v>
      </c>
      <c r="AB11" t="s">
        <v>221</v>
      </c>
      <c r="AC11" t="s">
        <v>222</v>
      </c>
      <c r="AD11" t="s">
        <v>223</v>
      </c>
      <c r="AE11" t="s">
        <v>224</v>
      </c>
      <c r="AF11" t="s">
        <v>225</v>
      </c>
      <c r="AG11">
        <v>7</v>
      </c>
      <c r="AH11" t="s">
        <v>226</v>
      </c>
      <c r="AJ11">
        <v>1</v>
      </c>
    </row>
    <row r="12" spans="1:36">
      <c r="A12" t="s">
        <v>634</v>
      </c>
      <c r="B12" t="s">
        <v>635</v>
      </c>
      <c r="C12" t="s">
        <v>211</v>
      </c>
      <c r="D12">
        <v>3</v>
      </c>
      <c r="E12" t="s">
        <v>212</v>
      </c>
      <c r="F12" t="s">
        <v>213</v>
      </c>
      <c r="G12" t="s">
        <v>214</v>
      </c>
      <c r="H12" t="s">
        <v>215</v>
      </c>
      <c r="J12" t="s">
        <v>636</v>
      </c>
      <c r="K12" t="s">
        <v>637</v>
      </c>
      <c r="L12" t="s">
        <v>638</v>
      </c>
      <c r="M12" t="s">
        <v>639</v>
      </c>
      <c r="N12" t="s">
        <v>640</v>
      </c>
      <c r="O12">
        <v>0</v>
      </c>
      <c r="P12">
        <v>0</v>
      </c>
      <c r="Q12">
        <v>2108.2262967832999</v>
      </c>
      <c r="R12">
        <v>1516.9203451021001</v>
      </c>
      <c r="S12">
        <v>-4.2737032167000004</v>
      </c>
      <c r="T12">
        <v>-4.4203451020999998</v>
      </c>
      <c r="U12">
        <v>6.1484949382999998</v>
      </c>
      <c r="V12">
        <v>741.78129999999999</v>
      </c>
      <c r="W12">
        <v>393.64</v>
      </c>
      <c r="X12">
        <v>395.96269999999998</v>
      </c>
      <c r="Y12">
        <v>395.3956</v>
      </c>
      <c r="Z12">
        <v>392.38659999999999</v>
      </c>
      <c r="AA12">
        <v>568.06376250000005</v>
      </c>
      <c r="AB12" t="s">
        <v>221</v>
      </c>
      <c r="AC12" t="s">
        <v>222</v>
      </c>
      <c r="AD12" t="s">
        <v>223</v>
      </c>
      <c r="AE12" t="s">
        <v>224</v>
      </c>
      <c r="AF12" t="s">
        <v>225</v>
      </c>
      <c r="AG12">
        <v>7</v>
      </c>
      <c r="AH12" t="s">
        <v>226</v>
      </c>
      <c r="AJ12">
        <v>1</v>
      </c>
    </row>
    <row r="13" spans="1:36">
      <c r="A13" t="s">
        <v>641</v>
      </c>
      <c r="B13" t="s">
        <v>642</v>
      </c>
      <c r="C13" t="s">
        <v>211</v>
      </c>
      <c r="D13">
        <v>3</v>
      </c>
      <c r="E13" t="s">
        <v>212</v>
      </c>
      <c r="F13" t="s">
        <v>213</v>
      </c>
      <c r="G13" t="s">
        <v>214</v>
      </c>
      <c r="H13" t="s">
        <v>215</v>
      </c>
      <c r="J13" t="s">
        <v>643</v>
      </c>
      <c r="K13" t="s">
        <v>644</v>
      </c>
      <c r="L13" t="s">
        <v>645</v>
      </c>
      <c r="M13" t="s">
        <v>646</v>
      </c>
      <c r="N13" t="s">
        <v>647</v>
      </c>
      <c r="O13">
        <v>0</v>
      </c>
      <c r="P13">
        <v>0</v>
      </c>
      <c r="Q13">
        <v>2111.4905075478</v>
      </c>
      <c r="R13">
        <v>1511.4902402855</v>
      </c>
      <c r="S13">
        <v>-1.0094924521999999</v>
      </c>
      <c r="T13">
        <v>1.0097597144999999</v>
      </c>
      <c r="U13">
        <v>1.4278269125</v>
      </c>
      <c r="V13">
        <v>746.05070000000001</v>
      </c>
      <c r="W13">
        <v>396.15519999999998</v>
      </c>
      <c r="X13">
        <v>395.43759999999997</v>
      </c>
      <c r="Y13">
        <v>395.07049999999998</v>
      </c>
      <c r="Z13">
        <v>392.98660000000001</v>
      </c>
      <c r="AA13">
        <v>570.48158750000005</v>
      </c>
      <c r="AB13" t="s">
        <v>221</v>
      </c>
      <c r="AC13" t="s">
        <v>222</v>
      </c>
      <c r="AD13" t="s">
        <v>223</v>
      </c>
      <c r="AE13" t="s">
        <v>224</v>
      </c>
      <c r="AF13" t="s">
        <v>225</v>
      </c>
      <c r="AG13">
        <v>7</v>
      </c>
      <c r="AH13" t="s">
        <v>226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228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236</v>
      </c>
      <c r="Z1" t="s">
        <v>237</v>
      </c>
      <c r="AA1" t="s">
        <v>238</v>
      </c>
      <c r="AB1" t="s">
        <v>239</v>
      </c>
      <c r="AC1" t="s">
        <v>240</v>
      </c>
      <c r="AD1" t="s">
        <v>241</v>
      </c>
      <c r="AE1" t="s">
        <v>242</v>
      </c>
      <c r="AF1" t="s">
        <v>243</v>
      </c>
      <c r="AG1" t="s">
        <v>244</v>
      </c>
      <c r="AH1" t="s">
        <v>245</v>
      </c>
      <c r="AI1" t="s">
        <v>246</v>
      </c>
      <c r="AJ1" t="s">
        <v>247</v>
      </c>
      <c r="AK1" t="s">
        <v>248</v>
      </c>
      <c r="AL1" t="s">
        <v>249</v>
      </c>
      <c r="AM1" t="s">
        <v>250</v>
      </c>
      <c r="AN1" t="s">
        <v>251</v>
      </c>
      <c r="AO1" t="s">
        <v>252</v>
      </c>
      <c r="AP1" t="s">
        <v>253</v>
      </c>
      <c r="AQ1" t="s">
        <v>254</v>
      </c>
      <c r="AR1" t="s">
        <v>255</v>
      </c>
      <c r="AS1" t="s">
        <v>256</v>
      </c>
      <c r="AT1" t="s">
        <v>257</v>
      </c>
      <c r="AU1" t="s">
        <v>258</v>
      </c>
      <c r="AV1" t="s">
        <v>206</v>
      </c>
      <c r="AW1" t="s">
        <v>207</v>
      </c>
      <c r="AX1" t="s">
        <v>208</v>
      </c>
    </row>
    <row r="2" spans="1:50">
      <c r="A2" t="s">
        <v>259</v>
      </c>
      <c r="B2" t="s">
        <v>260</v>
      </c>
      <c r="C2" t="s">
        <v>211</v>
      </c>
      <c r="D2">
        <v>3</v>
      </c>
      <c r="E2" t="s">
        <v>212</v>
      </c>
      <c r="F2" t="s">
        <v>213</v>
      </c>
      <c r="G2" t="s">
        <v>261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6.9140999999999996E-6</v>
      </c>
      <c r="R2">
        <v>6.9247798920000001</v>
      </c>
      <c r="S2">
        <v>-2.6271877289000001</v>
      </c>
      <c r="T2">
        <v>-4.3505563735999999</v>
      </c>
      <c r="U2">
        <v>1.7978751659000001</v>
      </c>
      <c r="V2">
        <v>-4.8040885925000003</v>
      </c>
      <c r="W2">
        <v>-3.3567795753</v>
      </c>
      <c r="X2">
        <v>2.3317351341000001</v>
      </c>
      <c r="Y2">
        <v>3.3783895969</v>
      </c>
      <c r="Z2">
        <v>0.93500411510000003</v>
      </c>
      <c r="AA2">
        <v>-3.9343953100000002E-2</v>
      </c>
      <c r="AB2">
        <v>-1.2808890342999999</v>
      </c>
      <c r="AC2">
        <v>1.9429552555</v>
      </c>
      <c r="AD2">
        <v>1.5360227822999999</v>
      </c>
      <c r="AE2">
        <v>-1.5967044829999999</v>
      </c>
      <c r="AF2">
        <v>-0.57019180059999997</v>
      </c>
      <c r="AG2">
        <v>-0.70116293429999998</v>
      </c>
      <c r="AH2">
        <v>-0.2343303263</v>
      </c>
      <c r="AI2">
        <v>-0.113147676</v>
      </c>
      <c r="AJ2">
        <v>-0.56141984460000005</v>
      </c>
      <c r="AK2">
        <v>2.362574E-4</v>
      </c>
      <c r="AL2">
        <v>5.1663897899999998E-2</v>
      </c>
      <c r="AM2">
        <v>0.1422171891</v>
      </c>
      <c r="AN2">
        <v>0.1009060666</v>
      </c>
      <c r="AO2">
        <v>0.1422171891</v>
      </c>
      <c r="AP2">
        <v>0.15966561439999999</v>
      </c>
      <c r="AQ2">
        <v>7.4063953388000003</v>
      </c>
      <c r="AR2" t="s">
        <v>262</v>
      </c>
      <c r="AS2" t="s">
        <v>263</v>
      </c>
      <c r="AT2">
        <v>3</v>
      </c>
      <c r="AU2">
        <v>2.9</v>
      </c>
      <c r="AX2">
        <v>1</v>
      </c>
    </row>
    <row r="3" spans="1:50">
      <c r="A3" t="s">
        <v>553</v>
      </c>
      <c r="B3" t="s">
        <v>554</v>
      </c>
      <c r="C3" t="s">
        <v>211</v>
      </c>
      <c r="D3">
        <v>3</v>
      </c>
      <c r="E3" t="s">
        <v>212</v>
      </c>
      <c r="F3" t="s">
        <v>213</v>
      </c>
      <c r="G3" t="s">
        <v>261</v>
      </c>
      <c r="H3" t="s">
        <v>215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2.1338499999999999E-5</v>
      </c>
      <c r="R3">
        <v>11.5988321304</v>
      </c>
      <c r="S3">
        <v>-1.4374918938000001</v>
      </c>
      <c r="T3">
        <v>2.0131211280999999</v>
      </c>
      <c r="U3">
        <v>3.8199851513</v>
      </c>
      <c r="V3">
        <v>2.6641006470000002</v>
      </c>
      <c r="W3">
        <v>-3.2511558532999998</v>
      </c>
      <c r="X3">
        <v>2.6693966388999999</v>
      </c>
      <c r="Y3">
        <v>0.13405358789999999</v>
      </c>
      <c r="Z3">
        <v>0.75758200880000004</v>
      </c>
      <c r="AA3">
        <v>1.1559085845999999</v>
      </c>
      <c r="AB3">
        <v>-1.6937658787000001</v>
      </c>
      <c r="AC3">
        <v>-0.92386519909999998</v>
      </c>
      <c r="AD3">
        <v>1.0653084517</v>
      </c>
      <c r="AE3">
        <v>-1.1363886594999999</v>
      </c>
      <c r="AF3">
        <v>-0.35058531170000001</v>
      </c>
      <c r="AG3">
        <v>5.4840415699999999E-2</v>
      </c>
      <c r="AH3">
        <v>-0.35894161460000001</v>
      </c>
      <c r="AI3">
        <v>-9.8372220999999996E-2</v>
      </c>
      <c r="AJ3">
        <v>-0.62711584570000001</v>
      </c>
      <c r="AK3">
        <v>2.5053180000000002E-4</v>
      </c>
      <c r="AL3">
        <v>5.1983792299999998E-2</v>
      </c>
      <c r="AM3">
        <v>0.19662499429999999</v>
      </c>
      <c r="AN3">
        <v>9.0647995499999995E-2</v>
      </c>
      <c r="AO3">
        <v>0.23090960090000001</v>
      </c>
      <c r="AP3">
        <v>0.23090960090000001</v>
      </c>
      <c r="AQ3">
        <v>11.6875698815</v>
      </c>
      <c r="AR3" t="s">
        <v>262</v>
      </c>
      <c r="AS3" t="s">
        <v>263</v>
      </c>
      <c r="AT3">
        <v>3</v>
      </c>
      <c r="AU3">
        <v>2.9</v>
      </c>
      <c r="AX3">
        <v>1</v>
      </c>
    </row>
    <row r="4" spans="1:50">
      <c r="A4" t="s">
        <v>565</v>
      </c>
      <c r="B4" t="s">
        <v>566</v>
      </c>
      <c r="C4" t="s">
        <v>211</v>
      </c>
      <c r="D4">
        <v>3</v>
      </c>
      <c r="E4" t="s">
        <v>212</v>
      </c>
      <c r="F4" t="s">
        <v>213</v>
      </c>
      <c r="G4" t="s">
        <v>261</v>
      </c>
      <c r="H4" t="s">
        <v>215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1.0967299999999999E-5</v>
      </c>
      <c r="R4">
        <v>10.953629493699999</v>
      </c>
      <c r="S4">
        <v>-2.9340229033999998</v>
      </c>
      <c r="T4">
        <v>-3.4315891266</v>
      </c>
      <c r="U4">
        <v>-2.089332819</v>
      </c>
      <c r="V4">
        <v>6.7488374709999999</v>
      </c>
      <c r="W4">
        <v>-1.1535056829000001</v>
      </c>
      <c r="X4">
        <v>5.2734298706000002</v>
      </c>
      <c r="Y4">
        <v>1.9572408199</v>
      </c>
      <c r="Z4">
        <v>0.4023493528</v>
      </c>
      <c r="AA4">
        <v>1.0301305056000001</v>
      </c>
      <c r="AB4">
        <v>-1.0452154874999999</v>
      </c>
      <c r="AC4">
        <v>-2.5555129051000001</v>
      </c>
      <c r="AD4">
        <v>-7.3911800999999999E-2</v>
      </c>
      <c r="AE4">
        <v>-2.3566451072999999</v>
      </c>
      <c r="AF4">
        <v>0.17531681060000001</v>
      </c>
      <c r="AG4">
        <v>-0.91497641799999996</v>
      </c>
      <c r="AH4">
        <v>-4.9417421199999999E-2</v>
      </c>
      <c r="AI4">
        <v>0.13092929119999999</v>
      </c>
      <c r="AJ4">
        <v>-0.45451095699999999</v>
      </c>
      <c r="AK4">
        <v>1.901983E-4</v>
      </c>
      <c r="AL4">
        <v>4.5586906400000002E-2</v>
      </c>
      <c r="AM4">
        <v>0.2230259329</v>
      </c>
      <c r="AN4">
        <v>0.14916795490000001</v>
      </c>
      <c r="AO4">
        <v>0.2230259329</v>
      </c>
      <c r="AP4">
        <v>0.2230259329</v>
      </c>
      <c r="AQ4">
        <v>11.3397746663</v>
      </c>
      <c r="AR4" t="s">
        <v>262</v>
      </c>
      <c r="AS4" t="s">
        <v>263</v>
      </c>
      <c r="AT4">
        <v>3</v>
      </c>
      <c r="AU4">
        <v>2.9</v>
      </c>
      <c r="AX4">
        <v>1</v>
      </c>
    </row>
    <row r="5" spans="1:50">
      <c r="A5" t="s">
        <v>570</v>
      </c>
      <c r="B5" t="s">
        <v>602</v>
      </c>
      <c r="C5" t="s">
        <v>211</v>
      </c>
      <c r="D5">
        <v>3</v>
      </c>
      <c r="E5" t="s">
        <v>212</v>
      </c>
      <c r="F5" t="s">
        <v>213</v>
      </c>
      <c r="G5" t="s">
        <v>261</v>
      </c>
      <c r="H5" t="s">
        <v>215</v>
      </c>
      <c r="J5" t="s">
        <v>560</v>
      </c>
      <c r="K5" t="s">
        <v>561</v>
      </c>
      <c r="L5" t="s">
        <v>562</v>
      </c>
      <c r="M5" t="s">
        <v>563</v>
      </c>
      <c r="N5" t="s">
        <v>564</v>
      </c>
      <c r="O5">
        <v>0</v>
      </c>
      <c r="P5">
        <v>0</v>
      </c>
      <c r="Q5">
        <v>5.8174100000000003E-5</v>
      </c>
      <c r="R5">
        <v>-14.0419311523</v>
      </c>
      <c r="S5">
        <v>-1.3011171818</v>
      </c>
      <c r="T5">
        <v>-0.53135299680000003</v>
      </c>
      <c r="U5">
        <v>0.67393398280000005</v>
      </c>
      <c r="V5">
        <v>-1.6638689041000001</v>
      </c>
      <c r="W5">
        <v>5.1239452362</v>
      </c>
      <c r="X5">
        <v>-0.60620033740000001</v>
      </c>
      <c r="Y5">
        <v>2.5199465752000001</v>
      </c>
      <c r="Z5">
        <v>2.3854861259</v>
      </c>
      <c r="AA5">
        <v>-0.20970195529999999</v>
      </c>
      <c r="AB5">
        <v>-1.6583271026999999</v>
      </c>
      <c r="AC5">
        <v>3.7218391900000002E-2</v>
      </c>
      <c r="AD5">
        <v>-1.1334412098</v>
      </c>
      <c r="AE5">
        <v>0.32571172710000001</v>
      </c>
      <c r="AF5">
        <v>-1.4850218296</v>
      </c>
      <c r="AG5">
        <v>-0.33151373270000001</v>
      </c>
      <c r="AH5">
        <v>-0.69388473029999997</v>
      </c>
      <c r="AI5">
        <v>-1.0507087708</v>
      </c>
      <c r="AJ5">
        <v>0.74208462239999995</v>
      </c>
      <c r="AK5">
        <v>2.3950490000000001E-4</v>
      </c>
      <c r="AL5">
        <v>5.0941892000000003E-2</v>
      </c>
      <c r="AM5">
        <v>0.21362702550000001</v>
      </c>
      <c r="AN5">
        <v>4.31762189E-2</v>
      </c>
      <c r="AO5">
        <v>0.2262378931</v>
      </c>
      <c r="AP5">
        <v>0.2262378931</v>
      </c>
      <c r="AQ5">
        <v>14.1020826975</v>
      </c>
      <c r="AR5" t="s">
        <v>262</v>
      </c>
      <c r="AS5" t="s">
        <v>263</v>
      </c>
      <c r="AT5">
        <v>3</v>
      </c>
      <c r="AU5">
        <v>2.9</v>
      </c>
      <c r="AX5">
        <v>1</v>
      </c>
    </row>
    <row r="6" spans="1:50">
      <c r="A6" t="s">
        <v>603</v>
      </c>
      <c r="B6" t="s">
        <v>604</v>
      </c>
      <c r="C6" t="s">
        <v>211</v>
      </c>
      <c r="D6">
        <v>3</v>
      </c>
      <c r="E6" t="s">
        <v>212</v>
      </c>
      <c r="F6" t="s">
        <v>213</v>
      </c>
      <c r="G6" t="s">
        <v>261</v>
      </c>
      <c r="H6" t="s">
        <v>215</v>
      </c>
      <c r="J6" t="s">
        <v>576</v>
      </c>
      <c r="K6" t="s">
        <v>577</v>
      </c>
      <c r="L6" t="s">
        <v>578</v>
      </c>
      <c r="M6" t="s">
        <v>579</v>
      </c>
      <c r="N6" t="s">
        <v>580</v>
      </c>
      <c r="O6">
        <v>0</v>
      </c>
      <c r="P6">
        <v>0</v>
      </c>
      <c r="Q6">
        <v>1.19209E-5</v>
      </c>
      <c r="R6">
        <v>13.0737342834</v>
      </c>
      <c r="S6">
        <v>-6.1355061530999997</v>
      </c>
      <c r="T6">
        <v>-5.4620523453000001</v>
      </c>
      <c r="U6">
        <v>1.3581485748</v>
      </c>
      <c r="V6">
        <v>0.92653357979999995</v>
      </c>
      <c r="W6">
        <v>-3.8797283173000001</v>
      </c>
      <c r="X6">
        <v>2.1211707592</v>
      </c>
      <c r="Y6">
        <v>2.2229459286000002</v>
      </c>
      <c r="Z6">
        <v>-2.0860471724999998</v>
      </c>
      <c r="AA6">
        <v>-0.1923414916</v>
      </c>
      <c r="AB6">
        <v>-0.45391827820000002</v>
      </c>
      <c r="AC6">
        <v>-1.0002954006</v>
      </c>
      <c r="AD6">
        <v>1.2576580047999999</v>
      </c>
      <c r="AE6">
        <v>-0.83382666110000003</v>
      </c>
      <c r="AF6">
        <v>0.46323943140000001</v>
      </c>
      <c r="AG6">
        <v>-3.5596907099999998E-2</v>
      </c>
      <c r="AH6">
        <v>-0.71503341200000003</v>
      </c>
      <c r="AI6">
        <v>2.0987215041999998</v>
      </c>
      <c r="AJ6">
        <v>0.69251316789999995</v>
      </c>
      <c r="AK6">
        <v>2.3210630000000001E-4</v>
      </c>
      <c r="AL6">
        <v>5.1181122699999998E-2</v>
      </c>
      <c r="AM6">
        <v>0.20262424649999999</v>
      </c>
      <c r="AN6">
        <v>0.1117064208</v>
      </c>
      <c r="AO6">
        <v>0.26156485080000003</v>
      </c>
      <c r="AP6">
        <v>0.26156485080000003</v>
      </c>
      <c r="AQ6">
        <v>14.441847661200001</v>
      </c>
      <c r="AR6" t="s">
        <v>262</v>
      </c>
      <c r="AS6" t="s">
        <v>263</v>
      </c>
      <c r="AT6">
        <v>3</v>
      </c>
      <c r="AU6">
        <v>2.9</v>
      </c>
      <c r="AX6">
        <v>1</v>
      </c>
    </row>
    <row r="7" spans="1:50">
      <c r="A7" t="s">
        <v>605</v>
      </c>
      <c r="B7" t="s">
        <v>606</v>
      </c>
      <c r="C7" t="s">
        <v>211</v>
      </c>
      <c r="D7">
        <v>3</v>
      </c>
      <c r="E7" t="s">
        <v>212</v>
      </c>
      <c r="F7" t="s">
        <v>213</v>
      </c>
      <c r="G7" t="s">
        <v>261</v>
      </c>
      <c r="H7" t="s">
        <v>215</v>
      </c>
      <c r="J7" t="s">
        <v>583</v>
      </c>
      <c r="K7" t="s">
        <v>584</v>
      </c>
      <c r="L7" t="s">
        <v>585</v>
      </c>
      <c r="M7" t="s">
        <v>586</v>
      </c>
      <c r="N7" t="s">
        <v>587</v>
      </c>
      <c r="O7">
        <v>0</v>
      </c>
      <c r="P7">
        <v>0</v>
      </c>
      <c r="Q7">
        <v>6.7948999999999999E-6</v>
      </c>
      <c r="R7">
        <v>4.9687185287000002</v>
      </c>
      <c r="S7">
        <v>-13.441701889000001</v>
      </c>
      <c r="T7">
        <v>-1.7460827827000001</v>
      </c>
      <c r="U7">
        <v>3.8995752334999998</v>
      </c>
      <c r="V7">
        <v>2.6447281836999998</v>
      </c>
      <c r="W7">
        <v>0.39163380860000002</v>
      </c>
      <c r="X7">
        <v>-0.88998103139999996</v>
      </c>
      <c r="Y7">
        <v>2.5225152969</v>
      </c>
      <c r="Z7">
        <v>1.8508062363</v>
      </c>
      <c r="AA7">
        <v>-2.6423354148999998</v>
      </c>
      <c r="AB7">
        <v>-2.1304526329</v>
      </c>
      <c r="AC7">
        <v>-1.5025125742000001</v>
      </c>
      <c r="AD7">
        <v>-0.64931857589999997</v>
      </c>
      <c r="AE7">
        <v>1.1207792758999999</v>
      </c>
      <c r="AF7">
        <v>-2.7306646100000002E-2</v>
      </c>
      <c r="AG7">
        <v>-0.38225799799999999</v>
      </c>
      <c r="AH7">
        <v>-0.33232760430000002</v>
      </c>
      <c r="AI7">
        <v>-7.1527123499999998E-2</v>
      </c>
      <c r="AJ7">
        <v>2.51938105E-2</v>
      </c>
      <c r="AK7">
        <v>2.3640900000000001E-4</v>
      </c>
      <c r="AL7">
        <v>5.0331655900000001E-2</v>
      </c>
      <c r="AM7">
        <v>9.4150066399999996E-2</v>
      </c>
      <c r="AN7">
        <v>0.2436786443</v>
      </c>
      <c r="AO7">
        <v>0.2436786443</v>
      </c>
      <c r="AP7">
        <v>0.2436786443</v>
      </c>
      <c r="AQ7">
        <v>14.330649444200001</v>
      </c>
      <c r="AR7" t="s">
        <v>262</v>
      </c>
      <c r="AS7" t="s">
        <v>263</v>
      </c>
      <c r="AT7">
        <v>4</v>
      </c>
      <c r="AU7">
        <v>2.9</v>
      </c>
      <c r="AX7">
        <v>1</v>
      </c>
    </row>
    <row r="8" spans="1:50">
      <c r="A8" t="s">
        <v>607</v>
      </c>
      <c r="B8" t="s">
        <v>608</v>
      </c>
      <c r="C8" t="s">
        <v>211</v>
      </c>
      <c r="D8">
        <v>3</v>
      </c>
      <c r="E8" t="s">
        <v>212</v>
      </c>
      <c r="F8" t="s">
        <v>213</v>
      </c>
      <c r="G8" t="s">
        <v>261</v>
      </c>
      <c r="H8" t="s">
        <v>215</v>
      </c>
      <c r="J8" t="s">
        <v>590</v>
      </c>
      <c r="K8" t="s">
        <v>591</v>
      </c>
      <c r="L8" t="s">
        <v>592</v>
      </c>
      <c r="M8" t="s">
        <v>593</v>
      </c>
      <c r="N8" t="s">
        <v>594</v>
      </c>
      <c r="O8">
        <v>0</v>
      </c>
      <c r="P8">
        <v>0</v>
      </c>
      <c r="Q8">
        <v>-5.7101200000000001E-5</v>
      </c>
      <c r="R8">
        <v>10.481863021900001</v>
      </c>
      <c r="S8">
        <v>-1.3629068136</v>
      </c>
      <c r="T8">
        <v>0.75996136670000003</v>
      </c>
      <c r="U8">
        <v>4.6281666756000002</v>
      </c>
      <c r="V8">
        <v>-2.0219759941</v>
      </c>
      <c r="W8">
        <v>-1.4045026302000001</v>
      </c>
      <c r="X8">
        <v>1.6337132454000001</v>
      </c>
      <c r="Y8">
        <v>2.0140655041</v>
      </c>
      <c r="Z8">
        <v>0.15211048720000001</v>
      </c>
      <c r="AA8">
        <v>-0.95338237290000005</v>
      </c>
      <c r="AB8">
        <v>-1.6670796871</v>
      </c>
      <c r="AC8">
        <v>-0.60799491409999995</v>
      </c>
      <c r="AD8">
        <v>-0.3288497031</v>
      </c>
      <c r="AE8">
        <v>-0.52093815799999998</v>
      </c>
      <c r="AF8">
        <v>-0.90008890630000005</v>
      </c>
      <c r="AG8">
        <v>-0.4844017625</v>
      </c>
      <c r="AH8">
        <v>-0.21993118519999999</v>
      </c>
      <c r="AI8">
        <v>0.47291821239999998</v>
      </c>
      <c r="AJ8">
        <v>0.13740155100000001</v>
      </c>
      <c r="AK8">
        <v>2.5678400000000003E-4</v>
      </c>
      <c r="AL8">
        <v>5.3080387399999998E-2</v>
      </c>
      <c r="AM8">
        <v>0.16562150419999999</v>
      </c>
      <c r="AN8">
        <v>5.35071529E-2</v>
      </c>
      <c r="AO8">
        <v>0.17536219950000001</v>
      </c>
      <c r="AP8">
        <v>0.17536219950000001</v>
      </c>
      <c r="AQ8">
        <v>10.570097794800001</v>
      </c>
      <c r="AR8" t="s">
        <v>262</v>
      </c>
      <c r="AS8" t="s">
        <v>263</v>
      </c>
      <c r="AT8">
        <v>3</v>
      </c>
      <c r="AU8">
        <v>2.9</v>
      </c>
      <c r="AX8">
        <v>1</v>
      </c>
    </row>
    <row r="9" spans="1:50">
      <c r="A9" t="s">
        <v>648</v>
      </c>
      <c r="B9" t="s">
        <v>649</v>
      </c>
      <c r="C9" t="s">
        <v>211</v>
      </c>
      <c r="D9">
        <v>3</v>
      </c>
      <c r="E9" t="s">
        <v>212</v>
      </c>
      <c r="F9" t="s">
        <v>213</v>
      </c>
      <c r="G9" t="s">
        <v>261</v>
      </c>
      <c r="H9" t="s">
        <v>215</v>
      </c>
      <c r="J9" t="s">
        <v>597</v>
      </c>
      <c r="K9" t="s">
        <v>598</v>
      </c>
      <c r="L9" t="s">
        <v>599</v>
      </c>
      <c r="M9" t="s">
        <v>600</v>
      </c>
      <c r="N9" t="s">
        <v>601</v>
      </c>
      <c r="O9">
        <v>0</v>
      </c>
      <c r="P9">
        <v>0</v>
      </c>
      <c r="Q9">
        <v>2.3484200000000001E-5</v>
      </c>
      <c r="R9">
        <v>3.8972816467000002</v>
      </c>
      <c r="S9">
        <v>0.50461059809999997</v>
      </c>
      <c r="T9">
        <v>-0.86367613080000005</v>
      </c>
      <c r="U9">
        <v>2.4446663857000002</v>
      </c>
      <c r="V9">
        <v>-1.4275132418000001</v>
      </c>
      <c r="W9">
        <v>-1.9925239085999999</v>
      </c>
      <c r="X9">
        <v>1.2644882202000001</v>
      </c>
      <c r="Y9">
        <v>2.4730319977000002</v>
      </c>
      <c r="Z9">
        <v>1.6172617674</v>
      </c>
      <c r="AA9">
        <v>0.5633612871</v>
      </c>
      <c r="AB9">
        <v>-2.3943626881000002</v>
      </c>
      <c r="AC9">
        <v>0.1378292143</v>
      </c>
      <c r="AD9">
        <v>1.0090242624000001</v>
      </c>
      <c r="AE9">
        <v>0.20342239740000001</v>
      </c>
      <c r="AF9">
        <v>-0.5407179594</v>
      </c>
      <c r="AG9">
        <v>-0.3724404275</v>
      </c>
      <c r="AH9">
        <v>-0.13547526300000001</v>
      </c>
      <c r="AI9">
        <v>-3.2431334300000003E-2</v>
      </c>
      <c r="AJ9">
        <v>9.4915367700000003E-2</v>
      </c>
      <c r="AK9">
        <v>2.0563600000000001E-4</v>
      </c>
      <c r="AL9">
        <v>4.6855688100000001E-2</v>
      </c>
      <c r="AM9">
        <v>8.6174391200000006E-2</v>
      </c>
      <c r="AN9">
        <v>3.0642794399999999E-2</v>
      </c>
      <c r="AO9">
        <v>9.9944084899999994E-2</v>
      </c>
      <c r="AP9">
        <v>9.9944084899999994E-2</v>
      </c>
      <c r="AQ9">
        <v>3.9298137473999999</v>
      </c>
      <c r="AR9" t="s">
        <v>262</v>
      </c>
      <c r="AS9" t="s">
        <v>263</v>
      </c>
      <c r="AT9">
        <v>3</v>
      </c>
      <c r="AU9">
        <v>2.9</v>
      </c>
      <c r="AX9">
        <v>1</v>
      </c>
    </row>
    <row r="10" spans="1:50">
      <c r="A10" t="s">
        <v>650</v>
      </c>
      <c r="B10" t="s">
        <v>651</v>
      </c>
      <c r="C10" t="s">
        <v>211</v>
      </c>
      <c r="D10">
        <v>3</v>
      </c>
      <c r="E10" t="s">
        <v>212</v>
      </c>
      <c r="F10" t="s">
        <v>213</v>
      </c>
      <c r="G10" t="s">
        <v>261</v>
      </c>
      <c r="H10" t="s">
        <v>215</v>
      </c>
      <c r="J10" t="s">
        <v>622</v>
      </c>
      <c r="K10" t="s">
        <v>623</v>
      </c>
      <c r="L10" t="s">
        <v>624</v>
      </c>
      <c r="M10" t="s">
        <v>625</v>
      </c>
      <c r="N10" t="s">
        <v>626</v>
      </c>
      <c r="O10">
        <v>0</v>
      </c>
      <c r="P10">
        <v>0</v>
      </c>
      <c r="Q10">
        <v>-3.6955E-6</v>
      </c>
      <c r="R10">
        <v>8.7963085175</v>
      </c>
      <c r="S10">
        <v>-1.1454682350000001</v>
      </c>
      <c r="T10">
        <v>-0.39532160760000001</v>
      </c>
      <c r="U10">
        <v>1.5881122351000001</v>
      </c>
      <c r="V10">
        <v>6.3392400700000004E-2</v>
      </c>
      <c r="W10">
        <v>-2.5841407776</v>
      </c>
      <c r="X10">
        <v>-0.82828730340000001</v>
      </c>
      <c r="Y10">
        <v>2.5531663894999999</v>
      </c>
      <c r="Z10">
        <v>-1.1401473999999999E-3</v>
      </c>
      <c r="AA10">
        <v>-0.59722870589999999</v>
      </c>
      <c r="AB10">
        <v>-0.27342820169999998</v>
      </c>
      <c r="AC10">
        <v>0.288857162</v>
      </c>
      <c r="AD10">
        <v>-0.27087432150000001</v>
      </c>
      <c r="AE10">
        <v>0.3878038526</v>
      </c>
      <c r="AF10">
        <v>-0.62615674730000004</v>
      </c>
      <c r="AG10">
        <v>-0.15688486400000001</v>
      </c>
      <c r="AH10">
        <v>0.15437588099999999</v>
      </c>
      <c r="AI10">
        <v>-0.6407971978</v>
      </c>
      <c r="AJ10">
        <v>0.13126683240000001</v>
      </c>
      <c r="AK10">
        <v>1.5877999999999999E-4</v>
      </c>
      <c r="AL10">
        <v>4.1346397299999997E-2</v>
      </c>
      <c r="AM10">
        <v>0.15647006029999999</v>
      </c>
      <c r="AN10">
        <v>2.2156074599999999E-2</v>
      </c>
      <c r="AO10">
        <v>0.15647006029999999</v>
      </c>
      <c r="AP10">
        <v>0.15647006029999999</v>
      </c>
      <c r="AQ10">
        <v>8.8705772648999996</v>
      </c>
      <c r="AR10" t="s">
        <v>262</v>
      </c>
      <c r="AS10" t="s">
        <v>263</v>
      </c>
      <c r="AT10">
        <v>3</v>
      </c>
      <c r="AU10">
        <v>2.9</v>
      </c>
      <c r="AX10">
        <v>1</v>
      </c>
    </row>
    <row r="11" spans="1:50">
      <c r="A11" t="s">
        <v>652</v>
      </c>
      <c r="B11" t="s">
        <v>653</v>
      </c>
      <c r="C11" t="s">
        <v>211</v>
      </c>
      <c r="D11">
        <v>3</v>
      </c>
      <c r="E11" t="s">
        <v>212</v>
      </c>
      <c r="F11" t="s">
        <v>213</v>
      </c>
      <c r="G11" t="s">
        <v>261</v>
      </c>
      <c r="H11" t="s">
        <v>215</v>
      </c>
      <c r="J11" t="s">
        <v>629</v>
      </c>
      <c r="K11" t="s">
        <v>630</v>
      </c>
      <c r="L11" t="s">
        <v>631</v>
      </c>
      <c r="M11" t="s">
        <v>632</v>
      </c>
      <c r="N11" t="s">
        <v>633</v>
      </c>
      <c r="O11">
        <v>0</v>
      </c>
      <c r="P11">
        <v>0</v>
      </c>
      <c r="Q11">
        <v>-1.4901200000000001E-5</v>
      </c>
      <c r="R11">
        <v>9.0048217773000001</v>
      </c>
      <c r="S11">
        <v>-4.2093644142000004</v>
      </c>
      <c r="T11">
        <v>-3.8773775099999998E-2</v>
      </c>
      <c r="U11">
        <v>-1.6400133371000001</v>
      </c>
      <c r="V11">
        <v>4.2549028396999997</v>
      </c>
      <c r="W11">
        <v>-1.6886383295</v>
      </c>
      <c r="X11">
        <v>3.1741609572999998</v>
      </c>
      <c r="Y11">
        <v>2.2520523071</v>
      </c>
      <c r="Z11">
        <v>-0.41551327710000002</v>
      </c>
      <c r="AA11">
        <v>0.56149536369999997</v>
      </c>
      <c r="AB11">
        <v>-0.3454917669</v>
      </c>
      <c r="AC11">
        <v>-1.0886757374</v>
      </c>
      <c r="AD11">
        <v>0.46582543850000002</v>
      </c>
      <c r="AE11">
        <v>-1.2301073074</v>
      </c>
      <c r="AF11">
        <v>-1.3046951294</v>
      </c>
      <c r="AG11">
        <v>-0.84810841079999999</v>
      </c>
      <c r="AH11">
        <v>0.76594191789999999</v>
      </c>
      <c r="AI11">
        <v>-0.59760493039999996</v>
      </c>
      <c r="AJ11">
        <v>-0.10828062889999999</v>
      </c>
      <c r="AK11">
        <v>1.974763E-4</v>
      </c>
      <c r="AL11">
        <v>4.5689094800000003E-2</v>
      </c>
      <c r="AM11">
        <v>0.15358865259999999</v>
      </c>
      <c r="AN11">
        <v>0.1165844724</v>
      </c>
      <c r="AO11">
        <v>0.15358865259999999</v>
      </c>
      <c r="AP11">
        <v>0.15358865259999999</v>
      </c>
      <c r="AQ11">
        <v>9.9400987929000006</v>
      </c>
      <c r="AR11" t="s">
        <v>262</v>
      </c>
      <c r="AS11" t="s">
        <v>263</v>
      </c>
      <c r="AT11">
        <v>3</v>
      </c>
      <c r="AU11">
        <v>2.9</v>
      </c>
      <c r="AX11">
        <v>1</v>
      </c>
    </row>
    <row r="12" spans="1:50">
      <c r="A12" t="s">
        <v>654</v>
      </c>
      <c r="B12" t="s">
        <v>655</v>
      </c>
      <c r="C12" t="s">
        <v>211</v>
      </c>
      <c r="D12">
        <v>3</v>
      </c>
      <c r="E12" t="s">
        <v>212</v>
      </c>
      <c r="F12" t="s">
        <v>213</v>
      </c>
      <c r="G12" t="s">
        <v>261</v>
      </c>
      <c r="H12" t="s">
        <v>215</v>
      </c>
      <c r="J12" t="s">
        <v>636</v>
      </c>
      <c r="K12" t="s">
        <v>637</v>
      </c>
      <c r="L12" t="s">
        <v>638</v>
      </c>
      <c r="M12" t="s">
        <v>639</v>
      </c>
      <c r="N12" t="s">
        <v>640</v>
      </c>
      <c r="O12">
        <v>0</v>
      </c>
      <c r="P12">
        <v>0</v>
      </c>
      <c r="Q12">
        <v>2.3365000000000001E-5</v>
      </c>
      <c r="R12">
        <v>3.1917717457000001</v>
      </c>
      <c r="S12">
        <v>-4.0254063605999999</v>
      </c>
      <c r="T12">
        <v>-2.7278146743999998</v>
      </c>
      <c r="U12">
        <v>0.62742096189999996</v>
      </c>
      <c r="V12">
        <v>1.3641206025999999</v>
      </c>
      <c r="W12">
        <v>-3.7710471153</v>
      </c>
      <c r="X12">
        <v>2.0640273094000001</v>
      </c>
      <c r="Y12">
        <v>2.2006263733</v>
      </c>
      <c r="Z12">
        <v>-1.0965760946000001</v>
      </c>
      <c r="AA12">
        <v>0.60075896979999999</v>
      </c>
      <c r="AB12">
        <v>-1.0763788222999999</v>
      </c>
      <c r="AC12">
        <v>-0.95036673549999995</v>
      </c>
      <c r="AD12">
        <v>1.9256839751999999</v>
      </c>
      <c r="AE12">
        <v>-0.49354261160000001</v>
      </c>
      <c r="AF12">
        <v>-0.56647676229999999</v>
      </c>
      <c r="AG12">
        <v>-0.59569710490000005</v>
      </c>
      <c r="AH12">
        <v>0.1586855948</v>
      </c>
      <c r="AI12">
        <v>0.69582998750000002</v>
      </c>
      <c r="AJ12">
        <v>3.67348194E-2</v>
      </c>
      <c r="AK12">
        <v>2.152926E-4</v>
      </c>
      <c r="AL12">
        <v>4.7423817200000003E-2</v>
      </c>
      <c r="AM12">
        <v>0.11838962140000001</v>
      </c>
      <c r="AN12">
        <v>0.10060396789999999</v>
      </c>
      <c r="AO12">
        <v>0.11838962140000001</v>
      </c>
      <c r="AP12">
        <v>0.13648429510000001</v>
      </c>
      <c r="AQ12">
        <v>5.1372466598999997</v>
      </c>
      <c r="AR12" t="s">
        <v>262</v>
      </c>
      <c r="AS12" t="s">
        <v>263</v>
      </c>
      <c r="AT12">
        <v>4</v>
      </c>
      <c r="AU12">
        <v>2.9</v>
      </c>
      <c r="AX12">
        <v>1</v>
      </c>
    </row>
    <row r="13" spans="1:50">
      <c r="A13" t="s">
        <v>656</v>
      </c>
      <c r="B13" t="s">
        <v>657</v>
      </c>
      <c r="C13" t="s">
        <v>211</v>
      </c>
      <c r="D13">
        <v>3</v>
      </c>
      <c r="E13" t="s">
        <v>212</v>
      </c>
      <c r="F13" t="s">
        <v>213</v>
      </c>
      <c r="G13" t="s">
        <v>261</v>
      </c>
      <c r="H13" t="s">
        <v>215</v>
      </c>
      <c r="J13" t="s">
        <v>643</v>
      </c>
      <c r="K13" t="s">
        <v>644</v>
      </c>
      <c r="L13" t="s">
        <v>645</v>
      </c>
      <c r="M13" t="s">
        <v>646</v>
      </c>
      <c r="N13" t="s">
        <v>647</v>
      </c>
      <c r="O13">
        <v>0</v>
      </c>
      <c r="P13">
        <v>0</v>
      </c>
      <c r="Q13">
        <v>1.3768700000000001E-5</v>
      </c>
      <c r="R13">
        <v>2.1456902027</v>
      </c>
      <c r="S13">
        <v>-5.2393188476999999</v>
      </c>
      <c r="T13">
        <v>-0.56875866649999995</v>
      </c>
      <c r="U13">
        <v>3.5537173748000002</v>
      </c>
      <c r="V13">
        <v>2.1188066006000001</v>
      </c>
      <c r="W13">
        <v>-0.22714419659999999</v>
      </c>
      <c r="X13">
        <v>5.1424937248000004</v>
      </c>
      <c r="Y13">
        <v>1.1565861702</v>
      </c>
      <c r="Z13">
        <v>1.107578516</v>
      </c>
      <c r="AA13">
        <v>0.51967382429999998</v>
      </c>
      <c r="AB13">
        <v>-2.1388261318000001</v>
      </c>
      <c r="AC13">
        <v>-1.3073968887</v>
      </c>
      <c r="AD13">
        <v>0.23519010839999999</v>
      </c>
      <c r="AE13">
        <v>-1.6816046238</v>
      </c>
      <c r="AF13">
        <v>0.34499651190000002</v>
      </c>
      <c r="AG13">
        <v>0.2918997109</v>
      </c>
      <c r="AH13">
        <v>-6.5598368599999998E-2</v>
      </c>
      <c r="AI13">
        <v>-3.4432232399999999E-2</v>
      </c>
      <c r="AJ13">
        <v>-0.45937770610000001</v>
      </c>
      <c r="AK13">
        <v>1.669923E-4</v>
      </c>
      <c r="AL13">
        <v>4.2448509500000002E-2</v>
      </c>
      <c r="AM13">
        <v>5.7635203000000003E-2</v>
      </c>
      <c r="AN13">
        <v>0.16758590940000001</v>
      </c>
      <c r="AO13">
        <v>0.1815321147</v>
      </c>
      <c r="AP13">
        <v>0.1815321147</v>
      </c>
      <c r="AQ13">
        <v>5.6616648110999996</v>
      </c>
      <c r="AR13" t="s">
        <v>262</v>
      </c>
      <c r="AS13" t="s">
        <v>263</v>
      </c>
      <c r="AT13">
        <v>3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264</v>
      </c>
      <c r="R1" t="s">
        <v>265</v>
      </c>
      <c r="S1" t="s">
        <v>266</v>
      </c>
      <c r="T1" t="s">
        <v>267</v>
      </c>
      <c r="U1" t="s">
        <v>268</v>
      </c>
      <c r="V1" t="s">
        <v>269</v>
      </c>
      <c r="W1" t="s">
        <v>270</v>
      </c>
      <c r="X1" t="s">
        <v>271</v>
      </c>
      <c r="Y1" t="s">
        <v>272</v>
      </c>
      <c r="Z1" t="s">
        <v>273</v>
      </c>
      <c r="AA1" t="s">
        <v>274</v>
      </c>
      <c r="AB1" t="s">
        <v>275</v>
      </c>
      <c r="AC1" t="s">
        <v>276</v>
      </c>
      <c r="AD1" t="s">
        <v>206</v>
      </c>
      <c r="AE1" t="s">
        <v>207</v>
      </c>
      <c r="AF1" t="s">
        <v>208</v>
      </c>
    </row>
    <row r="2" spans="1:32">
      <c r="A2" t="s">
        <v>259</v>
      </c>
      <c r="B2" t="s">
        <v>277</v>
      </c>
      <c r="C2" t="s">
        <v>211</v>
      </c>
      <c r="D2">
        <v>3</v>
      </c>
      <c r="E2" t="s">
        <v>212</v>
      </c>
      <c r="F2" t="s">
        <v>213</v>
      </c>
      <c r="G2" t="s">
        <v>261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-1.1730205279000001</v>
      </c>
      <c r="R2">
        <v>-8</v>
      </c>
      <c r="S2">
        <v>99.227695555400004</v>
      </c>
      <c r="T2">
        <v>103.693488458</v>
      </c>
      <c r="U2">
        <v>3.8125520983999999</v>
      </c>
      <c r="V2">
        <v>4.5763156999999999E-3</v>
      </c>
      <c r="W2">
        <v>-6.9431900000000002E-5</v>
      </c>
      <c r="X2">
        <v>3.7714551161999998</v>
      </c>
      <c r="Y2">
        <v>98.926464380599995</v>
      </c>
      <c r="Z2">
        <v>81.146031272000002</v>
      </c>
      <c r="AA2">
        <v>317.54328388760001</v>
      </c>
      <c r="AB2">
        <v>340.53684220299999</v>
      </c>
      <c r="AC2">
        <v>1</v>
      </c>
      <c r="AF2">
        <v>1</v>
      </c>
    </row>
    <row r="3" spans="1:32">
      <c r="A3" t="s">
        <v>553</v>
      </c>
      <c r="B3" t="s">
        <v>555</v>
      </c>
      <c r="C3" t="s">
        <v>211</v>
      </c>
      <c r="D3">
        <v>3</v>
      </c>
      <c r="E3" t="s">
        <v>212</v>
      </c>
      <c r="F3" t="s">
        <v>213</v>
      </c>
      <c r="G3" t="s">
        <v>261</v>
      </c>
      <c r="H3" t="s">
        <v>215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-2.3460410557000002</v>
      </c>
      <c r="R3">
        <v>-16</v>
      </c>
      <c r="S3">
        <v>99.461969154000002</v>
      </c>
      <c r="T3">
        <v>108.64448990690001</v>
      </c>
      <c r="U3">
        <v>3.9263515217</v>
      </c>
      <c r="V3">
        <v>5.0631162000000004E-3</v>
      </c>
      <c r="W3">
        <v>-7.6994800000000004E-5</v>
      </c>
      <c r="X3">
        <v>3.8997880302999999</v>
      </c>
      <c r="Y3">
        <v>98.358037604700002</v>
      </c>
      <c r="Z3">
        <v>78.359770518900007</v>
      </c>
      <c r="AA3">
        <v>315.73316785380001</v>
      </c>
      <c r="AB3">
        <v>342.68321659190002</v>
      </c>
      <c r="AC3">
        <v>1</v>
      </c>
      <c r="AF3">
        <v>1</v>
      </c>
    </row>
    <row r="4" spans="1:32">
      <c r="A4" t="s">
        <v>565</v>
      </c>
      <c r="B4" t="s">
        <v>567</v>
      </c>
      <c r="C4" t="s">
        <v>211</v>
      </c>
      <c r="D4">
        <v>3</v>
      </c>
      <c r="E4" t="s">
        <v>212</v>
      </c>
      <c r="F4" t="s">
        <v>213</v>
      </c>
      <c r="G4" t="s">
        <v>261</v>
      </c>
      <c r="H4" t="s">
        <v>215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-2.3460410557000002</v>
      </c>
      <c r="R4">
        <v>-16</v>
      </c>
      <c r="S4">
        <v>99.993253690399996</v>
      </c>
      <c r="T4">
        <v>109.1704195506</v>
      </c>
      <c r="U4">
        <v>3.9218211166999999</v>
      </c>
      <c r="V4">
        <v>4.1221690000000002E-3</v>
      </c>
      <c r="W4">
        <v>-6.9658000000000003E-5</v>
      </c>
      <c r="X4">
        <v>3.8519796012</v>
      </c>
      <c r="Y4">
        <v>98.693253690500001</v>
      </c>
      <c r="Z4">
        <v>78.821226400900002</v>
      </c>
      <c r="AA4">
        <v>328.32956415709998</v>
      </c>
      <c r="AB4">
        <v>353.1491439696</v>
      </c>
      <c r="AC4">
        <v>1</v>
      </c>
      <c r="AF4">
        <v>1</v>
      </c>
    </row>
    <row r="5" spans="1:32">
      <c r="A5" t="s">
        <v>570</v>
      </c>
      <c r="B5" t="s">
        <v>571</v>
      </c>
      <c r="C5" t="s">
        <v>211</v>
      </c>
      <c r="D5">
        <v>3</v>
      </c>
      <c r="E5" t="s">
        <v>212</v>
      </c>
      <c r="F5" t="s">
        <v>213</v>
      </c>
      <c r="G5" t="s">
        <v>261</v>
      </c>
      <c r="H5" t="s">
        <v>215</v>
      </c>
      <c r="J5" t="s">
        <v>560</v>
      </c>
      <c r="K5" t="s">
        <v>561</v>
      </c>
      <c r="L5" t="s">
        <v>562</v>
      </c>
      <c r="M5" t="s">
        <v>563</v>
      </c>
      <c r="N5" t="s">
        <v>564</v>
      </c>
      <c r="O5">
        <v>0</v>
      </c>
      <c r="P5">
        <v>0</v>
      </c>
      <c r="Q5">
        <v>0</v>
      </c>
      <c r="R5">
        <v>0</v>
      </c>
      <c r="S5">
        <v>96.787195056000002</v>
      </c>
      <c r="T5">
        <v>96.787195056000002</v>
      </c>
      <c r="U5">
        <v>3.8083314278999998</v>
      </c>
      <c r="V5">
        <v>5.8572460999999996E-3</v>
      </c>
      <c r="W5">
        <v>-7.5037900000000002E-5</v>
      </c>
      <c r="X5">
        <v>3.8037405167</v>
      </c>
      <c r="Y5">
        <v>96.283961225100001</v>
      </c>
      <c r="Z5">
        <v>76.572085818900007</v>
      </c>
      <c r="AA5">
        <v>332.85308182009999</v>
      </c>
      <c r="AB5">
        <v>357.70184885510002</v>
      </c>
      <c r="AC5">
        <v>1</v>
      </c>
      <c r="AF5">
        <v>1</v>
      </c>
    </row>
    <row r="6" spans="1:32">
      <c r="A6" t="s">
        <v>603</v>
      </c>
      <c r="B6" t="s">
        <v>609</v>
      </c>
      <c r="C6" t="s">
        <v>211</v>
      </c>
      <c r="D6">
        <v>3</v>
      </c>
      <c r="E6" t="s">
        <v>212</v>
      </c>
      <c r="F6" t="s">
        <v>213</v>
      </c>
      <c r="G6" t="s">
        <v>261</v>
      </c>
      <c r="H6" t="s">
        <v>215</v>
      </c>
      <c r="J6" t="s">
        <v>576</v>
      </c>
      <c r="K6" t="s">
        <v>577</v>
      </c>
      <c r="L6" t="s">
        <v>578</v>
      </c>
      <c r="M6" t="s">
        <v>579</v>
      </c>
      <c r="N6" t="s">
        <v>580</v>
      </c>
      <c r="O6">
        <v>0</v>
      </c>
      <c r="P6">
        <v>0</v>
      </c>
      <c r="Q6">
        <v>-2.3460410557000002</v>
      </c>
      <c r="R6">
        <v>-16</v>
      </c>
      <c r="S6">
        <v>99.444358196899998</v>
      </c>
      <c r="T6">
        <v>108.5405705988</v>
      </c>
      <c r="U6">
        <v>3.8880472630999998</v>
      </c>
      <c r="V6">
        <v>4.4350594E-3</v>
      </c>
      <c r="W6">
        <v>-6.9386200000000003E-5</v>
      </c>
      <c r="X6">
        <v>3.8283268981999998</v>
      </c>
      <c r="Y6">
        <v>99.043447528300007</v>
      </c>
      <c r="Z6">
        <v>78.284525151699995</v>
      </c>
      <c r="AA6">
        <v>334.61733954869999</v>
      </c>
      <c r="AB6">
        <v>359.4879921941</v>
      </c>
      <c r="AC6">
        <v>1</v>
      </c>
      <c r="AF6">
        <v>1</v>
      </c>
    </row>
    <row r="7" spans="1:32">
      <c r="A7" t="s">
        <v>605</v>
      </c>
      <c r="B7" t="s">
        <v>610</v>
      </c>
      <c r="C7" t="s">
        <v>211</v>
      </c>
      <c r="D7">
        <v>3</v>
      </c>
      <c r="E7" t="s">
        <v>212</v>
      </c>
      <c r="F7" t="s">
        <v>213</v>
      </c>
      <c r="G7" t="s">
        <v>261</v>
      </c>
      <c r="H7" t="s">
        <v>215</v>
      </c>
      <c r="J7" t="s">
        <v>583</v>
      </c>
      <c r="K7" t="s">
        <v>584</v>
      </c>
      <c r="L7" t="s">
        <v>585</v>
      </c>
      <c r="M7" t="s">
        <v>586</v>
      </c>
      <c r="N7" t="s">
        <v>587</v>
      </c>
      <c r="O7">
        <v>0</v>
      </c>
      <c r="P7">
        <v>0</v>
      </c>
      <c r="Q7">
        <v>-1.1730205279000001</v>
      </c>
      <c r="R7">
        <v>-8</v>
      </c>
      <c r="S7">
        <v>99.684618014700007</v>
      </c>
      <c r="T7">
        <v>104.0659785491</v>
      </c>
      <c r="U7">
        <v>3.7418105911000001</v>
      </c>
      <c r="V7">
        <v>5.6262365999999999E-3</v>
      </c>
      <c r="W7">
        <v>-7.3434699999999997E-5</v>
      </c>
      <c r="X7">
        <v>3.7257843124000001</v>
      </c>
      <c r="Y7">
        <v>98.682924387300005</v>
      </c>
      <c r="Z7">
        <v>86.583716917700002</v>
      </c>
      <c r="AA7">
        <v>331.05769009509999</v>
      </c>
      <c r="AB7">
        <v>355.36156589619998</v>
      </c>
      <c r="AC7">
        <v>1</v>
      </c>
      <c r="AF7">
        <v>1</v>
      </c>
    </row>
    <row r="8" spans="1:32">
      <c r="A8" t="s">
        <v>607</v>
      </c>
      <c r="B8" t="s">
        <v>611</v>
      </c>
      <c r="C8" t="s">
        <v>211</v>
      </c>
      <c r="D8">
        <v>3</v>
      </c>
      <c r="E8" t="s">
        <v>212</v>
      </c>
      <c r="F8" t="s">
        <v>213</v>
      </c>
      <c r="G8" t="s">
        <v>261</v>
      </c>
      <c r="H8" t="s">
        <v>215</v>
      </c>
      <c r="J8" t="s">
        <v>590</v>
      </c>
      <c r="K8" t="s">
        <v>591</v>
      </c>
      <c r="L8" t="s">
        <v>592</v>
      </c>
      <c r="M8" t="s">
        <v>593</v>
      </c>
      <c r="N8" t="s">
        <v>594</v>
      </c>
      <c r="O8">
        <v>0</v>
      </c>
      <c r="P8">
        <v>0</v>
      </c>
      <c r="Q8">
        <v>-1.1730205279000001</v>
      </c>
      <c r="R8">
        <v>-8</v>
      </c>
      <c r="S8">
        <v>99.710071438400007</v>
      </c>
      <c r="T8">
        <v>104.2249693194</v>
      </c>
      <c r="U8">
        <v>3.8539969251000001</v>
      </c>
      <c r="V8">
        <v>4.2237893E-3</v>
      </c>
      <c r="W8">
        <v>-6.6781599999999998E-5</v>
      </c>
      <c r="X8">
        <v>3.7830806958999998</v>
      </c>
      <c r="Y8">
        <v>98.607471220400001</v>
      </c>
      <c r="Z8">
        <v>81.826279454000002</v>
      </c>
      <c r="AA8">
        <v>334.2183901002</v>
      </c>
      <c r="AB8">
        <v>356.80759920219998</v>
      </c>
      <c r="AC8">
        <v>1</v>
      </c>
      <c r="AF8">
        <v>1</v>
      </c>
    </row>
    <row r="9" spans="1:32">
      <c r="A9" t="s">
        <v>648</v>
      </c>
      <c r="B9" t="s">
        <v>658</v>
      </c>
      <c r="C9" t="s">
        <v>211</v>
      </c>
      <c r="D9">
        <v>3</v>
      </c>
      <c r="E9" t="s">
        <v>212</v>
      </c>
      <c r="F9" t="s">
        <v>213</v>
      </c>
      <c r="G9" t="s">
        <v>261</v>
      </c>
      <c r="H9" t="s">
        <v>215</v>
      </c>
      <c r="J9" t="s">
        <v>597</v>
      </c>
      <c r="K9" t="s">
        <v>598</v>
      </c>
      <c r="L9" t="s">
        <v>599</v>
      </c>
      <c r="M9" t="s">
        <v>600</v>
      </c>
      <c r="N9" t="s">
        <v>601</v>
      </c>
      <c r="O9">
        <v>0</v>
      </c>
      <c r="P9">
        <v>0</v>
      </c>
      <c r="Q9">
        <v>-1.1730205279000001</v>
      </c>
      <c r="R9">
        <v>-8</v>
      </c>
      <c r="S9">
        <v>93.570453554799997</v>
      </c>
      <c r="T9">
        <v>98.076469950399996</v>
      </c>
      <c r="U9">
        <v>3.8468493702000002</v>
      </c>
      <c r="V9">
        <v>4.5867017000000001E-3</v>
      </c>
      <c r="W9">
        <v>-6.5479099999999995E-5</v>
      </c>
      <c r="X9">
        <v>3.8169467564000001</v>
      </c>
      <c r="Y9">
        <v>92.964039529399997</v>
      </c>
      <c r="Z9">
        <v>73.176508220599999</v>
      </c>
      <c r="AA9">
        <v>330.42245725840002</v>
      </c>
      <c r="AB9">
        <v>354.37848470030002</v>
      </c>
      <c r="AC9">
        <v>1</v>
      </c>
      <c r="AF9">
        <v>1</v>
      </c>
    </row>
    <row r="10" spans="1:32">
      <c r="A10" t="s">
        <v>650</v>
      </c>
      <c r="B10" t="s">
        <v>659</v>
      </c>
      <c r="C10" t="s">
        <v>211</v>
      </c>
      <c r="D10">
        <v>3</v>
      </c>
      <c r="E10" t="s">
        <v>212</v>
      </c>
      <c r="F10" t="s">
        <v>213</v>
      </c>
      <c r="G10" t="s">
        <v>261</v>
      </c>
      <c r="H10" t="s">
        <v>215</v>
      </c>
      <c r="J10" t="s">
        <v>622</v>
      </c>
      <c r="K10" t="s">
        <v>623</v>
      </c>
      <c r="L10" t="s">
        <v>624</v>
      </c>
      <c r="M10" t="s">
        <v>625</v>
      </c>
      <c r="N10" t="s">
        <v>626</v>
      </c>
      <c r="O10">
        <v>0</v>
      </c>
      <c r="P10">
        <v>0</v>
      </c>
      <c r="Q10">
        <v>-2.3460410557000002</v>
      </c>
      <c r="R10">
        <v>-16</v>
      </c>
      <c r="S10">
        <v>98.900212900699998</v>
      </c>
      <c r="T10">
        <v>107.88445389570001</v>
      </c>
      <c r="U10">
        <v>3.8388891513000001</v>
      </c>
      <c r="V10">
        <v>3.8357403999999999E-3</v>
      </c>
      <c r="W10">
        <v>-6.4976100000000003E-5</v>
      </c>
      <c r="X10">
        <v>3.7519008306999999</v>
      </c>
      <c r="Y10">
        <v>98.097406638999999</v>
      </c>
      <c r="Z10">
        <v>77.500277659299996</v>
      </c>
      <c r="AA10">
        <v>335.72461170830002</v>
      </c>
      <c r="AB10">
        <v>360.2775852648</v>
      </c>
      <c r="AC10">
        <v>1</v>
      </c>
      <c r="AF10">
        <v>1</v>
      </c>
    </row>
    <row r="11" spans="1:32">
      <c r="A11" t="s">
        <v>652</v>
      </c>
      <c r="B11" t="s">
        <v>660</v>
      </c>
      <c r="C11" t="s">
        <v>211</v>
      </c>
      <c r="D11">
        <v>3</v>
      </c>
      <c r="E11" t="s">
        <v>212</v>
      </c>
      <c r="F11" t="s">
        <v>213</v>
      </c>
      <c r="G11" t="s">
        <v>261</v>
      </c>
      <c r="H11" t="s">
        <v>215</v>
      </c>
      <c r="J11" t="s">
        <v>629</v>
      </c>
      <c r="K11" t="s">
        <v>630</v>
      </c>
      <c r="L11" t="s">
        <v>631</v>
      </c>
      <c r="M11" t="s">
        <v>632</v>
      </c>
      <c r="N11" t="s">
        <v>633</v>
      </c>
      <c r="O11">
        <v>0</v>
      </c>
      <c r="P11">
        <v>0</v>
      </c>
      <c r="Q11">
        <v>1.1730205279000001</v>
      </c>
      <c r="R11">
        <v>8</v>
      </c>
      <c r="S11">
        <v>97.539135682899996</v>
      </c>
      <c r="T11">
        <v>93.157750289000006</v>
      </c>
      <c r="U11">
        <v>3.7292165806000002</v>
      </c>
      <c r="V11">
        <v>5.1178596E-3</v>
      </c>
      <c r="W11">
        <v>-6.4598999999999996E-5</v>
      </c>
      <c r="X11">
        <v>3.7214978957999998</v>
      </c>
      <c r="Y11">
        <v>96.938993262699995</v>
      </c>
      <c r="Z11">
        <v>79.537908688000002</v>
      </c>
      <c r="AA11">
        <v>330.15034722820002</v>
      </c>
      <c r="AB11">
        <v>357.32519385329999</v>
      </c>
      <c r="AC11">
        <v>1</v>
      </c>
      <c r="AF11">
        <v>1</v>
      </c>
    </row>
    <row r="12" spans="1:32">
      <c r="A12" t="s">
        <v>654</v>
      </c>
      <c r="B12" t="s">
        <v>661</v>
      </c>
      <c r="C12" t="s">
        <v>211</v>
      </c>
      <c r="D12">
        <v>3</v>
      </c>
      <c r="E12" t="s">
        <v>212</v>
      </c>
      <c r="F12" t="s">
        <v>213</v>
      </c>
      <c r="G12" t="s">
        <v>261</v>
      </c>
      <c r="H12" t="s">
        <v>215</v>
      </c>
      <c r="J12" t="s">
        <v>636</v>
      </c>
      <c r="K12" t="s">
        <v>637</v>
      </c>
      <c r="L12" t="s">
        <v>638</v>
      </c>
      <c r="M12" t="s">
        <v>639</v>
      </c>
      <c r="N12" t="s">
        <v>640</v>
      </c>
      <c r="O12">
        <v>0</v>
      </c>
      <c r="P12">
        <v>0</v>
      </c>
      <c r="Q12">
        <v>-1.1730205279000001</v>
      </c>
      <c r="R12">
        <v>-8</v>
      </c>
      <c r="S12">
        <v>98.388596706900003</v>
      </c>
      <c r="T12">
        <v>102.8500688318</v>
      </c>
      <c r="U12">
        <v>3.8097648607000001</v>
      </c>
      <c r="V12">
        <v>5.3369391000000002E-3</v>
      </c>
      <c r="W12">
        <v>-7.2337700000000004E-5</v>
      </c>
      <c r="X12">
        <v>3.7926823161000001</v>
      </c>
      <c r="Y12">
        <v>97.685598779499998</v>
      </c>
      <c r="Z12">
        <v>80.513583080000004</v>
      </c>
      <c r="AA12">
        <v>328.71773709830001</v>
      </c>
      <c r="AB12">
        <v>353.40278016000002</v>
      </c>
      <c r="AC12">
        <v>1</v>
      </c>
      <c r="AF12">
        <v>1</v>
      </c>
    </row>
    <row r="13" spans="1:32">
      <c r="A13" t="s">
        <v>656</v>
      </c>
      <c r="B13" t="s">
        <v>662</v>
      </c>
      <c r="C13" t="s">
        <v>211</v>
      </c>
      <c r="D13">
        <v>3</v>
      </c>
      <c r="E13" t="s">
        <v>212</v>
      </c>
      <c r="F13" t="s">
        <v>213</v>
      </c>
      <c r="G13" t="s">
        <v>261</v>
      </c>
      <c r="H13" t="s">
        <v>215</v>
      </c>
      <c r="J13" t="s">
        <v>643</v>
      </c>
      <c r="K13" t="s">
        <v>644</v>
      </c>
      <c r="L13" t="s">
        <v>645</v>
      </c>
      <c r="M13" t="s">
        <v>646</v>
      </c>
      <c r="N13" t="s">
        <v>647</v>
      </c>
      <c r="O13">
        <v>0</v>
      </c>
      <c r="P13">
        <v>0</v>
      </c>
      <c r="Q13">
        <v>-1.1730205279000001</v>
      </c>
      <c r="R13">
        <v>-8</v>
      </c>
      <c r="S13">
        <v>94.753211452399995</v>
      </c>
      <c r="T13">
        <v>99.277213222699999</v>
      </c>
      <c r="U13">
        <v>3.8626998442999998</v>
      </c>
      <c r="V13">
        <v>5.0230085000000004E-3</v>
      </c>
      <c r="W13">
        <v>-6.9945300000000003E-5</v>
      </c>
      <c r="X13">
        <v>3.8287078886999999</v>
      </c>
      <c r="Y13">
        <v>93.848365590699999</v>
      </c>
      <c r="Z13">
        <v>73.823022162200004</v>
      </c>
      <c r="AA13">
        <v>339.2602012017</v>
      </c>
      <c r="AB13">
        <v>362.48857329610001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278</v>
      </c>
      <c r="R1" t="s">
        <v>279</v>
      </c>
      <c r="S1" t="s">
        <v>280</v>
      </c>
      <c r="T1" t="s">
        <v>281</v>
      </c>
      <c r="U1" t="s">
        <v>282</v>
      </c>
      <c r="V1" t="s">
        <v>283</v>
      </c>
      <c r="W1" t="s">
        <v>284</v>
      </c>
      <c r="X1" t="s">
        <v>285</v>
      </c>
      <c r="Y1" t="s">
        <v>286</v>
      </c>
      <c r="Z1" t="s">
        <v>287</v>
      </c>
      <c r="AA1" t="s">
        <v>288</v>
      </c>
      <c r="AB1" t="s">
        <v>289</v>
      </c>
      <c r="AC1" t="s">
        <v>290</v>
      </c>
      <c r="AD1" t="s">
        <v>291</v>
      </c>
      <c r="AE1" t="s">
        <v>292</v>
      </c>
      <c r="AF1" t="s">
        <v>293</v>
      </c>
      <c r="AG1" t="s">
        <v>294</v>
      </c>
      <c r="AH1" t="s">
        <v>295</v>
      </c>
      <c r="AI1" t="s">
        <v>296</v>
      </c>
      <c r="AJ1" t="s">
        <v>297</v>
      </c>
      <c r="AK1" t="s">
        <v>298</v>
      </c>
      <c r="AL1" t="s">
        <v>299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313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323</v>
      </c>
      <c r="BK1" t="s">
        <v>324</v>
      </c>
      <c r="BL1" t="s">
        <v>325</v>
      </c>
      <c r="BM1" t="s">
        <v>326</v>
      </c>
      <c r="BN1" t="s">
        <v>327</v>
      </c>
      <c r="BO1" t="s">
        <v>328</v>
      </c>
      <c r="BP1" t="s">
        <v>329</v>
      </c>
      <c r="BQ1" t="s">
        <v>330</v>
      </c>
      <c r="BR1" t="s">
        <v>331</v>
      </c>
      <c r="BS1" t="s">
        <v>332</v>
      </c>
      <c r="BT1" t="s">
        <v>333</v>
      </c>
      <c r="BU1" t="s">
        <v>334</v>
      </c>
      <c r="BV1" t="s">
        <v>335</v>
      </c>
      <c r="BW1" t="s">
        <v>336</v>
      </c>
      <c r="BX1" t="s">
        <v>337</v>
      </c>
      <c r="BY1" t="s">
        <v>338</v>
      </c>
      <c r="BZ1" t="s">
        <v>339</v>
      </c>
      <c r="CA1" t="s">
        <v>340</v>
      </c>
      <c r="CB1" t="s">
        <v>341</v>
      </c>
      <c r="CC1" t="s">
        <v>342</v>
      </c>
      <c r="CD1" t="s">
        <v>343</v>
      </c>
      <c r="CE1" t="s">
        <v>344</v>
      </c>
      <c r="CF1" t="s">
        <v>345</v>
      </c>
      <c r="CG1" t="s">
        <v>346</v>
      </c>
      <c r="CH1" t="s">
        <v>347</v>
      </c>
      <c r="CI1" t="s">
        <v>348</v>
      </c>
      <c r="CJ1" t="s">
        <v>349</v>
      </c>
      <c r="CK1" t="s">
        <v>350</v>
      </c>
      <c r="CL1" t="s">
        <v>351</v>
      </c>
      <c r="CM1" t="s">
        <v>352</v>
      </c>
      <c r="CN1" t="s">
        <v>353</v>
      </c>
      <c r="CO1" t="s">
        <v>354</v>
      </c>
      <c r="CP1" t="s">
        <v>355</v>
      </c>
      <c r="CQ1" t="s">
        <v>356</v>
      </c>
      <c r="CR1" t="s">
        <v>357</v>
      </c>
      <c r="CS1" t="s">
        <v>358</v>
      </c>
      <c r="CT1" t="s">
        <v>359</v>
      </c>
      <c r="CU1" t="s">
        <v>360</v>
      </c>
      <c r="CV1" t="s">
        <v>361</v>
      </c>
      <c r="CW1" t="s">
        <v>362</v>
      </c>
      <c r="CX1" t="s">
        <v>363</v>
      </c>
      <c r="CY1" t="s">
        <v>364</v>
      </c>
      <c r="CZ1" t="s">
        <v>365</v>
      </c>
      <c r="DA1" t="s">
        <v>366</v>
      </c>
      <c r="DB1" t="s">
        <v>367</v>
      </c>
      <c r="DC1" t="s">
        <v>368</v>
      </c>
      <c r="DD1" t="s">
        <v>369</v>
      </c>
      <c r="DE1" t="s">
        <v>370</v>
      </c>
      <c r="DF1" t="s">
        <v>371</v>
      </c>
      <c r="DG1" t="s">
        <v>372</v>
      </c>
      <c r="DH1" t="s">
        <v>373</v>
      </c>
      <c r="DI1" t="s">
        <v>374</v>
      </c>
      <c r="DJ1" t="s">
        <v>375</v>
      </c>
      <c r="DK1" t="s">
        <v>376</v>
      </c>
      <c r="DL1" t="s">
        <v>377</v>
      </c>
      <c r="DM1" t="s">
        <v>378</v>
      </c>
      <c r="DN1" t="s">
        <v>379</v>
      </c>
      <c r="DO1" t="s">
        <v>380</v>
      </c>
      <c r="DP1" t="s">
        <v>381</v>
      </c>
      <c r="DQ1" t="s">
        <v>382</v>
      </c>
      <c r="DR1" t="s">
        <v>383</v>
      </c>
      <c r="DS1" t="s">
        <v>384</v>
      </c>
      <c r="DT1" t="s">
        <v>385</v>
      </c>
      <c r="DU1" t="s">
        <v>386</v>
      </c>
      <c r="DV1" t="s">
        <v>387</v>
      </c>
      <c r="DW1" t="s">
        <v>388</v>
      </c>
      <c r="DX1" t="s">
        <v>389</v>
      </c>
      <c r="DY1" t="s">
        <v>390</v>
      </c>
      <c r="DZ1" t="s">
        <v>391</v>
      </c>
      <c r="EA1" t="s">
        <v>392</v>
      </c>
      <c r="EB1" t="s">
        <v>393</v>
      </c>
      <c r="EC1" t="s">
        <v>394</v>
      </c>
      <c r="ED1" t="s">
        <v>395</v>
      </c>
      <c r="EE1" t="s">
        <v>396</v>
      </c>
      <c r="EF1" t="s">
        <v>397</v>
      </c>
      <c r="EG1" t="s">
        <v>398</v>
      </c>
      <c r="EH1" t="s">
        <v>399</v>
      </c>
      <c r="EI1" t="s">
        <v>400</v>
      </c>
      <c r="EJ1" t="s">
        <v>401</v>
      </c>
      <c r="EK1" t="s">
        <v>402</v>
      </c>
      <c r="EL1" t="s">
        <v>403</v>
      </c>
      <c r="EM1" t="s">
        <v>404</v>
      </c>
      <c r="EN1" t="s">
        <v>405</v>
      </c>
      <c r="EO1" t="s">
        <v>406</v>
      </c>
      <c r="EP1" t="s">
        <v>407</v>
      </c>
      <c r="EQ1" t="s">
        <v>408</v>
      </c>
      <c r="ER1" t="s">
        <v>409</v>
      </c>
      <c r="ES1" t="s">
        <v>410</v>
      </c>
      <c r="ET1" t="s">
        <v>411</v>
      </c>
      <c r="EU1" t="s">
        <v>412</v>
      </c>
      <c r="EV1" t="s">
        <v>413</v>
      </c>
      <c r="EW1" t="s">
        <v>414</v>
      </c>
      <c r="EX1" t="s">
        <v>415</v>
      </c>
      <c r="EY1" t="s">
        <v>416</v>
      </c>
      <c r="EZ1" t="s">
        <v>417</v>
      </c>
      <c r="FA1" t="s">
        <v>418</v>
      </c>
      <c r="FB1" t="s">
        <v>419</v>
      </c>
      <c r="FC1" t="s">
        <v>420</v>
      </c>
      <c r="FD1" t="s">
        <v>421</v>
      </c>
      <c r="FE1" t="s">
        <v>422</v>
      </c>
      <c r="FF1" t="s">
        <v>423</v>
      </c>
      <c r="FG1" t="s">
        <v>424</v>
      </c>
      <c r="FH1" t="s">
        <v>425</v>
      </c>
      <c r="FI1" t="s">
        <v>426</v>
      </c>
      <c r="FJ1" t="s">
        <v>427</v>
      </c>
      <c r="FK1" t="s">
        <v>428</v>
      </c>
      <c r="FL1" t="s">
        <v>429</v>
      </c>
      <c r="FM1" t="s">
        <v>430</v>
      </c>
      <c r="FN1" t="s">
        <v>431</v>
      </c>
      <c r="FO1" t="s">
        <v>432</v>
      </c>
      <c r="FP1" t="s">
        <v>433</v>
      </c>
      <c r="FQ1" t="s">
        <v>434</v>
      </c>
      <c r="FR1" t="s">
        <v>435</v>
      </c>
      <c r="FS1" t="s">
        <v>436</v>
      </c>
      <c r="FT1" t="s">
        <v>437</v>
      </c>
      <c r="FU1" t="s">
        <v>438</v>
      </c>
      <c r="FV1" t="s">
        <v>439</v>
      </c>
      <c r="FW1" t="s">
        <v>440</v>
      </c>
      <c r="FX1" t="s">
        <v>441</v>
      </c>
      <c r="FY1" t="s">
        <v>442</v>
      </c>
      <c r="FZ1" t="s">
        <v>443</v>
      </c>
      <c r="GA1" t="s">
        <v>444</v>
      </c>
      <c r="GB1" t="s">
        <v>445</v>
      </c>
      <c r="GC1" t="s">
        <v>446</v>
      </c>
      <c r="GD1" t="s">
        <v>447</v>
      </c>
      <c r="GE1" t="s">
        <v>448</v>
      </c>
      <c r="GF1" t="s">
        <v>449</v>
      </c>
      <c r="GG1" t="s">
        <v>450</v>
      </c>
      <c r="GH1" t="s">
        <v>451</v>
      </c>
      <c r="GI1" t="s">
        <v>452</v>
      </c>
      <c r="GJ1" t="s">
        <v>453</v>
      </c>
      <c r="GK1" t="s">
        <v>454</v>
      </c>
      <c r="GL1" t="s">
        <v>455</v>
      </c>
      <c r="GM1" t="s">
        <v>456</v>
      </c>
      <c r="GN1" t="s">
        <v>457</v>
      </c>
      <c r="GO1" t="s">
        <v>458</v>
      </c>
      <c r="GP1" t="s">
        <v>459</v>
      </c>
      <c r="GQ1" t="s">
        <v>460</v>
      </c>
      <c r="GR1" t="s">
        <v>461</v>
      </c>
      <c r="GS1" t="s">
        <v>462</v>
      </c>
      <c r="GT1" t="s">
        <v>463</v>
      </c>
      <c r="GU1" t="s">
        <v>464</v>
      </c>
      <c r="GV1" t="s">
        <v>465</v>
      </c>
      <c r="GW1" t="s">
        <v>466</v>
      </c>
      <c r="GX1" t="s">
        <v>467</v>
      </c>
      <c r="GY1" t="s">
        <v>468</v>
      </c>
      <c r="GZ1" t="s">
        <v>469</v>
      </c>
      <c r="HA1" t="s">
        <v>470</v>
      </c>
      <c r="HB1" t="s">
        <v>471</v>
      </c>
      <c r="HC1" t="s">
        <v>472</v>
      </c>
      <c r="HD1" t="s">
        <v>473</v>
      </c>
      <c r="HE1" t="s">
        <v>474</v>
      </c>
      <c r="HF1" t="s">
        <v>475</v>
      </c>
      <c r="HG1" t="s">
        <v>476</v>
      </c>
      <c r="HH1" t="s">
        <v>477</v>
      </c>
      <c r="HI1" t="s">
        <v>478</v>
      </c>
      <c r="HJ1" t="s">
        <v>479</v>
      </c>
      <c r="HK1" t="s">
        <v>480</v>
      </c>
      <c r="HL1" t="s">
        <v>481</v>
      </c>
      <c r="HM1" t="s">
        <v>482</v>
      </c>
      <c r="HN1" t="s">
        <v>483</v>
      </c>
      <c r="HO1" t="s">
        <v>484</v>
      </c>
      <c r="HP1" t="s">
        <v>485</v>
      </c>
      <c r="HQ1" t="s">
        <v>486</v>
      </c>
      <c r="HR1" t="s">
        <v>487</v>
      </c>
      <c r="HS1" t="s">
        <v>488</v>
      </c>
      <c r="HT1" t="s">
        <v>489</v>
      </c>
      <c r="HU1" t="s">
        <v>490</v>
      </c>
      <c r="HV1" t="s">
        <v>491</v>
      </c>
      <c r="HW1" t="s">
        <v>492</v>
      </c>
      <c r="HX1" t="s">
        <v>493</v>
      </c>
      <c r="HY1" t="s">
        <v>494</v>
      </c>
      <c r="HZ1" t="s">
        <v>495</v>
      </c>
      <c r="IA1" t="s">
        <v>496</v>
      </c>
      <c r="IB1" t="s">
        <v>497</v>
      </c>
      <c r="IC1" t="s">
        <v>498</v>
      </c>
      <c r="ID1" t="s">
        <v>499</v>
      </c>
      <c r="IE1" t="s">
        <v>500</v>
      </c>
      <c r="IF1" t="s">
        <v>501</v>
      </c>
      <c r="IG1" t="s">
        <v>502</v>
      </c>
      <c r="IH1" t="s">
        <v>503</v>
      </c>
      <c r="II1" t="s">
        <v>504</v>
      </c>
      <c r="IJ1" t="s">
        <v>505</v>
      </c>
      <c r="IK1" t="s">
        <v>506</v>
      </c>
      <c r="IL1" t="s">
        <v>507</v>
      </c>
      <c r="IM1" t="s">
        <v>508</v>
      </c>
      <c r="IN1" t="s">
        <v>509</v>
      </c>
      <c r="IO1" t="s">
        <v>510</v>
      </c>
      <c r="IP1" t="s">
        <v>511</v>
      </c>
      <c r="IQ1" t="s">
        <v>512</v>
      </c>
      <c r="IR1" t="s">
        <v>513</v>
      </c>
      <c r="IS1" t="s">
        <v>514</v>
      </c>
      <c r="IT1" t="s">
        <v>515</v>
      </c>
      <c r="IU1" t="s">
        <v>516</v>
      </c>
      <c r="IV1" t="s">
        <v>517</v>
      </c>
      <c r="IW1" t="s">
        <v>518</v>
      </c>
      <c r="IX1" t="s">
        <v>519</v>
      </c>
      <c r="IY1" t="s">
        <v>520</v>
      </c>
      <c r="IZ1" t="s">
        <v>521</v>
      </c>
      <c r="JA1" t="s">
        <v>522</v>
      </c>
      <c r="JB1" t="s">
        <v>523</v>
      </c>
      <c r="JC1" t="s">
        <v>524</v>
      </c>
      <c r="JD1" t="s">
        <v>525</v>
      </c>
      <c r="JE1" t="s">
        <v>526</v>
      </c>
      <c r="JF1" t="s">
        <v>527</v>
      </c>
      <c r="JG1" t="s">
        <v>528</v>
      </c>
      <c r="JH1" t="s">
        <v>529</v>
      </c>
      <c r="JI1" t="s">
        <v>530</v>
      </c>
      <c r="JJ1" t="s">
        <v>531</v>
      </c>
      <c r="JK1" t="s">
        <v>271</v>
      </c>
      <c r="JL1" t="s">
        <v>532</v>
      </c>
      <c r="JM1" t="s">
        <v>533</v>
      </c>
      <c r="JN1" t="s">
        <v>534</v>
      </c>
      <c r="JO1" t="s">
        <v>206</v>
      </c>
      <c r="JP1" t="s">
        <v>207</v>
      </c>
      <c r="JQ1" t="s">
        <v>208</v>
      </c>
    </row>
    <row r="2" spans="1:277">
      <c r="A2" t="s">
        <v>535</v>
      </c>
      <c r="B2" t="s">
        <v>536</v>
      </c>
      <c r="C2" t="s">
        <v>211</v>
      </c>
      <c r="D2">
        <v>3</v>
      </c>
      <c r="E2" t="s">
        <v>212</v>
      </c>
      <c r="F2" t="s">
        <v>213</v>
      </c>
      <c r="G2" t="s">
        <v>537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0</v>
      </c>
      <c r="R2">
        <v>0.59999999940000004</v>
      </c>
      <c r="S2">
        <v>0.69999999869999996</v>
      </c>
      <c r="T2">
        <v>0.69999999869999996</v>
      </c>
      <c r="U2">
        <v>0.69999999869999996</v>
      </c>
      <c r="V2">
        <v>0.69999999869999996</v>
      </c>
      <c r="W2">
        <v>0.69999999869999996</v>
      </c>
      <c r="X2">
        <v>0.39999999899999999</v>
      </c>
      <c r="Y2">
        <v>0.49999999830000003</v>
      </c>
      <c r="Z2">
        <v>0.69999999869999996</v>
      </c>
      <c r="AA2">
        <v>0.79999999980000003</v>
      </c>
      <c r="AB2">
        <v>0.89999999909999995</v>
      </c>
      <c r="AC2">
        <v>0.89999999909999995</v>
      </c>
      <c r="AD2">
        <v>0.69999999869999996</v>
      </c>
      <c r="AE2">
        <v>0.69999999869999996</v>
      </c>
      <c r="AF2">
        <v>0.49999999830000003</v>
      </c>
      <c r="AG2">
        <v>0.59999999940000004</v>
      </c>
      <c r="AH2">
        <v>0.39999999899999999</v>
      </c>
      <c r="AI2">
        <v>0.29999999970000002</v>
      </c>
      <c r="AJ2">
        <v>1.0999999995</v>
      </c>
      <c r="AK2">
        <v>3.4999999988999999</v>
      </c>
      <c r="AL2">
        <v>10.8</v>
      </c>
      <c r="AM2">
        <v>17.699999998500001</v>
      </c>
      <c r="AN2">
        <v>25.599999999000001</v>
      </c>
      <c r="AO2">
        <v>33.299999999100002</v>
      </c>
      <c r="AP2">
        <v>42.199999999900001</v>
      </c>
      <c r="AQ2">
        <v>49.9</v>
      </c>
      <c r="AR2">
        <v>58.599999998500003</v>
      </c>
      <c r="AS2">
        <v>66.899999999800002</v>
      </c>
      <c r="AT2">
        <v>74.899999999599999</v>
      </c>
      <c r="AU2">
        <v>83.199999999100001</v>
      </c>
      <c r="AV2">
        <v>92.999999998899995</v>
      </c>
      <c r="AW2">
        <v>101.7999999985</v>
      </c>
      <c r="AX2">
        <v>111.19999999940001</v>
      </c>
      <c r="AY2">
        <v>119.6999999993</v>
      </c>
      <c r="AZ2">
        <v>128.2999999985</v>
      </c>
      <c r="BA2">
        <v>136.69999999909999</v>
      </c>
      <c r="BB2">
        <v>146.49999999889999</v>
      </c>
      <c r="BC2">
        <v>155.09999999990001</v>
      </c>
      <c r="BD2">
        <v>164.39999999969999</v>
      </c>
      <c r="BE2">
        <v>172.59999999990001</v>
      </c>
      <c r="BF2">
        <v>181.39999999950001</v>
      </c>
      <c r="BG2">
        <v>190.6999999992</v>
      </c>
      <c r="BH2">
        <v>200.7999999987</v>
      </c>
      <c r="BI2">
        <v>209.29999999859999</v>
      </c>
      <c r="BJ2">
        <v>217.8999999996</v>
      </c>
      <c r="BK2">
        <v>226.3999999996</v>
      </c>
      <c r="BL2">
        <v>234.69999999909999</v>
      </c>
      <c r="BM2">
        <v>243.39999999939999</v>
      </c>
      <c r="BN2">
        <v>253.3999999996</v>
      </c>
      <c r="BO2">
        <v>261.89999999949998</v>
      </c>
      <c r="BP2">
        <v>270.39999999939999</v>
      </c>
      <c r="BQ2">
        <v>278.89999999930001</v>
      </c>
      <c r="BR2">
        <v>287.09999999960002</v>
      </c>
      <c r="BS2">
        <v>295.79999999990002</v>
      </c>
      <c r="BT2">
        <v>305.3</v>
      </c>
      <c r="BU2">
        <v>313.09999999939998</v>
      </c>
      <c r="BV2">
        <v>320.99999999990001</v>
      </c>
      <c r="BW2">
        <v>329.19999999829997</v>
      </c>
      <c r="BX2">
        <v>336.69999999980001</v>
      </c>
      <c r="BY2">
        <v>344.90000000010002</v>
      </c>
      <c r="BZ2">
        <v>353.90000000010002</v>
      </c>
      <c r="CA2">
        <v>361.69999999949999</v>
      </c>
      <c r="CB2">
        <v>369.39999999960003</v>
      </c>
      <c r="CC2">
        <v>376.9999999986</v>
      </c>
      <c r="CD2">
        <v>384.19999999859999</v>
      </c>
      <c r="CE2">
        <v>391.39999999859998</v>
      </c>
      <c r="CF2">
        <v>399.49999999950001</v>
      </c>
      <c r="CG2">
        <v>406.79999999879999</v>
      </c>
      <c r="CH2">
        <v>413.79999999839998</v>
      </c>
      <c r="CI2">
        <v>420.89999999920002</v>
      </c>
      <c r="CJ2">
        <v>427.59999999910002</v>
      </c>
      <c r="CK2">
        <v>433.99999999929997</v>
      </c>
      <c r="CL2">
        <v>438.29999999979998</v>
      </c>
      <c r="CM2">
        <v>444.1999999999</v>
      </c>
      <c r="CN2">
        <v>448.99999999869999</v>
      </c>
      <c r="CO2">
        <v>454.19999999829997</v>
      </c>
      <c r="CP2">
        <v>454.19999999829997</v>
      </c>
      <c r="CQ2">
        <v>454.29999999939997</v>
      </c>
      <c r="CR2">
        <v>454.39999999870003</v>
      </c>
      <c r="CS2">
        <v>454.49999999980002</v>
      </c>
      <c r="CT2">
        <v>454.29999999939997</v>
      </c>
      <c r="CU2">
        <v>454.69999999840002</v>
      </c>
      <c r="CV2">
        <v>454.79999999950002</v>
      </c>
      <c r="CW2">
        <v>454.59999999910002</v>
      </c>
      <c r="CX2">
        <v>454.39999999870003</v>
      </c>
      <c r="CY2">
        <v>454.29999999939997</v>
      </c>
      <c r="CZ2">
        <v>454.29999999939997</v>
      </c>
      <c r="DA2">
        <v>454.59999999910002</v>
      </c>
      <c r="DB2">
        <v>454.19999999829997</v>
      </c>
      <c r="DC2">
        <v>454.99999999990001</v>
      </c>
      <c r="DD2">
        <v>454.59999999910002</v>
      </c>
      <c r="DE2">
        <v>454.99999999990001</v>
      </c>
      <c r="DF2">
        <v>454.69999999840002</v>
      </c>
      <c r="DG2">
        <v>0.49999999830000003</v>
      </c>
      <c r="DH2">
        <v>1.2999999999</v>
      </c>
      <c r="DI2">
        <v>0.99999999839999998</v>
      </c>
      <c r="DJ2">
        <v>0.79999999980000003</v>
      </c>
      <c r="DK2">
        <v>0.69999999869999996</v>
      </c>
      <c r="DL2">
        <v>0.79999999980000003</v>
      </c>
      <c r="DM2">
        <v>0.89999999909999995</v>
      </c>
      <c r="DN2">
        <v>0.79999999980000003</v>
      </c>
      <c r="DO2">
        <v>0.99999999839999998</v>
      </c>
      <c r="DP2">
        <v>1.0999999995</v>
      </c>
      <c r="DQ2">
        <v>1.1999999988000001</v>
      </c>
      <c r="DR2">
        <v>1.1999999988000001</v>
      </c>
      <c r="DS2">
        <v>1.1999999988000001</v>
      </c>
      <c r="DT2">
        <v>1.0999999995</v>
      </c>
      <c r="DU2">
        <v>0.79999999980000003</v>
      </c>
      <c r="DV2">
        <v>0.89999999909999995</v>
      </c>
      <c r="DW2">
        <v>0.89999999909999995</v>
      </c>
      <c r="DX2">
        <v>0.99999999839999998</v>
      </c>
      <c r="DY2">
        <v>1.0999999995</v>
      </c>
      <c r="DZ2">
        <v>3.9999999989999999</v>
      </c>
      <c r="EA2">
        <v>11.199999998999999</v>
      </c>
      <c r="EB2">
        <v>18</v>
      </c>
      <c r="EC2">
        <v>25.699999998300001</v>
      </c>
      <c r="ED2">
        <v>33.399999998399998</v>
      </c>
      <c r="EE2">
        <v>42.3999999985</v>
      </c>
      <c r="EF2">
        <v>49.9</v>
      </c>
      <c r="EG2">
        <v>58.799999998899999</v>
      </c>
      <c r="EH2">
        <v>66.699999999400006</v>
      </c>
      <c r="EI2">
        <v>74.899999999599999</v>
      </c>
      <c r="EJ2">
        <v>83.099999999800005</v>
      </c>
      <c r="EK2">
        <v>92.499999998800007</v>
      </c>
      <c r="EL2">
        <v>100.6999999991</v>
      </c>
      <c r="EM2">
        <v>110.49999999889999</v>
      </c>
      <c r="EN2">
        <v>118.8999999995</v>
      </c>
      <c r="EO2">
        <v>127.5999999998</v>
      </c>
      <c r="EP2">
        <v>136.39999999939999</v>
      </c>
      <c r="EQ2">
        <v>146.2999999985</v>
      </c>
      <c r="ER2">
        <v>155.2999999985</v>
      </c>
      <c r="ES2">
        <v>164.60000000010001</v>
      </c>
      <c r="ET2">
        <v>172.99999999889999</v>
      </c>
      <c r="EU2">
        <v>181.39999999950001</v>
      </c>
      <c r="EV2">
        <v>190.39999999950001</v>
      </c>
      <c r="EW2">
        <v>200.1</v>
      </c>
      <c r="EX2">
        <v>209.29999999859999</v>
      </c>
      <c r="EY2">
        <v>218.19999999929999</v>
      </c>
      <c r="EZ2">
        <v>226.99999999900001</v>
      </c>
      <c r="FA2">
        <v>235.69999999929999</v>
      </c>
      <c r="FB2">
        <v>245.79999999879999</v>
      </c>
      <c r="FC2">
        <v>253.89999999969999</v>
      </c>
      <c r="FD2">
        <v>263.4999999991</v>
      </c>
      <c r="FE2">
        <v>271.69999999930002</v>
      </c>
      <c r="FF2">
        <v>280.49999999890002</v>
      </c>
      <c r="FG2">
        <v>288.69999999919997</v>
      </c>
      <c r="FH2">
        <v>298.19999999930002</v>
      </c>
      <c r="FI2">
        <v>306.39999999949998</v>
      </c>
      <c r="FJ2">
        <v>315.59999999989998</v>
      </c>
      <c r="FK2">
        <v>323.89999999939999</v>
      </c>
      <c r="FL2">
        <v>332.39999999930001</v>
      </c>
      <c r="FM2">
        <v>340.19999999869998</v>
      </c>
      <c r="FN2">
        <v>348.99999999829998</v>
      </c>
      <c r="FO2">
        <v>356.59999999920001</v>
      </c>
      <c r="FP2">
        <v>365.09999999910002</v>
      </c>
      <c r="FQ2">
        <v>372.39999999840001</v>
      </c>
      <c r="FR2">
        <v>380.19999999959998</v>
      </c>
      <c r="FS2">
        <v>387.39999999960003</v>
      </c>
      <c r="FT2">
        <v>395.199999999</v>
      </c>
      <c r="FU2">
        <v>403.59999999960002</v>
      </c>
      <c r="FV2">
        <v>410.6999999985</v>
      </c>
      <c r="FW2">
        <v>417.79999999929998</v>
      </c>
      <c r="FX2">
        <v>424.39999999989999</v>
      </c>
      <c r="FY2">
        <v>430.99999999869999</v>
      </c>
      <c r="FZ2">
        <v>435.49999999959999</v>
      </c>
      <c r="GA2">
        <v>439.99999999869999</v>
      </c>
      <c r="GB2">
        <v>445.19999999829997</v>
      </c>
      <c r="GC2">
        <v>450.1</v>
      </c>
      <c r="GD2">
        <v>454.39999999870003</v>
      </c>
      <c r="GE2">
        <v>454.49999999980002</v>
      </c>
      <c r="GF2">
        <v>454.79999999950002</v>
      </c>
      <c r="GG2">
        <v>454.59999999910002</v>
      </c>
      <c r="GH2">
        <v>454.49999999980002</v>
      </c>
      <c r="GI2">
        <v>454.49999999980002</v>
      </c>
      <c r="GJ2">
        <v>454.19999999829997</v>
      </c>
      <c r="GK2">
        <v>454.39999999870003</v>
      </c>
      <c r="GL2">
        <v>454.39999999870003</v>
      </c>
      <c r="GM2">
        <v>454.79999999950002</v>
      </c>
      <c r="GN2">
        <v>454.59999999910002</v>
      </c>
      <c r="GO2">
        <v>454.59999999910002</v>
      </c>
      <c r="GP2">
        <v>454.69999999840002</v>
      </c>
      <c r="GQ2">
        <v>454.79999999950002</v>
      </c>
      <c r="GR2">
        <v>454.59999999910002</v>
      </c>
      <c r="GS2">
        <v>454.69999999840002</v>
      </c>
      <c r="GT2">
        <v>454.19999999829997</v>
      </c>
      <c r="GU2">
        <v>454.69999999840002</v>
      </c>
      <c r="GV2">
        <v>454.59999999910002</v>
      </c>
      <c r="GW2">
        <v>1</v>
      </c>
      <c r="GX2">
        <v>105.2999999993</v>
      </c>
      <c r="GY2">
        <v>101.7999999985</v>
      </c>
      <c r="GZ2">
        <v>101.7999999985</v>
      </c>
      <c r="HA2">
        <v>110.49999999889999</v>
      </c>
      <c r="HB2">
        <v>103.8303506637</v>
      </c>
      <c r="HC2">
        <v>-8.7000000002999993</v>
      </c>
      <c r="HD2">
        <v>454.60004396969998</v>
      </c>
      <c r="HE2">
        <v>312.94062877930003</v>
      </c>
      <c r="HF2">
        <v>85.748686380199999</v>
      </c>
      <c r="HG2">
        <v>454.99999999990001</v>
      </c>
      <c r="HH2">
        <v>454.79993404369998</v>
      </c>
      <c r="HI2">
        <v>454.99999999990001</v>
      </c>
      <c r="HJ2">
        <v>454.79999999950002</v>
      </c>
      <c r="HK2">
        <v>100.87976539589999</v>
      </c>
      <c r="HL2">
        <v>3.7714551161999998</v>
      </c>
      <c r="HM2">
        <v>3.6454476050000002</v>
      </c>
      <c r="HN2">
        <v>3.7182081262</v>
      </c>
      <c r="HO2">
        <v>3.4831836374999998</v>
      </c>
      <c r="HP2">
        <v>3.8125520983999999</v>
      </c>
      <c r="HQ2">
        <v>3.0997744241</v>
      </c>
      <c r="HR2">
        <v>18.081664283399999</v>
      </c>
      <c r="HS2">
        <v>-23.460410557199999</v>
      </c>
      <c r="HT2">
        <v>-160</v>
      </c>
      <c r="HU2">
        <v>416.77097944299999</v>
      </c>
      <c r="HV2">
        <v>84.457478005900001</v>
      </c>
      <c r="HW2">
        <v>576</v>
      </c>
      <c r="HX2">
        <v>18.081664283399999</v>
      </c>
      <c r="HY2">
        <v>-23.460410557199999</v>
      </c>
      <c r="HZ2">
        <v>-160</v>
      </c>
      <c r="IA2">
        <v>416.77097944299999</v>
      </c>
      <c r="IB2">
        <v>84.457478005900001</v>
      </c>
      <c r="IC2">
        <v>576</v>
      </c>
      <c r="ID2">
        <v>38.028954600699997</v>
      </c>
      <c r="IE2">
        <v>0.3012311748</v>
      </c>
      <c r="IF2">
        <v>-32.844574780099997</v>
      </c>
      <c r="IG2">
        <v>-224</v>
      </c>
      <c r="IH2">
        <v>439.76453775840002</v>
      </c>
      <c r="II2">
        <v>93.841642228699996</v>
      </c>
      <c r="IJ2">
        <v>640</v>
      </c>
      <c r="IK2">
        <v>398.68931515960003</v>
      </c>
      <c r="IL2">
        <v>107.91788856300001</v>
      </c>
      <c r="IM2">
        <v>426.73384632279999</v>
      </c>
      <c r="IN2">
        <v>117.3020527859</v>
      </c>
      <c r="IO2">
        <v>7.3000000010999999</v>
      </c>
      <c r="IP2">
        <v>6.6000000005999997</v>
      </c>
      <c r="IQ2">
        <v>10.0999999995</v>
      </c>
      <c r="IR2">
        <v>2.7427426455999999</v>
      </c>
      <c r="IS2">
        <v>2.7427426455999999</v>
      </c>
      <c r="IT2">
        <v>7.7000000001000002</v>
      </c>
      <c r="IU2">
        <v>-28.152492668600001</v>
      </c>
      <c r="IV2">
        <v>12.299999998500001</v>
      </c>
      <c r="IW2">
        <v>63.3431085044</v>
      </c>
      <c r="IX2">
        <v>6.8999999985000002</v>
      </c>
      <c r="IY2">
        <v>96.187683284499997</v>
      </c>
      <c r="IZ2">
        <v>-28.613727687600001</v>
      </c>
      <c r="JA2">
        <v>0.29388528050000001</v>
      </c>
      <c r="JB2">
        <v>-2.0847469999999999E-4</v>
      </c>
      <c r="JC2">
        <v>3.6950000000000002E-7</v>
      </c>
      <c r="JD2">
        <v>0.26514964889999998</v>
      </c>
      <c r="JE2">
        <v>0.22169269350000001</v>
      </c>
      <c r="JF2">
        <v>9.6586851400000007E-2</v>
      </c>
      <c r="JG2">
        <v>103.693488458</v>
      </c>
      <c r="JH2">
        <v>3.8125520983999999</v>
      </c>
      <c r="JI2">
        <v>4.5763156999999999E-3</v>
      </c>
      <c r="JJ2">
        <v>-6.9431900000000002E-5</v>
      </c>
      <c r="JK2">
        <v>3.7714551161999998</v>
      </c>
      <c r="JL2">
        <v>0.91639616479999997</v>
      </c>
      <c r="JM2">
        <v>0.36005799700000002</v>
      </c>
      <c r="JN2" t="s">
        <v>538</v>
      </c>
      <c r="JQ2">
        <v>1</v>
      </c>
    </row>
    <row r="3" spans="1:277">
      <c r="A3" t="s">
        <v>556</v>
      </c>
      <c r="B3" t="s">
        <v>557</v>
      </c>
      <c r="C3" t="s">
        <v>211</v>
      </c>
      <c r="D3">
        <v>3</v>
      </c>
      <c r="E3" t="s">
        <v>212</v>
      </c>
      <c r="F3" t="s">
        <v>213</v>
      </c>
      <c r="G3" t="s">
        <v>537</v>
      </c>
      <c r="H3" t="s">
        <v>215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0</v>
      </c>
      <c r="R3">
        <v>0.39999999899999999</v>
      </c>
      <c r="S3">
        <v>1.0000000002</v>
      </c>
      <c r="T3">
        <v>0.29999999970000002</v>
      </c>
      <c r="U3">
        <v>1.0999999995</v>
      </c>
      <c r="V3">
        <v>1.0999999995</v>
      </c>
      <c r="W3">
        <v>1.2999999999</v>
      </c>
      <c r="X3">
        <v>0.69999999869999996</v>
      </c>
      <c r="Y3">
        <v>0.69999999869999996</v>
      </c>
      <c r="Z3">
        <v>0.50000000010000001</v>
      </c>
      <c r="AA3">
        <v>0.69999999869999996</v>
      </c>
      <c r="AB3">
        <v>1.0000000002</v>
      </c>
      <c r="AC3">
        <v>1.1999999988000001</v>
      </c>
      <c r="AD3">
        <v>1.3999999992000001</v>
      </c>
      <c r="AE3">
        <v>1.4999999985000001</v>
      </c>
      <c r="AF3">
        <v>1.4999999985000001</v>
      </c>
      <c r="AG3">
        <v>1.3999999992000001</v>
      </c>
      <c r="AH3">
        <v>1.2999999999</v>
      </c>
      <c r="AI3">
        <v>1.0999999995</v>
      </c>
      <c r="AJ3">
        <v>1.3999999992000001</v>
      </c>
      <c r="AK3">
        <v>4.7999999987999997</v>
      </c>
      <c r="AL3">
        <v>12.4999999989</v>
      </c>
      <c r="AM3">
        <v>20.599999999800001</v>
      </c>
      <c r="AN3">
        <v>28.9999999986</v>
      </c>
      <c r="AO3">
        <v>36.699999998700001</v>
      </c>
      <c r="AP3">
        <v>44.099999999200001</v>
      </c>
      <c r="AQ3">
        <v>52.299999999400001</v>
      </c>
      <c r="AR3">
        <v>61.499999999800004</v>
      </c>
      <c r="AS3">
        <v>70.499999999799996</v>
      </c>
      <c r="AT3">
        <v>80.099999999199994</v>
      </c>
      <c r="AU3">
        <v>88.299999999400001</v>
      </c>
      <c r="AV3">
        <v>96.599999998900003</v>
      </c>
      <c r="AW3">
        <v>106.09999999910001</v>
      </c>
      <c r="AX3">
        <v>116</v>
      </c>
      <c r="AY3">
        <v>125.0999999993</v>
      </c>
      <c r="AZ3">
        <v>134.79999999980001</v>
      </c>
      <c r="BA3">
        <v>143.19999999859999</v>
      </c>
      <c r="BB3">
        <v>152</v>
      </c>
      <c r="BC3">
        <v>161.5000000002</v>
      </c>
      <c r="BD3">
        <v>170.7999999999</v>
      </c>
      <c r="BE3">
        <v>180.39999999930001</v>
      </c>
      <c r="BF3">
        <v>189.4999999986</v>
      </c>
      <c r="BG3">
        <v>197.99999999849999</v>
      </c>
      <c r="BH3">
        <v>207.09999999959999</v>
      </c>
      <c r="BI3">
        <v>216.8000000001</v>
      </c>
      <c r="BJ3">
        <v>226.09999999990001</v>
      </c>
      <c r="BK3">
        <v>236.10000000010001</v>
      </c>
      <c r="BL3">
        <v>244.3999999996</v>
      </c>
      <c r="BM3">
        <v>252.3000000001</v>
      </c>
      <c r="BN3">
        <v>261.39999999939999</v>
      </c>
      <c r="BO3">
        <v>270.89999999949998</v>
      </c>
      <c r="BP3">
        <v>279.99999999879998</v>
      </c>
      <c r="BQ3">
        <v>289.39999999970001</v>
      </c>
      <c r="BR3">
        <v>297.80000000029997</v>
      </c>
      <c r="BS3">
        <v>306.19999999909999</v>
      </c>
      <c r="BT3">
        <v>315.30000000019999</v>
      </c>
      <c r="BU3">
        <v>323.8000000001</v>
      </c>
      <c r="BV3">
        <v>332.699999999</v>
      </c>
      <c r="BW3">
        <v>340.59999999950003</v>
      </c>
      <c r="BX3">
        <v>349.00000000019998</v>
      </c>
      <c r="BY3">
        <v>356.8999999989</v>
      </c>
      <c r="BZ3">
        <v>365.59999999920001</v>
      </c>
      <c r="CA3">
        <v>373.89999999870003</v>
      </c>
      <c r="CB3">
        <v>382.09999999889999</v>
      </c>
      <c r="CC3">
        <v>389.69999999970003</v>
      </c>
      <c r="CD3">
        <v>397.10000000010001</v>
      </c>
      <c r="CE3">
        <v>404.69999999909999</v>
      </c>
      <c r="CF3">
        <v>412.39999999930001</v>
      </c>
      <c r="CG3">
        <v>420.39999999909998</v>
      </c>
      <c r="CH3">
        <v>427.70000000020002</v>
      </c>
      <c r="CI3">
        <v>435.2999999992</v>
      </c>
      <c r="CJ3">
        <v>440.89999999960003</v>
      </c>
      <c r="CK3">
        <v>445.09999999899998</v>
      </c>
      <c r="CL3">
        <v>449.30000000019999</v>
      </c>
      <c r="CM3">
        <v>454.79999999950002</v>
      </c>
      <c r="CN3">
        <v>459.7999999987</v>
      </c>
      <c r="CO3">
        <v>461.49999999940002</v>
      </c>
      <c r="CP3">
        <v>461.49999999940002</v>
      </c>
      <c r="CQ3">
        <v>461.59999999870001</v>
      </c>
      <c r="CR3">
        <v>461.49999999940002</v>
      </c>
      <c r="CS3">
        <v>461.59999999870001</v>
      </c>
      <c r="CT3">
        <v>461.49999999940002</v>
      </c>
      <c r="CU3">
        <v>461.49999999940002</v>
      </c>
      <c r="CV3">
        <v>461.59999999870001</v>
      </c>
      <c r="CW3">
        <v>461.49999999940002</v>
      </c>
      <c r="CX3">
        <v>461.69999999980001</v>
      </c>
      <c r="CY3">
        <v>461.59999999870001</v>
      </c>
      <c r="CZ3">
        <v>461.40000000010002</v>
      </c>
      <c r="DA3">
        <v>461.49999999940002</v>
      </c>
      <c r="DB3">
        <v>461.40000000010002</v>
      </c>
      <c r="DC3">
        <v>461.49999999940002</v>
      </c>
      <c r="DD3">
        <v>461.69999999980001</v>
      </c>
      <c r="DE3">
        <v>461.59999999870001</v>
      </c>
      <c r="DF3">
        <v>461.59999999870001</v>
      </c>
      <c r="DG3">
        <v>0.50000000010000001</v>
      </c>
      <c r="DH3">
        <v>1.6999999989000001</v>
      </c>
      <c r="DI3">
        <v>2.0999999997000001</v>
      </c>
      <c r="DJ3">
        <v>1.8</v>
      </c>
      <c r="DK3">
        <v>1.6999999989000001</v>
      </c>
      <c r="DL3">
        <v>1.5999999996000001</v>
      </c>
      <c r="DM3">
        <v>1.4999999985000001</v>
      </c>
      <c r="DN3">
        <v>1.6999999989000001</v>
      </c>
      <c r="DO3">
        <v>1.8</v>
      </c>
      <c r="DP3">
        <v>2.0999999997000001</v>
      </c>
      <c r="DQ3">
        <v>1.9999999986000001</v>
      </c>
      <c r="DR3">
        <v>1.8999999993000001</v>
      </c>
      <c r="DS3">
        <v>1.5999999996000001</v>
      </c>
      <c r="DT3">
        <v>1.5999999996000001</v>
      </c>
      <c r="DU3">
        <v>1.4999999985000001</v>
      </c>
      <c r="DV3">
        <v>1.4999999985000001</v>
      </c>
      <c r="DW3">
        <v>1.9999999986000001</v>
      </c>
      <c r="DX3">
        <v>1.9999999986000001</v>
      </c>
      <c r="DY3">
        <v>2.1999999990000001</v>
      </c>
      <c r="DZ3">
        <v>5.5999999986000004</v>
      </c>
      <c r="EA3">
        <v>13.6000000002</v>
      </c>
      <c r="EB3">
        <v>21.0999999999</v>
      </c>
      <c r="EC3">
        <v>29.800000000299999</v>
      </c>
      <c r="ED3">
        <v>37.099999999600001</v>
      </c>
      <c r="EE3">
        <v>44.899999999000002</v>
      </c>
      <c r="EF3">
        <v>53.5</v>
      </c>
      <c r="EG3">
        <v>62.3999999989</v>
      </c>
      <c r="EH3">
        <v>70.899999998799998</v>
      </c>
      <c r="EI3">
        <v>80.199999998500004</v>
      </c>
      <c r="EJ3">
        <v>88.200000000100005</v>
      </c>
      <c r="EK3">
        <v>95.999999999500005</v>
      </c>
      <c r="EL3">
        <v>105.0999999989</v>
      </c>
      <c r="EM3">
        <v>114.9999999998</v>
      </c>
      <c r="EN3">
        <v>125.29999999970001</v>
      </c>
      <c r="EO3">
        <v>135.0999999995</v>
      </c>
      <c r="EP3">
        <v>143.39999999899999</v>
      </c>
      <c r="EQ3">
        <v>151.7999999996</v>
      </c>
      <c r="ER3">
        <v>161.09999999940001</v>
      </c>
      <c r="ES3">
        <v>170.5000000002</v>
      </c>
      <c r="ET3">
        <v>180.8000000001</v>
      </c>
      <c r="EU3">
        <v>189.699999999</v>
      </c>
      <c r="EV3">
        <v>198.39999999930001</v>
      </c>
      <c r="EW3">
        <v>207.89999999939999</v>
      </c>
      <c r="EX3">
        <v>217.39999999950001</v>
      </c>
      <c r="EY3">
        <v>226.7999999985</v>
      </c>
      <c r="EZ3">
        <v>236.4999999991</v>
      </c>
      <c r="FA3">
        <v>245.19999999940001</v>
      </c>
      <c r="FB3">
        <v>253.6</v>
      </c>
      <c r="FC3">
        <v>263.3999999998</v>
      </c>
      <c r="FD3">
        <v>272.6000000002</v>
      </c>
      <c r="FE3">
        <v>282.79999999900002</v>
      </c>
      <c r="FF3">
        <v>291.59999999870001</v>
      </c>
      <c r="FG3">
        <v>299.49999999919999</v>
      </c>
      <c r="FH3">
        <v>308.29999999879999</v>
      </c>
      <c r="FI3">
        <v>317.19999999949999</v>
      </c>
      <c r="FJ3">
        <v>326.69999999959998</v>
      </c>
      <c r="FK3">
        <v>335.69999999959998</v>
      </c>
      <c r="FL3">
        <v>344.49999999919999</v>
      </c>
      <c r="FM3">
        <v>351.99999999900001</v>
      </c>
      <c r="FN3">
        <v>360.6</v>
      </c>
      <c r="FO3">
        <v>368.99999999879998</v>
      </c>
      <c r="FP3">
        <v>377.39999999939999</v>
      </c>
      <c r="FQ3">
        <v>385.59999999960002</v>
      </c>
      <c r="FR3">
        <v>393.0999999993</v>
      </c>
      <c r="FS3">
        <v>400.89999999870003</v>
      </c>
      <c r="FT3">
        <v>408.5999999988</v>
      </c>
      <c r="FU3">
        <v>416.49999999940002</v>
      </c>
      <c r="FV3">
        <v>424.1000000002</v>
      </c>
      <c r="FW3">
        <v>431.49999999879998</v>
      </c>
      <c r="FX3">
        <v>438.19999999869998</v>
      </c>
      <c r="FY3">
        <v>442.49999999919999</v>
      </c>
      <c r="FZ3">
        <v>446.1999999985</v>
      </c>
      <c r="GA3">
        <v>450.7999999987</v>
      </c>
      <c r="GB3">
        <v>455.69999999859999</v>
      </c>
      <c r="GC3">
        <v>460.19999999949999</v>
      </c>
      <c r="GD3">
        <v>461.40000000010002</v>
      </c>
      <c r="GE3">
        <v>461.40000000010002</v>
      </c>
      <c r="GF3">
        <v>461.49999999940002</v>
      </c>
      <c r="GG3">
        <v>461.49999999940002</v>
      </c>
      <c r="GH3">
        <v>461.49999999940002</v>
      </c>
      <c r="GI3">
        <v>461.49999999940002</v>
      </c>
      <c r="GJ3">
        <v>461.29999999900002</v>
      </c>
      <c r="GK3">
        <v>461.29999999900002</v>
      </c>
      <c r="GL3">
        <v>461.40000000010002</v>
      </c>
      <c r="GM3">
        <v>461.59999999870001</v>
      </c>
      <c r="GN3">
        <v>461.59999999870001</v>
      </c>
      <c r="GO3">
        <v>461.49999999940002</v>
      </c>
      <c r="GP3">
        <v>461.40000000010002</v>
      </c>
      <c r="GQ3">
        <v>461.40000000010002</v>
      </c>
      <c r="GR3">
        <v>461.29999999900002</v>
      </c>
      <c r="GS3">
        <v>461.40000000010002</v>
      </c>
      <c r="GT3">
        <v>461.29999999900002</v>
      </c>
      <c r="GU3">
        <v>461.40000000010002</v>
      </c>
      <c r="GV3">
        <v>461.49999999940002</v>
      </c>
      <c r="GW3">
        <v>1</v>
      </c>
      <c r="GX3">
        <v>109.2000000008</v>
      </c>
      <c r="GY3">
        <v>106.09999999910001</v>
      </c>
      <c r="GZ3">
        <v>106.09999999910001</v>
      </c>
      <c r="HA3">
        <v>114.9999999998</v>
      </c>
      <c r="HB3">
        <v>108.2312574453</v>
      </c>
      <c r="HC3">
        <v>-8.9000000007000004</v>
      </c>
      <c r="HD3">
        <v>461.50002166090002</v>
      </c>
      <c r="HE3">
        <v>306.96387956249998</v>
      </c>
      <c r="HF3">
        <v>87.129058810199993</v>
      </c>
      <c r="HG3">
        <v>461.69999999980001</v>
      </c>
      <c r="HH3">
        <v>461.59999999870001</v>
      </c>
      <c r="HI3">
        <v>461.69999999980001</v>
      </c>
      <c r="HJ3">
        <v>461.59999999870001</v>
      </c>
      <c r="HK3">
        <v>100.87976539589999</v>
      </c>
      <c r="HL3">
        <v>3.8997880302999999</v>
      </c>
      <c r="HM3">
        <v>3.7808690449000002</v>
      </c>
      <c r="HN3">
        <v>3.8303274514000001</v>
      </c>
      <c r="HO3">
        <v>3.5616542535</v>
      </c>
      <c r="HP3">
        <v>3.9263515217</v>
      </c>
      <c r="HQ3">
        <v>3.2644320046000002</v>
      </c>
      <c r="HR3">
        <v>21.102198635200001</v>
      </c>
      <c r="HS3">
        <v>-23.460410557199999</v>
      </c>
      <c r="HT3">
        <v>-160</v>
      </c>
      <c r="HU3">
        <v>415.19513700789997</v>
      </c>
      <c r="HV3">
        <v>79.765395894400001</v>
      </c>
      <c r="HW3">
        <v>544</v>
      </c>
      <c r="HX3">
        <v>21.102198635200001</v>
      </c>
      <c r="HY3">
        <v>-23.460410557199999</v>
      </c>
      <c r="HZ3">
        <v>-160</v>
      </c>
      <c r="IA3">
        <v>415.19513700789997</v>
      </c>
      <c r="IB3">
        <v>79.765395894400001</v>
      </c>
      <c r="IC3">
        <v>544</v>
      </c>
      <c r="ID3">
        <v>46.404862990799998</v>
      </c>
      <c r="IE3">
        <v>1.1039315493999999</v>
      </c>
      <c r="IF3">
        <v>-32.844574780099997</v>
      </c>
      <c r="IG3">
        <v>-224</v>
      </c>
      <c r="IH3">
        <v>442.14518574599998</v>
      </c>
      <c r="II3">
        <v>89.149560117299998</v>
      </c>
      <c r="IJ3">
        <v>608</v>
      </c>
      <c r="IK3">
        <v>394.09293837270002</v>
      </c>
      <c r="IL3">
        <v>103.22580645159999</v>
      </c>
      <c r="IM3">
        <v>425.66625148920002</v>
      </c>
      <c r="IN3">
        <v>112.6099706745</v>
      </c>
      <c r="IO3">
        <v>8.1000000008999997</v>
      </c>
      <c r="IP3">
        <v>7.5999999989999996</v>
      </c>
      <c r="IQ3">
        <v>10.299999999900001</v>
      </c>
      <c r="IR3">
        <v>2.7447823713999999</v>
      </c>
      <c r="IS3">
        <v>2.7447823713999999</v>
      </c>
      <c r="IT3">
        <v>8.8000000014000008</v>
      </c>
      <c r="IU3">
        <v>-28.152492668600001</v>
      </c>
      <c r="IV3">
        <v>12.0999999999</v>
      </c>
      <c r="IW3">
        <v>65.689149560100006</v>
      </c>
      <c r="IX3">
        <v>10.4999999985</v>
      </c>
      <c r="IY3">
        <v>86.803519061599999</v>
      </c>
      <c r="IZ3">
        <v>-29.221071340600002</v>
      </c>
      <c r="JA3">
        <v>0.2875172748</v>
      </c>
      <c r="JB3">
        <v>-2.0742859999999999E-4</v>
      </c>
      <c r="JC3">
        <v>3.5390000000000001E-7</v>
      </c>
      <c r="JD3">
        <v>0.2564241934</v>
      </c>
      <c r="JE3">
        <v>0.28748430930000002</v>
      </c>
      <c r="JF3">
        <v>0.1277490245</v>
      </c>
      <c r="JG3">
        <v>108.64448990690001</v>
      </c>
      <c r="JH3">
        <v>3.9263515217</v>
      </c>
      <c r="JI3">
        <v>5.0631162000000004E-3</v>
      </c>
      <c r="JJ3">
        <v>-7.6994800000000004E-5</v>
      </c>
      <c r="JK3">
        <v>3.8997880302999999</v>
      </c>
      <c r="JL3">
        <v>1.0394466406</v>
      </c>
      <c r="JM3">
        <v>0.47042382020000001</v>
      </c>
      <c r="JN3" t="s">
        <v>538</v>
      </c>
      <c r="JQ3">
        <v>1</v>
      </c>
    </row>
    <row r="4" spans="1:277">
      <c r="A4" t="s">
        <v>568</v>
      </c>
      <c r="B4" t="s">
        <v>569</v>
      </c>
      <c r="C4" t="s">
        <v>211</v>
      </c>
      <c r="D4">
        <v>3</v>
      </c>
      <c r="E4" t="s">
        <v>212</v>
      </c>
      <c r="F4" t="s">
        <v>213</v>
      </c>
      <c r="G4" t="s">
        <v>537</v>
      </c>
      <c r="H4" t="s">
        <v>215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9.9999999300000003E-2</v>
      </c>
      <c r="R4">
        <v>0.7000000005</v>
      </c>
      <c r="S4">
        <v>0.90000000089999999</v>
      </c>
      <c r="T4">
        <v>0.7000000005</v>
      </c>
      <c r="U4">
        <v>0.79999999980000003</v>
      </c>
      <c r="V4">
        <v>0.90000000089999999</v>
      </c>
      <c r="W4">
        <v>0.79999999980000003</v>
      </c>
      <c r="X4">
        <v>0.90000000089999999</v>
      </c>
      <c r="Y4">
        <v>1.0000000002</v>
      </c>
      <c r="Z4">
        <v>1.2999999999</v>
      </c>
      <c r="AA4">
        <v>1.2999999999</v>
      </c>
      <c r="AB4">
        <v>1.2999999999</v>
      </c>
      <c r="AC4">
        <v>1.3999999992000001</v>
      </c>
      <c r="AD4">
        <v>1.2000000006</v>
      </c>
      <c r="AE4">
        <v>1.0999999995</v>
      </c>
      <c r="AF4">
        <v>1.0999999995</v>
      </c>
      <c r="AG4">
        <v>1.0000000002</v>
      </c>
      <c r="AH4">
        <v>1.2000000006</v>
      </c>
      <c r="AI4">
        <v>1.2999999999</v>
      </c>
      <c r="AJ4">
        <v>1.3999999992000001</v>
      </c>
      <c r="AK4">
        <v>6.1000000004999997</v>
      </c>
      <c r="AL4">
        <v>13.4999999991</v>
      </c>
      <c r="AM4">
        <v>20.699999999100001</v>
      </c>
      <c r="AN4">
        <v>28.8</v>
      </c>
      <c r="AO4">
        <v>36.899999999199999</v>
      </c>
      <c r="AP4">
        <v>44.700000000400003</v>
      </c>
      <c r="AQ4">
        <v>53.5</v>
      </c>
      <c r="AR4">
        <v>62.799999999699999</v>
      </c>
      <c r="AS4">
        <v>71.200000000299994</v>
      </c>
      <c r="AT4">
        <v>79.900000000600002</v>
      </c>
      <c r="AU4">
        <v>88.499999999799996</v>
      </c>
      <c r="AV4">
        <v>96.799999999299999</v>
      </c>
      <c r="AW4">
        <v>106.70000000029999</v>
      </c>
      <c r="AX4">
        <v>117.0999999995</v>
      </c>
      <c r="AY4">
        <v>126.0999999995</v>
      </c>
      <c r="AZ4">
        <v>135.2000000006</v>
      </c>
      <c r="BA4">
        <v>143.50000000009999</v>
      </c>
      <c r="BB4">
        <v>152.50000000009999</v>
      </c>
      <c r="BC4">
        <v>162.39999999930001</v>
      </c>
      <c r="BD4">
        <v>171.89999999939999</v>
      </c>
      <c r="BE4">
        <v>180.5999999997</v>
      </c>
      <c r="BF4">
        <v>190.00000000049999</v>
      </c>
      <c r="BG4">
        <v>198.39999999930001</v>
      </c>
      <c r="BH4">
        <v>207.89999999939999</v>
      </c>
      <c r="BI4">
        <v>217.39999999950001</v>
      </c>
      <c r="BJ4">
        <v>226.1999999992</v>
      </c>
      <c r="BK4">
        <v>235.3000000003</v>
      </c>
      <c r="BL4">
        <v>243.89999999950001</v>
      </c>
      <c r="BM4">
        <v>252.89999999950001</v>
      </c>
      <c r="BN4">
        <v>262.09999999989998</v>
      </c>
      <c r="BO4">
        <v>271.69999999930002</v>
      </c>
      <c r="BP4">
        <v>280.19999999919997</v>
      </c>
      <c r="BQ4">
        <v>289.39999999970001</v>
      </c>
      <c r="BR4">
        <v>297.50000000059998</v>
      </c>
      <c r="BS4">
        <v>305.89999999939999</v>
      </c>
      <c r="BT4">
        <v>314.5999999997</v>
      </c>
      <c r="BU4">
        <v>323.50000000040001</v>
      </c>
      <c r="BV4">
        <v>331.79999999990002</v>
      </c>
      <c r="BW4">
        <v>340.09999999939998</v>
      </c>
      <c r="BX4">
        <v>348.09999999920001</v>
      </c>
      <c r="BY4">
        <v>355.90000000049997</v>
      </c>
      <c r="BZ4">
        <v>364.29999999929998</v>
      </c>
      <c r="CA4">
        <v>372.9000000003</v>
      </c>
      <c r="CB4">
        <v>380.60000000039997</v>
      </c>
      <c r="CC4">
        <v>388.3999999998</v>
      </c>
      <c r="CD4">
        <v>396.00000000059998</v>
      </c>
      <c r="CE4">
        <v>403.00000000019998</v>
      </c>
      <c r="CF4">
        <v>410.7000000004</v>
      </c>
      <c r="CG4">
        <v>418.49999999980002</v>
      </c>
      <c r="CH4">
        <v>426.1999999999</v>
      </c>
      <c r="CI4">
        <v>433.30000000059999</v>
      </c>
      <c r="CJ4">
        <v>440.59999999989998</v>
      </c>
      <c r="CK4">
        <v>447.00000000009999</v>
      </c>
      <c r="CL4">
        <v>452.49999999940002</v>
      </c>
      <c r="CM4">
        <v>458.00000000049999</v>
      </c>
      <c r="CN4">
        <v>460.99999999929997</v>
      </c>
      <c r="CO4">
        <v>461.49999999940002</v>
      </c>
      <c r="CP4">
        <v>461.40000000010002</v>
      </c>
      <c r="CQ4">
        <v>461.49999999940002</v>
      </c>
      <c r="CR4">
        <v>461.60000000050002</v>
      </c>
      <c r="CS4">
        <v>461.49999999940002</v>
      </c>
      <c r="CT4">
        <v>461.60000000050002</v>
      </c>
      <c r="CU4">
        <v>461.90000000020001</v>
      </c>
      <c r="CV4">
        <v>461.79999999910001</v>
      </c>
      <c r="CW4">
        <v>462.10000000060001</v>
      </c>
      <c r="CX4">
        <v>461.79999999910001</v>
      </c>
      <c r="CY4">
        <v>461.60000000050002</v>
      </c>
      <c r="CZ4">
        <v>461.79999999910001</v>
      </c>
      <c r="DA4">
        <v>461.49999999940002</v>
      </c>
      <c r="DB4">
        <v>461.49999999940002</v>
      </c>
      <c r="DC4">
        <v>461.49999999940002</v>
      </c>
      <c r="DD4">
        <v>461.40000000010002</v>
      </c>
      <c r="DE4">
        <v>461.30000000080003</v>
      </c>
      <c r="DF4">
        <v>461.19999999970003</v>
      </c>
      <c r="DG4">
        <v>0</v>
      </c>
      <c r="DH4">
        <v>1.0000000002</v>
      </c>
      <c r="DI4">
        <v>1.0999999995</v>
      </c>
      <c r="DJ4">
        <v>1.0999999995</v>
      </c>
      <c r="DK4">
        <v>1.2000000006</v>
      </c>
      <c r="DL4">
        <v>1.2000000006</v>
      </c>
      <c r="DM4">
        <v>1.0999999995</v>
      </c>
      <c r="DN4">
        <v>1.2999999999</v>
      </c>
      <c r="DO4">
        <v>1.0999999995</v>
      </c>
      <c r="DP4">
        <v>1.0999999995</v>
      </c>
      <c r="DQ4">
        <v>1.2999999999</v>
      </c>
      <c r="DR4">
        <v>1.3999999992000001</v>
      </c>
      <c r="DS4">
        <v>1.3999999992000001</v>
      </c>
      <c r="DT4">
        <v>1.3999999992000001</v>
      </c>
      <c r="DU4">
        <v>1.3999999992000001</v>
      </c>
      <c r="DV4">
        <v>1.2000000006</v>
      </c>
      <c r="DW4">
        <v>1.2999999999</v>
      </c>
      <c r="DX4">
        <v>1.2000000006</v>
      </c>
      <c r="DY4">
        <v>1.2999999999</v>
      </c>
      <c r="DZ4">
        <v>5.9999999994</v>
      </c>
      <c r="EA4">
        <v>13.8999999999</v>
      </c>
      <c r="EB4">
        <v>21.0999999999</v>
      </c>
      <c r="EC4">
        <v>29.399999999399999</v>
      </c>
      <c r="ED4">
        <v>37.000000000299998</v>
      </c>
      <c r="EE4">
        <v>45.000000000100002</v>
      </c>
      <c r="EF4">
        <v>53.299999999599997</v>
      </c>
      <c r="EG4">
        <v>62.200000000300001</v>
      </c>
      <c r="EH4">
        <v>70.799999999500002</v>
      </c>
      <c r="EI4">
        <v>79.200000000100005</v>
      </c>
      <c r="EJ4">
        <v>87.600000000700007</v>
      </c>
      <c r="EK4">
        <v>96.100000000700007</v>
      </c>
      <c r="EL4">
        <v>105.4000000004</v>
      </c>
      <c r="EM4">
        <v>115.4999999999</v>
      </c>
      <c r="EN4">
        <v>125</v>
      </c>
      <c r="EO4">
        <v>134.2000000004</v>
      </c>
      <c r="EP4">
        <v>142.59999999920001</v>
      </c>
      <c r="EQ4">
        <v>151.29999999949999</v>
      </c>
      <c r="ER4">
        <v>161.29999999980001</v>
      </c>
      <c r="ES4">
        <v>170.7000000006</v>
      </c>
      <c r="ET4">
        <v>179.89999999919999</v>
      </c>
      <c r="EU4">
        <v>189.3</v>
      </c>
      <c r="EV4">
        <v>198.00000000029999</v>
      </c>
      <c r="EW4">
        <v>207.20000000069999</v>
      </c>
      <c r="EX4">
        <v>217.00000000060001</v>
      </c>
      <c r="EY4">
        <v>226.1999999992</v>
      </c>
      <c r="EZ4">
        <v>235.1999999992</v>
      </c>
      <c r="FA4">
        <v>244.1999999992</v>
      </c>
      <c r="FB4">
        <v>253.09999999990001</v>
      </c>
      <c r="FC4">
        <v>262.30000000029997</v>
      </c>
      <c r="FD4">
        <v>272.19999999940001</v>
      </c>
      <c r="FE4">
        <v>281.1000000002</v>
      </c>
      <c r="FF4">
        <v>290.49999999919999</v>
      </c>
      <c r="FG4">
        <v>298.39999999970001</v>
      </c>
      <c r="FH4">
        <v>307.19999999930002</v>
      </c>
      <c r="FI4">
        <v>316.30000000040002</v>
      </c>
      <c r="FJ4">
        <v>325.00000000070003</v>
      </c>
      <c r="FK4">
        <v>333.30000000019999</v>
      </c>
      <c r="FL4">
        <v>342.19999999909999</v>
      </c>
      <c r="FM4">
        <v>349.89999999930001</v>
      </c>
      <c r="FN4">
        <v>358.20000000060003</v>
      </c>
      <c r="FO4">
        <v>367.00000000019998</v>
      </c>
      <c r="FP4">
        <v>375.70000000049998</v>
      </c>
      <c r="FQ4">
        <v>383.20000000020002</v>
      </c>
      <c r="FR4">
        <v>391.49999999969998</v>
      </c>
      <c r="FS4">
        <v>398.49999999929997</v>
      </c>
      <c r="FT4">
        <v>406.1000000002</v>
      </c>
      <c r="FU4">
        <v>413.80000000029997</v>
      </c>
      <c r="FV4">
        <v>422.09999999979999</v>
      </c>
      <c r="FW4">
        <v>429.20000000049998</v>
      </c>
      <c r="FX4">
        <v>435.99999999969998</v>
      </c>
      <c r="FY4">
        <v>442.80000000069998</v>
      </c>
      <c r="FZ4">
        <v>448.5999999997</v>
      </c>
      <c r="GA4">
        <v>453.2999999992</v>
      </c>
      <c r="GB4">
        <v>458.50000000059998</v>
      </c>
      <c r="GC4">
        <v>461.10000000039997</v>
      </c>
      <c r="GD4">
        <v>461.19999999970003</v>
      </c>
      <c r="GE4">
        <v>461.19999999970003</v>
      </c>
      <c r="GF4">
        <v>461.30000000080003</v>
      </c>
      <c r="GG4">
        <v>461.40000000010002</v>
      </c>
      <c r="GH4">
        <v>461.10000000039997</v>
      </c>
      <c r="GI4">
        <v>461.30000000080003</v>
      </c>
      <c r="GJ4">
        <v>460.9</v>
      </c>
      <c r="GK4">
        <v>461.10000000039997</v>
      </c>
      <c r="GL4">
        <v>461.10000000039997</v>
      </c>
      <c r="GM4">
        <v>461.30000000080003</v>
      </c>
      <c r="GN4">
        <v>461.30000000080003</v>
      </c>
      <c r="GO4">
        <v>461.40000000010002</v>
      </c>
      <c r="GP4">
        <v>461.40000000010002</v>
      </c>
      <c r="GQ4">
        <v>461.30000000080003</v>
      </c>
      <c r="GR4">
        <v>461.30000000080003</v>
      </c>
      <c r="GS4">
        <v>460.9</v>
      </c>
      <c r="GT4">
        <v>460.99999999929997</v>
      </c>
      <c r="GU4">
        <v>460.99999999929997</v>
      </c>
      <c r="GV4">
        <v>460.99999999929997</v>
      </c>
      <c r="GW4">
        <v>1</v>
      </c>
      <c r="GX4">
        <v>110.09999999990001</v>
      </c>
      <c r="GY4">
        <v>106.70000000029999</v>
      </c>
      <c r="GZ4">
        <v>106.70000000029999</v>
      </c>
      <c r="HA4">
        <v>115.4999999999</v>
      </c>
      <c r="HB4">
        <v>108.8175655189</v>
      </c>
      <c r="HC4">
        <v>-8.7999999996000007</v>
      </c>
      <c r="HD4">
        <v>461.00025990839998</v>
      </c>
      <c r="HE4">
        <v>319.50525232860002</v>
      </c>
      <c r="HF4">
        <v>87.645538229300001</v>
      </c>
      <c r="HG4">
        <v>462.10000000060001</v>
      </c>
      <c r="HH4">
        <v>461.40008663650002</v>
      </c>
      <c r="HI4">
        <v>462.10000000060001</v>
      </c>
      <c r="HJ4">
        <v>461.40000000010002</v>
      </c>
      <c r="HK4">
        <v>98.533724340199996</v>
      </c>
      <c r="HL4">
        <v>3.8519796012</v>
      </c>
      <c r="HM4">
        <v>3.7399435968999999</v>
      </c>
      <c r="HN4">
        <v>3.7884079258000001</v>
      </c>
      <c r="HO4">
        <v>3.6133882338999999</v>
      </c>
      <c r="HP4">
        <v>3.9218211166999999</v>
      </c>
      <c r="HQ4">
        <v>3.1274925406</v>
      </c>
      <c r="HR4">
        <v>21.172027289599999</v>
      </c>
      <c r="HS4">
        <v>-23.460410557199999</v>
      </c>
      <c r="HT4">
        <v>-160</v>
      </c>
      <c r="HU4">
        <v>428.3228178475</v>
      </c>
      <c r="HV4">
        <v>84.457478005900001</v>
      </c>
      <c r="HW4">
        <v>576</v>
      </c>
      <c r="HX4">
        <v>21.172027289599999</v>
      </c>
      <c r="HY4">
        <v>-23.460410557199999</v>
      </c>
      <c r="HZ4">
        <v>-160</v>
      </c>
      <c r="IA4">
        <v>428.3228178475</v>
      </c>
      <c r="IB4">
        <v>84.457478005900001</v>
      </c>
      <c r="IC4">
        <v>576</v>
      </c>
      <c r="ID4">
        <v>33.077268789000001</v>
      </c>
      <c r="IE4">
        <v>1.2999999999</v>
      </c>
      <c r="IF4">
        <v>-32.844574780099997</v>
      </c>
      <c r="IG4">
        <v>-224</v>
      </c>
      <c r="IH4">
        <v>453.14239765999997</v>
      </c>
      <c r="II4">
        <v>93.841642228699996</v>
      </c>
      <c r="IJ4">
        <v>640</v>
      </c>
      <c r="IK4">
        <v>407.1507905579</v>
      </c>
      <c r="IL4">
        <v>107.91788856300001</v>
      </c>
      <c r="IM4">
        <v>436.04443361509999</v>
      </c>
      <c r="IN4">
        <v>117.3020527859</v>
      </c>
      <c r="IO4">
        <v>7.9000000005000004</v>
      </c>
      <c r="IP4">
        <v>6.8000000009999999</v>
      </c>
      <c r="IQ4">
        <v>10.3999999992</v>
      </c>
      <c r="IR4">
        <v>3.1587323410999999</v>
      </c>
      <c r="IS4">
        <v>3.1587323410999999</v>
      </c>
      <c r="IT4">
        <v>7.7999999993999998</v>
      </c>
      <c r="IU4">
        <v>-28.152492668600001</v>
      </c>
      <c r="IV4">
        <v>11.4000000012</v>
      </c>
      <c r="IW4">
        <v>68.035190615800005</v>
      </c>
      <c r="IX4">
        <v>7.9999999998</v>
      </c>
      <c r="IY4">
        <v>91.495601172999997</v>
      </c>
      <c r="IZ4">
        <v>-29.220764815300001</v>
      </c>
      <c r="JA4">
        <v>0.28502256570000001</v>
      </c>
      <c r="JB4">
        <v>-1.9344450000000001E-4</v>
      </c>
      <c r="JC4">
        <v>3.4470000000000001E-7</v>
      </c>
      <c r="JD4">
        <v>0.25960677459999998</v>
      </c>
      <c r="JE4">
        <v>0.30034597210000002</v>
      </c>
      <c r="JF4">
        <v>0.1124975765</v>
      </c>
      <c r="JG4">
        <v>109.1704195506</v>
      </c>
      <c r="JH4">
        <v>3.9218211166999999</v>
      </c>
      <c r="JI4">
        <v>4.1221690000000002E-3</v>
      </c>
      <c r="JJ4">
        <v>-6.9658000000000003E-5</v>
      </c>
      <c r="JK4">
        <v>3.8519796012</v>
      </c>
      <c r="JL4">
        <v>1.3100828007</v>
      </c>
      <c r="JM4">
        <v>0.44744046500000001</v>
      </c>
      <c r="JN4" t="s">
        <v>538</v>
      </c>
      <c r="JQ4">
        <v>1</v>
      </c>
    </row>
    <row r="5" spans="1:277">
      <c r="A5" t="s">
        <v>572</v>
      </c>
      <c r="B5" t="s">
        <v>573</v>
      </c>
      <c r="C5" t="s">
        <v>211</v>
      </c>
      <c r="D5">
        <v>3</v>
      </c>
      <c r="E5" t="s">
        <v>212</v>
      </c>
      <c r="F5" t="s">
        <v>213</v>
      </c>
      <c r="G5" t="s">
        <v>537</v>
      </c>
      <c r="H5" t="s">
        <v>215</v>
      </c>
      <c r="J5" t="s">
        <v>560</v>
      </c>
      <c r="K5" t="s">
        <v>561</v>
      </c>
      <c r="L5" t="s">
        <v>562</v>
      </c>
      <c r="M5" t="s">
        <v>563</v>
      </c>
      <c r="N5" t="s">
        <v>564</v>
      </c>
      <c r="O5">
        <v>0</v>
      </c>
      <c r="P5">
        <v>0</v>
      </c>
      <c r="Q5">
        <v>0</v>
      </c>
      <c r="R5">
        <v>0.20000000039999999</v>
      </c>
      <c r="S5">
        <v>0.20000000039999999</v>
      </c>
      <c r="T5">
        <v>0.50000000010000001</v>
      </c>
      <c r="U5">
        <v>0.20000000039999999</v>
      </c>
      <c r="V5">
        <v>0.40000000079999998</v>
      </c>
      <c r="W5">
        <v>0.1000000011</v>
      </c>
      <c r="X5">
        <v>0.20000000039999999</v>
      </c>
      <c r="Y5">
        <v>0.1000000011</v>
      </c>
      <c r="Z5">
        <v>0.29999999970000002</v>
      </c>
      <c r="AA5">
        <v>0.40000000079999998</v>
      </c>
      <c r="AB5">
        <v>0.40000000079999998</v>
      </c>
      <c r="AC5">
        <v>0.40000000079999998</v>
      </c>
      <c r="AD5">
        <v>0.29999999970000002</v>
      </c>
      <c r="AE5">
        <v>0.50000000010000001</v>
      </c>
      <c r="AF5">
        <v>0.50000000010000001</v>
      </c>
      <c r="AG5">
        <v>0.50000000010000001</v>
      </c>
      <c r="AH5">
        <v>0.59999999940000004</v>
      </c>
      <c r="AI5">
        <v>0.29999999970000002</v>
      </c>
      <c r="AJ5">
        <v>0.50000000010000001</v>
      </c>
      <c r="AK5">
        <v>1.2999999999</v>
      </c>
      <c r="AL5">
        <v>4.6000000001999997</v>
      </c>
      <c r="AM5">
        <v>11.800000000200001</v>
      </c>
      <c r="AN5">
        <v>19.700000000700001</v>
      </c>
      <c r="AO5">
        <v>27.200000000399999</v>
      </c>
      <c r="AP5">
        <v>35.200000000300001</v>
      </c>
      <c r="AQ5">
        <v>42.999999999700002</v>
      </c>
      <c r="AR5">
        <v>51.4999999996</v>
      </c>
      <c r="AS5">
        <v>60.199999999900001</v>
      </c>
      <c r="AT5">
        <v>68.900000000199995</v>
      </c>
      <c r="AU5">
        <v>77.499999999400004</v>
      </c>
      <c r="AV5">
        <v>86.400000000099993</v>
      </c>
      <c r="AW5">
        <v>94.4</v>
      </c>
      <c r="AX5">
        <v>103.3000000007</v>
      </c>
      <c r="AY5">
        <v>112.8000000008</v>
      </c>
      <c r="AZ5">
        <v>121.6000000004</v>
      </c>
      <c r="BA5">
        <v>130.19999999960001</v>
      </c>
      <c r="BB5">
        <v>139.19999999960001</v>
      </c>
      <c r="BC5">
        <v>147.89999999989999</v>
      </c>
      <c r="BD5">
        <v>156.9</v>
      </c>
      <c r="BE5">
        <v>166.3000000008</v>
      </c>
      <c r="BF5">
        <v>175.40000000009999</v>
      </c>
      <c r="BG5">
        <v>184.60000000049999</v>
      </c>
      <c r="BH5">
        <v>193.00000000110001</v>
      </c>
      <c r="BI5">
        <v>201.9</v>
      </c>
      <c r="BJ5">
        <v>211.1000000004</v>
      </c>
      <c r="BK5">
        <v>220.30000000090001</v>
      </c>
      <c r="BL5">
        <v>229.30000000090001</v>
      </c>
      <c r="BM5">
        <v>238.49999999950001</v>
      </c>
      <c r="BN5">
        <v>247.10000000049999</v>
      </c>
      <c r="BO5">
        <v>255.6999999997</v>
      </c>
      <c r="BP5">
        <v>264.80000000080003</v>
      </c>
      <c r="BQ5">
        <v>273.69999999970003</v>
      </c>
      <c r="BR5">
        <v>282.40000000010002</v>
      </c>
      <c r="BS5">
        <v>291.10000000039997</v>
      </c>
      <c r="BT5">
        <v>299.60000000029999</v>
      </c>
      <c r="BU5">
        <v>307.8999999998</v>
      </c>
      <c r="BV5">
        <v>316.60000000010001</v>
      </c>
      <c r="BW5">
        <v>325.20000000110002</v>
      </c>
      <c r="BX5">
        <v>333.80000000029997</v>
      </c>
      <c r="BY5">
        <v>341.5999999997</v>
      </c>
      <c r="BZ5">
        <v>349.59999999960002</v>
      </c>
      <c r="CA5">
        <v>357.70000000049998</v>
      </c>
      <c r="CB5">
        <v>365.7999999996</v>
      </c>
      <c r="CC5">
        <v>373.80000000119998</v>
      </c>
      <c r="CD5">
        <v>381.49999999950001</v>
      </c>
      <c r="CE5">
        <v>389.19999999959998</v>
      </c>
      <c r="CF5">
        <v>396.89999999970001</v>
      </c>
      <c r="CG5">
        <v>404.0999999997</v>
      </c>
      <c r="CH5">
        <v>411.59999999950003</v>
      </c>
      <c r="CI5">
        <v>418.79999999950002</v>
      </c>
      <c r="CJ5">
        <v>426.10000000060001</v>
      </c>
      <c r="CK5">
        <v>433.39999999989999</v>
      </c>
      <c r="CL5">
        <v>440.39999999949998</v>
      </c>
      <c r="CM5">
        <v>446.4000000007</v>
      </c>
      <c r="CN5">
        <v>452.60000000050002</v>
      </c>
      <c r="CO5">
        <v>457.89999999939999</v>
      </c>
      <c r="CP5">
        <v>461.90000000020001</v>
      </c>
      <c r="CQ5">
        <v>461.99999999950001</v>
      </c>
      <c r="CR5">
        <v>461.99999999950001</v>
      </c>
      <c r="CS5">
        <v>462.10000000060001</v>
      </c>
      <c r="CT5">
        <v>462.1999999999</v>
      </c>
      <c r="CU5">
        <v>461.99999999950001</v>
      </c>
      <c r="CV5">
        <v>461.99999999950001</v>
      </c>
      <c r="CW5">
        <v>462.10000000060001</v>
      </c>
      <c r="CX5">
        <v>462.10000000060001</v>
      </c>
      <c r="CY5">
        <v>462.1999999999</v>
      </c>
      <c r="CZ5">
        <v>462.1999999999</v>
      </c>
      <c r="DA5">
        <v>462.1999999999</v>
      </c>
      <c r="DB5">
        <v>462.1999999999</v>
      </c>
      <c r="DC5">
        <v>462.1999999999</v>
      </c>
      <c r="DD5">
        <v>462.1999999999</v>
      </c>
      <c r="DE5">
        <v>462.1999999999</v>
      </c>
      <c r="DF5">
        <v>462.4000000003</v>
      </c>
      <c r="DG5">
        <v>0.1000000011</v>
      </c>
      <c r="DH5">
        <v>1.0000000002</v>
      </c>
      <c r="DI5">
        <v>1.0999999995</v>
      </c>
      <c r="DJ5">
        <v>1.0000000002</v>
      </c>
      <c r="DK5">
        <v>0.79999999980000003</v>
      </c>
      <c r="DL5">
        <v>0.90000000089999999</v>
      </c>
      <c r="DM5">
        <v>0.90000000089999999</v>
      </c>
      <c r="DN5">
        <v>1.0000000002</v>
      </c>
      <c r="DO5">
        <v>0.90000000089999999</v>
      </c>
      <c r="DP5">
        <v>1.0000000002</v>
      </c>
      <c r="DQ5">
        <v>1.2999999999</v>
      </c>
      <c r="DR5">
        <v>1.2000000006</v>
      </c>
      <c r="DS5">
        <v>1.0000000002</v>
      </c>
      <c r="DT5">
        <v>1.2000000006</v>
      </c>
      <c r="DU5">
        <v>1.0999999995</v>
      </c>
      <c r="DV5">
        <v>1.2999999999</v>
      </c>
      <c r="DW5">
        <v>1.2000000006</v>
      </c>
      <c r="DX5">
        <v>1.2000000006</v>
      </c>
      <c r="DY5">
        <v>1.2999999999</v>
      </c>
      <c r="DZ5">
        <v>1.8</v>
      </c>
      <c r="EA5">
        <v>6.1000000004999997</v>
      </c>
      <c r="EB5">
        <v>13.6000000002</v>
      </c>
      <c r="EC5">
        <v>21.800000000400001</v>
      </c>
      <c r="ED5">
        <v>29.399999999399999</v>
      </c>
      <c r="EE5">
        <v>36.900000001000002</v>
      </c>
      <c r="EF5">
        <v>44.5</v>
      </c>
      <c r="EG5">
        <v>52.900000000600002</v>
      </c>
      <c r="EH5">
        <v>61.799999999500002</v>
      </c>
      <c r="EI5">
        <v>69.999999999699995</v>
      </c>
      <c r="EJ5">
        <v>78.300000001000001</v>
      </c>
      <c r="EK5">
        <v>86.999999999500005</v>
      </c>
      <c r="EL5">
        <v>95.100000000500003</v>
      </c>
      <c r="EM5">
        <v>103.6999999997</v>
      </c>
      <c r="EN5">
        <v>113.00000000119999</v>
      </c>
      <c r="EO5">
        <v>122.1999999998</v>
      </c>
      <c r="EP5">
        <v>131.10000000049999</v>
      </c>
      <c r="EQ5">
        <v>139.90000000009999</v>
      </c>
      <c r="ER5">
        <v>148.6999999997</v>
      </c>
      <c r="ES5">
        <v>157.80000000090001</v>
      </c>
      <c r="ET5">
        <v>167.10000000060001</v>
      </c>
      <c r="EU5">
        <v>176.300000001</v>
      </c>
      <c r="EV5">
        <v>185.4000000003</v>
      </c>
      <c r="EW5">
        <v>194.49999999959999</v>
      </c>
      <c r="EX5">
        <v>203.49999999959999</v>
      </c>
      <c r="EY5">
        <v>212.49999999959999</v>
      </c>
      <c r="EZ5">
        <v>221.8000000012</v>
      </c>
      <c r="FA5">
        <v>231.29999999949999</v>
      </c>
      <c r="FB5">
        <v>240.20000000019999</v>
      </c>
      <c r="FC5">
        <v>249.1000000009</v>
      </c>
      <c r="FD5">
        <v>257.90000000049997</v>
      </c>
      <c r="FE5">
        <v>267.20000000020002</v>
      </c>
      <c r="FF5">
        <v>276.40000000060002</v>
      </c>
      <c r="FG5">
        <v>285.4000000007</v>
      </c>
      <c r="FH5">
        <v>294.10000000100001</v>
      </c>
      <c r="FI5">
        <v>302.79999999950002</v>
      </c>
      <c r="FJ5">
        <v>311.70000000020002</v>
      </c>
      <c r="FK5">
        <v>320.10000000079998</v>
      </c>
      <c r="FL5">
        <v>328.7</v>
      </c>
      <c r="FM5">
        <v>337.49999999959999</v>
      </c>
      <c r="FN5">
        <v>345.800000001</v>
      </c>
      <c r="FO5">
        <v>353.90000000010002</v>
      </c>
      <c r="FP5">
        <v>362.10000000029999</v>
      </c>
      <c r="FQ5">
        <v>370.20000000120001</v>
      </c>
      <c r="FR5">
        <v>378.50000000070003</v>
      </c>
      <c r="FS5">
        <v>386.39999999939999</v>
      </c>
      <c r="FT5">
        <v>394.00000000019998</v>
      </c>
      <c r="FU5">
        <v>401.6000000011</v>
      </c>
      <c r="FV5">
        <v>408.90000000039998</v>
      </c>
      <c r="FW5">
        <v>416.30000000080003</v>
      </c>
      <c r="FX5">
        <v>423.60000000010001</v>
      </c>
      <c r="FY5">
        <v>430.5999999997</v>
      </c>
      <c r="FZ5">
        <v>437.7000000004</v>
      </c>
      <c r="GA5">
        <v>444.10000000060001</v>
      </c>
      <c r="GB5">
        <v>449.39999999949998</v>
      </c>
      <c r="GC5">
        <v>454.70000000020002</v>
      </c>
      <c r="GD5">
        <v>459.30000000040002</v>
      </c>
      <c r="GE5">
        <v>461.90000000020001</v>
      </c>
      <c r="GF5">
        <v>461.99999999950001</v>
      </c>
      <c r="GG5">
        <v>461.90000000020001</v>
      </c>
      <c r="GH5">
        <v>461.99999999950001</v>
      </c>
      <c r="GI5">
        <v>462.10000000060001</v>
      </c>
      <c r="GJ5">
        <v>462.1999999999</v>
      </c>
      <c r="GK5">
        <v>462.10000000060001</v>
      </c>
      <c r="GL5">
        <v>462.10000000060001</v>
      </c>
      <c r="GM5">
        <v>462.10000000060001</v>
      </c>
      <c r="GN5">
        <v>462.10000000060001</v>
      </c>
      <c r="GO5">
        <v>462.10000000060001</v>
      </c>
      <c r="GP5">
        <v>462.10000000060001</v>
      </c>
      <c r="GQ5">
        <v>462.1999999999</v>
      </c>
      <c r="GR5">
        <v>462.1999999999</v>
      </c>
      <c r="GS5">
        <v>462.30000000109999</v>
      </c>
      <c r="GT5">
        <v>462.30000000109999</v>
      </c>
      <c r="GU5">
        <v>462.1999999999</v>
      </c>
      <c r="GV5">
        <v>462.1999999999</v>
      </c>
      <c r="GW5">
        <v>1</v>
      </c>
      <c r="GX5">
        <v>97.799999999600004</v>
      </c>
      <c r="GY5">
        <v>94.4</v>
      </c>
      <c r="GZ5">
        <v>94.4</v>
      </c>
      <c r="HA5">
        <v>103.6999999997</v>
      </c>
      <c r="HB5">
        <v>96.392569759799997</v>
      </c>
      <c r="HC5">
        <v>-9.2999999997000007</v>
      </c>
      <c r="HD5">
        <v>462.1999999999</v>
      </c>
      <c r="HE5">
        <v>333.24770711640002</v>
      </c>
      <c r="HF5">
        <v>76.177460522700002</v>
      </c>
      <c r="HG5">
        <v>462.4000000003</v>
      </c>
      <c r="HH5">
        <v>462.2999891856</v>
      </c>
      <c r="HI5">
        <v>462.4000000003</v>
      </c>
      <c r="HJ5">
        <v>462.30000000109999</v>
      </c>
      <c r="HK5">
        <v>103.22580645159999</v>
      </c>
      <c r="HL5">
        <v>3.8037405167</v>
      </c>
      <c r="HM5">
        <v>3.6801575569999998</v>
      </c>
      <c r="HN5">
        <v>3.7267963685000001</v>
      </c>
      <c r="HO5">
        <v>3.4606278708999998</v>
      </c>
      <c r="HP5">
        <v>3.8083314278999998</v>
      </c>
      <c r="HQ5">
        <v>3.0635494149000002</v>
      </c>
      <c r="HR5">
        <v>20.215109237099998</v>
      </c>
      <c r="HS5">
        <v>-21.114369501500001</v>
      </c>
      <c r="HT5">
        <v>-144</v>
      </c>
      <c r="HU5">
        <v>429.64027687610002</v>
      </c>
      <c r="HV5">
        <v>89.149560117299998</v>
      </c>
      <c r="HW5">
        <v>608</v>
      </c>
      <c r="HX5">
        <v>20.215109237099998</v>
      </c>
      <c r="HY5">
        <v>-21.114369501500001</v>
      </c>
      <c r="HZ5">
        <v>-144</v>
      </c>
      <c r="IA5">
        <v>429.64027687610002</v>
      </c>
      <c r="IB5">
        <v>89.149560117299998</v>
      </c>
      <c r="IC5">
        <v>608</v>
      </c>
      <c r="ID5">
        <v>32.6597123094</v>
      </c>
      <c r="IE5">
        <v>0.50323383089999996</v>
      </c>
      <c r="IF5">
        <v>-30.4985337243</v>
      </c>
      <c r="IG5">
        <v>-208</v>
      </c>
      <c r="IH5">
        <v>454.4890439111</v>
      </c>
      <c r="II5">
        <v>98.533724340199996</v>
      </c>
      <c r="IJ5">
        <v>672</v>
      </c>
      <c r="IK5">
        <v>409.42516763899999</v>
      </c>
      <c r="IL5">
        <v>110.26392961880001</v>
      </c>
      <c r="IM5">
        <v>438.77777417300001</v>
      </c>
      <c r="IN5">
        <v>119.6480938416</v>
      </c>
      <c r="IO5">
        <v>7.9000000005000004</v>
      </c>
      <c r="IP5">
        <v>6.4000000002000004</v>
      </c>
      <c r="IQ5">
        <v>9.5000000001</v>
      </c>
      <c r="IR5">
        <v>2.4729723290000001</v>
      </c>
      <c r="IS5">
        <v>2.4729723290000001</v>
      </c>
      <c r="IT5">
        <v>10.0000000002</v>
      </c>
      <c r="IU5">
        <v>-23.460410557199999</v>
      </c>
      <c r="IV5">
        <v>12.700000001099999</v>
      </c>
      <c r="IW5">
        <v>72.727272727300004</v>
      </c>
      <c r="IX5">
        <v>9</v>
      </c>
      <c r="IY5">
        <v>96.187683284499997</v>
      </c>
      <c r="IZ5">
        <v>-26.894327994099999</v>
      </c>
      <c r="JA5">
        <v>0.29674101019999999</v>
      </c>
      <c r="JB5">
        <v>-2.2936270000000001E-4</v>
      </c>
      <c r="JC5">
        <v>3.8729999999999998E-7</v>
      </c>
      <c r="JD5">
        <v>0.26289911090000001</v>
      </c>
      <c r="JE5">
        <v>0.173939336</v>
      </c>
      <c r="JF5">
        <v>7.5588931900000003E-2</v>
      </c>
      <c r="JG5">
        <v>96.787195056000002</v>
      </c>
      <c r="JH5">
        <v>3.8083314278999998</v>
      </c>
      <c r="JI5">
        <v>5.8572460999999996E-3</v>
      </c>
      <c r="JJ5">
        <v>-7.5037900000000002E-5</v>
      </c>
      <c r="JK5">
        <v>3.8037405167</v>
      </c>
      <c r="JL5">
        <v>0.52319598469999995</v>
      </c>
      <c r="JM5">
        <v>0.20145434139999999</v>
      </c>
      <c r="JN5" t="s">
        <v>538</v>
      </c>
      <c r="JQ5">
        <v>1</v>
      </c>
    </row>
    <row r="6" spans="1:277">
      <c r="A6" t="s">
        <v>612</v>
      </c>
      <c r="B6" t="s">
        <v>613</v>
      </c>
      <c r="C6" t="s">
        <v>211</v>
      </c>
      <c r="D6">
        <v>3</v>
      </c>
      <c r="E6" t="s">
        <v>212</v>
      </c>
      <c r="F6" t="s">
        <v>213</v>
      </c>
      <c r="G6" t="s">
        <v>537</v>
      </c>
      <c r="H6" t="s">
        <v>215</v>
      </c>
      <c r="J6" t="s">
        <v>576</v>
      </c>
      <c r="K6" t="s">
        <v>577</v>
      </c>
      <c r="L6" t="s">
        <v>578</v>
      </c>
      <c r="M6" t="s">
        <v>579</v>
      </c>
      <c r="N6" t="s">
        <v>580</v>
      </c>
      <c r="O6">
        <v>0</v>
      </c>
      <c r="P6">
        <v>0</v>
      </c>
      <c r="Q6">
        <v>0</v>
      </c>
      <c r="R6">
        <v>0.7000000005</v>
      </c>
      <c r="S6">
        <v>0.7000000005</v>
      </c>
      <c r="T6">
        <v>0.90000000089999999</v>
      </c>
      <c r="U6">
        <v>0.79999999980000003</v>
      </c>
      <c r="V6">
        <v>0.7000000005</v>
      </c>
      <c r="W6">
        <v>0.40000000079999998</v>
      </c>
      <c r="X6">
        <v>0.79999999980000003</v>
      </c>
      <c r="Y6">
        <v>0.90000000089999999</v>
      </c>
      <c r="Z6">
        <v>1.2000000006</v>
      </c>
      <c r="AA6">
        <v>0.90000000089999999</v>
      </c>
      <c r="AB6">
        <v>0.60000000119999997</v>
      </c>
      <c r="AC6">
        <v>0.90000000089999999</v>
      </c>
      <c r="AD6">
        <v>1.1000000013</v>
      </c>
      <c r="AE6">
        <v>1.2000000006</v>
      </c>
      <c r="AF6">
        <v>1.0000000002</v>
      </c>
      <c r="AG6">
        <v>0.90000000089999999</v>
      </c>
      <c r="AH6">
        <v>0.90000000089999999</v>
      </c>
      <c r="AI6">
        <v>0.40000000079999998</v>
      </c>
      <c r="AJ6">
        <v>0.60000000119999997</v>
      </c>
      <c r="AK6">
        <v>6.1999999998000002</v>
      </c>
      <c r="AL6">
        <v>13.200000001199999</v>
      </c>
      <c r="AM6">
        <v>20.700000000900001</v>
      </c>
      <c r="AN6">
        <v>28.700000000799999</v>
      </c>
      <c r="AO6">
        <v>37.299999999999997</v>
      </c>
      <c r="AP6">
        <v>45.4000000009</v>
      </c>
      <c r="AQ6">
        <v>53.799999999699999</v>
      </c>
      <c r="AR6">
        <v>62.100000000999998</v>
      </c>
      <c r="AS6">
        <v>70.4000000005</v>
      </c>
      <c r="AT6">
        <v>78.999999999699995</v>
      </c>
      <c r="AU6">
        <v>87.800000001200004</v>
      </c>
      <c r="AV6">
        <v>96.800000001200004</v>
      </c>
      <c r="AW6">
        <v>106.4999999999</v>
      </c>
      <c r="AX6">
        <v>115.70000000029999</v>
      </c>
      <c r="AY6">
        <v>125.1000000011</v>
      </c>
      <c r="AZ6">
        <v>133.70000000030001</v>
      </c>
      <c r="BA6">
        <v>143.40000000079999</v>
      </c>
      <c r="BB6">
        <v>152.50000000009999</v>
      </c>
      <c r="BC6">
        <v>161.5000000002</v>
      </c>
      <c r="BD6">
        <v>170.20000000050001</v>
      </c>
      <c r="BE6">
        <v>179.00000000009999</v>
      </c>
      <c r="BF6">
        <v>188.40000000090001</v>
      </c>
      <c r="BG6">
        <v>197.7000000006</v>
      </c>
      <c r="BH6">
        <v>206.900000001</v>
      </c>
      <c r="BI6">
        <v>215.7999999999</v>
      </c>
      <c r="BJ6">
        <v>224.90000000110001</v>
      </c>
      <c r="BK6">
        <v>233.70000000069999</v>
      </c>
      <c r="BL6">
        <v>243.00000000040001</v>
      </c>
      <c r="BM6">
        <v>252.0999999997</v>
      </c>
      <c r="BN6">
        <v>261.0999999997</v>
      </c>
      <c r="BO6">
        <v>269.8</v>
      </c>
      <c r="BP6">
        <v>278.9000000012</v>
      </c>
      <c r="BQ6">
        <v>287.60000000150001</v>
      </c>
      <c r="BR6">
        <v>296.50000000040001</v>
      </c>
      <c r="BS6">
        <v>305.3</v>
      </c>
      <c r="BT6">
        <v>314.50000000040001</v>
      </c>
      <c r="BU6">
        <v>323.00000000030002</v>
      </c>
      <c r="BV6">
        <v>330.90000000079999</v>
      </c>
      <c r="BW6">
        <v>339.40000000079999</v>
      </c>
      <c r="BX6">
        <v>348.40000000079999</v>
      </c>
      <c r="BY6">
        <v>356.70000000030001</v>
      </c>
      <c r="BZ6">
        <v>364.49999999969998</v>
      </c>
      <c r="CA6">
        <v>372.50000000130001</v>
      </c>
      <c r="CB6">
        <v>380.60000000039997</v>
      </c>
      <c r="CC6">
        <v>388.3999999998</v>
      </c>
      <c r="CD6">
        <v>396.20000000099998</v>
      </c>
      <c r="CE6">
        <v>404.20000000089999</v>
      </c>
      <c r="CF6">
        <v>412.10000000140002</v>
      </c>
      <c r="CG6">
        <v>419.20000000030001</v>
      </c>
      <c r="CH6">
        <v>426.5000000014</v>
      </c>
      <c r="CI6">
        <v>433.50000000099999</v>
      </c>
      <c r="CJ6">
        <v>440.90000000139997</v>
      </c>
      <c r="CK6">
        <v>447.79999999990002</v>
      </c>
      <c r="CL6">
        <v>453.00000000130001</v>
      </c>
      <c r="CM6">
        <v>455.7000000004</v>
      </c>
      <c r="CN6">
        <v>459.8999999998</v>
      </c>
      <c r="CO6">
        <v>460.39999999989999</v>
      </c>
      <c r="CP6">
        <v>460.50000000099999</v>
      </c>
      <c r="CQ6">
        <v>460.80000000069998</v>
      </c>
      <c r="CR6">
        <v>460.9</v>
      </c>
      <c r="CS6">
        <v>461.10000000039997</v>
      </c>
      <c r="CT6">
        <v>461.00000000109998</v>
      </c>
      <c r="CU6">
        <v>460.80000000069998</v>
      </c>
      <c r="CV6">
        <v>460.70000000149997</v>
      </c>
      <c r="CW6">
        <v>461.00000000109998</v>
      </c>
      <c r="CX6">
        <v>461.30000000080003</v>
      </c>
      <c r="CY6">
        <v>460.9</v>
      </c>
      <c r="CZ6">
        <v>461.19999999970003</v>
      </c>
      <c r="DA6">
        <v>461.00000000109998</v>
      </c>
      <c r="DB6">
        <v>460.80000000069998</v>
      </c>
      <c r="DC6">
        <v>460.60000000029999</v>
      </c>
      <c r="DD6">
        <v>460.80000000069998</v>
      </c>
      <c r="DE6">
        <v>461.19999999970003</v>
      </c>
      <c r="DF6">
        <v>461.30000000080003</v>
      </c>
      <c r="DG6">
        <v>0.20000000039999999</v>
      </c>
      <c r="DH6">
        <v>1.1000000013</v>
      </c>
      <c r="DI6">
        <v>1.2999999999</v>
      </c>
      <c r="DJ6">
        <v>0.90000000089999999</v>
      </c>
      <c r="DK6">
        <v>1.0000000002</v>
      </c>
      <c r="DL6">
        <v>1.2999999999</v>
      </c>
      <c r="DM6">
        <v>1.2000000006</v>
      </c>
      <c r="DN6">
        <v>1.5000000003</v>
      </c>
      <c r="DO6">
        <v>1.2999999999</v>
      </c>
      <c r="DP6">
        <v>1.5000000003</v>
      </c>
      <c r="DQ6">
        <v>1.8</v>
      </c>
      <c r="DR6">
        <v>1.6000000014</v>
      </c>
      <c r="DS6">
        <v>1.6000000014</v>
      </c>
      <c r="DT6">
        <v>1.6000000014</v>
      </c>
      <c r="DU6">
        <v>1.8</v>
      </c>
      <c r="DV6">
        <v>1.7000000007</v>
      </c>
      <c r="DW6">
        <v>1.2999999999</v>
      </c>
      <c r="DX6">
        <v>1.2000000006</v>
      </c>
      <c r="DY6">
        <v>1.0000000002</v>
      </c>
      <c r="DZ6">
        <v>6.8000000009999999</v>
      </c>
      <c r="EA6">
        <v>13.700000001299999</v>
      </c>
      <c r="EB6">
        <v>21.500000000699998</v>
      </c>
      <c r="EC6">
        <v>29.200000000900001</v>
      </c>
      <c r="ED6">
        <v>37.400000001099997</v>
      </c>
      <c r="EE6">
        <v>45.600000001300003</v>
      </c>
      <c r="EF6">
        <v>54.100000001200002</v>
      </c>
      <c r="EG6">
        <v>62.100000000999998</v>
      </c>
      <c r="EH6">
        <v>70.300000001200004</v>
      </c>
      <c r="EI6">
        <v>78.600000000700007</v>
      </c>
      <c r="EJ6">
        <v>87.600000000700007</v>
      </c>
      <c r="EK6">
        <v>96.500000001499998</v>
      </c>
      <c r="EL6">
        <v>105.49999999969999</v>
      </c>
      <c r="EM6">
        <v>114.7000000001</v>
      </c>
      <c r="EN6">
        <v>124.4999999999</v>
      </c>
      <c r="EO6">
        <v>132.9999999998</v>
      </c>
      <c r="EP6">
        <v>142.60000000100001</v>
      </c>
      <c r="EQ6">
        <v>152.10000000119999</v>
      </c>
      <c r="ER6">
        <v>160.7000000004</v>
      </c>
      <c r="ES6">
        <v>169.5</v>
      </c>
      <c r="ET6">
        <v>178.6000000011</v>
      </c>
      <c r="EU6">
        <v>187.4000000007</v>
      </c>
      <c r="EV6">
        <v>197.20000000050001</v>
      </c>
      <c r="EW6">
        <v>206.6000000013</v>
      </c>
      <c r="EX6">
        <v>215.400000001</v>
      </c>
      <c r="EY6">
        <v>224.50000000029999</v>
      </c>
      <c r="EZ6">
        <v>233.60000000139999</v>
      </c>
      <c r="FA6">
        <v>242.90000000110001</v>
      </c>
      <c r="FB6">
        <v>252.0999999997</v>
      </c>
      <c r="FC6">
        <v>260.90000000110001</v>
      </c>
      <c r="FD6">
        <v>269.8</v>
      </c>
      <c r="FE6">
        <v>278.8</v>
      </c>
      <c r="FF6">
        <v>287.60000000150001</v>
      </c>
      <c r="FG6">
        <v>296.8000000001</v>
      </c>
      <c r="FH6">
        <v>305.9000000012</v>
      </c>
      <c r="FI6">
        <v>314.50000000040001</v>
      </c>
      <c r="FJ6">
        <v>323.3</v>
      </c>
      <c r="FK6">
        <v>331.50000000019998</v>
      </c>
      <c r="FL6">
        <v>339.90000000089998</v>
      </c>
      <c r="FM6">
        <v>349.10000000129997</v>
      </c>
      <c r="FN6">
        <v>357.2000000004</v>
      </c>
      <c r="FO6">
        <v>365.30000000130002</v>
      </c>
      <c r="FP6">
        <v>373.60000000079998</v>
      </c>
      <c r="FQ6">
        <v>381.50000000130001</v>
      </c>
      <c r="FR6">
        <v>389.10000000029999</v>
      </c>
      <c r="FS6">
        <v>397.30000000050001</v>
      </c>
      <c r="FT6">
        <v>405.20000000110002</v>
      </c>
      <c r="FU6">
        <v>413.00000000049999</v>
      </c>
      <c r="FV6">
        <v>420.20000000049998</v>
      </c>
      <c r="FW6">
        <v>427.40000000049997</v>
      </c>
      <c r="FX6">
        <v>434.60000000050002</v>
      </c>
      <c r="FY6">
        <v>441.30000000040002</v>
      </c>
      <c r="FZ6">
        <v>447.20000000049998</v>
      </c>
      <c r="GA6">
        <v>453.4000000003</v>
      </c>
      <c r="GB6">
        <v>459.00000000070003</v>
      </c>
      <c r="GC6">
        <v>460.60000000029999</v>
      </c>
      <c r="GD6">
        <v>460.80000000069998</v>
      </c>
      <c r="GE6">
        <v>460.80000000069998</v>
      </c>
      <c r="GF6">
        <v>461.00000000109998</v>
      </c>
      <c r="GG6">
        <v>460.9</v>
      </c>
      <c r="GH6">
        <v>460.9</v>
      </c>
      <c r="GI6">
        <v>460.9</v>
      </c>
      <c r="GJ6">
        <v>460.80000000069998</v>
      </c>
      <c r="GK6">
        <v>460.70000000149997</v>
      </c>
      <c r="GL6">
        <v>460.9</v>
      </c>
      <c r="GM6">
        <v>460.9</v>
      </c>
      <c r="GN6">
        <v>461.10000000039997</v>
      </c>
      <c r="GO6">
        <v>461.00000000109998</v>
      </c>
      <c r="GP6">
        <v>460.80000000069998</v>
      </c>
      <c r="GQ6">
        <v>460.9</v>
      </c>
      <c r="GR6">
        <v>460.80000000069998</v>
      </c>
      <c r="GS6">
        <v>460.70000000149997</v>
      </c>
      <c r="GT6">
        <v>460.80000000069998</v>
      </c>
      <c r="GU6">
        <v>461.10000000039997</v>
      </c>
      <c r="GV6">
        <v>461.10000000039997</v>
      </c>
      <c r="GW6">
        <v>1</v>
      </c>
      <c r="GX6">
        <v>109.39999999939999</v>
      </c>
      <c r="GY6">
        <v>106.4999999999</v>
      </c>
      <c r="GZ6">
        <v>106.4999999999</v>
      </c>
      <c r="HA6">
        <v>114.7000000001</v>
      </c>
      <c r="HB6">
        <v>108.4664353859</v>
      </c>
      <c r="HC6">
        <v>-8.2000000001999993</v>
      </c>
      <c r="HD6">
        <v>461.10000000039997</v>
      </c>
      <c r="HE6">
        <v>325.59526235969997</v>
      </c>
      <c r="HF6">
        <v>87.306602340699996</v>
      </c>
      <c r="HG6">
        <v>461.30000000080003</v>
      </c>
      <c r="HH6">
        <v>461.1000108417</v>
      </c>
      <c r="HI6">
        <v>461.30000000080003</v>
      </c>
      <c r="HJ6">
        <v>461.10000000039997</v>
      </c>
      <c r="HK6">
        <v>98.533724340199996</v>
      </c>
      <c r="HL6">
        <v>3.8283268981999998</v>
      </c>
      <c r="HM6">
        <v>3.7567607604000002</v>
      </c>
      <c r="HN6">
        <v>3.7585333162999999</v>
      </c>
      <c r="HO6">
        <v>3.5653819783</v>
      </c>
      <c r="HP6">
        <v>3.8880472630999998</v>
      </c>
      <c r="HQ6">
        <v>3.0895598489</v>
      </c>
      <c r="HR6">
        <v>21.159833045199999</v>
      </c>
      <c r="HS6">
        <v>-23.460410557199999</v>
      </c>
      <c r="HT6">
        <v>-160</v>
      </c>
      <c r="HU6">
        <v>434.06169774559999</v>
      </c>
      <c r="HV6">
        <v>86.803519061599999</v>
      </c>
      <c r="HW6">
        <v>592</v>
      </c>
      <c r="HX6">
        <v>21.159833045199999</v>
      </c>
      <c r="HY6">
        <v>-23.460410557199999</v>
      </c>
      <c r="HZ6">
        <v>-160</v>
      </c>
      <c r="IA6">
        <v>434.06169774559999</v>
      </c>
      <c r="IB6">
        <v>86.803519061599999</v>
      </c>
      <c r="IC6">
        <v>592</v>
      </c>
      <c r="ID6">
        <v>27.038313096100001</v>
      </c>
      <c r="IE6">
        <v>0.40091066860000002</v>
      </c>
      <c r="IF6">
        <v>-32.844574780099997</v>
      </c>
      <c r="IG6">
        <v>-224</v>
      </c>
      <c r="IH6">
        <v>458.932350391</v>
      </c>
      <c r="II6">
        <v>96.187683284499997</v>
      </c>
      <c r="IJ6">
        <v>656</v>
      </c>
      <c r="IK6">
        <v>412.90186470039998</v>
      </c>
      <c r="IL6">
        <v>110.26392961880001</v>
      </c>
      <c r="IM6">
        <v>440.60392454539999</v>
      </c>
      <c r="IN6">
        <v>119.6480938416</v>
      </c>
      <c r="IO6">
        <v>7.7999999993999998</v>
      </c>
      <c r="IP6">
        <v>7.4000000004000004</v>
      </c>
      <c r="IQ6">
        <v>9.7999999998000007</v>
      </c>
      <c r="IR6">
        <v>2.8997636490000001</v>
      </c>
      <c r="IS6">
        <v>2.8997636490000001</v>
      </c>
      <c r="IT6">
        <v>8.2999999995000007</v>
      </c>
      <c r="IU6">
        <v>-25.806451612899998</v>
      </c>
      <c r="IV6">
        <v>9.7000000004999993</v>
      </c>
      <c r="IW6">
        <v>60.997067448700001</v>
      </c>
      <c r="IX6">
        <v>7.7999999993999998</v>
      </c>
      <c r="IY6">
        <v>89.149560117299998</v>
      </c>
      <c r="IZ6">
        <v>-29.3888004529</v>
      </c>
      <c r="JA6">
        <v>0.28896754250000001</v>
      </c>
      <c r="JB6">
        <v>-2.0255459999999999E-4</v>
      </c>
      <c r="JC6">
        <v>3.5170000000000001E-7</v>
      </c>
      <c r="JD6">
        <v>0.26121071330000001</v>
      </c>
      <c r="JE6">
        <v>0.2404108844</v>
      </c>
      <c r="JF6">
        <v>0.1011607455</v>
      </c>
      <c r="JG6">
        <v>108.5405705988</v>
      </c>
      <c r="JH6">
        <v>3.8880472630999998</v>
      </c>
      <c r="JI6">
        <v>4.4350594E-3</v>
      </c>
      <c r="JJ6">
        <v>-6.9386200000000003E-5</v>
      </c>
      <c r="JK6">
        <v>3.8283268981999998</v>
      </c>
      <c r="JL6">
        <v>0.86660123389999999</v>
      </c>
      <c r="JM6">
        <v>0.3520583095</v>
      </c>
      <c r="JN6" t="s">
        <v>538</v>
      </c>
      <c r="JQ6">
        <v>1</v>
      </c>
    </row>
    <row r="7" spans="1:277">
      <c r="A7" t="s">
        <v>614</v>
      </c>
      <c r="B7" t="s">
        <v>615</v>
      </c>
      <c r="C7" t="s">
        <v>211</v>
      </c>
      <c r="D7">
        <v>3</v>
      </c>
      <c r="E7" t="s">
        <v>212</v>
      </c>
      <c r="F7" t="s">
        <v>213</v>
      </c>
      <c r="G7" t="s">
        <v>537</v>
      </c>
      <c r="H7" t="s">
        <v>215</v>
      </c>
      <c r="J7" t="s">
        <v>583</v>
      </c>
      <c r="K7" t="s">
        <v>584</v>
      </c>
      <c r="L7" t="s">
        <v>585</v>
      </c>
      <c r="M7" t="s">
        <v>586</v>
      </c>
      <c r="N7" t="s">
        <v>587</v>
      </c>
      <c r="O7">
        <v>0</v>
      </c>
      <c r="P7">
        <v>0</v>
      </c>
      <c r="Q7">
        <v>0</v>
      </c>
      <c r="R7">
        <v>0.29999999970000002</v>
      </c>
      <c r="S7">
        <v>0.50000000010000001</v>
      </c>
      <c r="T7">
        <v>0.50000000010000001</v>
      </c>
      <c r="U7">
        <v>0.50000000010000001</v>
      </c>
      <c r="V7">
        <v>0.40000000079999998</v>
      </c>
      <c r="W7">
        <v>0.50000000010000001</v>
      </c>
      <c r="X7">
        <v>0.40000000079999998</v>
      </c>
      <c r="Y7">
        <v>0.50000000010000001</v>
      </c>
      <c r="Z7">
        <v>0.50000000010000001</v>
      </c>
      <c r="AA7">
        <v>0.59999999940000004</v>
      </c>
      <c r="AB7">
        <v>0.79999999980000003</v>
      </c>
      <c r="AC7">
        <v>1.0000000002</v>
      </c>
      <c r="AD7">
        <v>0.79999999980000003</v>
      </c>
      <c r="AE7">
        <v>0.59999999940000004</v>
      </c>
      <c r="AF7">
        <v>0.7000000005</v>
      </c>
      <c r="AG7">
        <v>0.7000000005</v>
      </c>
      <c r="AH7">
        <v>1.0000000002</v>
      </c>
      <c r="AI7">
        <v>1.0999999995</v>
      </c>
      <c r="AJ7">
        <v>1.8</v>
      </c>
      <c r="AK7">
        <v>4.3999999998000003</v>
      </c>
      <c r="AL7">
        <v>12.800000000400001</v>
      </c>
      <c r="AM7">
        <v>20.200000000799999</v>
      </c>
      <c r="AN7">
        <v>28.0999999995</v>
      </c>
      <c r="AO7">
        <v>35.200000000300001</v>
      </c>
      <c r="AP7">
        <v>43.4000000005</v>
      </c>
      <c r="AQ7">
        <v>50.900000000200002</v>
      </c>
      <c r="AR7">
        <v>59.199999999699997</v>
      </c>
      <c r="AS7">
        <v>68.199999999699997</v>
      </c>
      <c r="AT7">
        <v>76.699999999599996</v>
      </c>
      <c r="AU7">
        <v>84.699999999400006</v>
      </c>
      <c r="AV7">
        <v>93.0000000008</v>
      </c>
      <c r="AW7">
        <v>101.8000000004</v>
      </c>
      <c r="AX7">
        <v>110.70000000109999</v>
      </c>
      <c r="AY7">
        <v>120.0000000008</v>
      </c>
      <c r="AZ7">
        <v>128.80000000039999</v>
      </c>
      <c r="BA7">
        <v>136.70000000089999</v>
      </c>
      <c r="BB7">
        <v>145.50000000049999</v>
      </c>
      <c r="BC7">
        <v>154.59999999979999</v>
      </c>
      <c r="BD7">
        <v>163.39999999950001</v>
      </c>
      <c r="BE7">
        <v>172.8000000003</v>
      </c>
      <c r="BF7">
        <v>181.59999999990001</v>
      </c>
      <c r="BG7">
        <v>190.30000000019999</v>
      </c>
      <c r="BH7">
        <v>199.00000000049999</v>
      </c>
      <c r="BI7">
        <v>207.8000000001</v>
      </c>
      <c r="BJ7">
        <v>216.70000000089999</v>
      </c>
      <c r="BK7">
        <v>225.59999999979999</v>
      </c>
      <c r="BL7">
        <v>234.80000000019999</v>
      </c>
      <c r="BM7">
        <v>243.00000000040001</v>
      </c>
      <c r="BN7">
        <v>251.59999999959999</v>
      </c>
      <c r="BO7">
        <v>260.59999999960002</v>
      </c>
      <c r="BP7">
        <v>269.29999999990002</v>
      </c>
      <c r="BQ7">
        <v>278.20000000070002</v>
      </c>
      <c r="BR7">
        <v>286.59999999950003</v>
      </c>
      <c r="BS7">
        <v>294.79999999969999</v>
      </c>
      <c r="BT7">
        <v>303.5</v>
      </c>
      <c r="BU7">
        <v>311.79999999950002</v>
      </c>
      <c r="BV7">
        <v>320.20000000009998</v>
      </c>
      <c r="BW7">
        <v>328.7</v>
      </c>
      <c r="BX7">
        <v>336.80000000090001</v>
      </c>
      <c r="BY7">
        <v>344.30000000069998</v>
      </c>
      <c r="BZ7">
        <v>352.19999999940001</v>
      </c>
      <c r="CA7">
        <v>360.30000000029997</v>
      </c>
      <c r="CB7">
        <v>368.39999999939999</v>
      </c>
      <c r="CC7">
        <v>376.09999999950003</v>
      </c>
      <c r="CD7">
        <v>384</v>
      </c>
      <c r="CE7">
        <v>391.29999999929998</v>
      </c>
      <c r="CF7">
        <v>398.69999999970003</v>
      </c>
      <c r="CG7">
        <v>405.6</v>
      </c>
      <c r="CH7">
        <v>412.8000000001</v>
      </c>
      <c r="CI7">
        <v>420.20000000049998</v>
      </c>
      <c r="CJ7">
        <v>427.49999999980002</v>
      </c>
      <c r="CK7">
        <v>435.10000000060001</v>
      </c>
      <c r="CL7">
        <v>441.60000000010001</v>
      </c>
      <c r="CM7">
        <v>447.50000000019998</v>
      </c>
      <c r="CN7">
        <v>453.60000000069999</v>
      </c>
      <c r="CO7">
        <v>459.69999999940001</v>
      </c>
      <c r="CP7">
        <v>459.8999999998</v>
      </c>
      <c r="CQ7">
        <v>460.0000000009</v>
      </c>
      <c r="CR7">
        <v>460.1000000002</v>
      </c>
      <c r="CS7">
        <v>460.1000000002</v>
      </c>
      <c r="CT7">
        <v>460.30000000059999</v>
      </c>
      <c r="CU7">
        <v>460.1000000002</v>
      </c>
      <c r="CV7">
        <v>460.60000000029999</v>
      </c>
      <c r="CW7">
        <v>460.30000000059999</v>
      </c>
      <c r="CX7">
        <v>460.39999999989999</v>
      </c>
      <c r="CY7">
        <v>460.30000000059999</v>
      </c>
      <c r="CZ7">
        <v>460.30000000059999</v>
      </c>
      <c r="DA7">
        <v>460.50000000099999</v>
      </c>
      <c r="DB7">
        <v>460.50000000099999</v>
      </c>
      <c r="DC7">
        <v>460.39999999989999</v>
      </c>
      <c r="DD7">
        <v>460.60000000029999</v>
      </c>
      <c r="DE7">
        <v>460.80000000069998</v>
      </c>
      <c r="DF7">
        <v>460.30000000059999</v>
      </c>
      <c r="DG7">
        <v>0.29999999970000002</v>
      </c>
      <c r="DH7">
        <v>0.79999999980000003</v>
      </c>
      <c r="DI7">
        <v>0.90000000089999999</v>
      </c>
      <c r="DJ7">
        <v>0.90000000089999999</v>
      </c>
      <c r="DK7">
        <v>1.0000000002</v>
      </c>
      <c r="DL7">
        <v>1.0000000002</v>
      </c>
      <c r="DM7">
        <v>1.0999999995</v>
      </c>
      <c r="DN7">
        <v>1.0000000002</v>
      </c>
      <c r="DO7">
        <v>1.0000000002</v>
      </c>
      <c r="DP7">
        <v>1.0999999995</v>
      </c>
      <c r="DQ7">
        <v>1.0000000002</v>
      </c>
      <c r="DR7">
        <v>1.0000000002</v>
      </c>
      <c r="DS7">
        <v>1.0999999995</v>
      </c>
      <c r="DT7">
        <v>1.0999999995</v>
      </c>
      <c r="DU7">
        <v>1.2000000006</v>
      </c>
      <c r="DV7">
        <v>1.400000001</v>
      </c>
      <c r="DW7">
        <v>1.400000001</v>
      </c>
      <c r="DX7">
        <v>1.5999999996000001</v>
      </c>
      <c r="DY7">
        <v>2.5000000005</v>
      </c>
      <c r="DZ7">
        <v>5.9000000001000004</v>
      </c>
      <c r="EA7">
        <v>13.8999999999</v>
      </c>
      <c r="EB7">
        <v>21.0000000006</v>
      </c>
      <c r="EC7">
        <v>28.700000000799999</v>
      </c>
      <c r="ED7">
        <v>35.900000000799999</v>
      </c>
      <c r="EE7">
        <v>43.900000000600002</v>
      </c>
      <c r="EF7">
        <v>51.300000001000001</v>
      </c>
      <c r="EG7">
        <v>60.4999999996</v>
      </c>
      <c r="EH7">
        <v>68.900000000199995</v>
      </c>
      <c r="EI7">
        <v>77.100000000400001</v>
      </c>
      <c r="EJ7">
        <v>84.699999999400006</v>
      </c>
      <c r="EK7">
        <v>92.899999999599999</v>
      </c>
      <c r="EL7">
        <v>101.20000000100001</v>
      </c>
      <c r="EM7">
        <v>110.70000000109999</v>
      </c>
      <c r="EN7">
        <v>119.8000000004</v>
      </c>
      <c r="EO7">
        <v>128.69999999929999</v>
      </c>
      <c r="EP7">
        <v>137.00000000060001</v>
      </c>
      <c r="EQ7">
        <v>145.80000000019999</v>
      </c>
      <c r="ER7">
        <v>154.20000000089999</v>
      </c>
      <c r="ES7">
        <v>163.8999999996</v>
      </c>
      <c r="ET7">
        <v>172.59999999990001</v>
      </c>
      <c r="EU7">
        <v>181.59999999990001</v>
      </c>
      <c r="EV7">
        <v>190.09999999979999</v>
      </c>
      <c r="EW7">
        <v>199.39999999950001</v>
      </c>
      <c r="EX7">
        <v>208.20000000089999</v>
      </c>
      <c r="EY7">
        <v>217.39999999950001</v>
      </c>
      <c r="EZ7">
        <v>226.6</v>
      </c>
      <c r="FA7">
        <v>235.6</v>
      </c>
      <c r="FB7">
        <v>244.20000000100001</v>
      </c>
      <c r="FC7">
        <v>252.89999999950001</v>
      </c>
      <c r="FD7">
        <v>262.00000000059998</v>
      </c>
      <c r="FE7">
        <v>271.00000000059998</v>
      </c>
      <c r="FF7">
        <v>280.09999999989998</v>
      </c>
      <c r="FG7">
        <v>288.59999999989998</v>
      </c>
      <c r="FH7">
        <v>297.09999999979999</v>
      </c>
      <c r="FI7">
        <v>305.7000000008</v>
      </c>
      <c r="FJ7">
        <v>314.50000000040001</v>
      </c>
      <c r="FK7">
        <v>322.70000000060003</v>
      </c>
      <c r="FL7">
        <v>331.50000000019998</v>
      </c>
      <c r="FM7">
        <v>339.5</v>
      </c>
      <c r="FN7">
        <v>347.60000000100001</v>
      </c>
      <c r="FO7">
        <v>355.49999999969998</v>
      </c>
      <c r="FP7">
        <v>363.9000000003</v>
      </c>
      <c r="FQ7">
        <v>372.19999999980001</v>
      </c>
      <c r="FR7">
        <v>380.30000000069998</v>
      </c>
      <c r="FS7">
        <v>387.80000000040002</v>
      </c>
      <c r="FT7">
        <v>394.89999999930001</v>
      </c>
      <c r="FU7">
        <v>402.40000000089998</v>
      </c>
      <c r="FV7">
        <v>409.70000000020002</v>
      </c>
      <c r="FW7">
        <v>417.300000001</v>
      </c>
      <c r="FX7">
        <v>424.30000000059999</v>
      </c>
      <c r="FY7">
        <v>431.59999999989998</v>
      </c>
      <c r="FZ7">
        <v>438.40000000089998</v>
      </c>
      <c r="GA7">
        <v>444.1999999999</v>
      </c>
      <c r="GB7">
        <v>449.30000000019999</v>
      </c>
      <c r="GC7">
        <v>455.20000000030001</v>
      </c>
      <c r="GD7">
        <v>459.80000000050001</v>
      </c>
      <c r="GE7">
        <v>459.8999999998</v>
      </c>
      <c r="GF7">
        <v>460.0000000009</v>
      </c>
      <c r="GG7">
        <v>459.8999999998</v>
      </c>
      <c r="GH7">
        <v>460.19999999949999</v>
      </c>
      <c r="GI7">
        <v>460.39999999989999</v>
      </c>
      <c r="GJ7">
        <v>460.39999999989999</v>
      </c>
      <c r="GK7">
        <v>460.39999999989999</v>
      </c>
      <c r="GL7">
        <v>460.39999999989999</v>
      </c>
      <c r="GM7">
        <v>460.19999999949999</v>
      </c>
      <c r="GN7">
        <v>460.1000000002</v>
      </c>
      <c r="GO7">
        <v>460.30000000059999</v>
      </c>
      <c r="GP7">
        <v>460.39999999989999</v>
      </c>
      <c r="GQ7">
        <v>460.50000000099999</v>
      </c>
      <c r="GR7">
        <v>460.50000000099999</v>
      </c>
      <c r="GS7">
        <v>460.50000000099999</v>
      </c>
      <c r="GT7">
        <v>460.39999999989999</v>
      </c>
      <c r="GU7">
        <v>460.30000000059999</v>
      </c>
      <c r="GV7">
        <v>460.39999999989999</v>
      </c>
      <c r="GW7">
        <v>1</v>
      </c>
      <c r="GX7">
        <v>104.1000000005</v>
      </c>
      <c r="GY7">
        <v>101.8000000004</v>
      </c>
      <c r="GZ7">
        <v>101.8000000004</v>
      </c>
      <c r="HA7">
        <v>110.70000000109999</v>
      </c>
      <c r="HB7">
        <v>103.8532515476</v>
      </c>
      <c r="HC7">
        <v>-8.9000000007000004</v>
      </c>
      <c r="HD7">
        <v>460.39995657359998</v>
      </c>
      <c r="HE7">
        <v>326.88905656219998</v>
      </c>
      <c r="HF7">
        <v>90.752350450700007</v>
      </c>
      <c r="HG7">
        <v>460.80000000069998</v>
      </c>
      <c r="HH7">
        <v>460.50000000099999</v>
      </c>
      <c r="HI7">
        <v>460.80000000069998</v>
      </c>
      <c r="HJ7">
        <v>460.50000000099999</v>
      </c>
      <c r="HK7">
        <v>100.87976539589999</v>
      </c>
      <c r="HL7">
        <v>3.7257843124000001</v>
      </c>
      <c r="HM7">
        <v>3.6137779229999998</v>
      </c>
      <c r="HN7">
        <v>3.6603225452000001</v>
      </c>
      <c r="HO7">
        <v>3.3047075802000001</v>
      </c>
      <c r="HP7">
        <v>3.7418105911000001</v>
      </c>
      <c r="HQ7">
        <v>2.9940646053000002</v>
      </c>
      <c r="HR7">
        <v>13.100901096999999</v>
      </c>
      <c r="HS7">
        <v>-25.806451612899998</v>
      </c>
      <c r="HT7">
        <v>-176</v>
      </c>
      <c r="HU7">
        <v>430.74230810979998</v>
      </c>
      <c r="HV7">
        <v>89.149560117299998</v>
      </c>
      <c r="HW7">
        <v>608</v>
      </c>
      <c r="HX7">
        <v>13.100901096999999</v>
      </c>
      <c r="HY7">
        <v>-25.806451612899998</v>
      </c>
      <c r="HZ7">
        <v>-176</v>
      </c>
      <c r="IA7">
        <v>430.74230810979998</v>
      </c>
      <c r="IB7">
        <v>89.149560117299998</v>
      </c>
      <c r="IC7">
        <v>608</v>
      </c>
      <c r="ID7">
        <v>29.757691891299999</v>
      </c>
      <c r="IE7">
        <v>1.0016936273999999</v>
      </c>
      <c r="IF7">
        <v>-35.190615835800003</v>
      </c>
      <c r="IG7">
        <v>-240</v>
      </c>
      <c r="IH7">
        <v>455.04618391090003</v>
      </c>
      <c r="II7">
        <v>98.533724340199996</v>
      </c>
      <c r="IJ7">
        <v>672</v>
      </c>
      <c r="IK7">
        <v>417.64140701280002</v>
      </c>
      <c r="IL7">
        <v>114.9560117302</v>
      </c>
      <c r="IM7">
        <v>441.95276300069997</v>
      </c>
      <c r="IN7">
        <v>124.3401759531</v>
      </c>
      <c r="IO7">
        <v>8.4000000006000004</v>
      </c>
      <c r="IP7">
        <v>6.1000000004999997</v>
      </c>
      <c r="IQ7">
        <v>9.6999999986999992</v>
      </c>
      <c r="IR7">
        <v>2.8658413282000001</v>
      </c>
      <c r="IS7">
        <v>2.8658413282000001</v>
      </c>
      <c r="IT7">
        <v>9.5000000001</v>
      </c>
      <c r="IU7">
        <v>-28.152492668600001</v>
      </c>
      <c r="IV7">
        <v>11.9000000013</v>
      </c>
      <c r="IW7">
        <v>72.727272727300004</v>
      </c>
      <c r="IX7">
        <v>7.7000000001000002</v>
      </c>
      <c r="IY7">
        <v>96.187683284499997</v>
      </c>
      <c r="IZ7">
        <v>-29.5970289513</v>
      </c>
      <c r="JA7">
        <v>0.30601183459999998</v>
      </c>
      <c r="JB7">
        <v>-2.473668E-4</v>
      </c>
      <c r="JC7">
        <v>4.1040000000000002E-7</v>
      </c>
      <c r="JD7">
        <v>0.26839986329999999</v>
      </c>
      <c r="JE7">
        <v>0.20203463399999999</v>
      </c>
      <c r="JF7">
        <v>8.7563155000000004E-2</v>
      </c>
      <c r="JG7">
        <v>104.0659785491</v>
      </c>
      <c r="JH7">
        <v>3.7418105911000001</v>
      </c>
      <c r="JI7">
        <v>5.6262365999999999E-3</v>
      </c>
      <c r="JJ7">
        <v>-7.3434699999999997E-5</v>
      </c>
      <c r="JK7">
        <v>3.7257843124000001</v>
      </c>
      <c r="JL7">
        <v>0.65388598880000004</v>
      </c>
      <c r="JM7">
        <v>0.28840020649999998</v>
      </c>
      <c r="JN7" t="s">
        <v>538</v>
      </c>
      <c r="JQ7">
        <v>1</v>
      </c>
    </row>
    <row r="8" spans="1:277">
      <c r="A8" t="s">
        <v>616</v>
      </c>
      <c r="B8" t="s">
        <v>617</v>
      </c>
      <c r="C8" t="s">
        <v>211</v>
      </c>
      <c r="D8">
        <v>3</v>
      </c>
      <c r="E8" t="s">
        <v>212</v>
      </c>
      <c r="F8" t="s">
        <v>213</v>
      </c>
      <c r="G8" t="s">
        <v>537</v>
      </c>
      <c r="H8" t="s">
        <v>215</v>
      </c>
      <c r="J8" t="s">
        <v>590</v>
      </c>
      <c r="K8" t="s">
        <v>591</v>
      </c>
      <c r="L8" t="s">
        <v>592</v>
      </c>
      <c r="M8" t="s">
        <v>593</v>
      </c>
      <c r="N8" t="s">
        <v>594</v>
      </c>
      <c r="O8">
        <v>0</v>
      </c>
      <c r="P8">
        <v>0</v>
      </c>
      <c r="Q8">
        <v>0</v>
      </c>
      <c r="R8">
        <v>0.40000000079999998</v>
      </c>
      <c r="S8">
        <v>0.50000000010000001</v>
      </c>
      <c r="T8">
        <v>0.50000000010000001</v>
      </c>
      <c r="U8">
        <v>0.50000000010000001</v>
      </c>
      <c r="V8">
        <v>0.40000000079999998</v>
      </c>
      <c r="W8">
        <v>0.50000000010000001</v>
      </c>
      <c r="X8">
        <v>0.60000000119999997</v>
      </c>
      <c r="Y8">
        <v>0.60000000119999997</v>
      </c>
      <c r="Z8">
        <v>0.7000000005</v>
      </c>
      <c r="AA8">
        <v>0.60000000119999997</v>
      </c>
      <c r="AB8">
        <v>0.60000000119999997</v>
      </c>
      <c r="AC8">
        <v>0.7000000005</v>
      </c>
      <c r="AD8">
        <v>0.7000000005</v>
      </c>
      <c r="AE8">
        <v>0.90000000089999999</v>
      </c>
      <c r="AF8">
        <v>0.80000000159999995</v>
      </c>
      <c r="AG8">
        <v>0.7000000005</v>
      </c>
      <c r="AH8">
        <v>0.90000000089999999</v>
      </c>
      <c r="AI8">
        <v>1.1000000013</v>
      </c>
      <c r="AJ8">
        <v>1.7000000007</v>
      </c>
      <c r="AK8">
        <v>4.1000000000999997</v>
      </c>
      <c r="AL8">
        <v>10.1000000013</v>
      </c>
      <c r="AM8">
        <v>17.500000001699998</v>
      </c>
      <c r="AN8">
        <v>25.000000001499998</v>
      </c>
      <c r="AO8">
        <v>33.300000001000001</v>
      </c>
      <c r="AP8">
        <v>41.5000000012</v>
      </c>
      <c r="AQ8">
        <v>50.000000001099998</v>
      </c>
      <c r="AR8">
        <v>58.700000001399999</v>
      </c>
      <c r="AS8">
        <v>66.700000001199996</v>
      </c>
      <c r="AT8">
        <v>74.800000000300003</v>
      </c>
      <c r="AU8">
        <v>83.600000001799998</v>
      </c>
      <c r="AV8">
        <v>92.100000001699996</v>
      </c>
      <c r="AW8">
        <v>102.40000000160001</v>
      </c>
      <c r="AX8">
        <v>112.1000000003</v>
      </c>
      <c r="AY8">
        <v>120.7000000013</v>
      </c>
      <c r="AZ8">
        <v>129.30000000050001</v>
      </c>
      <c r="BA8">
        <v>137.90000000149999</v>
      </c>
      <c r="BB8">
        <v>147.30000000050001</v>
      </c>
      <c r="BC8">
        <v>157.00000000110001</v>
      </c>
      <c r="BD8">
        <v>165.70000000140001</v>
      </c>
      <c r="BE8">
        <v>174.30000000059999</v>
      </c>
      <c r="BF8">
        <v>183.30000000059999</v>
      </c>
      <c r="BG8">
        <v>192.0000000009</v>
      </c>
      <c r="BH8">
        <v>201.70000000140001</v>
      </c>
      <c r="BI8">
        <v>211.1000000004</v>
      </c>
      <c r="BJ8">
        <v>219.7000000015</v>
      </c>
      <c r="BK8">
        <v>228.30000000070001</v>
      </c>
      <c r="BL8">
        <v>236.90000000169999</v>
      </c>
      <c r="BM8">
        <v>246.10000000030001</v>
      </c>
      <c r="BN8">
        <v>255.8000000008</v>
      </c>
      <c r="BO8">
        <v>264.80000000080003</v>
      </c>
      <c r="BP8">
        <v>273.20000000149997</v>
      </c>
      <c r="BQ8">
        <v>281.80000000069998</v>
      </c>
      <c r="BR8">
        <v>289.80000000050001</v>
      </c>
      <c r="BS8">
        <v>299.2000000013</v>
      </c>
      <c r="BT8">
        <v>308.60000000029999</v>
      </c>
      <c r="BU8">
        <v>317.1000000002</v>
      </c>
      <c r="BV8">
        <v>325.20000000110002</v>
      </c>
      <c r="BW8">
        <v>333.20000000089999</v>
      </c>
      <c r="BX8">
        <v>341.2000000008</v>
      </c>
      <c r="BY8">
        <v>349.40000000100002</v>
      </c>
      <c r="BZ8">
        <v>358.00000000019998</v>
      </c>
      <c r="CA8">
        <v>366.80000000159998</v>
      </c>
      <c r="CB8">
        <v>374.50000000170002</v>
      </c>
      <c r="CC8">
        <v>381.50000000130001</v>
      </c>
      <c r="CD8">
        <v>388.6000000002</v>
      </c>
      <c r="CE8">
        <v>396.70000000110002</v>
      </c>
      <c r="CF8">
        <v>404.50000000059998</v>
      </c>
      <c r="CG8">
        <v>412.9000000012</v>
      </c>
      <c r="CH8">
        <v>420.20000000049998</v>
      </c>
      <c r="CI8">
        <v>427.30000000119998</v>
      </c>
      <c r="CJ8">
        <v>434.40000000010002</v>
      </c>
      <c r="CK8">
        <v>439.3</v>
      </c>
      <c r="CL8">
        <v>445.30000000119998</v>
      </c>
      <c r="CM8">
        <v>451.50000000099999</v>
      </c>
      <c r="CN8">
        <v>456.60000000129997</v>
      </c>
      <c r="CO8">
        <v>461.30000000080003</v>
      </c>
      <c r="CP8">
        <v>461.30000000080003</v>
      </c>
      <c r="CQ8">
        <v>461.50000000130001</v>
      </c>
      <c r="CR8">
        <v>461.40000000010002</v>
      </c>
      <c r="CS8">
        <v>461.30000000080003</v>
      </c>
      <c r="CT8">
        <v>461.40000000010002</v>
      </c>
      <c r="CU8">
        <v>461.30000000080003</v>
      </c>
      <c r="CV8">
        <v>461.40000000010002</v>
      </c>
      <c r="CW8">
        <v>461.30000000080003</v>
      </c>
      <c r="CX8">
        <v>461.50000000130001</v>
      </c>
      <c r="CY8">
        <v>461.30000000080003</v>
      </c>
      <c r="CZ8">
        <v>461.40000000010002</v>
      </c>
      <c r="DA8">
        <v>461.40000000010002</v>
      </c>
      <c r="DB8">
        <v>461.60000000050002</v>
      </c>
      <c r="DC8">
        <v>461.30000000080003</v>
      </c>
      <c r="DD8">
        <v>461.40000000010002</v>
      </c>
      <c r="DE8">
        <v>461.30000000080003</v>
      </c>
      <c r="DF8">
        <v>461.30000000080003</v>
      </c>
      <c r="DG8">
        <v>0.60000000119999997</v>
      </c>
      <c r="DH8">
        <v>1.0000000002</v>
      </c>
      <c r="DI8">
        <v>1.2000000006</v>
      </c>
      <c r="DJ8">
        <v>1.400000001</v>
      </c>
      <c r="DK8">
        <v>1.400000001</v>
      </c>
      <c r="DL8">
        <v>1.1000000013</v>
      </c>
      <c r="DM8">
        <v>1.3000000017</v>
      </c>
      <c r="DN8">
        <v>1.400000001</v>
      </c>
      <c r="DO8">
        <v>1.400000001</v>
      </c>
      <c r="DP8">
        <v>1.3000000017</v>
      </c>
      <c r="DQ8">
        <v>1.3000000017</v>
      </c>
      <c r="DR8">
        <v>1.2000000006</v>
      </c>
      <c r="DS8">
        <v>1.2000000006</v>
      </c>
      <c r="DT8">
        <v>1.3000000017</v>
      </c>
      <c r="DU8">
        <v>1.2000000006</v>
      </c>
      <c r="DV8">
        <v>1.3000000017</v>
      </c>
      <c r="DW8">
        <v>1.3000000017</v>
      </c>
      <c r="DX8">
        <v>1.5000000003</v>
      </c>
      <c r="DY8">
        <v>1.9000000011</v>
      </c>
      <c r="DZ8">
        <v>4.4000000015999996</v>
      </c>
      <c r="EA8">
        <v>10.700000000699999</v>
      </c>
      <c r="EB8">
        <v>17.800000001400001</v>
      </c>
      <c r="EC8">
        <v>25.700000000100001</v>
      </c>
      <c r="ED8">
        <v>33.100000000599998</v>
      </c>
      <c r="EE8">
        <v>41.900000000200002</v>
      </c>
      <c r="EF8">
        <v>50.100000000400001</v>
      </c>
      <c r="EG8">
        <v>58.4000000017</v>
      </c>
      <c r="EH8">
        <v>66.600000000099996</v>
      </c>
      <c r="EI8">
        <v>74.500000000599996</v>
      </c>
      <c r="EJ8">
        <v>82.3</v>
      </c>
      <c r="EK8">
        <v>92.100000001699996</v>
      </c>
      <c r="EL8">
        <v>101.3000000003</v>
      </c>
      <c r="EM8">
        <v>110.9000000015</v>
      </c>
      <c r="EN8">
        <v>120.2000000012</v>
      </c>
      <c r="EO8">
        <v>128.80000000039999</v>
      </c>
      <c r="EP8">
        <v>137.5000000007</v>
      </c>
      <c r="EQ8">
        <v>147.30000000050001</v>
      </c>
      <c r="ER8">
        <v>156.30000000059999</v>
      </c>
      <c r="ES8">
        <v>165.30000000059999</v>
      </c>
      <c r="ET8">
        <v>174.0000000009</v>
      </c>
      <c r="EU8">
        <v>182.1</v>
      </c>
      <c r="EV8">
        <v>191.70000000120001</v>
      </c>
      <c r="EW8">
        <v>201.50000000099999</v>
      </c>
      <c r="EX8">
        <v>211.00000000110001</v>
      </c>
      <c r="EY8">
        <v>219.7000000015</v>
      </c>
      <c r="EZ8">
        <v>228.20000000140001</v>
      </c>
      <c r="FA8">
        <v>236.5000000009</v>
      </c>
      <c r="FB8">
        <v>246.20000000140001</v>
      </c>
      <c r="FC8">
        <v>255.90000000009999</v>
      </c>
      <c r="FD8">
        <v>264.90000000010002</v>
      </c>
      <c r="FE8">
        <v>273.50000000109998</v>
      </c>
      <c r="FF8">
        <v>282.00000000109998</v>
      </c>
      <c r="FG8">
        <v>290.1000000002</v>
      </c>
      <c r="FH8">
        <v>299.0000000009</v>
      </c>
      <c r="FI8">
        <v>308.70000000139999</v>
      </c>
      <c r="FJ8">
        <v>317.2000000013</v>
      </c>
      <c r="FK8">
        <v>325.60000000010001</v>
      </c>
      <c r="FL8">
        <v>333.20000000089999</v>
      </c>
      <c r="FM8">
        <v>341.70000000089999</v>
      </c>
      <c r="FN8">
        <v>350.10000000150001</v>
      </c>
      <c r="FO8">
        <v>359.3000000001</v>
      </c>
      <c r="FP8">
        <v>367.10000000129997</v>
      </c>
      <c r="FQ8">
        <v>375.1000000011</v>
      </c>
      <c r="FR8">
        <v>382.70000000009998</v>
      </c>
      <c r="FS8">
        <v>389.70000000149997</v>
      </c>
      <c r="FT8">
        <v>397.70000000139999</v>
      </c>
      <c r="FU8">
        <v>405.50000000080001</v>
      </c>
      <c r="FV8">
        <v>413.60000000169998</v>
      </c>
      <c r="FW8">
        <v>420.80000000170003</v>
      </c>
      <c r="FX8">
        <v>428.00000000170002</v>
      </c>
      <c r="FY8">
        <v>434.40000000010002</v>
      </c>
      <c r="FZ8">
        <v>439.20000000070002</v>
      </c>
      <c r="GA8">
        <v>445.20000000009998</v>
      </c>
      <c r="GB8">
        <v>451.1000000002</v>
      </c>
      <c r="GC8">
        <v>456.60000000129997</v>
      </c>
      <c r="GD8">
        <v>460.50000000099999</v>
      </c>
      <c r="GE8">
        <v>461.30000000080003</v>
      </c>
      <c r="GF8">
        <v>461.40000000010002</v>
      </c>
      <c r="GG8">
        <v>461.50000000130001</v>
      </c>
      <c r="GH8">
        <v>461.50000000130001</v>
      </c>
      <c r="GI8">
        <v>461.60000000050002</v>
      </c>
      <c r="GJ8">
        <v>461.40000000010002</v>
      </c>
      <c r="GK8">
        <v>461.30000000080003</v>
      </c>
      <c r="GL8">
        <v>461.30000000080003</v>
      </c>
      <c r="GM8">
        <v>461.40000000010002</v>
      </c>
      <c r="GN8">
        <v>461.50000000130001</v>
      </c>
      <c r="GO8">
        <v>461.40000000010002</v>
      </c>
      <c r="GP8">
        <v>461.40000000010002</v>
      </c>
      <c r="GQ8">
        <v>461.30000000080003</v>
      </c>
      <c r="GR8">
        <v>461.40000000010002</v>
      </c>
      <c r="GS8">
        <v>461.50000000130001</v>
      </c>
      <c r="GT8">
        <v>461.50000000130001</v>
      </c>
      <c r="GU8">
        <v>461.50000000130001</v>
      </c>
      <c r="GV8">
        <v>461.30000000080003</v>
      </c>
      <c r="GW8">
        <v>1</v>
      </c>
      <c r="GX8">
        <v>105.2999999993</v>
      </c>
      <c r="GY8">
        <v>102.40000000160001</v>
      </c>
      <c r="GZ8">
        <v>102.40000000160001</v>
      </c>
      <c r="HA8">
        <v>110.9000000015</v>
      </c>
      <c r="HB8">
        <v>104.36430119329999</v>
      </c>
      <c r="HC8">
        <v>-8.4999999999</v>
      </c>
      <c r="HD8">
        <v>461.30000000080003</v>
      </c>
      <c r="HE8">
        <v>329.56416034530002</v>
      </c>
      <c r="HF8">
        <v>86.480509209000004</v>
      </c>
      <c r="HG8">
        <v>461.60000000050002</v>
      </c>
      <c r="HH8">
        <v>461.59996749779998</v>
      </c>
      <c r="HI8">
        <v>461.60000000050002</v>
      </c>
      <c r="HJ8">
        <v>461.60000000050002</v>
      </c>
      <c r="HK8">
        <v>103.22580645159999</v>
      </c>
      <c r="HL8">
        <v>3.7830806958999998</v>
      </c>
      <c r="HM8">
        <v>3.7052188054999999</v>
      </c>
      <c r="HN8">
        <v>3.7157619687999999</v>
      </c>
      <c r="HO8">
        <v>3.5455452656999999</v>
      </c>
      <c r="HP8">
        <v>3.8539969251000001</v>
      </c>
      <c r="HQ8">
        <v>3.0148249731000001</v>
      </c>
      <c r="HR8">
        <v>17.883791984399998</v>
      </c>
      <c r="HS8">
        <v>-23.460410557199999</v>
      </c>
      <c r="HT8">
        <v>-160</v>
      </c>
      <c r="HU8">
        <v>433.9284615386</v>
      </c>
      <c r="HV8">
        <v>89.149560117299998</v>
      </c>
      <c r="HW8">
        <v>608</v>
      </c>
      <c r="HX8">
        <v>17.883791984399998</v>
      </c>
      <c r="HY8">
        <v>-23.460410557199999</v>
      </c>
      <c r="HZ8">
        <v>-160</v>
      </c>
      <c r="IA8">
        <v>433.9284615386</v>
      </c>
      <c r="IB8">
        <v>89.149560117299998</v>
      </c>
      <c r="IC8">
        <v>608</v>
      </c>
      <c r="ID8">
        <v>27.671505959200001</v>
      </c>
      <c r="IE8">
        <v>1.1026002180000001</v>
      </c>
      <c r="IF8">
        <v>-32.844574780099997</v>
      </c>
      <c r="IG8">
        <v>-224</v>
      </c>
      <c r="IH8">
        <v>456.51767064059999</v>
      </c>
      <c r="II8">
        <v>98.533724340199996</v>
      </c>
      <c r="IJ8">
        <v>672</v>
      </c>
      <c r="IK8">
        <v>416.04466955430001</v>
      </c>
      <c r="IL8">
        <v>112.6099706745</v>
      </c>
      <c r="IM8">
        <v>440.74807150589999</v>
      </c>
      <c r="IN8">
        <v>121.9941348974</v>
      </c>
      <c r="IO8">
        <v>7.4000000004000004</v>
      </c>
      <c r="IP8">
        <v>6.1999999998000002</v>
      </c>
      <c r="IQ8">
        <v>10.299999999900001</v>
      </c>
      <c r="IR8">
        <v>3.4482099163000002</v>
      </c>
      <c r="IS8">
        <v>3.4482099163000002</v>
      </c>
      <c r="IT8">
        <v>7.7000000001000002</v>
      </c>
      <c r="IU8">
        <v>-25.806451612899998</v>
      </c>
      <c r="IV8">
        <v>9.8999999991000003</v>
      </c>
      <c r="IW8">
        <v>65.689149560100006</v>
      </c>
      <c r="IX8">
        <v>5.9000000001000004</v>
      </c>
      <c r="IY8">
        <v>93.841642228699996</v>
      </c>
      <c r="IZ8">
        <v>-28.382921584200002</v>
      </c>
      <c r="JA8">
        <v>0.28973265419999999</v>
      </c>
      <c r="JB8">
        <v>-2.0009180000000001E-4</v>
      </c>
      <c r="JC8">
        <v>3.5810000000000001E-7</v>
      </c>
      <c r="JD8">
        <v>0.26433483200000002</v>
      </c>
      <c r="JE8">
        <v>0.30331866740000002</v>
      </c>
      <c r="JF8">
        <v>0.13525916099999999</v>
      </c>
      <c r="JG8">
        <v>104.2249693194</v>
      </c>
      <c r="JH8">
        <v>3.8539969251000001</v>
      </c>
      <c r="JI8">
        <v>4.2237893E-3</v>
      </c>
      <c r="JJ8">
        <v>-6.6781599999999998E-5</v>
      </c>
      <c r="JK8">
        <v>3.7830806958999998</v>
      </c>
      <c r="JL8">
        <v>1.2560289421999999</v>
      </c>
      <c r="JM8">
        <v>0.49829480929999997</v>
      </c>
      <c r="JN8" t="s">
        <v>538</v>
      </c>
      <c r="JQ8">
        <v>1</v>
      </c>
    </row>
    <row r="9" spans="1:277">
      <c r="A9" t="s">
        <v>618</v>
      </c>
      <c r="B9" t="s">
        <v>619</v>
      </c>
      <c r="C9" t="s">
        <v>211</v>
      </c>
      <c r="D9">
        <v>3</v>
      </c>
      <c r="E9" t="s">
        <v>212</v>
      </c>
      <c r="F9" t="s">
        <v>213</v>
      </c>
      <c r="G9" t="s">
        <v>537</v>
      </c>
      <c r="H9" t="s">
        <v>215</v>
      </c>
      <c r="J9" t="s">
        <v>597</v>
      </c>
      <c r="K9" t="s">
        <v>598</v>
      </c>
      <c r="L9" t="s">
        <v>599</v>
      </c>
      <c r="M9" t="s">
        <v>600</v>
      </c>
      <c r="N9" t="s">
        <v>601</v>
      </c>
      <c r="O9">
        <v>0</v>
      </c>
      <c r="P9">
        <v>0</v>
      </c>
      <c r="Q9">
        <v>0</v>
      </c>
      <c r="R9">
        <v>0.29999999970000002</v>
      </c>
      <c r="S9">
        <v>0.79999999980000003</v>
      </c>
      <c r="T9">
        <v>0.50000000010000001</v>
      </c>
      <c r="U9">
        <v>0.59999999940000004</v>
      </c>
      <c r="V9">
        <v>0.40000000079999998</v>
      </c>
      <c r="W9">
        <v>0.50000000010000001</v>
      </c>
      <c r="X9">
        <v>0.50000000010000001</v>
      </c>
      <c r="Y9">
        <v>0.7000000005</v>
      </c>
      <c r="Z9">
        <v>0.89999999909999995</v>
      </c>
      <c r="AA9">
        <v>0.50000000010000001</v>
      </c>
      <c r="AB9">
        <v>0.59999999940000004</v>
      </c>
      <c r="AC9">
        <v>0.7000000005</v>
      </c>
      <c r="AD9">
        <v>1.0999999995</v>
      </c>
      <c r="AE9">
        <v>1.0000000002</v>
      </c>
      <c r="AF9">
        <v>1.0999999995</v>
      </c>
      <c r="AG9">
        <v>1.0999999995</v>
      </c>
      <c r="AH9">
        <v>1.0000000002</v>
      </c>
      <c r="AI9">
        <v>1.2000000006</v>
      </c>
      <c r="AJ9">
        <v>0.59999999940000004</v>
      </c>
      <c r="AK9">
        <v>1.8</v>
      </c>
      <c r="AL9">
        <v>4.6000000001999997</v>
      </c>
      <c r="AM9">
        <v>12.0000000006</v>
      </c>
      <c r="AN9">
        <v>20.0000000004</v>
      </c>
      <c r="AO9">
        <v>27.799999999800001</v>
      </c>
      <c r="AP9">
        <v>35.5</v>
      </c>
      <c r="AQ9">
        <v>43.799999999500002</v>
      </c>
      <c r="AR9">
        <v>52.499999999800004</v>
      </c>
      <c r="AS9">
        <v>60.999999999700002</v>
      </c>
      <c r="AT9">
        <v>69.499999999600007</v>
      </c>
      <c r="AU9">
        <v>78.299999999199997</v>
      </c>
      <c r="AV9">
        <v>86.499999999400004</v>
      </c>
      <c r="AW9">
        <v>95.699999999900001</v>
      </c>
      <c r="AX9">
        <v>105.7000000001</v>
      </c>
      <c r="AY9">
        <v>115.20000000020001</v>
      </c>
      <c r="AZ9">
        <v>123.7000000001</v>
      </c>
      <c r="BA9">
        <v>132.49999999970001</v>
      </c>
      <c r="BB9">
        <v>140.6999999999</v>
      </c>
      <c r="BC9">
        <v>149.99999999959999</v>
      </c>
      <c r="BD9">
        <v>159.4999999998</v>
      </c>
      <c r="BE9">
        <v>168.90000000059999</v>
      </c>
      <c r="BF9">
        <v>177.59999999909999</v>
      </c>
      <c r="BG9">
        <v>186.70000000019999</v>
      </c>
      <c r="BH9">
        <v>195.2000000001</v>
      </c>
      <c r="BI9">
        <v>204.4999999998</v>
      </c>
      <c r="BJ9">
        <v>213.79999999949999</v>
      </c>
      <c r="BK9">
        <v>223.2000000004</v>
      </c>
      <c r="BL9">
        <v>232</v>
      </c>
      <c r="BM9">
        <v>240.49999999990001</v>
      </c>
      <c r="BN9">
        <v>249.20000000019999</v>
      </c>
      <c r="BO9">
        <v>258.59999999920001</v>
      </c>
      <c r="BP9">
        <v>267.9000000007</v>
      </c>
      <c r="BQ9">
        <v>276.70000000030001</v>
      </c>
      <c r="BR9">
        <v>285.5</v>
      </c>
      <c r="BS9">
        <v>293.70000000020002</v>
      </c>
      <c r="BT9">
        <v>302.70000000020002</v>
      </c>
      <c r="BU9">
        <v>311.49999999980002</v>
      </c>
      <c r="BV9">
        <v>320.49999999980002</v>
      </c>
      <c r="BW9">
        <v>328.99999999969998</v>
      </c>
      <c r="BX9">
        <v>337.7</v>
      </c>
      <c r="BY9">
        <v>345.19999999970003</v>
      </c>
      <c r="BZ9">
        <v>353.19999999959998</v>
      </c>
      <c r="CA9">
        <v>362.19999999959998</v>
      </c>
      <c r="CB9">
        <v>370.30000000050001</v>
      </c>
      <c r="CC9">
        <v>378.19999999919997</v>
      </c>
      <c r="CD9">
        <v>386.2000000008</v>
      </c>
      <c r="CE9">
        <v>393.70000000049998</v>
      </c>
      <c r="CF9">
        <v>400.90000000049997</v>
      </c>
      <c r="CG9">
        <v>408.4000000003</v>
      </c>
      <c r="CH9">
        <v>416.30000000080003</v>
      </c>
      <c r="CI9">
        <v>423.80000000050001</v>
      </c>
      <c r="CJ9">
        <v>431.50000000059998</v>
      </c>
      <c r="CK9">
        <v>438.70000000060003</v>
      </c>
      <c r="CL9">
        <v>442.99999999929997</v>
      </c>
      <c r="CM9">
        <v>448.39999999930001</v>
      </c>
      <c r="CN9">
        <v>454.20000000009998</v>
      </c>
      <c r="CO9">
        <v>458.69999999919997</v>
      </c>
      <c r="CP9">
        <v>458.80000000029997</v>
      </c>
      <c r="CQ9">
        <v>458.80000000029997</v>
      </c>
      <c r="CR9">
        <v>458.59999999989998</v>
      </c>
      <c r="CS9">
        <v>458.80000000029997</v>
      </c>
      <c r="CT9">
        <v>458.89999999960003</v>
      </c>
      <c r="CU9">
        <v>458.80000000029997</v>
      </c>
      <c r="CV9">
        <v>458.89999999960003</v>
      </c>
      <c r="CW9">
        <v>459.00000000070003</v>
      </c>
      <c r="CX9">
        <v>459.00000000070003</v>
      </c>
      <c r="CY9">
        <v>459.00000000070003</v>
      </c>
      <c r="CZ9">
        <v>459.1</v>
      </c>
      <c r="DA9">
        <v>459.1</v>
      </c>
      <c r="DB9">
        <v>459.1</v>
      </c>
      <c r="DC9">
        <v>459.19999999930002</v>
      </c>
      <c r="DD9">
        <v>459.19999999930002</v>
      </c>
      <c r="DE9">
        <v>459.1</v>
      </c>
      <c r="DF9">
        <v>459.1</v>
      </c>
      <c r="DG9">
        <v>0.79999999980000003</v>
      </c>
      <c r="DH9">
        <v>1.2999999999</v>
      </c>
      <c r="DI9">
        <v>1.3999999992000001</v>
      </c>
      <c r="DJ9">
        <v>1.5000000003</v>
      </c>
      <c r="DK9">
        <v>1.5000000003</v>
      </c>
      <c r="DL9">
        <v>1.2999999999</v>
      </c>
      <c r="DM9">
        <v>1.8999999993000001</v>
      </c>
      <c r="DN9">
        <v>1.5000000003</v>
      </c>
      <c r="DO9">
        <v>1.3999999992000001</v>
      </c>
      <c r="DP9">
        <v>1.7000000007</v>
      </c>
      <c r="DQ9">
        <v>1.7000000007</v>
      </c>
      <c r="DR9">
        <v>1.8999999993000001</v>
      </c>
      <c r="DS9">
        <v>1.5000000003</v>
      </c>
      <c r="DT9">
        <v>1.5000000003</v>
      </c>
      <c r="DU9">
        <v>1.5999999996000001</v>
      </c>
      <c r="DV9">
        <v>1.8999999993000001</v>
      </c>
      <c r="DW9">
        <v>1.8</v>
      </c>
      <c r="DX9">
        <v>1.5000000003</v>
      </c>
      <c r="DY9">
        <v>1.5000000003</v>
      </c>
      <c r="DZ9">
        <v>2.5000000005</v>
      </c>
      <c r="EA9">
        <v>4.4999999990999999</v>
      </c>
      <c r="EB9">
        <v>12.699999999299999</v>
      </c>
      <c r="EC9">
        <v>20.200000000799999</v>
      </c>
      <c r="ED9">
        <v>27.599999999400001</v>
      </c>
      <c r="EE9">
        <v>35.0999999991</v>
      </c>
      <c r="EF9">
        <v>43.4000000005</v>
      </c>
      <c r="EG9">
        <v>51.999999999700002</v>
      </c>
      <c r="EH9">
        <v>61.200000000099998</v>
      </c>
      <c r="EI9">
        <v>69.400000000299997</v>
      </c>
      <c r="EJ9">
        <v>77.100000000400001</v>
      </c>
      <c r="EK9">
        <v>85.6000000003</v>
      </c>
      <c r="EL9">
        <v>94.199999999499994</v>
      </c>
      <c r="EM9">
        <v>103.9999999994</v>
      </c>
      <c r="EN9">
        <v>114.2999999993</v>
      </c>
      <c r="EO9">
        <v>122.9000000003</v>
      </c>
      <c r="EP9">
        <v>131.60000000060001</v>
      </c>
      <c r="EQ9">
        <v>139.99999999939999</v>
      </c>
      <c r="ER9">
        <v>149.19999999980001</v>
      </c>
      <c r="ES9">
        <v>158.7999999992</v>
      </c>
      <c r="ET9">
        <v>168.2000000001</v>
      </c>
      <c r="EU9">
        <v>176.79999999930001</v>
      </c>
      <c r="EV9">
        <v>185.79999999930001</v>
      </c>
      <c r="EW9">
        <v>194.60000000069999</v>
      </c>
      <c r="EX9">
        <v>203.99999999970001</v>
      </c>
      <c r="EY9">
        <v>213.4999999998</v>
      </c>
      <c r="EZ9">
        <v>222.70000000030001</v>
      </c>
      <c r="FA9">
        <v>231.7999999996</v>
      </c>
      <c r="FB9">
        <v>240.09999999909999</v>
      </c>
      <c r="FC9">
        <v>248.9999999998</v>
      </c>
      <c r="FD9">
        <v>258.49999999990001</v>
      </c>
      <c r="FE9">
        <v>267.7999999996</v>
      </c>
      <c r="FF9">
        <v>276.40000000060002</v>
      </c>
      <c r="FG9">
        <v>285.2999999996</v>
      </c>
      <c r="FH9">
        <v>293.79999999950002</v>
      </c>
      <c r="FI9">
        <v>302.59999999910002</v>
      </c>
      <c r="FJ9">
        <v>311.49999999980002</v>
      </c>
      <c r="FK9">
        <v>320.59999999910002</v>
      </c>
      <c r="FL9">
        <v>328.99999999969998</v>
      </c>
      <c r="FM9">
        <v>337.4000000003</v>
      </c>
      <c r="FN9">
        <v>345.40000000020001</v>
      </c>
      <c r="FO9">
        <v>353.60000000039997</v>
      </c>
      <c r="FP9">
        <v>362.19999999959998</v>
      </c>
      <c r="FQ9">
        <v>370.69999999949999</v>
      </c>
      <c r="FR9">
        <v>378.69999999930002</v>
      </c>
      <c r="FS9">
        <v>386.69999999909999</v>
      </c>
      <c r="FT9">
        <v>393.89999999909998</v>
      </c>
      <c r="FU9">
        <v>401.49999999990001</v>
      </c>
      <c r="FV9">
        <v>409.20000000009998</v>
      </c>
      <c r="FW9">
        <v>417.60000000069999</v>
      </c>
      <c r="FX9">
        <v>424.69999999959998</v>
      </c>
      <c r="FY9">
        <v>432.1</v>
      </c>
      <c r="FZ9">
        <v>438.59999999950003</v>
      </c>
      <c r="GA9">
        <v>443.19999999970003</v>
      </c>
      <c r="GB9">
        <v>448.09999999960002</v>
      </c>
      <c r="GC9">
        <v>453.49999999959999</v>
      </c>
      <c r="GD9">
        <v>458.50000000059998</v>
      </c>
      <c r="GE9">
        <v>458.89999999960003</v>
      </c>
      <c r="GF9">
        <v>459.1</v>
      </c>
      <c r="GG9">
        <v>459.00000000070003</v>
      </c>
      <c r="GH9">
        <v>458.89999999960003</v>
      </c>
      <c r="GI9">
        <v>458.89999999960003</v>
      </c>
      <c r="GJ9">
        <v>458.80000000029997</v>
      </c>
      <c r="GK9">
        <v>459.00000000070003</v>
      </c>
      <c r="GL9">
        <v>458.89999999960003</v>
      </c>
      <c r="GM9">
        <v>459.00000000070003</v>
      </c>
      <c r="GN9">
        <v>459.00000000070003</v>
      </c>
      <c r="GO9">
        <v>458.89999999960003</v>
      </c>
      <c r="GP9">
        <v>459.1</v>
      </c>
      <c r="GQ9">
        <v>459.19999999930002</v>
      </c>
      <c r="GR9">
        <v>459.19999999930002</v>
      </c>
      <c r="GS9">
        <v>459.1</v>
      </c>
      <c r="GT9">
        <v>459.1</v>
      </c>
      <c r="GU9">
        <v>459.1</v>
      </c>
      <c r="GV9">
        <v>459.19999999930002</v>
      </c>
      <c r="GW9">
        <v>1</v>
      </c>
      <c r="GX9">
        <v>98.600000001200002</v>
      </c>
      <c r="GY9">
        <v>95.699999999900001</v>
      </c>
      <c r="GZ9">
        <v>95.699999999900001</v>
      </c>
      <c r="HA9">
        <v>103.9999999994</v>
      </c>
      <c r="HB9">
        <v>97.5049765869</v>
      </c>
      <c r="HC9">
        <v>-8.2999999995000007</v>
      </c>
      <c r="HD9">
        <v>459.19999999930002</v>
      </c>
      <c r="HE9">
        <v>326.48793422620003</v>
      </c>
      <c r="HF9">
        <v>77.111031252800004</v>
      </c>
      <c r="HG9">
        <v>459.19999999930002</v>
      </c>
      <c r="HH9">
        <v>459.19999999930002</v>
      </c>
      <c r="HI9">
        <v>459.19999999930002</v>
      </c>
      <c r="HJ9">
        <v>459.19999999930002</v>
      </c>
      <c r="HK9">
        <v>100.87976539589999</v>
      </c>
      <c r="HL9">
        <v>3.8169467564000001</v>
      </c>
      <c r="HM9">
        <v>3.7291873086999998</v>
      </c>
      <c r="HN9">
        <v>3.7510185085000001</v>
      </c>
      <c r="HO9">
        <v>3.565583776</v>
      </c>
      <c r="HP9">
        <v>3.8468493702000002</v>
      </c>
      <c r="HQ9">
        <v>3.1630080395000002</v>
      </c>
      <c r="HR9">
        <v>20.393945334200001</v>
      </c>
      <c r="HS9">
        <v>-21.114369501500001</v>
      </c>
      <c r="HT9">
        <v>-144</v>
      </c>
      <c r="HU9">
        <v>423.99291081310002</v>
      </c>
      <c r="HV9">
        <v>86.803519061599999</v>
      </c>
      <c r="HW9">
        <v>592</v>
      </c>
      <c r="HX9">
        <v>20.393945334200001</v>
      </c>
      <c r="HY9">
        <v>-21.114369501500001</v>
      </c>
      <c r="HZ9">
        <v>-144</v>
      </c>
      <c r="IA9">
        <v>423.99291081310002</v>
      </c>
      <c r="IB9">
        <v>86.803519061599999</v>
      </c>
      <c r="IC9">
        <v>592</v>
      </c>
      <c r="ID9">
        <v>35.207089186200001</v>
      </c>
      <c r="IE9">
        <v>0.60641402529999999</v>
      </c>
      <c r="IF9">
        <v>-30.4985337243</v>
      </c>
      <c r="IG9">
        <v>-208</v>
      </c>
      <c r="IH9">
        <v>447.94893825510002</v>
      </c>
      <c r="II9">
        <v>96.187683284499997</v>
      </c>
      <c r="IJ9">
        <v>656</v>
      </c>
      <c r="IK9">
        <v>403.59896547900001</v>
      </c>
      <c r="IL9">
        <v>107.91788856300001</v>
      </c>
      <c r="IM9">
        <v>433.47473592450001</v>
      </c>
      <c r="IN9">
        <v>117.3020527859</v>
      </c>
      <c r="IO9">
        <v>8.2000000001999993</v>
      </c>
      <c r="IP9">
        <v>6.4999999995</v>
      </c>
      <c r="IQ9">
        <v>10.299999999900001</v>
      </c>
      <c r="IR9">
        <v>2.8277454218</v>
      </c>
      <c r="IS9">
        <v>2.8277454218</v>
      </c>
      <c r="IT9">
        <v>8.2000000001999993</v>
      </c>
      <c r="IU9">
        <v>-23.460410557199999</v>
      </c>
      <c r="IV9">
        <v>9.2999999997000007</v>
      </c>
      <c r="IW9">
        <v>39.8826979472</v>
      </c>
      <c r="IX9">
        <v>5.1000000002999997</v>
      </c>
      <c r="IY9">
        <v>96.187683284499997</v>
      </c>
      <c r="IZ9">
        <v>-26.684108013399999</v>
      </c>
      <c r="JA9">
        <v>0.2875885607</v>
      </c>
      <c r="JB9">
        <v>-1.8790650000000001E-4</v>
      </c>
      <c r="JC9">
        <v>3.3179999999999999E-7</v>
      </c>
      <c r="JD9">
        <v>0.26198950729999998</v>
      </c>
      <c r="JE9">
        <v>0.28138641209999998</v>
      </c>
      <c r="JF9">
        <v>0.1089405452</v>
      </c>
      <c r="JG9">
        <v>98.076469950399996</v>
      </c>
      <c r="JH9">
        <v>3.8468493702000002</v>
      </c>
      <c r="JI9">
        <v>4.5867017000000001E-3</v>
      </c>
      <c r="JJ9">
        <v>-6.5479099999999995E-5</v>
      </c>
      <c r="JK9">
        <v>3.8169467564000001</v>
      </c>
      <c r="JL9">
        <v>1.0625134476</v>
      </c>
      <c r="JM9">
        <v>0.3956672745</v>
      </c>
      <c r="JN9" t="s">
        <v>538</v>
      </c>
      <c r="JQ9">
        <v>1</v>
      </c>
    </row>
    <row r="10" spans="1:277">
      <c r="A10" t="s">
        <v>663</v>
      </c>
      <c r="B10" t="s">
        <v>664</v>
      </c>
      <c r="C10" t="s">
        <v>211</v>
      </c>
      <c r="D10">
        <v>3</v>
      </c>
      <c r="E10" t="s">
        <v>212</v>
      </c>
      <c r="F10" t="s">
        <v>213</v>
      </c>
      <c r="G10" t="s">
        <v>537</v>
      </c>
      <c r="H10" t="s">
        <v>215</v>
      </c>
      <c r="J10" t="s">
        <v>622</v>
      </c>
      <c r="K10" t="s">
        <v>623</v>
      </c>
      <c r="L10" t="s">
        <v>624</v>
      </c>
      <c r="M10" t="s">
        <v>625</v>
      </c>
      <c r="N10" t="s">
        <v>626</v>
      </c>
      <c r="O10">
        <v>0</v>
      </c>
      <c r="P10">
        <v>0</v>
      </c>
      <c r="Q10">
        <v>0</v>
      </c>
      <c r="R10">
        <v>0.1000000011</v>
      </c>
      <c r="S10">
        <v>0.1000000011</v>
      </c>
      <c r="T10">
        <v>0.40000000079999998</v>
      </c>
      <c r="U10">
        <v>0.40000000079999998</v>
      </c>
      <c r="V10">
        <v>0.20000000039999999</v>
      </c>
      <c r="W10">
        <v>0.3000000015</v>
      </c>
      <c r="X10">
        <v>0.20000000039999999</v>
      </c>
      <c r="Y10">
        <v>0.50000000010000001</v>
      </c>
      <c r="Z10">
        <v>0.60000000119999997</v>
      </c>
      <c r="AA10">
        <v>0.50000000010000001</v>
      </c>
      <c r="AB10">
        <v>0.40000000079999998</v>
      </c>
      <c r="AC10">
        <v>0.50000000010000001</v>
      </c>
      <c r="AD10">
        <v>0.3000000015</v>
      </c>
      <c r="AE10">
        <v>0.60000000119999997</v>
      </c>
      <c r="AF10">
        <v>0.80000000159999995</v>
      </c>
      <c r="AG10">
        <v>0.90000000089999999</v>
      </c>
      <c r="AH10">
        <v>0.80000000159999995</v>
      </c>
      <c r="AI10">
        <v>0.80000000159999995</v>
      </c>
      <c r="AJ10">
        <v>1.0000000002</v>
      </c>
      <c r="AK10">
        <v>6.4000000002000004</v>
      </c>
      <c r="AL10">
        <v>13.5000000009</v>
      </c>
      <c r="AM10">
        <v>20.9000000013</v>
      </c>
      <c r="AN10">
        <v>29.200000000900001</v>
      </c>
      <c r="AO10">
        <v>37.299999999999997</v>
      </c>
      <c r="AP10">
        <v>45.300000001599997</v>
      </c>
      <c r="AQ10">
        <v>53.300000001400001</v>
      </c>
      <c r="AR10">
        <v>61.5000000016</v>
      </c>
      <c r="AS10">
        <v>70.000000001499998</v>
      </c>
      <c r="AT10">
        <v>78.500000001399997</v>
      </c>
      <c r="AU10">
        <v>87.400000000299997</v>
      </c>
      <c r="AV10">
        <v>96.000000001399997</v>
      </c>
      <c r="AW10">
        <v>105.60000000079999</v>
      </c>
      <c r="AX10">
        <v>115.30000000130001</v>
      </c>
      <c r="AY10">
        <v>124.1000000009</v>
      </c>
      <c r="AZ10">
        <v>133.1000000009</v>
      </c>
      <c r="BA10">
        <v>142.20000000019999</v>
      </c>
      <c r="BB10">
        <v>151.20000000019999</v>
      </c>
      <c r="BC10">
        <v>159.99999999990001</v>
      </c>
      <c r="BD10">
        <v>168.5000000016</v>
      </c>
      <c r="BE10">
        <v>177.10000000080001</v>
      </c>
      <c r="BF10">
        <v>186.3000000012</v>
      </c>
      <c r="BG10">
        <v>195.6000000009</v>
      </c>
      <c r="BH10">
        <v>204.6000000009</v>
      </c>
      <c r="BI10">
        <v>213.2000000001</v>
      </c>
      <c r="BJ10">
        <v>222.0000000016</v>
      </c>
      <c r="BK10">
        <v>230.50000000150001</v>
      </c>
      <c r="BL10">
        <v>239.50000000150001</v>
      </c>
      <c r="BM10">
        <v>248.60000000080001</v>
      </c>
      <c r="BN10">
        <v>257.40000000039998</v>
      </c>
      <c r="BO10">
        <v>265.9000000003</v>
      </c>
      <c r="BP10">
        <v>274.6999999999</v>
      </c>
      <c r="BQ10">
        <v>283.1999999999</v>
      </c>
      <c r="BR10">
        <v>291.90000000020001</v>
      </c>
      <c r="BS10">
        <v>300.40000000010002</v>
      </c>
      <c r="BT10">
        <v>309.20000000149997</v>
      </c>
      <c r="BU10">
        <v>317.1000000002</v>
      </c>
      <c r="BV10">
        <v>325.30000000040002</v>
      </c>
      <c r="BW10">
        <v>333.40000000129999</v>
      </c>
      <c r="BX10">
        <v>341.60000000159999</v>
      </c>
      <c r="BY10">
        <v>349.70000000070002</v>
      </c>
      <c r="BZ10">
        <v>357.80000000159998</v>
      </c>
      <c r="CA10">
        <v>365.40000000060002</v>
      </c>
      <c r="CB10">
        <v>373.2</v>
      </c>
      <c r="CC10">
        <v>380.60000000039997</v>
      </c>
      <c r="CD10">
        <v>388.7000000013</v>
      </c>
      <c r="CE10">
        <v>395.70000000089999</v>
      </c>
      <c r="CF10">
        <v>403.40000000110001</v>
      </c>
      <c r="CG10">
        <v>410.7000000004</v>
      </c>
      <c r="CH10">
        <v>417.5000000014</v>
      </c>
      <c r="CI10">
        <v>424.60000000029999</v>
      </c>
      <c r="CJ10">
        <v>431.59999999989998</v>
      </c>
      <c r="CK10">
        <v>439.00000000030002</v>
      </c>
      <c r="CL10">
        <v>445.10000000079998</v>
      </c>
      <c r="CM10">
        <v>451.9</v>
      </c>
      <c r="CN10">
        <v>457.8000000001</v>
      </c>
      <c r="CO10">
        <v>463.00000000159997</v>
      </c>
      <c r="CP10">
        <v>462.7</v>
      </c>
      <c r="CQ10">
        <v>462.80000000119998</v>
      </c>
      <c r="CR10">
        <v>462.90000000039998</v>
      </c>
      <c r="CS10">
        <v>462.90000000039998</v>
      </c>
      <c r="CT10">
        <v>463.00000000159997</v>
      </c>
      <c r="CU10">
        <v>463.00000000159997</v>
      </c>
      <c r="CV10">
        <v>463.10000000079998</v>
      </c>
      <c r="CW10">
        <v>463.00000000159997</v>
      </c>
      <c r="CX10">
        <v>462.90000000039998</v>
      </c>
      <c r="CY10">
        <v>463.10000000079998</v>
      </c>
      <c r="CZ10">
        <v>463.10000000079998</v>
      </c>
      <c r="DA10">
        <v>463.10000000079998</v>
      </c>
      <c r="DB10">
        <v>463.30000000130002</v>
      </c>
      <c r="DC10">
        <v>463.10000000079998</v>
      </c>
      <c r="DD10">
        <v>463.20000000009998</v>
      </c>
      <c r="DE10">
        <v>463.30000000130002</v>
      </c>
      <c r="DF10">
        <v>463.10000000079998</v>
      </c>
      <c r="DG10">
        <v>0.20000000039999999</v>
      </c>
      <c r="DH10">
        <v>0.90000000089999999</v>
      </c>
      <c r="DI10">
        <v>1.1000000013</v>
      </c>
      <c r="DJ10">
        <v>1.1000000013</v>
      </c>
      <c r="DK10">
        <v>0.90000000089999999</v>
      </c>
      <c r="DL10">
        <v>0.80000000159999995</v>
      </c>
      <c r="DM10">
        <v>1.0000000002</v>
      </c>
      <c r="DN10">
        <v>1.0000000002</v>
      </c>
      <c r="DO10">
        <v>1.1000000013</v>
      </c>
      <c r="DP10">
        <v>1.2000000006</v>
      </c>
      <c r="DQ10">
        <v>1.2000000006</v>
      </c>
      <c r="DR10">
        <v>1.0000000002</v>
      </c>
      <c r="DS10">
        <v>1.1000000013</v>
      </c>
      <c r="DT10">
        <v>1.1000000013</v>
      </c>
      <c r="DU10">
        <v>1.400000001</v>
      </c>
      <c r="DV10">
        <v>1.5000000003</v>
      </c>
      <c r="DW10">
        <v>1.2000000006</v>
      </c>
      <c r="DX10">
        <v>1.5000000003</v>
      </c>
      <c r="DY10">
        <v>1.8</v>
      </c>
      <c r="DZ10">
        <v>7.2</v>
      </c>
      <c r="EA10">
        <v>14.6000000004</v>
      </c>
      <c r="EB10">
        <v>21.900000001599999</v>
      </c>
      <c r="EC10">
        <v>30.000000000699998</v>
      </c>
      <c r="ED10">
        <v>38.300000000200001</v>
      </c>
      <c r="EE10">
        <v>46.200000000700001</v>
      </c>
      <c r="EF10">
        <v>54.100000001200002</v>
      </c>
      <c r="EG10">
        <v>61.999999999899998</v>
      </c>
      <c r="EH10">
        <v>70.200000000100005</v>
      </c>
      <c r="EI10">
        <v>78.7</v>
      </c>
      <c r="EJ10">
        <v>87.400000000299997</v>
      </c>
      <c r="EK10">
        <v>95.900000000299997</v>
      </c>
      <c r="EL10">
        <v>104.60000000060001</v>
      </c>
      <c r="EM10">
        <v>114.5000000015</v>
      </c>
      <c r="EN10">
        <v>123.7000000001</v>
      </c>
      <c r="EO10">
        <v>132.8000000012</v>
      </c>
      <c r="EP10">
        <v>141.9000000005</v>
      </c>
      <c r="EQ10">
        <v>150.7000000001</v>
      </c>
      <c r="ER10">
        <v>159.6000000009</v>
      </c>
      <c r="ES10">
        <v>168.5000000016</v>
      </c>
      <c r="ET10">
        <v>177.5000000016</v>
      </c>
      <c r="EU10">
        <v>186.5000000016</v>
      </c>
      <c r="EV10">
        <v>195.80000000129999</v>
      </c>
      <c r="EW10">
        <v>204.6000000009</v>
      </c>
      <c r="EX10">
        <v>213.50000000169999</v>
      </c>
      <c r="EY10">
        <v>222.30000000129999</v>
      </c>
      <c r="EZ10">
        <v>231.30000000129999</v>
      </c>
      <c r="FA10">
        <v>240.40000000059999</v>
      </c>
      <c r="FB10">
        <v>249.60000000100001</v>
      </c>
      <c r="FC10">
        <v>258.20000000020002</v>
      </c>
      <c r="FD10">
        <v>267.10000000090002</v>
      </c>
      <c r="FE10">
        <v>275.70000000009998</v>
      </c>
      <c r="FF10">
        <v>285.5</v>
      </c>
      <c r="FG10">
        <v>293.20000000009998</v>
      </c>
      <c r="FH10">
        <v>302.00000000149998</v>
      </c>
      <c r="FI10">
        <v>310.80000000109999</v>
      </c>
      <c r="FJ10">
        <v>319.10000000060001</v>
      </c>
      <c r="FK10">
        <v>327.70000000160002</v>
      </c>
      <c r="FL10">
        <v>336.60000000050002</v>
      </c>
      <c r="FM10">
        <v>344.30000000069998</v>
      </c>
      <c r="FN10">
        <v>352.80000000059999</v>
      </c>
      <c r="FO10">
        <v>360.90000000150002</v>
      </c>
      <c r="FP10">
        <v>368.60000000159999</v>
      </c>
      <c r="FQ10">
        <v>376.60000000140002</v>
      </c>
      <c r="FR10">
        <v>384.2000000004</v>
      </c>
      <c r="FS10">
        <v>392.10000000090002</v>
      </c>
      <c r="FT10">
        <v>399.60000000060001</v>
      </c>
      <c r="FU10">
        <v>407.00000000109998</v>
      </c>
      <c r="FV10">
        <v>414.40000000150002</v>
      </c>
      <c r="FW10">
        <v>421.3</v>
      </c>
      <c r="FX10">
        <v>428.7000000004</v>
      </c>
      <c r="FY10">
        <v>435.4000000003</v>
      </c>
      <c r="FZ10">
        <v>441.90000000160001</v>
      </c>
      <c r="GA10">
        <v>448.3</v>
      </c>
      <c r="GB10">
        <v>454.30000000119998</v>
      </c>
      <c r="GC10">
        <v>459.30000000040002</v>
      </c>
      <c r="GD10">
        <v>462.80000000119998</v>
      </c>
      <c r="GE10">
        <v>462.90000000039998</v>
      </c>
      <c r="GF10">
        <v>462.90000000039998</v>
      </c>
      <c r="GG10">
        <v>462.90000000039998</v>
      </c>
      <c r="GH10">
        <v>462.80000000119998</v>
      </c>
      <c r="GI10">
        <v>463.00000000159997</v>
      </c>
      <c r="GJ10">
        <v>463.00000000159997</v>
      </c>
      <c r="GK10">
        <v>463.20000000009998</v>
      </c>
      <c r="GL10">
        <v>463.00000000159997</v>
      </c>
      <c r="GM10">
        <v>463.00000000159997</v>
      </c>
      <c r="GN10">
        <v>462.90000000039998</v>
      </c>
      <c r="GO10">
        <v>463.00000000159997</v>
      </c>
      <c r="GP10">
        <v>463.10000000079998</v>
      </c>
      <c r="GQ10">
        <v>463.10000000079998</v>
      </c>
      <c r="GR10">
        <v>463.10000000079998</v>
      </c>
      <c r="GS10">
        <v>463.00000000159997</v>
      </c>
      <c r="GT10">
        <v>463.00000000159997</v>
      </c>
      <c r="GU10">
        <v>463.20000000009998</v>
      </c>
      <c r="GV10">
        <v>463.20000000009998</v>
      </c>
      <c r="GW10">
        <v>1</v>
      </c>
      <c r="GX10">
        <v>108.60000000140001</v>
      </c>
      <c r="GY10">
        <v>105.60000000079999</v>
      </c>
      <c r="GZ10">
        <v>105.60000000079999</v>
      </c>
      <c r="HA10">
        <v>114.5000000015</v>
      </c>
      <c r="HB10">
        <v>107.71429034099999</v>
      </c>
      <c r="HC10">
        <v>-8.9000000007000004</v>
      </c>
      <c r="HD10">
        <v>463.19997841349999</v>
      </c>
      <c r="HE10">
        <v>326.91053426809998</v>
      </c>
      <c r="HF10">
        <v>86.314355099500006</v>
      </c>
      <c r="HG10">
        <v>463.30000000130002</v>
      </c>
      <c r="HH10">
        <v>463.20000000009998</v>
      </c>
      <c r="HI10">
        <v>463.30000000130002</v>
      </c>
      <c r="HJ10">
        <v>463.20000000009998</v>
      </c>
      <c r="HK10">
        <v>100.87976539589999</v>
      </c>
      <c r="HL10">
        <v>3.7519008306999999</v>
      </c>
      <c r="HM10">
        <v>3.6381266855000001</v>
      </c>
      <c r="HN10">
        <v>3.6865477251000001</v>
      </c>
      <c r="HO10">
        <v>3.5516262371999998</v>
      </c>
      <c r="HP10">
        <v>3.8388891513000001</v>
      </c>
      <c r="HQ10">
        <v>2.9735765253999999</v>
      </c>
      <c r="HR10">
        <v>21.3999352415</v>
      </c>
      <c r="HS10">
        <v>-23.460410557199999</v>
      </c>
      <c r="HT10">
        <v>-160</v>
      </c>
      <c r="HU10">
        <v>434.62482460899997</v>
      </c>
      <c r="HV10">
        <v>89.149560117299998</v>
      </c>
      <c r="HW10">
        <v>608</v>
      </c>
      <c r="HX10">
        <v>21.3999352415</v>
      </c>
      <c r="HY10">
        <v>-23.460410557199999</v>
      </c>
      <c r="HZ10">
        <v>-160</v>
      </c>
      <c r="IA10">
        <v>434.62482460899997</v>
      </c>
      <c r="IB10">
        <v>89.149560117299998</v>
      </c>
      <c r="IC10">
        <v>608</v>
      </c>
      <c r="ID10">
        <v>28.5751753911</v>
      </c>
      <c r="IE10">
        <v>0.80280626170000002</v>
      </c>
      <c r="IF10">
        <v>-32.844574780099997</v>
      </c>
      <c r="IG10">
        <v>-224</v>
      </c>
      <c r="IH10">
        <v>459.1777981656</v>
      </c>
      <c r="II10">
        <v>98.533724340199996</v>
      </c>
      <c r="IJ10">
        <v>672</v>
      </c>
      <c r="IK10">
        <v>413.22488936759999</v>
      </c>
      <c r="IL10">
        <v>112.6099706745</v>
      </c>
      <c r="IM10">
        <v>441.32065839159998</v>
      </c>
      <c r="IN10">
        <v>121.9941348974</v>
      </c>
      <c r="IO10">
        <v>7.4000000004000004</v>
      </c>
      <c r="IP10">
        <v>6.7999999991999998</v>
      </c>
      <c r="IQ10">
        <v>9.9000000009000004</v>
      </c>
      <c r="IR10">
        <v>3.2519550786</v>
      </c>
      <c r="IS10">
        <v>3.2519550786</v>
      </c>
      <c r="IT10">
        <v>8.4000000006000004</v>
      </c>
      <c r="IU10">
        <v>-25.806451612899998</v>
      </c>
      <c r="IV10">
        <v>11.5000000005</v>
      </c>
      <c r="IW10">
        <v>75.073313783000003</v>
      </c>
      <c r="IX10">
        <v>9.2000000003999993</v>
      </c>
      <c r="IY10">
        <v>96.187683284499997</v>
      </c>
      <c r="IZ10">
        <v>-29.492743497100001</v>
      </c>
      <c r="JA10">
        <v>0.29129230189999999</v>
      </c>
      <c r="JB10">
        <v>-2.0091210000000001E-4</v>
      </c>
      <c r="JC10">
        <v>3.6320000000000002E-7</v>
      </c>
      <c r="JD10">
        <v>0.26653156500000003</v>
      </c>
      <c r="JE10">
        <v>0.2261918168</v>
      </c>
      <c r="JF10">
        <v>0.1189539219</v>
      </c>
      <c r="JG10">
        <v>107.88445389570001</v>
      </c>
      <c r="JH10">
        <v>3.8388891513000001</v>
      </c>
      <c r="JI10">
        <v>3.8357403999999999E-3</v>
      </c>
      <c r="JJ10">
        <v>-6.4976100000000003E-5</v>
      </c>
      <c r="JK10">
        <v>3.7519008306999999</v>
      </c>
      <c r="JL10">
        <v>1.0381945508999999</v>
      </c>
      <c r="JM10">
        <v>0.41908896750000002</v>
      </c>
      <c r="JN10" t="s">
        <v>538</v>
      </c>
      <c r="JQ10">
        <v>1</v>
      </c>
    </row>
    <row r="11" spans="1:277">
      <c r="A11" t="s">
        <v>665</v>
      </c>
      <c r="B11" t="s">
        <v>666</v>
      </c>
      <c r="C11" t="s">
        <v>211</v>
      </c>
      <c r="D11">
        <v>3</v>
      </c>
      <c r="E11" t="s">
        <v>212</v>
      </c>
      <c r="F11" t="s">
        <v>213</v>
      </c>
      <c r="G11" t="s">
        <v>537</v>
      </c>
      <c r="H11" t="s">
        <v>215</v>
      </c>
      <c r="J11" t="s">
        <v>629</v>
      </c>
      <c r="K11" t="s">
        <v>630</v>
      </c>
      <c r="L11" t="s">
        <v>631</v>
      </c>
      <c r="M11" t="s">
        <v>632</v>
      </c>
      <c r="N11" t="s">
        <v>633</v>
      </c>
      <c r="O11">
        <v>0</v>
      </c>
      <c r="P11">
        <v>0</v>
      </c>
      <c r="Q11">
        <v>1.400000001</v>
      </c>
      <c r="R11">
        <v>0.29999999970000002</v>
      </c>
      <c r="S11">
        <v>0.29999999970000002</v>
      </c>
      <c r="T11">
        <v>0.40000000079999998</v>
      </c>
      <c r="U11">
        <v>0.50000000010000001</v>
      </c>
      <c r="V11">
        <v>0.40000000079999998</v>
      </c>
      <c r="W11">
        <v>0.50000000010000001</v>
      </c>
      <c r="X11">
        <v>0.20000000039999999</v>
      </c>
      <c r="Y11">
        <v>0.29999999970000002</v>
      </c>
      <c r="Z11">
        <v>0.1000000011</v>
      </c>
      <c r="AA11">
        <v>0</v>
      </c>
      <c r="AB11">
        <v>0.1000000011</v>
      </c>
      <c r="AC11">
        <v>0.29999999970000002</v>
      </c>
      <c r="AD11">
        <v>0.40000000079999998</v>
      </c>
      <c r="AE11">
        <v>0.20000000039999999</v>
      </c>
      <c r="AF11">
        <v>0.29999999970000002</v>
      </c>
      <c r="AG11">
        <v>0.20000000039999999</v>
      </c>
      <c r="AH11">
        <v>0.50000000010000001</v>
      </c>
      <c r="AI11">
        <v>0.40000000079999998</v>
      </c>
      <c r="AJ11">
        <v>0.60000000119999997</v>
      </c>
      <c r="AK11">
        <v>0.60000000119999997</v>
      </c>
      <c r="AL11">
        <v>3.0999999999000001</v>
      </c>
      <c r="AM11">
        <v>9.9000000009000004</v>
      </c>
      <c r="AN11">
        <v>17.600000001000002</v>
      </c>
      <c r="AO11">
        <v>25.600000000800001</v>
      </c>
      <c r="AP11">
        <v>32.900000000200002</v>
      </c>
      <c r="AQ11">
        <v>40.500000000999997</v>
      </c>
      <c r="AR11">
        <v>48.600000000100003</v>
      </c>
      <c r="AS11">
        <v>57.300000000399997</v>
      </c>
      <c r="AT11">
        <v>65.500000000599996</v>
      </c>
      <c r="AU11">
        <v>74.700000001000006</v>
      </c>
      <c r="AV11">
        <v>82.400000001099997</v>
      </c>
      <c r="AW11">
        <v>90.799999999899995</v>
      </c>
      <c r="AX11">
        <v>99.8</v>
      </c>
      <c r="AY11">
        <v>108.9000000011</v>
      </c>
      <c r="AZ11">
        <v>117.7000000007</v>
      </c>
      <c r="BA11">
        <v>126.8</v>
      </c>
      <c r="BB11">
        <v>135.0000000002</v>
      </c>
      <c r="BC11">
        <v>143.1000000011</v>
      </c>
      <c r="BD11">
        <v>152.29999999969999</v>
      </c>
      <c r="BE11">
        <v>161.6000000013</v>
      </c>
      <c r="BF11">
        <v>170.7999999999</v>
      </c>
      <c r="BG11">
        <v>179.900000001</v>
      </c>
      <c r="BH11">
        <v>188.20000000050001</v>
      </c>
      <c r="BI11">
        <v>196.20000000030001</v>
      </c>
      <c r="BJ11">
        <v>205.4000000007</v>
      </c>
      <c r="BK11">
        <v>214.5</v>
      </c>
      <c r="BL11">
        <v>224.1000000013</v>
      </c>
      <c r="BM11">
        <v>232.50000000009999</v>
      </c>
      <c r="BN11">
        <v>240.60000000100001</v>
      </c>
      <c r="BO11">
        <v>249.1000000009</v>
      </c>
      <c r="BP11">
        <v>258.20000000020002</v>
      </c>
      <c r="BQ11">
        <v>267.40000000060002</v>
      </c>
      <c r="BR11">
        <v>276.6000000011</v>
      </c>
      <c r="BS11">
        <v>284.49999999980002</v>
      </c>
      <c r="BT11">
        <v>292.80000000109999</v>
      </c>
      <c r="BU11">
        <v>301.10000000060001</v>
      </c>
      <c r="BV11">
        <v>309.69999999980001</v>
      </c>
      <c r="BW11">
        <v>318.19999999970003</v>
      </c>
      <c r="BX11">
        <v>327.00000000109998</v>
      </c>
      <c r="BY11">
        <v>334.80000000050001</v>
      </c>
      <c r="BZ11">
        <v>342.90000000150002</v>
      </c>
      <c r="CA11">
        <v>350.59999999979999</v>
      </c>
      <c r="CB11">
        <v>359.2000000008</v>
      </c>
      <c r="CC11">
        <v>366.70000000049998</v>
      </c>
      <c r="CD11">
        <v>374.70000000030001</v>
      </c>
      <c r="CE11">
        <v>382.80000000119998</v>
      </c>
      <c r="CF11">
        <v>390.00000000120002</v>
      </c>
      <c r="CG11">
        <v>397.30000000050001</v>
      </c>
      <c r="CH11">
        <v>404.80000000029997</v>
      </c>
      <c r="CI11">
        <v>412.9000000012</v>
      </c>
      <c r="CJ11">
        <v>419.7000000004</v>
      </c>
      <c r="CK11">
        <v>427.00000000149998</v>
      </c>
      <c r="CL11">
        <v>434.90000000020001</v>
      </c>
      <c r="CM11">
        <v>442.50000000099999</v>
      </c>
      <c r="CN11">
        <v>450.50000000080001</v>
      </c>
      <c r="CO11">
        <v>455.4000000007</v>
      </c>
      <c r="CP11">
        <v>456.10000000119999</v>
      </c>
      <c r="CQ11">
        <v>456.20000000049998</v>
      </c>
      <c r="CR11">
        <v>456.29999999979998</v>
      </c>
      <c r="CS11">
        <v>456.20000000049998</v>
      </c>
      <c r="CT11">
        <v>456.10000000119999</v>
      </c>
      <c r="CU11">
        <v>456.20000000049998</v>
      </c>
      <c r="CV11">
        <v>456.20000000049998</v>
      </c>
      <c r="CW11">
        <v>456.29999999979998</v>
      </c>
      <c r="CX11">
        <v>456.40000000089998</v>
      </c>
      <c r="CY11">
        <v>456.29999999979998</v>
      </c>
      <c r="CZ11">
        <v>456.29999999979998</v>
      </c>
      <c r="DA11">
        <v>456.40000000089998</v>
      </c>
      <c r="DB11">
        <v>456.29999999979998</v>
      </c>
      <c r="DC11">
        <v>456.29999999979998</v>
      </c>
      <c r="DD11">
        <v>456.29999999979998</v>
      </c>
      <c r="DE11">
        <v>456.29999999979998</v>
      </c>
      <c r="DF11">
        <v>456.20000000049998</v>
      </c>
      <c r="DG11">
        <v>1.400000001</v>
      </c>
      <c r="DH11">
        <v>0.79999999980000003</v>
      </c>
      <c r="DI11">
        <v>0.60000000119999997</v>
      </c>
      <c r="DJ11">
        <v>0.90000000089999999</v>
      </c>
      <c r="DK11">
        <v>0.79999999980000003</v>
      </c>
      <c r="DL11">
        <v>0.79999999980000003</v>
      </c>
      <c r="DM11">
        <v>0.40000000079999998</v>
      </c>
      <c r="DN11">
        <v>0.40000000079999998</v>
      </c>
      <c r="DO11">
        <v>0.50000000010000001</v>
      </c>
      <c r="DP11">
        <v>0.90000000089999999</v>
      </c>
      <c r="DQ11">
        <v>0.60000000119999997</v>
      </c>
      <c r="DR11">
        <v>0.7000000005</v>
      </c>
      <c r="DS11">
        <v>0.7000000005</v>
      </c>
      <c r="DT11">
        <v>0.60000000119999997</v>
      </c>
      <c r="DU11">
        <v>0.60000000119999997</v>
      </c>
      <c r="DV11">
        <v>0.29999999970000002</v>
      </c>
      <c r="DW11">
        <v>0.7000000005</v>
      </c>
      <c r="DX11">
        <v>0.79999999980000003</v>
      </c>
      <c r="DY11">
        <v>0.90000000089999999</v>
      </c>
      <c r="DZ11">
        <v>0.7000000005</v>
      </c>
      <c r="EA11">
        <v>2.8000000001999998</v>
      </c>
      <c r="EB11">
        <v>10.400000001</v>
      </c>
      <c r="EC11">
        <v>18.700000000500001</v>
      </c>
      <c r="ED11">
        <v>25.9999999998</v>
      </c>
      <c r="EE11">
        <v>32.900000000200002</v>
      </c>
      <c r="EF11">
        <v>40.800000000700003</v>
      </c>
      <c r="EG11">
        <v>48.800000000499999</v>
      </c>
      <c r="EH11">
        <v>57.300000000399997</v>
      </c>
      <c r="EI11">
        <v>65.500000000599996</v>
      </c>
      <c r="EJ11">
        <v>74.500000000599996</v>
      </c>
      <c r="EK11">
        <v>81.799999999899995</v>
      </c>
      <c r="EL11">
        <v>90.400000000999995</v>
      </c>
      <c r="EM11">
        <v>99.400000000999995</v>
      </c>
      <c r="EN11">
        <v>108.60000000140001</v>
      </c>
      <c r="EO11">
        <v>117.2999999999</v>
      </c>
      <c r="EP11">
        <v>126.8</v>
      </c>
      <c r="EQ11">
        <v>134.50000000009999</v>
      </c>
      <c r="ER11">
        <v>143.40000000079999</v>
      </c>
      <c r="ES11">
        <v>152.29999999969999</v>
      </c>
      <c r="ET11">
        <v>161.29999999980001</v>
      </c>
      <c r="EU11">
        <v>170.20000000050001</v>
      </c>
      <c r="EV11">
        <v>179.40000000090001</v>
      </c>
      <c r="EW11">
        <v>187.5</v>
      </c>
      <c r="EX11">
        <v>196.6000000011</v>
      </c>
      <c r="EY11">
        <v>205.6000000011</v>
      </c>
      <c r="EZ11">
        <v>215.00000000009999</v>
      </c>
      <c r="FA11">
        <v>224.60000000139999</v>
      </c>
      <c r="FB11">
        <v>232.70000000050001</v>
      </c>
      <c r="FC11">
        <v>241.1000000011</v>
      </c>
      <c r="FD11">
        <v>249.80000000140001</v>
      </c>
      <c r="FE11">
        <v>259</v>
      </c>
      <c r="FF11">
        <v>268</v>
      </c>
      <c r="FG11">
        <v>276.8000000015</v>
      </c>
      <c r="FH11">
        <v>285.10000000100001</v>
      </c>
      <c r="FI11">
        <v>293.60000000090002</v>
      </c>
      <c r="FJ11">
        <v>302.10000000079998</v>
      </c>
      <c r="FK11">
        <v>310.7</v>
      </c>
      <c r="FL11">
        <v>319.5000000014</v>
      </c>
      <c r="FM11">
        <v>328.10000000060001</v>
      </c>
      <c r="FN11">
        <v>336.10000000039997</v>
      </c>
      <c r="FO11">
        <v>343.8999999998</v>
      </c>
      <c r="FP11">
        <v>352.00000000080001</v>
      </c>
      <c r="FQ11">
        <v>360.50000000070003</v>
      </c>
      <c r="FR11">
        <v>368.70000000089999</v>
      </c>
      <c r="FS11">
        <v>376.70000000070002</v>
      </c>
      <c r="FT11">
        <v>384.2000000004</v>
      </c>
      <c r="FU11">
        <v>391.49999999969998</v>
      </c>
      <c r="FV11">
        <v>399.19999999980001</v>
      </c>
      <c r="FW11">
        <v>406.70000000139999</v>
      </c>
      <c r="FX11">
        <v>414.40000000150002</v>
      </c>
      <c r="FY11">
        <v>421.60000000150001</v>
      </c>
      <c r="FZ11">
        <v>428.30000000140001</v>
      </c>
      <c r="GA11">
        <v>435.7</v>
      </c>
      <c r="GB11">
        <v>442.70000000139999</v>
      </c>
      <c r="GC11">
        <v>450.70000000120001</v>
      </c>
      <c r="GD11">
        <v>454.90000000060002</v>
      </c>
      <c r="GE11">
        <v>456.29999999979998</v>
      </c>
      <c r="GF11">
        <v>456.20000000049998</v>
      </c>
      <c r="GG11">
        <v>456.10000000119999</v>
      </c>
      <c r="GH11">
        <v>456.20000000049998</v>
      </c>
      <c r="GI11">
        <v>456.20000000049998</v>
      </c>
      <c r="GJ11">
        <v>456.10000000119999</v>
      </c>
      <c r="GK11">
        <v>456.29999999979998</v>
      </c>
      <c r="GL11">
        <v>456.40000000089998</v>
      </c>
      <c r="GM11">
        <v>456.20000000049998</v>
      </c>
      <c r="GN11">
        <v>456.40000000089998</v>
      </c>
      <c r="GO11">
        <v>456.40000000089998</v>
      </c>
      <c r="GP11">
        <v>456.29999999979998</v>
      </c>
      <c r="GQ11">
        <v>456.10000000119999</v>
      </c>
      <c r="GR11">
        <v>456.20000000049998</v>
      </c>
      <c r="GS11">
        <v>456.10000000119999</v>
      </c>
      <c r="GT11">
        <v>456.29999999979998</v>
      </c>
      <c r="GU11">
        <v>456.10000000119999</v>
      </c>
      <c r="GV11">
        <v>456.29999999979998</v>
      </c>
      <c r="GW11">
        <v>1</v>
      </c>
      <c r="GX11">
        <v>92.200000001000006</v>
      </c>
      <c r="GY11">
        <v>90.799999999899995</v>
      </c>
      <c r="GZ11">
        <v>90.799999999899995</v>
      </c>
      <c r="HA11">
        <v>99.400000000999995</v>
      </c>
      <c r="HB11">
        <v>92.591980718800002</v>
      </c>
      <c r="HC11">
        <v>-8.6000000009999997</v>
      </c>
      <c r="HD11">
        <v>456.2999671339</v>
      </c>
      <c r="HE11">
        <v>335.09750219220001</v>
      </c>
      <c r="HF11">
        <v>74.590753723999995</v>
      </c>
      <c r="HG11">
        <v>456.40000000089998</v>
      </c>
      <c r="HH11">
        <v>456.40000000089998</v>
      </c>
      <c r="HI11">
        <v>456.40000000089998</v>
      </c>
      <c r="HJ11">
        <v>456.40000000089998</v>
      </c>
      <c r="HK11">
        <v>103.22580645159999</v>
      </c>
      <c r="HL11">
        <v>3.7214978957999998</v>
      </c>
      <c r="HM11">
        <v>3.6369901500999999</v>
      </c>
      <c r="HN11">
        <v>3.6552436794999998</v>
      </c>
      <c r="HO11">
        <v>3.4266979207000001</v>
      </c>
      <c r="HP11">
        <v>3.7292165806000002</v>
      </c>
      <c r="HQ11">
        <v>3.0433792869</v>
      </c>
      <c r="HR11">
        <v>18.001226994900001</v>
      </c>
      <c r="HS11">
        <v>-21.114369501500001</v>
      </c>
      <c r="HT11">
        <v>-144</v>
      </c>
      <c r="HU11">
        <v>427.68948291110001</v>
      </c>
      <c r="HV11">
        <v>91.495601172999997</v>
      </c>
      <c r="HW11">
        <v>624</v>
      </c>
      <c r="HX11">
        <v>18.001226994900001</v>
      </c>
      <c r="HY11">
        <v>-21.114369501500001</v>
      </c>
      <c r="HZ11">
        <v>-144</v>
      </c>
      <c r="IA11">
        <v>427.68948291110001</v>
      </c>
      <c r="IB11">
        <v>91.495601172999997</v>
      </c>
      <c r="IC11">
        <v>624</v>
      </c>
      <c r="ID11">
        <v>28.710517089900002</v>
      </c>
      <c r="IE11">
        <v>0.60014242009999996</v>
      </c>
      <c r="IF11">
        <v>-30.4985337243</v>
      </c>
      <c r="IG11">
        <v>-208</v>
      </c>
      <c r="IH11">
        <v>454.8643295361</v>
      </c>
      <c r="II11">
        <v>100.87976539589999</v>
      </c>
      <c r="IJ11">
        <v>688</v>
      </c>
      <c r="IK11">
        <v>409.68825591619998</v>
      </c>
      <c r="IL11">
        <v>112.6099706745</v>
      </c>
      <c r="IM11">
        <v>439.19124671489999</v>
      </c>
      <c r="IN11">
        <v>121.9941348974</v>
      </c>
      <c r="IO11">
        <v>8.2999999995000007</v>
      </c>
      <c r="IP11">
        <v>7.9999999998</v>
      </c>
      <c r="IQ11">
        <v>9.6000000011999997</v>
      </c>
      <c r="IR11">
        <v>2.4865635344000001</v>
      </c>
      <c r="IS11">
        <v>2.4865635344000001</v>
      </c>
      <c r="IT11">
        <v>8.7999999996000007</v>
      </c>
      <c r="IU11">
        <v>-23.460410557199999</v>
      </c>
      <c r="IV11">
        <v>10.1000000013</v>
      </c>
      <c r="IW11">
        <v>32.844574780099997</v>
      </c>
      <c r="IX11">
        <v>8.2000000001999993</v>
      </c>
      <c r="IY11">
        <v>98.533724340199996</v>
      </c>
      <c r="IZ11">
        <v>-26.243551306800001</v>
      </c>
      <c r="JA11">
        <v>0.29843147409999998</v>
      </c>
      <c r="JB11">
        <v>-2.101568E-4</v>
      </c>
      <c r="JC11">
        <v>3.629E-7</v>
      </c>
      <c r="JD11">
        <v>0.26870900590000002</v>
      </c>
      <c r="JE11">
        <v>0.1812667734</v>
      </c>
      <c r="JF11">
        <v>9.5374432300000006E-2</v>
      </c>
      <c r="JG11">
        <v>93.157750289000006</v>
      </c>
      <c r="JH11">
        <v>3.7292165806000002</v>
      </c>
      <c r="JI11">
        <v>5.1178596E-3</v>
      </c>
      <c r="JJ11">
        <v>-6.4598999999999996E-5</v>
      </c>
      <c r="JK11">
        <v>3.7214978957999998</v>
      </c>
      <c r="JL11">
        <v>0.69382769079999995</v>
      </c>
      <c r="JM11">
        <v>0.33171575390000002</v>
      </c>
      <c r="JN11" t="s">
        <v>538</v>
      </c>
      <c r="JQ11">
        <v>1</v>
      </c>
    </row>
    <row r="12" spans="1:277">
      <c r="A12" t="s">
        <v>667</v>
      </c>
      <c r="B12" t="s">
        <v>668</v>
      </c>
      <c r="C12" t="s">
        <v>211</v>
      </c>
      <c r="D12">
        <v>3</v>
      </c>
      <c r="E12" t="s">
        <v>212</v>
      </c>
      <c r="F12" t="s">
        <v>213</v>
      </c>
      <c r="G12" t="s">
        <v>537</v>
      </c>
      <c r="H12" t="s">
        <v>215</v>
      </c>
      <c r="J12" t="s">
        <v>636</v>
      </c>
      <c r="K12" t="s">
        <v>637</v>
      </c>
      <c r="L12" t="s">
        <v>638</v>
      </c>
      <c r="M12" t="s">
        <v>639</v>
      </c>
      <c r="N12" t="s">
        <v>640</v>
      </c>
      <c r="O12">
        <v>0</v>
      </c>
      <c r="P12">
        <v>0</v>
      </c>
      <c r="Q12">
        <v>0.19999999860000001</v>
      </c>
      <c r="R12">
        <v>0.19999999860000001</v>
      </c>
      <c r="S12">
        <v>0</v>
      </c>
      <c r="T12">
        <v>0.19999999860000001</v>
      </c>
      <c r="U12">
        <v>0.19999999860000001</v>
      </c>
      <c r="V12">
        <v>0.29999999970000002</v>
      </c>
      <c r="W12">
        <v>0.19999999860000001</v>
      </c>
      <c r="X12">
        <v>0.19999999860000001</v>
      </c>
      <c r="Y12">
        <v>0.39999999899999999</v>
      </c>
      <c r="Z12">
        <v>0.19999999860000001</v>
      </c>
      <c r="AA12">
        <v>0.29999999970000002</v>
      </c>
      <c r="AB12">
        <v>0.50000000010000001</v>
      </c>
      <c r="AC12">
        <v>0.50000000010000001</v>
      </c>
      <c r="AD12">
        <v>0.29999999970000002</v>
      </c>
      <c r="AE12">
        <v>0.39999999899999999</v>
      </c>
      <c r="AF12">
        <v>0.50000000010000001</v>
      </c>
      <c r="AG12">
        <v>0.50000000010000001</v>
      </c>
      <c r="AH12">
        <v>0.59999999940000004</v>
      </c>
      <c r="AI12">
        <v>0.69999999869999996</v>
      </c>
      <c r="AJ12">
        <v>1.8</v>
      </c>
      <c r="AK12">
        <v>3.8999999996999999</v>
      </c>
      <c r="AL12">
        <v>10.199999998799999</v>
      </c>
      <c r="AM12">
        <v>17.499999999900002</v>
      </c>
      <c r="AN12">
        <v>25.2</v>
      </c>
      <c r="AO12">
        <v>32.999999999400004</v>
      </c>
      <c r="AP12">
        <v>40.799999998899999</v>
      </c>
      <c r="AQ12">
        <v>49.199999999500001</v>
      </c>
      <c r="AR12">
        <v>57.899999999800002</v>
      </c>
      <c r="AS12">
        <v>66.499999998999996</v>
      </c>
      <c r="AT12">
        <v>74.699999999200003</v>
      </c>
      <c r="AU12">
        <v>83.300000000200001</v>
      </c>
      <c r="AV12">
        <v>91.599999999700003</v>
      </c>
      <c r="AW12">
        <v>100.4999999986</v>
      </c>
      <c r="AX12">
        <v>110.09999999990001</v>
      </c>
      <c r="AY12">
        <v>119.1999999992</v>
      </c>
      <c r="AZ12">
        <v>128.09999999990001</v>
      </c>
      <c r="BA12">
        <v>136.199999999</v>
      </c>
      <c r="BB12">
        <v>145.0999999997</v>
      </c>
      <c r="BC12">
        <v>154.69999999909999</v>
      </c>
      <c r="BD12">
        <v>163.6999999992</v>
      </c>
      <c r="BE12">
        <v>172.8000000003</v>
      </c>
      <c r="BF12">
        <v>181.8000000003</v>
      </c>
      <c r="BG12">
        <v>190.39999999950001</v>
      </c>
      <c r="BH12">
        <v>199.30000000019999</v>
      </c>
      <c r="BI12">
        <v>208.6999999992</v>
      </c>
      <c r="BJ12">
        <v>217.80000000039999</v>
      </c>
      <c r="BK12">
        <v>226.69999999929999</v>
      </c>
      <c r="BL12">
        <v>236.10000000010001</v>
      </c>
      <c r="BM12">
        <v>244.3000000003</v>
      </c>
      <c r="BN12">
        <v>253.3999999996</v>
      </c>
      <c r="BO12">
        <v>262.39999999960003</v>
      </c>
      <c r="BP12">
        <v>271.89999999970001</v>
      </c>
      <c r="BQ12">
        <v>280.60000000000002</v>
      </c>
      <c r="BR12">
        <v>288.99999999890002</v>
      </c>
      <c r="BS12">
        <v>297.30000000019999</v>
      </c>
      <c r="BT12">
        <v>306.19999999909999</v>
      </c>
      <c r="BU12">
        <v>314.89999999939999</v>
      </c>
      <c r="BV12">
        <v>323.89999999939999</v>
      </c>
      <c r="BW12">
        <v>332.39999999930001</v>
      </c>
      <c r="BX12">
        <v>340.79999999990002</v>
      </c>
      <c r="BY12">
        <v>348.2000000004</v>
      </c>
      <c r="BZ12">
        <v>356.49999999990001</v>
      </c>
      <c r="CA12">
        <v>364.99999999980002</v>
      </c>
      <c r="CB12">
        <v>373.2</v>
      </c>
      <c r="CC12">
        <v>380.99999999940002</v>
      </c>
      <c r="CD12">
        <v>389.19999999959998</v>
      </c>
      <c r="CE12">
        <v>395.99999999879998</v>
      </c>
      <c r="CF12">
        <v>403.59999999960002</v>
      </c>
      <c r="CG12">
        <v>411.29999999979998</v>
      </c>
      <c r="CH12">
        <v>418.79999999950002</v>
      </c>
      <c r="CI12">
        <v>426.4000000003</v>
      </c>
      <c r="CJ12">
        <v>433.29999999879999</v>
      </c>
      <c r="CK12">
        <v>441.1</v>
      </c>
      <c r="CL12">
        <v>446.5999999993</v>
      </c>
      <c r="CM12">
        <v>452.29999999900002</v>
      </c>
      <c r="CN12">
        <v>457.4999999986</v>
      </c>
      <c r="CO12">
        <v>458.39999999949998</v>
      </c>
      <c r="CP12">
        <v>458.30000000019999</v>
      </c>
      <c r="CQ12">
        <v>458.59999999989998</v>
      </c>
      <c r="CR12">
        <v>458.59999999989998</v>
      </c>
      <c r="CS12">
        <v>458.59999999989998</v>
      </c>
      <c r="CT12">
        <v>458.59999999989998</v>
      </c>
      <c r="CU12">
        <v>458.59999999989998</v>
      </c>
      <c r="CV12">
        <v>458.39999999949998</v>
      </c>
      <c r="CW12">
        <v>458.30000000019999</v>
      </c>
      <c r="CX12">
        <v>458.39999999949998</v>
      </c>
      <c r="CY12">
        <v>458.39999999949998</v>
      </c>
      <c r="CZ12">
        <v>458.69999999919997</v>
      </c>
      <c r="DA12">
        <v>458.69999999919997</v>
      </c>
      <c r="DB12">
        <v>458.59999999989998</v>
      </c>
      <c r="DC12">
        <v>458.30000000019999</v>
      </c>
      <c r="DD12">
        <v>458.39999999949998</v>
      </c>
      <c r="DE12">
        <v>458.49999999879998</v>
      </c>
      <c r="DF12">
        <v>458.49999999879998</v>
      </c>
      <c r="DG12">
        <v>0.39999999899999999</v>
      </c>
      <c r="DH12">
        <v>0.79999999980000003</v>
      </c>
      <c r="DI12">
        <v>1.0999999995</v>
      </c>
      <c r="DJ12">
        <v>1.2999999999</v>
      </c>
      <c r="DK12">
        <v>1.0000000002</v>
      </c>
      <c r="DL12">
        <v>0.89999999909999995</v>
      </c>
      <c r="DM12">
        <v>0.89999999909999995</v>
      </c>
      <c r="DN12">
        <v>1.0999999995</v>
      </c>
      <c r="DO12">
        <v>1.2999999999</v>
      </c>
      <c r="DP12">
        <v>1.0000000002</v>
      </c>
      <c r="DQ12">
        <v>1.1999999988000001</v>
      </c>
      <c r="DR12">
        <v>1.0999999995</v>
      </c>
      <c r="DS12">
        <v>1.0999999995</v>
      </c>
      <c r="DT12">
        <v>1.0000000002</v>
      </c>
      <c r="DU12">
        <v>1.0999999995</v>
      </c>
      <c r="DV12">
        <v>1.2999999999</v>
      </c>
      <c r="DW12">
        <v>1.0999999995</v>
      </c>
      <c r="DX12">
        <v>1.1999999988000001</v>
      </c>
      <c r="DY12">
        <v>1.8</v>
      </c>
      <c r="DZ12">
        <v>4.1000000000999997</v>
      </c>
      <c r="EA12">
        <v>10.3999999992</v>
      </c>
      <c r="EB12">
        <v>17.8999999989</v>
      </c>
      <c r="EC12">
        <v>25.499999999700002</v>
      </c>
      <c r="ED12">
        <v>33.199999999900001</v>
      </c>
      <c r="EE12">
        <v>41.100000000400001</v>
      </c>
      <c r="EF12">
        <v>49.299999998799997</v>
      </c>
      <c r="EG12">
        <v>57.899999999800002</v>
      </c>
      <c r="EH12">
        <v>66.199999999300005</v>
      </c>
      <c r="EI12">
        <v>74.699999999200003</v>
      </c>
      <c r="EJ12">
        <v>82.999999998700005</v>
      </c>
      <c r="EK12">
        <v>91.099999999600001</v>
      </c>
      <c r="EL12">
        <v>99.899999999299993</v>
      </c>
      <c r="EM12">
        <v>109.199999999</v>
      </c>
      <c r="EN12">
        <v>118.199999999</v>
      </c>
      <c r="EO12">
        <v>127.199999999</v>
      </c>
      <c r="EP12">
        <v>135.89999999930001</v>
      </c>
      <c r="EQ12">
        <v>144.39999999919999</v>
      </c>
      <c r="ER12">
        <v>153.69999999890001</v>
      </c>
      <c r="ES12">
        <v>163.09999999979999</v>
      </c>
      <c r="ET12">
        <v>172.39999999950001</v>
      </c>
      <c r="EU12">
        <v>181.09999999979999</v>
      </c>
      <c r="EV12">
        <v>189.5999999997</v>
      </c>
      <c r="EW12">
        <v>198.89999999939999</v>
      </c>
      <c r="EX12">
        <v>208.59999999990001</v>
      </c>
      <c r="EY12">
        <v>217.49999999880001</v>
      </c>
      <c r="EZ12">
        <v>226.69999999929999</v>
      </c>
      <c r="FA12">
        <v>235.69999999929999</v>
      </c>
      <c r="FB12">
        <v>244.3999999996</v>
      </c>
      <c r="FC12">
        <v>253.3999999996</v>
      </c>
      <c r="FD12">
        <v>262.69999999930002</v>
      </c>
      <c r="FE12">
        <v>271.89999999970001</v>
      </c>
      <c r="FF12">
        <v>280.79999999860001</v>
      </c>
      <c r="FG12">
        <v>289.10000000000002</v>
      </c>
      <c r="FH12">
        <v>297.80000000029997</v>
      </c>
      <c r="FI12">
        <v>306.69999999919997</v>
      </c>
      <c r="FJ12">
        <v>315.59999999989998</v>
      </c>
      <c r="FK12">
        <v>324.39999999949998</v>
      </c>
      <c r="FL12">
        <v>333.19999999909999</v>
      </c>
      <c r="FM12">
        <v>340.89999999920002</v>
      </c>
      <c r="FN12">
        <v>349.00000000019998</v>
      </c>
      <c r="FO12">
        <v>357.2000000004</v>
      </c>
      <c r="FP12">
        <v>365.70000000030001</v>
      </c>
      <c r="FQ12">
        <v>374.09999999910002</v>
      </c>
      <c r="FR12">
        <v>382.39999999859998</v>
      </c>
      <c r="FS12">
        <v>389.90000000010002</v>
      </c>
      <c r="FT12">
        <v>396.99999999900001</v>
      </c>
      <c r="FU12">
        <v>404.69999999909999</v>
      </c>
      <c r="FV12">
        <v>412.39999999930001</v>
      </c>
      <c r="FW12">
        <v>419.79999999969999</v>
      </c>
      <c r="FX12">
        <v>427.79999999950002</v>
      </c>
      <c r="FY12">
        <v>434.69999999980001</v>
      </c>
      <c r="FZ12">
        <v>441.29999999860001</v>
      </c>
      <c r="GA12">
        <v>445.79999999950002</v>
      </c>
      <c r="GB12">
        <v>451.9</v>
      </c>
      <c r="GC12">
        <v>456.79999999990002</v>
      </c>
      <c r="GD12">
        <v>458.30000000019999</v>
      </c>
      <c r="GE12">
        <v>458.30000000019999</v>
      </c>
      <c r="GF12">
        <v>458.19999999909999</v>
      </c>
      <c r="GG12">
        <v>458.30000000019999</v>
      </c>
      <c r="GH12">
        <v>458.39999999949998</v>
      </c>
      <c r="GI12">
        <v>458.49999999879998</v>
      </c>
      <c r="GJ12">
        <v>458.69999999919997</v>
      </c>
      <c r="GK12">
        <v>458.30000000019999</v>
      </c>
      <c r="GL12">
        <v>458.49999999879998</v>
      </c>
      <c r="GM12">
        <v>458.30000000019999</v>
      </c>
      <c r="GN12">
        <v>458.49999999879998</v>
      </c>
      <c r="GO12">
        <v>458.49999999879998</v>
      </c>
      <c r="GP12">
        <v>458.49999999879998</v>
      </c>
      <c r="GQ12">
        <v>458.49999999879998</v>
      </c>
      <c r="GR12">
        <v>458.30000000019999</v>
      </c>
      <c r="GS12">
        <v>458.39999999949998</v>
      </c>
      <c r="GT12">
        <v>458.39999999949998</v>
      </c>
      <c r="GU12">
        <v>458.49999999879998</v>
      </c>
      <c r="GV12">
        <v>458.69999999919997</v>
      </c>
      <c r="GW12">
        <v>1</v>
      </c>
      <c r="GX12">
        <v>103.6000000004</v>
      </c>
      <c r="GY12">
        <v>100.4999999986</v>
      </c>
      <c r="GZ12">
        <v>100.4999999986</v>
      </c>
      <c r="HA12">
        <v>109.199999999</v>
      </c>
      <c r="HB12">
        <v>102.488869507</v>
      </c>
      <c r="HC12">
        <v>-8.7000000002999993</v>
      </c>
      <c r="HD12">
        <v>458.69997819610001</v>
      </c>
      <c r="HE12">
        <v>324.61746429819999</v>
      </c>
      <c r="HF12">
        <v>84.613855880200006</v>
      </c>
      <c r="HG12">
        <v>458.69999999919997</v>
      </c>
      <c r="HH12">
        <v>458.69999999919997</v>
      </c>
      <c r="HI12">
        <v>458.69999999919997</v>
      </c>
      <c r="HJ12">
        <v>458.69999999919997</v>
      </c>
      <c r="HK12">
        <v>100.87976539589999</v>
      </c>
      <c r="HL12">
        <v>3.7926823161000001</v>
      </c>
      <c r="HM12">
        <v>3.7112326148000001</v>
      </c>
      <c r="HN12">
        <v>3.7246377423000001</v>
      </c>
      <c r="HO12">
        <v>3.4399093003000001</v>
      </c>
      <c r="HP12">
        <v>3.8097648607000001</v>
      </c>
      <c r="HQ12">
        <v>3.1011341705</v>
      </c>
      <c r="HR12">
        <v>17.8750136269</v>
      </c>
      <c r="HS12">
        <v>-23.460410557199999</v>
      </c>
      <c r="HT12">
        <v>-160</v>
      </c>
      <c r="HU12">
        <v>427.10633380519999</v>
      </c>
      <c r="HV12">
        <v>86.803519061599999</v>
      </c>
      <c r="HW12">
        <v>592</v>
      </c>
      <c r="HX12">
        <v>17.8750136269</v>
      </c>
      <c r="HY12">
        <v>-23.460410557199999</v>
      </c>
      <c r="HZ12">
        <v>-160</v>
      </c>
      <c r="IA12">
        <v>427.10633380519999</v>
      </c>
      <c r="IB12">
        <v>86.803519061599999</v>
      </c>
      <c r="IC12">
        <v>592</v>
      </c>
      <c r="ID12">
        <v>31.593666194000001</v>
      </c>
      <c r="IE12">
        <v>0.7029979274</v>
      </c>
      <c r="IF12">
        <v>-32.844574780099997</v>
      </c>
      <c r="IG12">
        <v>-224</v>
      </c>
      <c r="IH12">
        <v>451.79137686690001</v>
      </c>
      <c r="II12">
        <v>96.187683284499997</v>
      </c>
      <c r="IJ12">
        <v>656</v>
      </c>
      <c r="IK12">
        <v>409.2313201783</v>
      </c>
      <c r="IL12">
        <v>110.26392961880001</v>
      </c>
      <c r="IM12">
        <v>436.92627275590002</v>
      </c>
      <c r="IN12">
        <v>119.6480938416</v>
      </c>
      <c r="IO12">
        <v>7.4999999997</v>
      </c>
      <c r="IP12">
        <v>7.8000000011999999</v>
      </c>
      <c r="IQ12">
        <v>9.7000000004999993</v>
      </c>
      <c r="IR12">
        <v>2.5931824319999999</v>
      </c>
      <c r="IS12">
        <v>2.5931824319999999</v>
      </c>
      <c r="IT12">
        <v>7.7000000001000002</v>
      </c>
      <c r="IU12">
        <v>-25.806451612899998</v>
      </c>
      <c r="IV12">
        <v>9.5000000001</v>
      </c>
      <c r="IW12">
        <v>42.228739002899999</v>
      </c>
      <c r="IX12">
        <v>7.9999999998</v>
      </c>
      <c r="IY12">
        <v>91.495601172999997</v>
      </c>
      <c r="IZ12">
        <v>-28.555846994300001</v>
      </c>
      <c r="JA12">
        <v>0.29683390139999999</v>
      </c>
      <c r="JB12">
        <v>-2.2255779999999999E-4</v>
      </c>
      <c r="JC12">
        <v>3.7529999999999998E-7</v>
      </c>
      <c r="JD12">
        <v>0.26366563729999998</v>
      </c>
      <c r="JE12">
        <v>0.19820105190000001</v>
      </c>
      <c r="JF12">
        <v>8.4812964399999996E-2</v>
      </c>
      <c r="JG12">
        <v>102.8500688318</v>
      </c>
      <c r="JH12">
        <v>3.8097648607000001</v>
      </c>
      <c r="JI12">
        <v>5.3369391000000002E-3</v>
      </c>
      <c r="JJ12">
        <v>-7.2337700000000004E-5</v>
      </c>
      <c r="JK12">
        <v>3.7926823161000001</v>
      </c>
      <c r="JL12">
        <v>0.65480052389999999</v>
      </c>
      <c r="JM12">
        <v>0.30011767070000001</v>
      </c>
      <c r="JN12" t="s">
        <v>538</v>
      </c>
      <c r="JQ12">
        <v>1</v>
      </c>
    </row>
    <row r="13" spans="1:277">
      <c r="A13" t="s">
        <v>669</v>
      </c>
      <c r="B13" t="s">
        <v>670</v>
      </c>
      <c r="C13" t="s">
        <v>211</v>
      </c>
      <c r="D13">
        <v>3</v>
      </c>
      <c r="E13" t="s">
        <v>212</v>
      </c>
      <c r="F13" t="s">
        <v>213</v>
      </c>
      <c r="G13" t="s">
        <v>537</v>
      </c>
      <c r="H13" t="s">
        <v>215</v>
      </c>
      <c r="J13" t="s">
        <v>643</v>
      </c>
      <c r="K13" t="s">
        <v>644</v>
      </c>
      <c r="L13" t="s">
        <v>645</v>
      </c>
      <c r="M13" t="s">
        <v>646</v>
      </c>
      <c r="N13" t="s">
        <v>647</v>
      </c>
      <c r="O13">
        <v>0</v>
      </c>
      <c r="P13">
        <v>0</v>
      </c>
      <c r="Q13">
        <v>0.59999999940000004</v>
      </c>
      <c r="R13">
        <v>0.59999999940000004</v>
      </c>
      <c r="S13">
        <v>0.19999999860000001</v>
      </c>
      <c r="T13">
        <v>9.9999999300000003E-2</v>
      </c>
      <c r="U13">
        <v>9.9999999300000003E-2</v>
      </c>
      <c r="V13">
        <v>0.29999999970000002</v>
      </c>
      <c r="W13">
        <v>0.59999999940000004</v>
      </c>
      <c r="X13">
        <v>0.19999999860000001</v>
      </c>
      <c r="Y13">
        <v>0.29999999970000002</v>
      </c>
      <c r="Z13">
        <v>0</v>
      </c>
      <c r="AA13">
        <v>0.19999999860000001</v>
      </c>
      <c r="AB13">
        <v>0.19999999860000001</v>
      </c>
      <c r="AC13">
        <v>0.69999999869999996</v>
      </c>
      <c r="AD13">
        <v>0.59999999940000004</v>
      </c>
      <c r="AE13">
        <v>0.19999999860000001</v>
      </c>
      <c r="AF13">
        <v>0.19999999860000001</v>
      </c>
      <c r="AG13">
        <v>0.29999999970000002</v>
      </c>
      <c r="AH13">
        <v>0.50000000010000001</v>
      </c>
      <c r="AI13">
        <v>0.50000000010000001</v>
      </c>
      <c r="AJ13">
        <v>0.89999999909999995</v>
      </c>
      <c r="AK13">
        <v>2.1999999990000001</v>
      </c>
      <c r="AL13">
        <v>5.4</v>
      </c>
      <c r="AM13">
        <v>12.999999999</v>
      </c>
      <c r="AN13">
        <v>20.499999998700002</v>
      </c>
      <c r="AO13">
        <v>28.8</v>
      </c>
      <c r="AP13">
        <v>36.500000000199996</v>
      </c>
      <c r="AQ13">
        <v>44.799999999699999</v>
      </c>
      <c r="AR13">
        <v>54.399999999099997</v>
      </c>
      <c r="AS13">
        <v>62.5</v>
      </c>
      <c r="AT13">
        <v>70.599999999100007</v>
      </c>
      <c r="AU13">
        <v>79.200000000100005</v>
      </c>
      <c r="AV13">
        <v>87.399999998499993</v>
      </c>
      <c r="AW13">
        <v>97.200000000200006</v>
      </c>
      <c r="AX13">
        <v>107</v>
      </c>
      <c r="AY13">
        <v>116</v>
      </c>
      <c r="AZ13">
        <v>124.3999999988</v>
      </c>
      <c r="BA13">
        <v>133.59999999920001</v>
      </c>
      <c r="BB13">
        <v>142.09999999909999</v>
      </c>
      <c r="BC13">
        <v>152.0999999993</v>
      </c>
      <c r="BD13">
        <v>160.59999999920001</v>
      </c>
      <c r="BE13">
        <v>169.69999999859999</v>
      </c>
      <c r="BF13">
        <v>179.00000000009999</v>
      </c>
      <c r="BG13">
        <v>188.00000000009999</v>
      </c>
      <c r="BH13">
        <v>197.09999999940001</v>
      </c>
      <c r="BI13">
        <v>207.09999999959999</v>
      </c>
      <c r="BJ13">
        <v>215.6999999988</v>
      </c>
      <c r="BK13">
        <v>224.0999999995</v>
      </c>
      <c r="BL13">
        <v>233.8</v>
      </c>
      <c r="BM13">
        <v>242.39999999919999</v>
      </c>
      <c r="BN13">
        <v>251.49999999849999</v>
      </c>
      <c r="BO13">
        <v>261.69999999909999</v>
      </c>
      <c r="BP13">
        <v>270.199999999</v>
      </c>
      <c r="BQ13">
        <v>278.69999999890001</v>
      </c>
      <c r="BR13">
        <v>287.69999999890001</v>
      </c>
      <c r="BS13">
        <v>295.89999999920002</v>
      </c>
      <c r="BT13">
        <v>305.5999999997</v>
      </c>
      <c r="BU13">
        <v>314.19999999890001</v>
      </c>
      <c r="BV13">
        <v>322.49999999840003</v>
      </c>
      <c r="BW13">
        <v>331.00000000009999</v>
      </c>
      <c r="BX13">
        <v>339.69999999859999</v>
      </c>
      <c r="BY13">
        <v>347.59999999910002</v>
      </c>
      <c r="BZ13">
        <v>356.29999999950002</v>
      </c>
      <c r="CA13">
        <v>364.99999999980002</v>
      </c>
      <c r="CB13">
        <v>372.49999999950001</v>
      </c>
      <c r="CC13">
        <v>380.29999999889998</v>
      </c>
      <c r="CD13">
        <v>388.4999999991</v>
      </c>
      <c r="CE13">
        <v>395.99999999879998</v>
      </c>
      <c r="CF13">
        <v>403.89999999930001</v>
      </c>
      <c r="CG13">
        <v>412.19999999880002</v>
      </c>
      <c r="CH13">
        <v>418.79999999950002</v>
      </c>
      <c r="CI13">
        <v>426.0999999988</v>
      </c>
      <c r="CJ13">
        <v>433.39999999989999</v>
      </c>
      <c r="CK13">
        <v>440.99999999890002</v>
      </c>
      <c r="CL13">
        <v>447.79999999990002</v>
      </c>
      <c r="CM13">
        <v>453.39999999849999</v>
      </c>
      <c r="CN13">
        <v>457.99999999869999</v>
      </c>
      <c r="CO13">
        <v>462.0999999988</v>
      </c>
      <c r="CP13">
        <v>462.0999999988</v>
      </c>
      <c r="CQ13">
        <v>461.99999999950001</v>
      </c>
      <c r="CR13">
        <v>461.89999999840001</v>
      </c>
      <c r="CS13">
        <v>461.79999999910001</v>
      </c>
      <c r="CT13">
        <v>461.79999999910001</v>
      </c>
      <c r="CU13">
        <v>461.99999999950001</v>
      </c>
      <c r="CV13">
        <v>462.0999999988</v>
      </c>
      <c r="CW13">
        <v>462.1999999999</v>
      </c>
      <c r="CX13">
        <v>462.1999999999</v>
      </c>
      <c r="CY13">
        <v>462.1999999999</v>
      </c>
      <c r="CZ13">
        <v>462.0999999988</v>
      </c>
      <c r="DA13">
        <v>461.99999999950001</v>
      </c>
      <c r="DB13">
        <v>462.1999999999</v>
      </c>
      <c r="DC13">
        <v>462.1999999999</v>
      </c>
      <c r="DD13">
        <v>462.1999999999</v>
      </c>
      <c r="DE13">
        <v>462.2999999992</v>
      </c>
      <c r="DF13">
        <v>462.2999999992</v>
      </c>
      <c r="DG13">
        <v>0.59999999940000004</v>
      </c>
      <c r="DH13">
        <v>0.50000000010000001</v>
      </c>
      <c r="DI13">
        <v>0.69999999869999996</v>
      </c>
      <c r="DJ13">
        <v>0.89999999909999995</v>
      </c>
      <c r="DK13">
        <v>0.89999999909999995</v>
      </c>
      <c r="DL13">
        <v>0.99999999839999998</v>
      </c>
      <c r="DM13">
        <v>0.69999999869999996</v>
      </c>
      <c r="DN13">
        <v>0.50000000010000001</v>
      </c>
      <c r="DO13">
        <v>0.79999999980000003</v>
      </c>
      <c r="DP13">
        <v>0.69999999869999996</v>
      </c>
      <c r="DQ13">
        <v>0.79999999980000003</v>
      </c>
      <c r="DR13">
        <v>0.69999999869999996</v>
      </c>
      <c r="DS13">
        <v>0.89999999909999995</v>
      </c>
      <c r="DT13">
        <v>0.79999999980000003</v>
      </c>
      <c r="DU13">
        <v>0.69999999869999996</v>
      </c>
      <c r="DV13">
        <v>0.69999999869999996</v>
      </c>
      <c r="DW13">
        <v>0.69999999869999996</v>
      </c>
      <c r="DX13">
        <v>0.99999999839999998</v>
      </c>
      <c r="DY13">
        <v>1.0999999995</v>
      </c>
      <c r="DZ13">
        <v>2.3000000000999998</v>
      </c>
      <c r="EA13">
        <v>5.6999999997000002</v>
      </c>
      <c r="EB13">
        <v>13.3999999998</v>
      </c>
      <c r="EC13">
        <v>20.699999999100001</v>
      </c>
      <c r="ED13">
        <v>28.599999999600001</v>
      </c>
      <c r="EE13">
        <v>36.500000000199996</v>
      </c>
      <c r="EF13">
        <v>44.799999999699999</v>
      </c>
      <c r="EG13">
        <v>53.799999999699999</v>
      </c>
      <c r="EH13">
        <v>62.199999998499997</v>
      </c>
      <c r="EI13">
        <v>70.599999999100007</v>
      </c>
      <c r="EJ13">
        <v>78.999999999699995</v>
      </c>
      <c r="EK13">
        <v>87.099999998800001</v>
      </c>
      <c r="EL13">
        <v>95.899999998400006</v>
      </c>
      <c r="EM13">
        <v>106.09999999910001</v>
      </c>
      <c r="EN13">
        <v>115.2999999995</v>
      </c>
      <c r="EO13">
        <v>123.8999999987</v>
      </c>
      <c r="EP13">
        <v>133.19999999839999</v>
      </c>
      <c r="EQ13">
        <v>141.49999999970001</v>
      </c>
      <c r="ER13">
        <v>151.39999999880001</v>
      </c>
      <c r="ES13">
        <v>160.2999999996</v>
      </c>
      <c r="ET13">
        <v>169.5</v>
      </c>
      <c r="EU13">
        <v>178.09999999920001</v>
      </c>
      <c r="EV13">
        <v>187.3999999989</v>
      </c>
      <c r="EW13">
        <v>197.00000000009999</v>
      </c>
      <c r="EX13">
        <v>206.99999999849999</v>
      </c>
      <c r="EY13">
        <v>215.3999999991</v>
      </c>
      <c r="EZ13">
        <v>224.0999999995</v>
      </c>
      <c r="FA13">
        <v>233.39999999919999</v>
      </c>
      <c r="FB13">
        <v>242.39999999919999</v>
      </c>
      <c r="FC13">
        <v>251.49999999849999</v>
      </c>
      <c r="FD13">
        <v>261.49999999869999</v>
      </c>
      <c r="FE13">
        <v>270.199999999</v>
      </c>
      <c r="FF13">
        <v>278.89999999930001</v>
      </c>
      <c r="FG13">
        <v>287.9999999986</v>
      </c>
      <c r="FH13">
        <v>296.39999999930001</v>
      </c>
      <c r="FI13">
        <v>305.99999999869999</v>
      </c>
      <c r="FJ13">
        <v>314.19999999890001</v>
      </c>
      <c r="FK13">
        <v>322.59999999950003</v>
      </c>
      <c r="FL13">
        <v>331.29999999979998</v>
      </c>
      <c r="FM13">
        <v>340.19999999869998</v>
      </c>
      <c r="FN13">
        <v>348.50000000009999</v>
      </c>
      <c r="FO13">
        <v>357.39999999899999</v>
      </c>
      <c r="FP13">
        <v>365.6999999985</v>
      </c>
      <c r="FQ13">
        <v>373.70000000009998</v>
      </c>
      <c r="FR13">
        <v>381.09999999870001</v>
      </c>
      <c r="FS13">
        <v>389.19999999959998</v>
      </c>
      <c r="FT13">
        <v>396.79999999860001</v>
      </c>
      <c r="FU13">
        <v>404.59999999979999</v>
      </c>
      <c r="FV13">
        <v>413.30000000019999</v>
      </c>
      <c r="FW13">
        <v>420.19999999869998</v>
      </c>
      <c r="FX13">
        <v>427.39999999870003</v>
      </c>
      <c r="FY13">
        <v>434.59999999870001</v>
      </c>
      <c r="FZ13">
        <v>441.39999999970001</v>
      </c>
      <c r="GA13">
        <v>447.89999999920002</v>
      </c>
      <c r="GB13">
        <v>453.0999999988</v>
      </c>
      <c r="GC13">
        <v>457.3</v>
      </c>
      <c r="GD13">
        <v>461.89999999840001</v>
      </c>
      <c r="GE13">
        <v>461.99999999950001</v>
      </c>
      <c r="GF13">
        <v>461.99999999950001</v>
      </c>
      <c r="GG13">
        <v>461.99999999950001</v>
      </c>
      <c r="GH13">
        <v>461.99999999950001</v>
      </c>
      <c r="GI13">
        <v>461.99999999950001</v>
      </c>
      <c r="GJ13">
        <v>461.89999999840001</v>
      </c>
      <c r="GK13">
        <v>461.99999999950001</v>
      </c>
      <c r="GL13">
        <v>461.89999999840001</v>
      </c>
      <c r="GM13">
        <v>461.99999999950001</v>
      </c>
      <c r="GN13">
        <v>462.0999999988</v>
      </c>
      <c r="GO13">
        <v>462.1999999999</v>
      </c>
      <c r="GP13">
        <v>462.1999999999</v>
      </c>
      <c r="GQ13">
        <v>462.0999999988</v>
      </c>
      <c r="GR13">
        <v>461.99999999950001</v>
      </c>
      <c r="GS13">
        <v>462.0999999988</v>
      </c>
      <c r="GT13">
        <v>462.0999999988</v>
      </c>
      <c r="GU13">
        <v>462.1999999999</v>
      </c>
      <c r="GV13">
        <v>462.1999999999</v>
      </c>
      <c r="GW13">
        <v>1</v>
      </c>
      <c r="GX13">
        <v>100.00000000039999</v>
      </c>
      <c r="GY13">
        <v>97.200000000200006</v>
      </c>
      <c r="GZ13">
        <v>97.200000000200006</v>
      </c>
      <c r="HA13">
        <v>106.09999999910001</v>
      </c>
      <c r="HB13">
        <v>99.157133585599993</v>
      </c>
      <c r="HC13">
        <v>-8.8999999989000003</v>
      </c>
      <c r="HD13">
        <v>462.1999999999</v>
      </c>
      <c r="HE13">
        <v>334.85627906849999</v>
      </c>
      <c r="HF13">
        <v>78.226944295400003</v>
      </c>
      <c r="HG13">
        <v>462.2999999992</v>
      </c>
      <c r="HH13">
        <v>462.1999999999</v>
      </c>
      <c r="HI13">
        <v>462.2999999992</v>
      </c>
      <c r="HJ13">
        <v>462.1999999999</v>
      </c>
      <c r="HK13">
        <v>100.87976539589999</v>
      </c>
      <c r="HL13">
        <v>3.8287078886999999</v>
      </c>
      <c r="HM13">
        <v>3.7463721428999999</v>
      </c>
      <c r="HN13">
        <v>3.7614692219000001</v>
      </c>
      <c r="HO13">
        <v>3.5570361798999999</v>
      </c>
      <c r="HP13">
        <v>3.8626998442999998</v>
      </c>
      <c r="HQ13">
        <v>3.0905963695000001</v>
      </c>
      <c r="HR13">
        <v>20.9301892903</v>
      </c>
      <c r="HS13">
        <v>-21.114369501500001</v>
      </c>
      <c r="HT13">
        <v>-144</v>
      </c>
      <c r="HU13">
        <v>434.01341265420001</v>
      </c>
      <c r="HV13">
        <v>89.149560117299998</v>
      </c>
      <c r="HW13">
        <v>608</v>
      </c>
      <c r="HX13">
        <v>20.9301892903</v>
      </c>
      <c r="HY13">
        <v>-21.114369501500001</v>
      </c>
      <c r="HZ13">
        <v>-144</v>
      </c>
      <c r="IA13">
        <v>434.01341265420001</v>
      </c>
      <c r="IB13">
        <v>89.149560117299998</v>
      </c>
      <c r="IC13">
        <v>608</v>
      </c>
      <c r="ID13">
        <v>28.1865873458</v>
      </c>
      <c r="IE13">
        <v>0.90484586170000003</v>
      </c>
      <c r="IF13">
        <v>-30.4985337243</v>
      </c>
      <c r="IG13">
        <v>-208</v>
      </c>
      <c r="IH13">
        <v>457.24178474849998</v>
      </c>
      <c r="II13">
        <v>98.533724340199996</v>
      </c>
      <c r="IJ13">
        <v>672</v>
      </c>
      <c r="IK13">
        <v>413.0832233639</v>
      </c>
      <c r="IL13">
        <v>110.26392961880001</v>
      </c>
      <c r="IM13">
        <v>442.07161708950002</v>
      </c>
      <c r="IN13">
        <v>119.6480938416</v>
      </c>
      <c r="IO13">
        <v>7.7000000001000002</v>
      </c>
      <c r="IP13">
        <v>6.8000000009999999</v>
      </c>
      <c r="IQ13">
        <v>10.200000000599999</v>
      </c>
      <c r="IR13">
        <v>3.1909815972</v>
      </c>
      <c r="IS13">
        <v>3.1909815972</v>
      </c>
      <c r="IT13">
        <v>7.9999999998</v>
      </c>
      <c r="IU13">
        <v>-25.806451612899998</v>
      </c>
      <c r="IV13">
        <v>10.0999999995</v>
      </c>
      <c r="IW13">
        <v>51.612903225799997</v>
      </c>
      <c r="IX13">
        <v>6.9000000003000004</v>
      </c>
      <c r="IY13">
        <v>93.841642228699996</v>
      </c>
      <c r="IZ13">
        <v>-27.0374048487</v>
      </c>
      <c r="JA13">
        <v>0.28952205050000002</v>
      </c>
      <c r="JB13">
        <v>-2.046138E-4</v>
      </c>
      <c r="JC13">
        <v>3.537E-7</v>
      </c>
      <c r="JD13">
        <v>0.26118472059999998</v>
      </c>
      <c r="JE13">
        <v>0.27298303330000001</v>
      </c>
      <c r="JF13">
        <v>0.1017564334</v>
      </c>
      <c r="JG13">
        <v>99.277213222699999</v>
      </c>
      <c r="JH13">
        <v>3.8626998442999998</v>
      </c>
      <c r="JI13">
        <v>5.0230085000000004E-3</v>
      </c>
      <c r="JJ13">
        <v>-6.9945300000000003E-5</v>
      </c>
      <c r="JK13">
        <v>3.8287078886999999</v>
      </c>
      <c r="JL13">
        <v>1.1584207992</v>
      </c>
      <c r="JM13">
        <v>0.35466119969999998</v>
      </c>
      <c r="JN13" t="s">
        <v>538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81.146031272000002</v>
      </c>
      <c r="D16" s="9">
        <f>AVERAGE(C18:C20)</f>
        <v>77.892612457166663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78.359770518900007</v>
      </c>
      <c r="D17" s="9">
        <f>AVERAGE(C21:C23)</f>
        <v>80.528834864100006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78.821226400900002</v>
      </c>
      <c r="D18" s="11">
        <f>AVERAGE(C24:C26)</f>
        <v>79.183923142433329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76.572085818900007</v>
      </c>
      <c r="D19" s="6">
        <f>AVERAGE('Summary(3pcs)'!E34:E35)</f>
        <v>145.13512028068789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78.284525151699995</v>
      </c>
      <c r="D20" s="9">
        <f>AVERAGE('Summary(3pcs)'!E36:E38)</f>
        <v>160.43022291857122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86.583716917700002</v>
      </c>
      <c r="D21" s="9">
        <f>AVERAGE('Summary(3pcs)'!E39:E41)</f>
        <v>160.39640689447126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81.826279454000002</v>
      </c>
      <c r="D22" s="11">
        <f>AVERAGE('Summary(3pcs)'!E42:E44)</f>
        <v>160.02779308820456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73.176508220599999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77.500277659299996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79.537908688000002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80.513583080000004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2.2927413006999999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3.1225418519999999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3.0702566392000001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4.6547934947999998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2.4409472305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5.4871546310000001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7.9147620543999997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1.9760586079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3.2850833216749997</v>
      </c>
      <c r="C39" s="5">
        <f>'Summary(3pcs)'!M34</f>
        <v>2.2927413006999999</v>
      </c>
      <c r="D39" s="11">
        <f t="shared" si="0"/>
        <v>-4.2737032167000004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3.1225418519999999</v>
      </c>
      <c r="D40" s="6">
        <f t="shared" si="0"/>
        <v>-1.0094924521999999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3.0702566392000001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4.6547934947999998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4.4547306309500003</v>
      </c>
      <c r="C43" s="8">
        <f>'Summary(3pcs)'!M39</f>
        <v>2.4409472305</v>
      </c>
      <c r="D43" s="6">
        <f t="shared" ref="D43:D54" si="2">C55</f>
        <v>3.2531829934999998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5.4871546310000001</v>
      </c>
      <c r="D44" s="9">
        <f t="shared" si="2"/>
        <v>1.29155395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7.9147620543999997</v>
      </c>
      <c r="D45" s="11">
        <f t="shared" si="2"/>
        <v>-4.6998627386000003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1.9760586079</v>
      </c>
      <c r="D46" s="6">
        <f t="shared" si="2"/>
        <v>6.7581025385000002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-4.2737032167000004</v>
      </c>
      <c r="D47" s="9">
        <f t="shared" si="2"/>
        <v>0.54722400190000009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-1.0094924521999999</v>
      </c>
      <c r="D48" s="11">
        <f t="shared" si="2"/>
        <v>0.57700897289999986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0.11679201729999988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3.2095127645999999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-0.42034510209999976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5.0097597144999995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1.65074418585</v>
      </c>
      <c r="C55" s="5">
        <f>'Summary(3pcs)'!N34</f>
        <v>3.2531829934999998</v>
      </c>
      <c r="D55" s="6">
        <f>AVERAGE(D31:D33)</f>
        <v>2.8285132639666664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1.29155395</v>
      </c>
      <c r="D56" s="9">
        <f>AVERAGE(D34:D36)</f>
        <v>4.1942984521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-4.6998627386000003</v>
      </c>
      <c r="D57" s="9">
        <f>AVERAGE(D37:D39)</f>
        <v>1.8723724818666663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6.7581025385000002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1.1126344391749998</v>
      </c>
      <c r="C59" s="8">
        <f>'Summary(3pcs)'!N39</f>
        <v>0.54722400190000009</v>
      </c>
      <c r="D59" s="9">
        <f>AVERAGE(D43:D45)</f>
        <v>-5.1708598366666671E-2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0.57700897289999986</v>
      </c>
      <c r="D60" s="9">
        <f>AVERAGE(D46:D48)</f>
        <v>2.6274451711000002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0.11679201729999988</v>
      </c>
      <c r="D61" s="9">
        <f>AVERAGE(D49:D51)</f>
        <v>0.96865322659999997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3.2095127645999999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-0.42034510209999976</v>
      </c>
      <c r="D63" s="6">
        <f>AVERAGE(C71:C73)</f>
        <v>5.825747172033334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5.0097597144999995</v>
      </c>
      <c r="D64" s="9">
        <f>AVERAGE(C74:C76)</f>
        <v>-2.6664927800666671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3.7251510620333335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0.78076124190000018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-5.3329008420333333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-9.9594417412999992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-3.6679214835000002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-7.491363207500001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2.9247798920000001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7.5988321303999999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6.9536294936999994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-18.041931152300002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9.0737342834000003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0.96871852870000019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6.4818630219000006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-0.10271835329999979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4.7963085175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5.0048217773000001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-0.80822825429999989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-1.8543097973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-5.6271877289000001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-4.4374918937999999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-5.9340229033999998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-4.3011171818000005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-9.1355061530999997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-16.441701889000001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-4.3629068136000004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-2.4953894018999998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-4.1454682350000001</v>
      </c>
    </row>
    <row r="96" spans="1:7">
      <c r="A96" s="1" t="s">
        <v>87</v>
      </c>
      <c r="C96" s="5">
        <f>'Summary(3pcs)'!W43</f>
        <v>-7.2093644142000004</v>
      </c>
    </row>
    <row r="97" spans="1:3">
      <c r="A97" s="1" t="s">
        <v>87</v>
      </c>
      <c r="C97" s="8">
        <f>'Summary(3pcs)'!W44</f>
        <v>-7.0254063605999999</v>
      </c>
    </row>
    <row r="98" spans="1:3" ht="17.25" thickBot="1">
      <c r="A98" s="1" t="s">
        <v>87</v>
      </c>
      <c r="C98" s="10">
        <f>'Summary(3pcs)'!W45</f>
        <v>-8.2393188476999999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2022-09-23T10:24:02Z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