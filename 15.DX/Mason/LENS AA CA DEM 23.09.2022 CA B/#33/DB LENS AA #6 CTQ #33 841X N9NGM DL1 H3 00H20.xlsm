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<sst xmlns="http://schemas.openxmlformats.org/spreadsheetml/2006/main" count="906" uniqueCount="563">
  <si>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</si>
  <si>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</si>
  <si>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</si>
  <si>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</si>
  <si>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</si>
  <si>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</si>
  <si>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</si>
  <si>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</si>
  <si>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</si>
  <si>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</si>
  <si>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</si>
  <si>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</si>
  <si>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</si>
  <si>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</si>
  <si>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</si>
  <si>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</si>
  <si>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</si>
  <si>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</si>
  <si>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</si>
  <si>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</si>
  <si>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</si>
  <si>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</si>
  <si>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</si>
  <si>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</si>
  <si>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</si>
  <si>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</si>
  <si>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</si>
  <si>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</si>
  <si>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</si>
  <si>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</si>
  <si>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</si>
  <si>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</si>
  <si>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</si>
  <si>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</si>
  <si>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</si>
  <si>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</si>
  <si>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</si>
  <si>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</si>
  <si>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</si>
  <si>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</si>
  <si>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</si>
  <si>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</si>
  <si>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</si>
  <si>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</si>
  <si>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</si>
  <si>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</si>
  <si>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</si>
  <si>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</si>
  <si>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</si>
  <si>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</si>
  <si>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</si>
  <si>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</si>
  <si>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</si>
  <si>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</si>
  <si>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</si>
  <si>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</si>
  <si>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</si>
  <si>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</si>
  <si>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</si>
  <si>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</si>
  <si>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</si>
  <si>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</si>
  <si>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</si>
  <si>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</si>
  <si>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</si>
  <si>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</si>
  <si>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</si>
  <si>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</si>
  <si>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</si>
  <si>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</si>
  <si>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</si>
  <si>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</si>
  <si>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</si>
  <si>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</si>
  <si>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</si>
  <si>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</si>
  <si>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</si>
  <si>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</si>
  <si>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</si>
  <si>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</si>
  <si>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</si>
  <si>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</si>
  <si>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</si>
  <si>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</si>
  <si>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</si>
  <si>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</si>
  <si>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</si>
  <si>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</si>
  <si>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</si>
  <si>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</si>
  <si>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</si>
  <si>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</si>
  <si>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</si>
  <si>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</si>
  <si>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</si>
  <si>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</si>
  <si>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</si>
  <si>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</si>
  <si>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</si>
  <si>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</si>
  <si>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</si>
  <si>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</si>
  <si>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</si>
  <si>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</si>
  <si>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</si>
  <si>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</si>
  <si>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</si>
  <si>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</si>
  <si>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</si>
  <si>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</si>
  <si>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</si>
  <si>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</si>
  <si>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</si>
  <si>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</si>
  <si>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</si>
  <si>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</si>
  <si>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</si>
  <si>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</si>
  <si>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</si>
  <si>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</si>
  <si>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</si>
  <si>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</si>
  <si>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</si>
  <si>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</si>
  <si>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</si>
  <si>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</si>
  <si>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</si>
  <si>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</si>
  <si>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</si>
  <si>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</si>
  <si>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</si>
  <si>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</si>
  <si>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</si>
  <si>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</si>
  <si>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</si>
  <si>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</si>
  <si>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</si>
  <si>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</si>
  <si>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</si>
  <si>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</si>
  <si>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</si>
  <si>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</si>
  <si>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</si>
  <si>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</si>
  <si>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</si>
  <si>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</si>
  <si>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</si>
  <si>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</si>
  <si>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</si>
  <si>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</si>
  <si>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</si>
  <si>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</si>
  <si>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</si>
  <si>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</si>
  <si>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</si>
  <si>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</si>
  <si>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</si>
  <si>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</si>
  <si>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</si>
  <si>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</si>
  <si>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</si>
  <si>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</si>
  <si>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</si>
  <si>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</si>
  <si>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</si>
  <si>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</si>
  <si>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</si>
  <si>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</si>
  <si>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</si>
  <si>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</si>
  <si>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</si>
  <si>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</si>
  <si>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</si>
  <si>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 VSY841XN9NGM_2022092320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</si>
  <si>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</si>
  <si>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</si>
  <si>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</si>
  <si>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</si>
  <si>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</si>
  <si>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</si>
  <si>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</si>
  <si>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</si>
  <si>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</si>
  <si>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</si>
  <si>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</si>
  <si>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</si>
  <si>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</si>
  <si>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</si>
  <si>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</si>
  <si>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</si>
  <si>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</si>
  <si>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</si>
  <si>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</si>
  <si>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</si>
  <si>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</si>
  <si>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</si>
  <si>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</si>
  <si>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</si>
  <si>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</si>
  <si>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</si>
  <si>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</si>
  <si>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</si>
  <si>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</si>
  <si>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</si>
  <si>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</si>
  <si>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</si>
  <si>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</si>
  <si>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</si>
  <si>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</si>
  <si>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</si>
  <si>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T220923200707454VCMLEBC060</t>
  </si>
  <si>
    <t>'2022-09-23 20:07:16:663</t>
  </si>
  <si>
    <t>VCMLEBC060A</t>
  </si>
  <si>
    <t>DB_C1001</t>
  </si>
  <si>
    <t>210615ADOE</t>
  </si>
  <si>
    <t>R13A_OC_MFG_C10_21091603_b1779c9</t>
  </si>
  <si>
    <t xml:space="preserve"> VSY841XN9NGM</t>
  </si>
  <si>
    <t>22cd20080870</t>
  </si>
  <si>
    <t>0x52800662a4a0bb08</t>
  </si>
  <si>
    <t>MF8C3548A6J743B6C039101129</t>
  </si>
  <si>
    <t>MF7C3537B69927A7A646</t>
  </si>
  <si>
    <t>DNA22251024220J08A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</si>
  <si>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</si>
  <si>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</si>
  <si>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</si>
  <si>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</si>
  <si>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</si>
  <si>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</si>
  <si>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T220923200905177VCMLEBC060</t>
  </si>
  <si>
    <t>'2022-09-23 20:09:13:971</t>
  </si>
  <si>
    <t>22cd20080397</t>
  </si>
  <si>
    <t>0x52800662a4a13103</t>
  </si>
  <si>
    <t>MFCC376CB5MG42B6C051008114</t>
  </si>
  <si>
    <t>MF7C3537B5VG27A7A652</t>
  </si>
  <si>
    <t>DNA22302061150C01A</t>
  </si>
  <si>
    <t>T220923201046106VCMLEBC060</t>
  </si>
  <si>
    <t>'2022-09-23 20:10:54:976</t>
  </si>
  <si>
    <t>22cd20080948</t>
  </si>
  <si>
    <t>0x52800562a513de07</t>
  </si>
  <si>
    <t>MF8C3548A6JC43B6D148015111</t>
  </si>
  <si>
    <t>MF7C3537B61D27A7A649</t>
  </si>
  <si>
    <t>DNA22247041380J03A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</si>
  <si>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</si>
  <si>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</si>
  <si>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</si>
  <si>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</si>
  <si>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</si>
  <si>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</si>
  <si>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</si>
  <si>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</si>
  <si>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</si>
  <si>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</si>
  <si>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</si>
  <si>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</si>
  <si>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</si>
  <si>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</si>
  <si>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</si>
  <si>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</si>
  <si>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</si>
  <si>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</si>
  <si>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</si>
  <si>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</si>
  <si>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</si>
  <si>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</si>
  <si>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</si>
  <si>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</si>
  <si>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</si>
  <si>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</si>
  <si>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</si>
  <si>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</si>
  <si>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</si>
  <si>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</si>
  <si>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</si>
  <si>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T220923200734071VCMLEBC060</t>
  </si>
  <si>
    <t>'2022-09-23 20:08:02:696</t>
  </si>
  <si>
    <t>R13A_IPQC_MFG_SFR_InfDn_C10_21090805_b1779c9</t>
  </si>
  <si>
    <t>D6x_Wide</t>
  </si>
  <si>
    <t>Normal</t>
  </si>
  <si>
    <t>T220923200931446VCMLEBC060</t>
  </si>
  <si>
    <t>'2022-09-23 20:10:00:702</t>
  </si>
  <si>
    <t>T220923201112379VCMLEBC060</t>
  </si>
  <si>
    <t>'2022-09-23 20:11:40:655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</si>
  <si>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</si>
  <si>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</si>
  <si>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</si>
  <si>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</si>
  <si>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</si>
  <si>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</si>
  <si>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</si>
  <si>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</si>
  <si>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</si>
  <si>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</si>
  <si>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</si>
  <si>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</si>
  <si>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</si>
  <si>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20:07:52:666</t>
  </si>
  <si>
    <t>'2022-09-23 20:09:50:672</t>
  </si>
  <si>
    <t>'2022-09-23 20:11:30:623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</si>
  <si>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</si>
  <si>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</si>
  <si>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</si>
  <si>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</si>
  <si>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</si>
  <si>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</si>
  <si>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</si>
  <si>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</si>
  <si>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</si>
  <si>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</si>
  <si>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</si>
  <si>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</si>
  <si>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</si>
  <si>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</si>
  <si>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</si>
  <si>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</si>
  <si>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</si>
  <si>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</si>
  <si>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</si>
  <si>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</si>
  <si>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</si>
  <si>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</si>
  <si>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</si>
  <si>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</si>
  <si>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</si>
  <si>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</si>
  <si>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</si>
  <si>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</si>
  <si>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</si>
  <si>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</si>
  <si>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</si>
  <si>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</si>
  <si>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</si>
  <si>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</si>
  <si>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</si>
  <si>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</si>
  <si>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</si>
  <si>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</si>
  <si>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</si>
  <si>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</si>
  <si>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</si>
  <si>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</si>
  <si>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</si>
  <si>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</si>
  <si>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</si>
  <si>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</si>
  <si>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</si>
  <si>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</si>
  <si>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</si>
  <si>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</si>
  <si>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</si>
  <si>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</si>
  <si>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</si>
  <si>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</si>
  <si>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</si>
  <si>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</si>
  <si>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</si>
  <si>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</si>
  <si>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</si>
  <si>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</si>
  <si>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</si>
  <si>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</si>
  <si>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</si>
  <si>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</si>
  <si>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</si>
  <si>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</si>
  <si>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</si>
  <si>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</si>
  <si>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</si>
  <si>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</si>
  <si>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</si>
  <si>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</si>
  <si>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</si>
  <si>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</si>
  <si>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</si>
  <si>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</si>
  <si>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</si>
  <si>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</si>
  <si>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</si>
  <si>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</si>
  <si>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</si>
  <si>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</si>
  <si>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</si>
  <si>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</si>
  <si>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</si>
  <si>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</si>
  <si>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</si>
  <si>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</si>
  <si>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</si>
  <si>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</si>
  <si>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</si>
  <si>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</si>
  <si>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</si>
  <si>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</si>
  <si>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</si>
  <si>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</si>
  <si>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</si>
  <si>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</si>
  <si>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</si>
  <si>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</si>
  <si>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</si>
  <si>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</si>
  <si>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</si>
  <si>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</si>
  <si>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</si>
  <si>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</si>
  <si>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</si>
  <si>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</si>
  <si>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</si>
  <si>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</si>
  <si>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</si>
  <si>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</si>
  <si>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</si>
  <si>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</si>
  <si>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</si>
  <si>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</si>
  <si>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</si>
  <si>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</si>
  <si>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</si>
  <si>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</si>
  <si>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</si>
  <si>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</si>
  <si>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</si>
  <si>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</si>
  <si>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</si>
  <si>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</si>
  <si>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</si>
  <si>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</si>
  <si>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</si>
  <si>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</si>
  <si>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</si>
  <si>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</si>
  <si>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</si>
  <si>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</si>
  <si>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</si>
  <si>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</si>
  <si>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</si>
  <si>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</si>
  <si>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</si>
  <si>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</si>
  <si>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</si>
  <si>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</si>
  <si>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</si>
  <si>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</si>
  <si>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</si>
  <si>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</si>
  <si>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</si>
  <si>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</si>
  <si>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</si>
  <si>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</si>
  <si>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</si>
  <si>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</si>
  <si>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</si>
  <si>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</si>
  <si>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</si>
  <si>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</si>
  <si>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</si>
  <si>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</si>
  <si>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</si>
  <si>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</si>
  <si>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</si>
  <si>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</si>
  <si>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</si>
  <si>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</si>
  <si>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</si>
  <si>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</si>
  <si>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</si>
  <si>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</si>
  <si>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</si>
  <si>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</si>
  <si>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</si>
  <si>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</si>
  <si>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</si>
  <si>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</si>
  <si>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</si>
  <si>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</si>
  <si>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</si>
  <si>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</si>
  <si>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</si>
  <si>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</si>
  <si>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</si>
  <si>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</si>
  <si>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</si>
  <si>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</si>
  <si>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</si>
  <si>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</si>
  <si>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</si>
  <si>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</si>
  <si>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</si>
  <si>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</si>
  <si>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</si>
  <si>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</si>
  <si>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</si>
  <si>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</si>
  <si>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</si>
  <si>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</si>
  <si>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</si>
  <si>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</si>
  <si>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</si>
  <si>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</si>
  <si>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</si>
  <si>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</si>
  <si>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</si>
  <si>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</si>
  <si>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</si>
  <si>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</si>
  <si>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</si>
  <si>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</si>
  <si>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</si>
  <si>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</si>
  <si>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</si>
  <si>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</si>
  <si>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</si>
  <si>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</si>
  <si>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</si>
  <si>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</si>
  <si>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</si>
  <si>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</si>
  <si>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</si>
  <si>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</si>
  <si>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</si>
  <si>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</si>
  <si>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</si>
  <si>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</si>
  <si>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</si>
  <si>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</si>
  <si>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</si>
  <si>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</si>
  <si>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</si>
  <si>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</si>
  <si>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</si>
  <si>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</si>
  <si>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</si>
  <si>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</si>
  <si>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</si>
  <si>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</si>
  <si>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</si>
  <si>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</si>
  <si>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</si>
  <si>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</si>
  <si>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</si>
  <si>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</si>
  <si>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</si>
  <si>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</si>
  <si>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</si>
  <si>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</si>
  <si>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</si>
  <si>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</si>
  <si>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</si>
  <si>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</si>
  <si>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</si>
  <si>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</si>
  <si>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</si>
  <si>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</si>
  <si>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</si>
  <si>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</si>
  <si>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</si>
  <si>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T220923200719300VCMLEBC060</t>
  </si>
  <si>
    <t>'2022-09-23 20:07:31:858</t>
  </si>
  <si>
    <t>R13A_IPQC_MFG_Laser_C10_21090805_b1779c9</t>
  </si>
  <si>
    <t>v9p4</t>
  </si>
  <si>
    <t>T220923200916685VCMLEBC060</t>
  </si>
  <si>
    <t>'2022-09-23 20:09:29:225</t>
  </si>
  <si>
    <t>T220923201057618VCMLEBC060</t>
  </si>
  <si>
    <t>'2022-09-23 20:11:10:156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</si>
</sst>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-4.6461769613000001</c:v>
                </c:pt>
                <c:pt idx="1">
                  <c:v>0.83465756790000001</c:v>
                </c:pt>
                <c:pt idx="2">
                  <c:v>-3.1920290524000001</c:v>
                </c:pt>
                <c:pt idx="3">
                  <c:v>0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-2.4355080484</c:v>
                </c:pt>
                <c:pt idx="1">
                  <c:v>0.58505525740000008</c:v>
                </c:pt>
                <c:pt idx="2">
                  <c:v>-0.86169586539999976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-2.3345161486000001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-0.90404955213333327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65472"/>
        <c:axId val="51867008"/>
      </c:scatterChart>
      <c:valAx>
        <c:axId val="5186547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867008"/>
        <c:crosses val="autoZero"/>
        <c:crossBetween val="midCat"/>
        <c:majorUnit val="10"/>
      </c:valAx>
      <c:valAx>
        <c:axId val="5186700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1865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52640"/>
        <c:axId val="99558528"/>
      </c:scatterChart>
      <c:valAx>
        <c:axId val="9955264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99558528"/>
        <c:crosses val="autoZero"/>
        <c:crossBetween val="midCat"/>
        <c:majorUnit val="10"/>
      </c:valAx>
      <c:valAx>
        <c:axId val="995585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99552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83104"/>
        <c:axId val="99584640"/>
      </c:scatterChart>
      <c:valAx>
        <c:axId val="995831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99584640"/>
        <c:crosses val="autoZero"/>
        <c:crossBetween val="midCat"/>
        <c:majorUnit val="10"/>
      </c:valAx>
      <c:valAx>
        <c:axId val="995846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99583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11936"/>
        <c:axId val="134717824"/>
      </c:scatterChart>
      <c:valAx>
        <c:axId val="1347119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717824"/>
        <c:crosses val="autoZero"/>
        <c:crossBetween val="midCat"/>
        <c:majorUnit val="10"/>
      </c:valAx>
      <c:valAx>
        <c:axId val="1347178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4711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97.619381901799997</c:v>
                </c:pt>
                <c:pt idx="1">
                  <c:v>91.047442016000005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96.0858838308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28384"/>
        <c:axId val="136129920"/>
      </c:scatterChart>
      <c:valAx>
        <c:axId val="13612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129920"/>
        <c:crosses val="autoZero"/>
        <c:crossBetween val="midCat"/>
      </c:valAx>
      <c:valAx>
        <c:axId val="13612992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128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99.590827574599999</c:v>
                </c:pt>
                <c:pt idx="1">
                  <c:v>-2</c:v>
                </c:pt>
                <c:pt idx="2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171520"/>
        <c:axId val="136173056"/>
      </c:scatterChart>
      <c:valAx>
        <c:axId val="136171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173056"/>
        <c:crosses val="autoZero"/>
        <c:crossBetween val="midCat"/>
      </c:valAx>
      <c:valAx>
        <c:axId val="13617305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171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8608"/>
        <c:axId val="134790144"/>
      </c:scatterChart>
      <c:valAx>
        <c:axId val="134788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4790144"/>
        <c:crosses val="autoZero"/>
        <c:crossBetween val="midCat"/>
      </c:valAx>
      <c:valAx>
        <c:axId val="13479014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4788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881472"/>
        <c:axId val="135883008"/>
      </c:scatterChart>
      <c:valAx>
        <c:axId val="13588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883008"/>
        <c:crosses val="autoZero"/>
        <c:crossBetween val="midCat"/>
      </c:valAx>
      <c:valAx>
        <c:axId val="13588300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88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-6</c:v>
                </c:pt>
                <c:pt idx="1">
                  <c:v>-6</c:v>
                </c:pt>
                <c:pt idx="2">
                  <c:v>-6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-6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01792"/>
        <c:axId val="136007680"/>
      </c:scatterChart>
      <c:valAx>
        <c:axId val="1360017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6007680"/>
        <c:crosses val="autoZero"/>
        <c:crossBetween val="midCat"/>
        <c:majorUnit val="10"/>
      </c:valAx>
      <c:valAx>
        <c:axId val="1360076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6001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-6</c:v>
                </c:pt>
                <c:pt idx="1">
                  <c:v>-6</c:v>
                </c:pt>
                <c:pt idx="2">
                  <c:v>-6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-6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44544"/>
        <c:axId val="136046080"/>
      </c:scatterChart>
      <c:valAx>
        <c:axId val="1360445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6046080"/>
        <c:crosses val="autoZero"/>
        <c:crossBetween val="midCat"/>
        <c:majorUnit val="10"/>
      </c:valAx>
      <c:valAx>
        <c:axId val="1360460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6044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-6</c:v>
                </c:pt>
                <c:pt idx="1">
                  <c:v>-6</c:v>
                </c:pt>
                <c:pt idx="2">
                  <c:v>-6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-6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964160"/>
        <c:axId val="135965696"/>
      </c:scatterChart>
      <c:valAx>
        <c:axId val="13596416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5965696"/>
        <c:crosses val="autoZero"/>
        <c:crossBetween val="midCat"/>
        <c:majorUnit val="10"/>
      </c:valAx>
      <c:valAx>
        <c:axId val="13596569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5964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-6.4390125871000006</c:v>
                </c:pt>
                <c:pt idx="1">
                  <c:v>-9.5167317390000008</c:v>
                </c:pt>
                <c:pt idx="2">
                  <c:v>-3.4282553195999999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-4.3251979351000003</c:v>
                </c:pt>
                <c:pt idx="1">
                  <c:v>-1.7535088061999999</c:v>
                </c:pt>
                <c:pt idx="2">
                  <c:v>-6.1089465617999998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-6.461333215233334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-4.0625511010333328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76288"/>
        <c:axId val="136082176"/>
      </c:scatterChart>
      <c:valAx>
        <c:axId val="1360762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6082176"/>
        <c:crosses val="autoZero"/>
        <c:crossBetween val="midCat"/>
        <c:majorUnit val="10"/>
      </c:valAx>
      <c:valAx>
        <c:axId val="1360821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6076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VSY841XN9NGM_2022092320_D50_ON_OC.csv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VSY841XN9NGM_2022092320_FPDC_INFD_normal.csv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VSY841XN9NGM_2022092320_INFDMargin_IPQC.csv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VSY841XN9NGM_2022092320_VCM_MEASURE.csv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R31" sqref="R31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22cd20080870</v>
      </c>
      <c r="C34" s="44">
        <f>IPQC!S2+VLOOKUP($R$31,$AD$38:$AK$42,6,FALSE)+VLOOKUP('File location'!$B$1,'Tester offset'!$A$2:$D$4,2,FALSE)</f>
        <v>97.619381901799997</v>
      </c>
      <c r="D34" s="44">
        <f>IPQC!Z2+VLOOKUP($R$31,$AD$38:$AK$42,6,FALSE)</f>
        <v>82.178753201600003</v>
      </c>
      <c r="E34" s="44">
        <f>VCM!HU2-'Summary(3pcs)'!C34-'Summary(3pcs)'!$D$32</f>
        <v>140.3847576367379</v>
      </c>
      <c r="F34" s="90">
        <f>AVERAGEIF($A$34:$A$45,1,$C$34:$C$45)</f>
        <v>96.0858838308</v>
      </c>
      <c r="G34" s="91">
        <f>AVERAGEIF($A$34:$A$45,1,$D$34:$D$45)</f>
        <v>83.798615914533329</v>
      </c>
      <c r="H34" s="91">
        <f>AVERAGEIF($A$34:$A$45,1,$E$34:$E$45)</f>
        <v>141.18489523793792</v>
      </c>
      <c r="I34" s="91">
        <f>85-F34</f>
        <v>-11.0858838308</v>
      </c>
      <c r="J34"/>
      <c r="K34" s="79">
        <f>T34</f>
        <v>1</v>
      </c>
      <c r="L34" s="80" t="str">
        <f>OC!J2</f>
        <v>22cd20080870</v>
      </c>
      <c r="M34" s="44">
        <f>OC!S2+VLOOKUP($R$31,$AD$38:$AK$42,4,FALSE)</f>
        <v>-4.6461769613000001</v>
      </c>
      <c r="N34" s="44">
        <f>OC!T2+VLOOKUP($R$31,$AD$38:$AK$42,5,FALSE)</f>
        <v>-2.4355080484</v>
      </c>
      <c r="O34" s="92">
        <f>AVERAGEIF($K$34:$K$45,1,$M$34:$M$45)</f>
        <v>-2.3345161486000001</v>
      </c>
      <c r="P34" s="92">
        <f>AVERAGEIF($K$34:$K$45,1,$N$34:$N$45)</f>
        <v>-0.90404955213333327</v>
      </c>
      <c r="Q34" s="90">
        <f>P34*0.001</f>
        <v>-9.0404955213333328E-4</v>
      </c>
      <c r="R34" s="90">
        <f>O34*0.001</f>
        <v>-2.3345161486000004E-3</v>
      </c>
      <c r="T34" s="79">
        <v>1</v>
      </c>
      <c r="U34" s="80" t="str">
        <f>FPDC!J2</f>
        <v>22cd20080870</v>
      </c>
      <c r="V34" s="75">
        <f>FPDC!R2+VLOOKUP($R$31,$AD$38:$AK$42,2,FALSE)+VLOOKUP($R$31,$AD$38:$AK$42,7,FALSE)+VLOOKUP('File location'!$B$1,'Tester offset'!$A$2:$D$4,3,FALSE)</f>
        <v>-6.4390125871000006</v>
      </c>
      <c r="W34" s="76">
        <f>FPDC!S2+VLOOKUP($R$31,$AD$38:$AK$42,3,FALSE)+VLOOKUP($R$31,$AD$38:$AK$42,8,FALSE)+VLOOKUP('File location'!$B$1,'Tester offset'!$A$2:$D$4,4,FALSE)</f>
        <v>-4.3251979351000003</v>
      </c>
      <c r="X34" s="92">
        <f>AVERAGEIF($T$34:$T$45,1,$V$34:$V$45)</f>
        <v>-6.461333215233334</v>
      </c>
      <c r="Y34" s="92">
        <f>AVERAGEIF($T$34:$T$45,1,$W$34:$W$45)</f>
        <v>-4.0625511010333328</v>
      </c>
      <c r="Z34" s="90">
        <f>(X34*-0.01)/4</f>
        <v>1.6153333038083334E-2</v>
      </c>
      <c r="AA34" s="90">
        <f>(Y34*-0.01)/4</f>
        <v>1.0156377752583332E-2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22cd20080397</v>
      </c>
      <c r="C35" s="44">
        <f>IPQC!S3+VLOOKUP($R$31,$AD$38:$AK$42,6,FALSE)+VLOOKUP('File location'!$B$1,'Tester offset'!$A$2:$D$4,2,FALSE)</f>
        <v>91.047442016000005</v>
      </c>
      <c r="D35" s="44">
        <f>IPQC!Z3+VLOOKUP($R$31,$AD$38:$AK$42,6,FALSE)</f>
        <v>82.456066269100006</v>
      </c>
      <c r="E35" s="44">
        <f>VCM!HU3-'Summary(3pcs)'!C35-'Summary(3pcs)'!$D$32</f>
        <v>154.7235143832379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22cd20080397</v>
      </c>
      <c r="M35" s="44">
        <f>OC!S3+VLOOKUP($R$31,$AD$38:$AK$42,4,FALSE)</f>
        <v>0.83465756790000001</v>
      </c>
      <c r="N35" s="44">
        <f>OC!T3+VLOOKUP($R$31,$AD$38:$AK$42,5,FALSE)</f>
        <v>0.58505525740000008</v>
      </c>
      <c r="O35" s="92"/>
      <c r="P35" s="92"/>
      <c r="Q35" s="90"/>
      <c r="R35" s="90"/>
      <c r="T35" s="79">
        <v>1</v>
      </c>
      <c r="U35" s="80" t="str">
        <f>FPDC!J3</f>
        <v>22cd20080397</v>
      </c>
      <c r="V35" s="75">
        <f>FPDC!R3+VLOOKUP($R$31,$AD$38:$AK$42,2,FALSE)+VLOOKUP($R$31,$AD$38:$AK$42,7,FALSE)+VLOOKUP('File location'!$B$1,'Tester offset'!$A$2:$D$4,3,FALSE)</f>
        <v>-9.5167317390000008</v>
      </c>
      <c r="W35" s="76">
        <f>FPDC!S3+VLOOKUP($R$31,$AD$38:$AK$42,3,FALSE)+VLOOKUP($R$31,$AD$38:$AK$42,8,FALSE)+VLOOKUP('File location'!$B$1,'Tester offset'!$A$2:$D$4,4,FALSE)</f>
        <v>-1.7535088061999999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22cd20080948</v>
      </c>
      <c r="C36" s="44">
        <f>IPQC!S4+VLOOKUP($R$31,$AD$38:$AK$42,6,FALSE)+VLOOKUP('File location'!$B$1,'Tester offset'!$A$2:$D$4,2,FALSE)</f>
        <v>99.590827574599999</v>
      </c>
      <c r="D36" s="44">
        <f>IPQC!Z4+VLOOKUP($R$31,$AD$38:$AK$42,6,FALSE)</f>
        <v>86.761028272900006</v>
      </c>
      <c r="E36" s="44">
        <f>VCM!HU4-'Summary(3pcs)'!C36-'Summary(3pcs)'!$D$32</f>
        <v>128.44641369383794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22cd20080948</v>
      </c>
      <c r="M36" s="44">
        <f>OC!S4+VLOOKUP($R$31,$AD$38:$AK$42,4,FALSE)</f>
        <v>-3.1920290524000001</v>
      </c>
      <c r="N36" s="44">
        <f>OC!T4+VLOOKUP($R$31,$AD$38:$AK$42,5,FALSE)</f>
        <v>-0.86169586539999976</v>
      </c>
      <c r="O36" s="92"/>
      <c r="P36" s="92"/>
      <c r="Q36" s="90"/>
      <c r="R36" s="90"/>
      <c r="T36" s="79">
        <v>1</v>
      </c>
      <c r="U36" s="80" t="str">
        <f>FPDC!J4</f>
        <v>22cd20080948</v>
      </c>
      <c r="V36" s="75">
        <f>FPDC!R4+VLOOKUP($R$31,$AD$38:$AK$42,2,FALSE)+VLOOKUP($R$31,$AD$38:$AK$42,7,FALSE)+VLOOKUP('File location'!$B$1,'Tester offset'!$A$2:$D$4,3,FALSE)</f>
        <v>-3.4282553195999999</v>
      </c>
      <c r="W36" s="76">
        <f>FPDC!S4+VLOOKUP($R$31,$AD$38:$AK$42,3,FALSE)+VLOOKUP($R$31,$AD$38:$AK$42,8,FALSE)+VLOOKUP('File location'!$B$1,'Tester offset'!$A$2:$D$4,4,FALSE)</f>
        <v>-6.1089465617999998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>
        <f>IPQC!J5</f>
        <v>0</v>
      </c>
      <c r="C37" s="44">
        <f>IPQC!S5+VLOOKUP($R$31,$AD$38:$AK$42,6,FALSE)+VLOOKUP('File location'!$B$1,'Tester offset'!$A$2:$D$4,2,FALSE)</f>
        <v>-2</v>
      </c>
      <c r="D37" s="44">
        <f>IPQC!Z5+VLOOKUP($R$31,$AD$38:$AK$42,6,FALSE)</f>
        <v>6</v>
      </c>
      <c r="E37" s="44">
        <f>VCM!HU5-'Summary(3pcs)'!C37-'Summary(3pcs)'!$D$32</f>
        <v>-177.50310559006209</v>
      </c>
      <c r="F37" s="90">
        <f>AVERAGEIF($A$34:$A$45,2,$C$34:$C$45)</f>
        <v>-2</v>
      </c>
      <c r="G37" s="91">
        <f>AVERAGEIF($A$34:$A$45,2,$D$34:$D$45)</f>
        <v>6</v>
      </c>
      <c r="H37" s="91">
        <f>AVERAGEIF($A$34:$A$45,2,$E$34:$E$45)</f>
        <v>-177.50310559006209</v>
      </c>
      <c r="I37" s="91">
        <f>85-F37</f>
        <v>87</v>
      </c>
      <c r="J37"/>
      <c r="K37" s="79">
        <f t="shared" si="1"/>
        <v>2</v>
      </c>
      <c r="L37" s="80">
        <f>OC!J5</f>
        <v>0</v>
      </c>
      <c r="M37" s="44">
        <f>OC!S5+VLOOKUP($R$31,$AD$38:$AK$42,4,FALSE)</f>
        <v>0</v>
      </c>
      <c r="N37" s="44">
        <f>OC!T5+VLOOKUP($R$31,$AD$38:$AK$42,5,FALSE)</f>
        <v>4</v>
      </c>
      <c r="O37" s="92">
        <f>AVERAGEIF($K$34:$K$45,2,$M$34:$M$45)</f>
        <v>0</v>
      </c>
      <c r="P37" s="92">
        <f>AVERAGEIF($K$34:$K$45,2,$N$34:$N$45)</f>
        <v>4</v>
      </c>
      <c r="Q37" s="90">
        <f>P37*0.001</f>
        <v>4.0000000000000001E-3</v>
      </c>
      <c r="R37" s="90">
        <f>O37*0.001</f>
        <v>0</v>
      </c>
      <c r="T37" s="79">
        <v>2</v>
      </c>
      <c r="U37" s="80">
        <f>FPDC!J5</f>
        <v>0</v>
      </c>
      <c r="V37" s="75">
        <f>FPDC!R5+VLOOKUP($R$31,$AD$38:$AK$42,2,FALSE)+VLOOKUP($R$31,$AD$38:$AK$42,7,FALSE)+VLOOKUP('File location'!$B$1,'Tester offset'!$A$2:$D$4,3,FALSE)</f>
        <v>-6</v>
      </c>
      <c r="W37" s="76">
        <f>FPDC!S5+VLOOKUP($R$31,$AD$38:$AK$42,3,FALSE)+VLOOKUP($R$31,$AD$38:$AK$42,8,FALSE)+VLOOKUP('File location'!$B$1,'Tester offset'!$A$2:$D$4,4,FALSE)</f>
        <v>-3</v>
      </c>
      <c r="X37" s="92">
        <f>AVERAGEIF($T$34:$T$45,2,$V$34:$V$45)</f>
        <v>-6</v>
      </c>
      <c r="Y37" s="92">
        <f>AVERAGEIF($T$34:$T$45,2,$W$34:$W$45)</f>
        <v>-3</v>
      </c>
      <c r="Z37" s="90">
        <f>(X37*-0.01)/4</f>
        <v>1.4999999999999999E-2</v>
      </c>
      <c r="AA37" s="90">
        <f>(Y37*-0.01)/4</f>
        <v>7.4999999999999997E-3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>
        <f>IPQC!J6</f>
        <v>0</v>
      </c>
      <c r="C38" s="44">
        <f>IPQC!S6+VLOOKUP($R$31,$AD$38:$AK$42,6,FALSE)+VLOOKUP('File location'!$B$1,'Tester offset'!$A$2:$D$4,2,FALSE)</f>
        <v>-2</v>
      </c>
      <c r="D38" s="44">
        <f>IPQC!Z6+VLOOKUP($R$31,$AD$38:$AK$42,6,FALSE)</f>
        <v>6</v>
      </c>
      <c r="E38" s="44">
        <f>VCM!HU6-'Summary(3pcs)'!C38-'Summary(3pcs)'!$D$32</f>
        <v>-177.50310559006209</v>
      </c>
      <c r="F38" s="90"/>
      <c r="G38" s="91"/>
      <c r="H38" s="91"/>
      <c r="I38" s="91"/>
      <c r="J38"/>
      <c r="K38" s="79">
        <f t="shared" si="1"/>
        <v>2</v>
      </c>
      <c r="L38" s="80">
        <f>OC!J6</f>
        <v>0</v>
      </c>
      <c r="M38" s="44">
        <f>OC!S6+VLOOKUP($R$31,$AD$38:$AK$42,4,FALSE)</f>
        <v>0</v>
      </c>
      <c r="N38" s="44">
        <f>OC!T6+VLOOKUP($R$31,$AD$38:$AK$42,5,FALSE)</f>
        <v>4</v>
      </c>
      <c r="O38" s="92"/>
      <c r="P38" s="92"/>
      <c r="Q38" s="90"/>
      <c r="R38" s="90"/>
      <c r="T38" s="79">
        <v>2</v>
      </c>
      <c r="U38" s="80">
        <f>FPDC!J6</f>
        <v>0</v>
      </c>
      <c r="V38" s="75">
        <f>FPDC!R6+VLOOKUP($R$31,$AD$38:$AK$42,2,FALSE)+VLOOKUP($R$31,$AD$38:$AK$42,7,FALSE)+VLOOKUP('File location'!$B$1,'Tester offset'!$A$2:$D$4,3,FALSE)</f>
        <v>-6</v>
      </c>
      <c r="W38" s="76">
        <f>FPDC!S6+VLOOKUP($R$31,$AD$38:$AK$42,3,FALSE)+VLOOKUP($R$31,$AD$38:$AK$42,8,FALSE)+VLOOKUP('File location'!$B$1,'Tester offset'!$A$2:$D$4,4,FALSE)</f>
        <v>-3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>
        <f>IPQC!J7</f>
        <v>0</v>
      </c>
      <c r="C39" s="44">
        <f>IPQC!S7+VLOOKUP($R$31,$AD$38:$AK$42,6,FALSE)+VLOOKUP('File location'!$B$1,'Tester offset'!$A$2:$D$4,2,FALSE)</f>
        <v>-2</v>
      </c>
      <c r="D39" s="44">
        <f>IPQC!Z7+VLOOKUP($R$31,$AD$38:$AK$42,6,FALSE)</f>
        <v>6</v>
      </c>
      <c r="E39" s="44">
        <f>VCM!HU7-'Summary(3pcs)'!C39-'Summary(3pcs)'!$D$32</f>
        <v>-177.50310559006209</v>
      </c>
      <c r="F39" s="90"/>
      <c r="G39" s="91"/>
      <c r="H39" s="91"/>
      <c r="I39" s="91"/>
      <c r="J39"/>
      <c r="K39" s="79">
        <f t="shared" si="1"/>
        <v>2</v>
      </c>
      <c r="L39" s="80">
        <f>OC!J7</f>
        <v>0</v>
      </c>
      <c r="M39" s="44">
        <f>OC!S7+VLOOKUP($R$31,$AD$38:$AK$42,4,FALSE)</f>
        <v>0</v>
      </c>
      <c r="N39" s="44">
        <f>OC!T7+VLOOKUP($R$31,$AD$38:$AK$42,5,FALSE)</f>
        <v>4</v>
      </c>
      <c r="O39" s="92"/>
      <c r="P39" s="92"/>
      <c r="Q39" s="90"/>
      <c r="R39" s="90"/>
      <c r="T39" s="79">
        <v>2</v>
      </c>
      <c r="U39" s="80">
        <f>FPDC!J7</f>
        <v>0</v>
      </c>
      <c r="V39" s="75">
        <f>FPDC!R7+VLOOKUP($R$31,$AD$38:$AK$42,2,FALSE)+VLOOKUP($R$31,$AD$38:$AK$42,7,FALSE)+VLOOKUP('File location'!$B$1,'Tester offset'!$A$2:$D$4,3,FALSE)</f>
        <v>-6</v>
      </c>
      <c r="W39" s="76">
        <f>FPDC!S7+VLOOKUP($R$31,$AD$38:$AK$42,3,FALSE)+VLOOKUP($R$31,$AD$38:$AK$42,8,FALSE)+VLOOKUP('File location'!$B$1,'Tester offset'!$A$2:$D$4,4,FALSE)</f>
        <v>-3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>
        <f>IPQC!J8</f>
        <v>0</v>
      </c>
      <c r="C40" s="44">
        <f>IPQC!S8+VLOOKUP($R$31,$AD$38:$AK$42,6,FALSE)+VLOOKUP('File location'!$B$1,'Tester offset'!$A$2:$D$4,2,FALSE)</f>
        <v>-2</v>
      </c>
      <c r="D40" s="44">
        <f>IPQC!Z8+VLOOKUP($R$31,$AD$38:$AK$42,6,FALSE)</f>
        <v>6</v>
      </c>
      <c r="E40" s="44">
        <f>VCM!HU8-'Summary(3pcs)'!C40-'Summary(3pcs)'!$D$32</f>
        <v>-177.50310559006209</v>
      </c>
      <c r="F40" s="90">
        <f>AVERAGEIF($A$34:$A$45,3,$C$34:$C$45)</f>
        <v>-2</v>
      </c>
      <c r="G40" s="91">
        <f>AVERAGEIF($A$34:$A$45,3,$D$34:$D$45)</f>
        <v>6</v>
      </c>
      <c r="H40" s="91">
        <f>AVERAGEIF($A$34:$A$45,3,$E$34:$E$45)</f>
        <v>-177.50310559006209</v>
      </c>
      <c r="I40" s="91">
        <f>85-F40</f>
        <v>87</v>
      </c>
      <c r="J40"/>
      <c r="K40" s="79">
        <f t="shared" si="1"/>
        <v>3</v>
      </c>
      <c r="L40" s="80">
        <f>OC!J8</f>
        <v>0</v>
      </c>
      <c r="M40" s="44">
        <f>OC!S8+VLOOKUP($R$31,$AD$38:$AK$42,4,FALSE)</f>
        <v>0</v>
      </c>
      <c r="N40" s="44">
        <f>OC!T8+VLOOKUP($R$31,$AD$38:$AK$42,5,FALSE)</f>
        <v>4</v>
      </c>
      <c r="O40" s="92">
        <f>AVERAGEIF($K$34:$K$45,3,$M$34:$M$45)</f>
        <v>0</v>
      </c>
      <c r="P40" s="92">
        <f>AVERAGEIF($K$34:$K$45,3,$N$34:$N$45)</f>
        <v>4</v>
      </c>
      <c r="Q40" s="90">
        <f>P40*0.001</f>
        <v>4.0000000000000001E-3</v>
      </c>
      <c r="R40" s="90">
        <f>O40*0.001</f>
        <v>0</v>
      </c>
      <c r="T40" s="79">
        <v>3</v>
      </c>
      <c r="U40" s="80">
        <f>FPDC!J8</f>
        <v>0</v>
      </c>
      <c r="V40" s="75">
        <f>FPDC!R8+VLOOKUP($R$31,$AD$38:$AK$42,2,FALSE)+VLOOKUP($R$31,$AD$38:$AK$42,7,FALSE)+VLOOKUP('File location'!$B$1,'Tester offset'!$A$2:$D$4,3,FALSE)</f>
        <v>-6</v>
      </c>
      <c r="W40" s="76">
        <f>FPDC!S8+VLOOKUP($R$31,$AD$38:$AK$42,3,FALSE)+VLOOKUP($R$31,$AD$38:$AK$42,8,FALSE)+VLOOKUP('File location'!$B$1,'Tester offset'!$A$2:$D$4,4,FALSE)</f>
        <v>-3</v>
      </c>
      <c r="X40" s="92">
        <f>AVERAGEIF($T$34:$T$45,3,$V$34:$V$45)</f>
        <v>-6</v>
      </c>
      <c r="Y40" s="92">
        <f>AVERAGEIF($T$34:$T$45,3,$W$34:$W$45)</f>
        <v>-3</v>
      </c>
      <c r="Z40" s="90">
        <f>(X40*-0.01)/4</f>
        <v>1.4999999999999999E-2</v>
      </c>
      <c r="AA40" s="90">
        <f>(Y40*-0.01)/4</f>
        <v>7.4999999999999997E-3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>
        <f>IPQC!J9</f>
        <v>0</v>
      </c>
      <c r="C41" s="44">
        <f>IPQC!S9+VLOOKUP($R$31,$AD$38:$AK$42,6,FALSE)+VLOOKUP('File location'!$B$1,'Tester offset'!$A$2:$D$4,2,FALSE)</f>
        <v>-2</v>
      </c>
      <c r="D41" s="44">
        <f>IPQC!Z9+VLOOKUP($R$31,$AD$38:$AK$42,6,FALSE)</f>
        <v>6</v>
      </c>
      <c r="E41" s="44">
        <f>VCM!HU9-'Summary(3pcs)'!C41-'Summary(3pcs)'!$D$32</f>
        <v>-177.50310559006209</v>
      </c>
      <c r="F41" s="90"/>
      <c r="G41" s="91"/>
      <c r="H41" s="91"/>
      <c r="I41" s="91"/>
      <c r="J41"/>
      <c r="K41" s="79">
        <f t="shared" si="1"/>
        <v>3</v>
      </c>
      <c r="L41" s="80">
        <f>OC!J9</f>
        <v>0</v>
      </c>
      <c r="M41" s="44">
        <f>OC!S9+VLOOKUP($R$31,$AD$38:$AK$42,4,FALSE)</f>
        <v>0</v>
      </c>
      <c r="N41" s="44">
        <f>OC!T9+VLOOKUP($R$31,$AD$38:$AK$42,5,FALSE)</f>
        <v>4</v>
      </c>
      <c r="O41" s="92"/>
      <c r="P41" s="92"/>
      <c r="Q41" s="90"/>
      <c r="R41" s="90"/>
      <c r="T41" s="79">
        <v>3</v>
      </c>
      <c r="U41" s="80">
        <f>FPDC!J9</f>
        <v>0</v>
      </c>
      <c r="V41" s="75">
        <f>FPDC!R9+VLOOKUP($R$31,$AD$38:$AK$42,2,FALSE)+VLOOKUP($R$31,$AD$38:$AK$42,7,FALSE)+VLOOKUP('File location'!$B$1,'Tester offset'!$A$2:$D$4,3,FALSE)</f>
        <v>-6</v>
      </c>
      <c r="W41" s="76">
        <f>FPDC!S9+VLOOKUP($R$31,$AD$38:$AK$42,3,FALSE)+VLOOKUP($R$31,$AD$38:$AK$42,8,FALSE)+VLOOKUP('File location'!$B$1,'Tester offset'!$A$2:$D$4,4,FALSE)</f>
        <v>-3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>
        <f>IPQC!J10</f>
        <v>0</v>
      </c>
      <c r="C42" s="44">
        <f>IPQC!S10+VLOOKUP($R$31,$AD$38:$AK$42,6,FALSE)+VLOOKUP('File location'!$B$1,'Tester offset'!$A$2:$D$4,2,FALSE)</f>
        <v>-2</v>
      </c>
      <c r="D42" s="44">
        <f>IPQC!Z10+VLOOKUP($R$31,$AD$38:$AK$42,6,FALSE)</f>
        <v>6</v>
      </c>
      <c r="E42" s="44">
        <f>VCM!HU10-'Summary(3pcs)'!C42-'Summary(3pcs)'!$D$32</f>
        <v>-177.50310559006209</v>
      </c>
      <c r="F42" s="90"/>
      <c r="G42" s="91"/>
      <c r="H42" s="91"/>
      <c r="I42" s="91"/>
      <c r="J42"/>
      <c r="K42" s="79">
        <f t="shared" si="1"/>
        <v>3</v>
      </c>
      <c r="L42" s="80">
        <f>OC!J10</f>
        <v>0</v>
      </c>
      <c r="M42" s="44">
        <f>OC!S10+VLOOKUP($R$31,$AD$38:$AK$42,4,FALSE)</f>
        <v>0</v>
      </c>
      <c r="N42" s="44">
        <f>OC!T10+VLOOKUP($R$31,$AD$38:$AK$42,5,FALSE)</f>
        <v>4</v>
      </c>
      <c r="O42" s="92"/>
      <c r="P42" s="92"/>
      <c r="Q42" s="90"/>
      <c r="R42" s="90"/>
      <c r="T42" s="79">
        <v>3</v>
      </c>
      <c r="U42" s="80">
        <f>FPDC!J10</f>
        <v>0</v>
      </c>
      <c r="V42" s="75">
        <f>FPDC!R10+VLOOKUP($R$31,$AD$38:$AK$42,2,FALSE)+VLOOKUP($R$31,$AD$38:$AK$42,7,FALSE)+VLOOKUP('File location'!$B$1,'Tester offset'!$A$2:$D$4,3,FALSE)</f>
        <v>-6</v>
      </c>
      <c r="W42" s="76">
        <f>FPDC!S10+VLOOKUP($R$31,$AD$38:$AK$42,3,FALSE)+VLOOKUP($R$31,$AD$38:$AK$42,8,FALSE)+VLOOKUP('File location'!$B$1,'Tester offset'!$A$2:$D$4,4,FALSE)</f>
        <v>-3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>
        <f>IPQC!J11</f>
        <v>0</v>
      </c>
      <c r="C43" s="44">
        <f>IPQC!S11+VLOOKUP($R$31,$AD$38:$AK$42,6,FALSE)+VLOOKUP('File location'!$B$1,'Tester offset'!$A$2:$D$4,2,FALSE)</f>
        <v>-2</v>
      </c>
      <c r="D43" s="44">
        <f>IPQC!Z11+VLOOKUP($R$31,$AD$38:$AK$42,6,FALSE)</f>
        <v>6</v>
      </c>
      <c r="E43" s="44">
        <f>VCM!HU11-'Summary(3pcs)'!C43-'Summary(3pcs)'!$D$32</f>
        <v>-177.50310559006209</v>
      </c>
      <c r="F43" s="90">
        <f>AVERAGEIF($A$34:$A$45,4,$C$34:$C$45)</f>
        <v>-2</v>
      </c>
      <c r="G43" s="91">
        <f>AVERAGEIF($A$34:$A$45,4,$D$34:$D$45)</f>
        <v>6</v>
      </c>
      <c r="H43" s="91">
        <f>AVERAGEIF($A$34:$A$45,4,$E$34:$E$45)</f>
        <v>-177.50310559006209</v>
      </c>
      <c r="I43" s="91">
        <f>85-F43</f>
        <v>87</v>
      </c>
      <c r="J43"/>
      <c r="K43" s="79">
        <f t="shared" si="1"/>
        <v>4</v>
      </c>
      <c r="L43" s="80">
        <f>OC!J11</f>
        <v>0</v>
      </c>
      <c r="M43" s="44">
        <f>OC!S11+VLOOKUP($R$31,$AD$38:$AK$42,4,FALSE)</f>
        <v>0</v>
      </c>
      <c r="N43" s="44">
        <f>OC!T11+VLOOKUP($R$31,$AD$38:$AK$42,5,FALSE)</f>
        <v>4</v>
      </c>
      <c r="O43" s="92">
        <f>AVERAGEIF($K$34:$K$45,4,$M$34:$M$45)</f>
        <v>0</v>
      </c>
      <c r="P43" s="92">
        <f>AVERAGEIF($K$34:$K$45,4,$N$34:$N$45)</f>
        <v>4</v>
      </c>
      <c r="Q43" s="90">
        <f>P43*0.001</f>
        <v>4.0000000000000001E-3</v>
      </c>
      <c r="R43" s="90">
        <f>O43*0.001</f>
        <v>0</v>
      </c>
      <c r="T43" s="79">
        <v>4</v>
      </c>
      <c r="U43" s="80">
        <f>FPDC!J11</f>
        <v>0</v>
      </c>
      <c r="V43" s="75">
        <f>FPDC!R11+VLOOKUP($R$31,$AD$38:$AK$42,2,FALSE)+VLOOKUP($R$31,$AD$38:$AK$42,7,FALSE)+VLOOKUP('File location'!$B$1,'Tester offset'!$A$2:$D$4,3,FALSE)</f>
        <v>-6</v>
      </c>
      <c r="W43" s="76">
        <f>FPDC!S11+VLOOKUP($R$31,$AD$38:$AK$42,3,FALSE)+VLOOKUP($R$31,$AD$38:$AK$42,8,FALSE)+VLOOKUP('File location'!$B$1,'Tester offset'!$A$2:$D$4,4,FALSE)</f>
        <v>-3</v>
      </c>
      <c r="X43" s="92">
        <f>AVERAGEIF($T$34:$T$45,4,$V$34:$V$45)</f>
        <v>-6</v>
      </c>
      <c r="Y43" s="92">
        <f>AVERAGEIF($T$34:$T$45,4,$W$34:$W$45)</f>
        <v>-3</v>
      </c>
      <c r="Z43" s="90">
        <f>(X43*-0.01)/4</f>
        <v>1.4999999999999999E-2</v>
      </c>
      <c r="AA43" s="90">
        <f>(Y43*-0.01)/4</f>
        <v>7.4999999999999997E-3</v>
      </c>
    </row>
    <row r="44" spans="1:37" s="32" customFormat="1" ht="17.100000000000001" customHeight="1">
      <c r="A44" s="79">
        <f t="shared" si="0"/>
        <v>4</v>
      </c>
      <c r="B44" s="80">
        <f>IPQC!J12</f>
        <v>0</v>
      </c>
      <c r="C44" s="44">
        <f>IPQC!S12+VLOOKUP($R$31,$AD$38:$AK$42,6,FALSE)+VLOOKUP('File location'!$B$1,'Tester offset'!$A$2:$D$4,2,FALSE)</f>
        <v>-2</v>
      </c>
      <c r="D44" s="44">
        <f>IPQC!Z12+VLOOKUP($R$31,$AD$38:$AK$42,6,FALSE)</f>
        <v>6</v>
      </c>
      <c r="E44" s="44">
        <f>VCM!HU12-'Summary(3pcs)'!C44-'Summary(3pcs)'!$D$32</f>
        <v>-177.50310559006209</v>
      </c>
      <c r="F44" s="90"/>
      <c r="G44" s="91"/>
      <c r="H44" s="91"/>
      <c r="I44" s="91"/>
      <c r="J44"/>
      <c r="K44" s="79">
        <f t="shared" si="1"/>
        <v>4</v>
      </c>
      <c r="L44" s="80">
        <f>OC!J12</f>
        <v>0</v>
      </c>
      <c r="M44" s="44">
        <f>OC!S12+VLOOKUP($R$31,$AD$38:$AK$42,4,FALSE)</f>
        <v>0</v>
      </c>
      <c r="N44" s="44">
        <f>OC!T12+VLOOKUP($R$31,$AD$38:$AK$42,5,FALSE)</f>
        <v>4</v>
      </c>
      <c r="O44" s="92"/>
      <c r="P44" s="92"/>
      <c r="Q44" s="90"/>
      <c r="R44" s="90"/>
      <c r="T44" s="79">
        <v>4</v>
      </c>
      <c r="U44" s="80">
        <f>FPDC!J12</f>
        <v>0</v>
      </c>
      <c r="V44" s="75">
        <f>FPDC!R12+VLOOKUP($R$31,$AD$38:$AK$42,2,FALSE)+VLOOKUP($R$31,$AD$38:$AK$42,7,FALSE)+VLOOKUP('File location'!$B$1,'Tester offset'!$A$2:$D$4,3,FALSE)</f>
        <v>-6</v>
      </c>
      <c r="W44" s="76">
        <f>FPDC!S12+VLOOKUP($R$31,$AD$38:$AK$42,3,FALSE)+VLOOKUP($R$31,$AD$38:$AK$42,8,FALSE)+VLOOKUP('File location'!$B$1,'Tester offset'!$A$2:$D$4,4,FALSE)</f>
        <v>-3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>
        <f>IPQC!J13</f>
        <v>0</v>
      </c>
      <c r="C45" s="44">
        <f>IPQC!S13+VLOOKUP($R$31,$AD$38:$AK$42,6,FALSE)+VLOOKUP('File location'!$B$1,'Tester offset'!$A$2:$D$4,2,FALSE)</f>
        <v>-2</v>
      </c>
      <c r="D45" s="44">
        <f>IPQC!Z13+VLOOKUP($R$31,$AD$38:$AK$42,6,FALSE)</f>
        <v>6</v>
      </c>
      <c r="E45" s="44">
        <f>VCM!HU13-'Summary(3pcs)'!C45-'Summary(3pcs)'!$D$32</f>
        <v>-177.50310559006209</v>
      </c>
      <c r="F45" s="90"/>
      <c r="G45" s="91"/>
      <c r="H45" s="91"/>
      <c r="I45" s="91"/>
      <c r="J45"/>
      <c r="K45" s="79">
        <f t="shared" si="1"/>
        <v>4</v>
      </c>
      <c r="L45" s="80">
        <f>OC!J13</f>
        <v>0</v>
      </c>
      <c r="M45" s="44">
        <f>OC!S13+VLOOKUP($R$31,$AD$38:$AK$42,4,FALSE)</f>
        <v>0</v>
      </c>
      <c r="N45" s="44">
        <f>OC!T13+VLOOKUP($R$31,$AD$38:$AK$42,5,FALSE)</f>
        <v>4</v>
      </c>
      <c r="O45" s="92"/>
      <c r="P45" s="92"/>
      <c r="Q45" s="90"/>
      <c r="R45" s="90"/>
      <c r="T45" s="79">
        <v>4</v>
      </c>
      <c r="U45" s="80">
        <f>FPDC!J13</f>
        <v>0</v>
      </c>
      <c r="V45" s="75">
        <f>FPDC!R13+VLOOKUP($R$31,$AD$38:$AK$42,2,FALSE)+VLOOKUP($R$31,$AD$38:$AK$42,7,FALSE)+VLOOKUP('File location'!$B$1,'Tester offset'!$A$2:$D$4,3,FALSE)</f>
        <v>-6</v>
      </c>
      <c r="W45" s="76">
        <f>FPDC!S13+VLOOKUP($R$31,$AD$38:$AK$42,3,FALSE)+VLOOKUP($R$31,$AD$38:$AK$42,8,FALSE)+VLOOKUP('File location'!$B$1,'Tester offset'!$A$2:$D$4,4,FALSE)</f>
        <v>-3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97.619381901799997</v>
      </c>
      <c r="L54" s="49">
        <f t="shared" ref="L54:L65" si="4">D34</f>
        <v>82.178753201600003</v>
      </c>
      <c r="M54" s="49">
        <f t="shared" ref="M54:M65" si="5">E34</f>
        <v>140.3847576367379</v>
      </c>
      <c r="N54" s="49">
        <f t="shared" ref="N54:O65" si="6">M34</f>
        <v>-4.6461769613000001</v>
      </c>
      <c r="O54" s="49">
        <f t="shared" si="6"/>
        <v>-2.4355080484</v>
      </c>
      <c r="P54" s="49">
        <f t="shared" ref="P54:P65" si="7">V34</f>
        <v>-6.4390125871000006</v>
      </c>
      <c r="Q54" s="50">
        <f t="shared" ref="Q54:Q65" si="8">W34</f>
        <v>-4.3251979351000003</v>
      </c>
    </row>
    <row r="55" spans="6:27" ht="19.5">
      <c r="I55" s="47">
        <f t="shared" si="2"/>
        <v>1</v>
      </c>
      <c r="J55" s="46"/>
      <c r="K55" s="51">
        <f t="shared" si="3"/>
        <v>91.047442016000005</v>
      </c>
      <c r="L55" s="52">
        <f t="shared" si="4"/>
        <v>82.456066269100006</v>
      </c>
      <c r="M55" s="52">
        <f t="shared" si="5"/>
        <v>154.7235143832379</v>
      </c>
      <c r="N55" s="52">
        <f t="shared" si="6"/>
        <v>0.83465756790000001</v>
      </c>
      <c r="O55" s="52">
        <f t="shared" si="6"/>
        <v>0.58505525740000008</v>
      </c>
      <c r="P55" s="52">
        <f t="shared" si="7"/>
        <v>-9.5167317390000008</v>
      </c>
      <c r="Q55" s="53">
        <f t="shared" si="8"/>
        <v>-1.7535088061999999</v>
      </c>
    </row>
    <row r="56" spans="6:27" ht="19.5">
      <c r="I56" s="47">
        <f t="shared" si="2"/>
        <v>1</v>
      </c>
      <c r="J56" s="46"/>
      <c r="K56" s="54">
        <f t="shared" si="3"/>
        <v>99.590827574599999</v>
      </c>
      <c r="L56" s="55">
        <f t="shared" si="4"/>
        <v>86.761028272900006</v>
      </c>
      <c r="M56" s="55">
        <f t="shared" si="5"/>
        <v>128.44641369383794</v>
      </c>
      <c r="N56" s="55">
        <f t="shared" si="6"/>
        <v>-3.1920290524000001</v>
      </c>
      <c r="O56" s="55">
        <f t="shared" si="6"/>
        <v>-0.86169586539999976</v>
      </c>
      <c r="P56" s="55">
        <f t="shared" si="7"/>
        <v>-3.4282553195999999</v>
      </c>
      <c r="Q56" s="56">
        <f t="shared" si="8"/>
        <v>-6.1089465617999998</v>
      </c>
    </row>
    <row r="57" spans="6:27" ht="19.5">
      <c r="I57" s="47">
        <f t="shared" si="2"/>
        <v>2</v>
      </c>
      <c r="J57" s="46"/>
      <c r="K57" s="57">
        <f t="shared" si="3"/>
        <v>-2</v>
      </c>
      <c r="L57" s="58">
        <f t="shared" si="4"/>
        <v>6</v>
      </c>
      <c r="M57" s="58">
        <f t="shared" si="5"/>
        <v>-177.50310559006209</v>
      </c>
      <c r="N57" s="58">
        <f t="shared" si="6"/>
        <v>0</v>
      </c>
      <c r="O57" s="58">
        <f t="shared" si="6"/>
        <v>4</v>
      </c>
      <c r="P57" s="58">
        <f t="shared" si="7"/>
        <v>-6</v>
      </c>
      <c r="Q57" s="59">
        <f t="shared" si="8"/>
        <v>-3</v>
      </c>
    </row>
    <row r="58" spans="6:27" ht="19.5">
      <c r="I58" s="47">
        <f t="shared" si="2"/>
        <v>2</v>
      </c>
      <c r="J58" s="46"/>
      <c r="K58" s="57">
        <f t="shared" si="3"/>
        <v>-2</v>
      </c>
      <c r="L58" s="58">
        <f t="shared" si="4"/>
        <v>6</v>
      </c>
      <c r="M58" s="58">
        <f t="shared" si="5"/>
        <v>-177.50310559006209</v>
      </c>
      <c r="N58" s="58">
        <f t="shared" si="6"/>
        <v>0</v>
      </c>
      <c r="O58" s="58">
        <f t="shared" si="6"/>
        <v>4</v>
      </c>
      <c r="P58" s="58">
        <f t="shared" si="7"/>
        <v>-6</v>
      </c>
      <c r="Q58" s="59">
        <f t="shared" si="8"/>
        <v>-3</v>
      </c>
    </row>
    <row r="59" spans="6:27" ht="19.5">
      <c r="I59" s="47">
        <f t="shared" si="2"/>
        <v>2</v>
      </c>
      <c r="J59" s="46"/>
      <c r="K59" s="57">
        <f t="shared" si="3"/>
        <v>-2</v>
      </c>
      <c r="L59" s="58">
        <f t="shared" si="4"/>
        <v>6</v>
      </c>
      <c r="M59" s="58">
        <f t="shared" si="5"/>
        <v>-177.50310559006209</v>
      </c>
      <c r="N59" s="58">
        <f t="shared" si="6"/>
        <v>0</v>
      </c>
      <c r="O59" s="58">
        <f t="shared" si="6"/>
        <v>4</v>
      </c>
      <c r="P59" s="58">
        <f t="shared" si="7"/>
        <v>-6</v>
      </c>
      <c r="Q59" s="59">
        <f t="shared" si="8"/>
        <v>-3</v>
      </c>
    </row>
    <row r="60" spans="6:27" ht="19.5">
      <c r="I60" s="47">
        <f t="shared" si="2"/>
        <v>3</v>
      </c>
      <c r="J60" s="46"/>
      <c r="K60" s="60">
        <f t="shared" si="3"/>
        <v>-2</v>
      </c>
      <c r="L60" s="61">
        <f t="shared" si="4"/>
        <v>6</v>
      </c>
      <c r="M60" s="61">
        <f t="shared" si="5"/>
        <v>-177.50310559006209</v>
      </c>
      <c r="N60" s="61">
        <f t="shared" si="6"/>
        <v>0</v>
      </c>
      <c r="O60" s="61">
        <f t="shared" si="6"/>
        <v>4</v>
      </c>
      <c r="P60" s="61">
        <f t="shared" si="7"/>
        <v>-6</v>
      </c>
      <c r="Q60" s="62">
        <f t="shared" si="8"/>
        <v>-3</v>
      </c>
    </row>
    <row r="61" spans="6:27" ht="19.5">
      <c r="I61" s="47">
        <f t="shared" si="2"/>
        <v>3</v>
      </c>
      <c r="J61" s="46"/>
      <c r="K61" s="63">
        <f t="shared" si="3"/>
        <v>-2</v>
      </c>
      <c r="L61" s="64">
        <f t="shared" si="4"/>
        <v>6</v>
      </c>
      <c r="M61" s="64">
        <f t="shared" si="5"/>
        <v>-177.50310559006209</v>
      </c>
      <c r="N61" s="64">
        <f t="shared" si="6"/>
        <v>0</v>
      </c>
      <c r="O61" s="64">
        <f t="shared" si="6"/>
        <v>4</v>
      </c>
      <c r="P61" s="64">
        <f t="shared" si="7"/>
        <v>-6</v>
      </c>
      <c r="Q61" s="65">
        <f t="shared" si="8"/>
        <v>-3</v>
      </c>
    </row>
    <row r="62" spans="6:27" ht="19.5">
      <c r="I62" s="47">
        <f t="shared" si="2"/>
        <v>3</v>
      </c>
      <c r="J62" s="46"/>
      <c r="K62" s="66">
        <f t="shared" si="3"/>
        <v>-2</v>
      </c>
      <c r="L62" s="67">
        <f t="shared" si="4"/>
        <v>6</v>
      </c>
      <c r="M62" s="67">
        <f t="shared" si="5"/>
        <v>-177.50310559006209</v>
      </c>
      <c r="N62" s="67">
        <f t="shared" si="6"/>
        <v>0</v>
      </c>
      <c r="O62" s="67">
        <f t="shared" si="6"/>
        <v>4</v>
      </c>
      <c r="P62" s="67">
        <f t="shared" si="7"/>
        <v>-6</v>
      </c>
      <c r="Q62" s="68">
        <f t="shared" si="8"/>
        <v>-3</v>
      </c>
    </row>
    <row r="63" spans="6:27" ht="19.5">
      <c r="I63" s="47">
        <f t="shared" si="2"/>
        <v>4</v>
      </c>
      <c r="J63" s="46"/>
      <c r="K63" s="57">
        <f t="shared" si="3"/>
        <v>-2</v>
      </c>
      <c r="L63" s="58">
        <f t="shared" si="4"/>
        <v>6</v>
      </c>
      <c r="M63" s="58">
        <f t="shared" si="5"/>
        <v>-177.50310559006209</v>
      </c>
      <c r="N63" s="58">
        <f t="shared" si="6"/>
        <v>0</v>
      </c>
      <c r="O63" s="58">
        <f t="shared" si="6"/>
        <v>4</v>
      </c>
      <c r="P63" s="58">
        <f t="shared" si="7"/>
        <v>-6</v>
      </c>
      <c r="Q63" s="59">
        <f t="shared" si="8"/>
        <v>-3</v>
      </c>
    </row>
    <row r="64" spans="6:27" ht="19.5">
      <c r="I64" s="47">
        <f t="shared" si="2"/>
        <v>4</v>
      </c>
      <c r="J64" s="46"/>
      <c r="K64" s="57">
        <f t="shared" si="3"/>
        <v>-2</v>
      </c>
      <c r="L64" s="58">
        <f t="shared" si="4"/>
        <v>6</v>
      </c>
      <c r="M64" s="58">
        <f t="shared" si="5"/>
        <v>-177.50310559006209</v>
      </c>
      <c r="N64" s="58">
        <f t="shared" si="6"/>
        <v>0</v>
      </c>
      <c r="O64" s="58">
        <f t="shared" si="6"/>
        <v>4</v>
      </c>
      <c r="P64" s="58">
        <f t="shared" si="7"/>
        <v>-6</v>
      </c>
      <c r="Q64" s="59">
        <f t="shared" si="8"/>
        <v>-3</v>
      </c>
    </row>
    <row r="65" spans="9:17" ht="20.25" thickBot="1">
      <c r="I65" s="47">
        <f t="shared" si="2"/>
        <v>4</v>
      </c>
      <c r="J65" s="46"/>
      <c r="K65" s="69">
        <f t="shared" si="3"/>
        <v>-2</v>
      </c>
      <c r="L65" s="70">
        <f t="shared" si="4"/>
        <v>6</v>
      </c>
      <c r="M65" s="70">
        <f t="shared" si="5"/>
        <v>-177.50310559006209</v>
      </c>
      <c r="N65" s="70">
        <f t="shared" si="6"/>
        <v>0</v>
      </c>
      <c r="O65" s="70">
        <f t="shared" si="6"/>
        <v>4</v>
      </c>
      <c r="P65" s="70">
        <f t="shared" si="7"/>
        <v>-6</v>
      </c>
      <c r="Q65" s="71">
        <f t="shared" si="8"/>
        <v>-3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4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2107.8538230386998</v>
      </c>
      <c r="R2">
        <v>1518.9355080483999</v>
      </c>
      <c r="S2">
        <v>-4.6461769613000001</v>
      </c>
      <c r="T2">
        <v>-6.4355080484</v>
      </c>
      <c r="U2">
        <v>7.9374255396000004</v>
      </c>
      <c r="V2">
        <v>734.90570000000002</v>
      </c>
      <c r="W2">
        <v>396.89150000000001</v>
      </c>
      <c r="X2">
        <v>404.57319999999999</v>
      </c>
      <c r="Y2">
        <v>403.78539999999998</v>
      </c>
      <c r="Z2">
        <v>396.77010000000001</v>
      </c>
      <c r="AA2">
        <v>567.705375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228</v>
      </c>
      <c r="B3" t="s">
        <v>229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2113.3346575679002</v>
      </c>
      <c r="R3">
        <v>1515.9149447426</v>
      </c>
      <c r="S3">
        <v>0.83465756790000001</v>
      </c>
      <c r="T3">
        <v>-3.4149447425999999</v>
      </c>
      <c r="U3">
        <v>3.5154659506999999</v>
      </c>
      <c r="V3">
        <v>740.3415</v>
      </c>
      <c r="W3">
        <v>403.00020000000001</v>
      </c>
      <c r="X3">
        <v>404.31099999999998</v>
      </c>
      <c r="Y3">
        <v>402.4495</v>
      </c>
      <c r="Z3">
        <v>399.45080000000002</v>
      </c>
      <c r="AA3">
        <v>571.32218750000004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235</v>
      </c>
      <c r="B4" t="s">
        <v>236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2109.3079709476001</v>
      </c>
      <c r="R4">
        <v>1517.3616958654</v>
      </c>
      <c r="S4">
        <v>-3.1920290524000001</v>
      </c>
      <c r="T4">
        <v>-4.8616958653999998</v>
      </c>
      <c r="U4">
        <v>5.8159381150999998</v>
      </c>
      <c r="V4">
        <v>727.69830000000002</v>
      </c>
      <c r="W4">
        <v>392.27210000000002</v>
      </c>
      <c r="X4">
        <v>401.80619999999999</v>
      </c>
      <c r="Y4">
        <v>398.1318</v>
      </c>
      <c r="Z4">
        <v>392.84359999999998</v>
      </c>
      <c r="AA4">
        <v>561.98086249999994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4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242</v>
      </c>
      <c r="R1" t="s">
        <v>243</v>
      </c>
      <c r="S1" t="s">
        <v>244</v>
      </c>
      <c r="T1" t="s">
        <v>245</v>
      </c>
      <c r="U1" t="s">
        <v>246</v>
      </c>
      <c r="V1" t="s">
        <v>247</v>
      </c>
      <c r="W1" t="s">
        <v>248</v>
      </c>
      <c r="X1" t="s">
        <v>249</v>
      </c>
      <c r="Y1" t="s">
        <v>250</v>
      </c>
      <c r="Z1" t="s">
        <v>251</v>
      </c>
      <c r="AA1" t="s">
        <v>252</v>
      </c>
      <c r="AB1" t="s">
        <v>253</v>
      </c>
      <c r="AC1" t="s">
        <v>254</v>
      </c>
      <c r="AD1" t="s">
        <v>255</v>
      </c>
      <c r="AE1" t="s">
        <v>256</v>
      </c>
      <c r="AF1" t="s">
        <v>257</v>
      </c>
      <c r="AG1" t="s">
        <v>258</v>
      </c>
      <c r="AH1" t="s">
        <v>259</v>
      </c>
      <c r="AI1" t="s">
        <v>260</v>
      </c>
      <c r="AJ1" t="s">
        <v>261</v>
      </c>
      <c r="AK1" t="s">
        <v>262</v>
      </c>
      <c r="AL1" t="s">
        <v>263</v>
      </c>
      <c r="AM1" t="s">
        <v>264</v>
      </c>
      <c r="AN1" t="s">
        <v>265</v>
      </c>
      <c r="AO1" t="s">
        <v>266</v>
      </c>
      <c r="AP1" t="s">
        <v>267</v>
      </c>
      <c r="AQ1" t="s">
        <v>268</v>
      </c>
      <c r="AR1" t="s">
        <v>269</v>
      </c>
      <c r="AS1" t="s">
        <v>270</v>
      </c>
      <c r="AT1" t="s">
        <v>271</v>
      </c>
      <c r="AU1" t="s">
        <v>272</v>
      </c>
      <c r="AV1" t="s">
        <v>207</v>
      </c>
      <c r="AW1" t="s">
        <v>208</v>
      </c>
      <c r="AX1" t="s">
        <v>209</v>
      </c>
    </row>
    <row r="2" spans="1:50">
      <c r="A2" t="s">
        <v>273</v>
      </c>
      <c r="B2" t="s">
        <v>274</v>
      </c>
      <c r="C2" t="s">
        <v>212</v>
      </c>
      <c r="D2">
        <v>3</v>
      </c>
      <c r="E2" t="s">
        <v>213</v>
      </c>
      <c r="F2" t="s">
        <v>214</v>
      </c>
      <c r="G2" t="s">
        <v>275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2.00272E-5</v>
      </c>
      <c r="R2">
        <v>-0.43901258710000002</v>
      </c>
      <c r="S2">
        <v>-1.3251979351000001</v>
      </c>
      <c r="T2">
        <v>-1.3922688961</v>
      </c>
      <c r="U2">
        <v>-0.70161420109999995</v>
      </c>
      <c r="V2">
        <v>-2.3744404316000001</v>
      </c>
      <c r="W2">
        <v>1.503652215</v>
      </c>
      <c r="X2">
        <v>0.88336372379999994</v>
      </c>
      <c r="Y2">
        <v>0.3139682412</v>
      </c>
      <c r="Z2">
        <v>0.70636081699999997</v>
      </c>
      <c r="AA2">
        <v>0.69087439780000004</v>
      </c>
      <c r="AB2">
        <v>-1.2002854347</v>
      </c>
      <c r="AC2">
        <v>-0.22156494860000001</v>
      </c>
      <c r="AD2">
        <v>-1.057880044</v>
      </c>
      <c r="AE2">
        <v>8.9180394999999996E-2</v>
      </c>
      <c r="AF2">
        <v>0.25712874530000002</v>
      </c>
      <c r="AG2">
        <v>-0.8029336333</v>
      </c>
      <c r="AH2">
        <v>-0.71325308080000005</v>
      </c>
      <c r="AI2">
        <v>-0.58805096150000002</v>
      </c>
      <c r="AJ2">
        <v>-0.4058570266</v>
      </c>
      <c r="AK2">
        <v>2.4841730000000001E-4</v>
      </c>
      <c r="AL2">
        <v>5.3087204700000001E-2</v>
      </c>
      <c r="AM2">
        <v>4.6194411800000001E-2</v>
      </c>
      <c r="AN2">
        <v>5.1960431000000001E-2</v>
      </c>
      <c r="AO2">
        <v>5.1960431000000001E-2</v>
      </c>
      <c r="AP2">
        <v>5.1960431000000001E-2</v>
      </c>
      <c r="AQ2">
        <v>1.3960235022</v>
      </c>
      <c r="AR2" t="s">
        <v>276</v>
      </c>
      <c r="AS2" t="s">
        <v>277</v>
      </c>
      <c r="AT2">
        <v>3</v>
      </c>
      <c r="AU2">
        <v>2.9</v>
      </c>
      <c r="AX2">
        <v>1</v>
      </c>
    </row>
    <row r="3" spans="1:50">
      <c r="A3" t="s">
        <v>278</v>
      </c>
      <c r="B3" t="s">
        <v>279</v>
      </c>
      <c r="C3" t="s">
        <v>212</v>
      </c>
      <c r="D3">
        <v>3</v>
      </c>
      <c r="E3" t="s">
        <v>213</v>
      </c>
      <c r="F3" t="s">
        <v>214</v>
      </c>
      <c r="G3" t="s">
        <v>275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-2.4557099999999999E-5</v>
      </c>
      <c r="R3">
        <v>-3.5167317389999999</v>
      </c>
      <c r="S3">
        <v>1.2464911938000001</v>
      </c>
      <c r="T3">
        <v>4.1453113555999996</v>
      </c>
      <c r="U3">
        <v>4.7207860947000002</v>
      </c>
      <c r="V3">
        <v>2.4895424842999998</v>
      </c>
      <c r="W3">
        <v>0.7684141994</v>
      </c>
      <c r="X3">
        <v>0.15030837059999999</v>
      </c>
      <c r="Y3">
        <v>-1.1891226768000001</v>
      </c>
      <c r="Z3">
        <v>0.86269474030000004</v>
      </c>
      <c r="AA3">
        <v>1.1179372072</v>
      </c>
      <c r="AB3">
        <v>-1.4687784909999999</v>
      </c>
      <c r="AC3">
        <v>-0.31646430489999999</v>
      </c>
      <c r="AD3">
        <v>-0.37352132799999999</v>
      </c>
      <c r="AE3">
        <v>0.66340434550000005</v>
      </c>
      <c r="AF3">
        <v>0.52924931050000001</v>
      </c>
      <c r="AG3">
        <v>-9.8360568300000006E-2</v>
      </c>
      <c r="AH3">
        <v>0.56945735220000004</v>
      </c>
      <c r="AI3">
        <v>-0.39946854110000002</v>
      </c>
      <c r="AJ3">
        <v>-1.1828776597999999</v>
      </c>
      <c r="AK3">
        <v>2.5100330000000002E-4</v>
      </c>
      <c r="AL3">
        <v>5.0106830900000003E-2</v>
      </c>
      <c r="AM3">
        <v>7.7897414600000006E-2</v>
      </c>
      <c r="AN3">
        <v>4.5544393400000001E-2</v>
      </c>
      <c r="AO3">
        <v>0.13408648970000001</v>
      </c>
      <c r="AP3">
        <v>0.13408648970000001</v>
      </c>
      <c r="AQ3">
        <v>3.7311047185000001</v>
      </c>
      <c r="AR3" t="s">
        <v>276</v>
      </c>
      <c r="AS3" t="s">
        <v>277</v>
      </c>
      <c r="AT3">
        <v>3</v>
      </c>
      <c r="AU3">
        <v>2.9</v>
      </c>
      <c r="AX3">
        <v>1</v>
      </c>
    </row>
    <row r="4" spans="1:50">
      <c r="A4" t="s">
        <v>280</v>
      </c>
      <c r="B4" t="s">
        <v>281</v>
      </c>
      <c r="C4" t="s">
        <v>212</v>
      </c>
      <c r="D4">
        <v>3</v>
      </c>
      <c r="E4" t="s">
        <v>213</v>
      </c>
      <c r="F4" t="s">
        <v>214</v>
      </c>
      <c r="G4" t="s">
        <v>275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-4.48227E-5</v>
      </c>
      <c r="R4">
        <v>2.5717446804000001</v>
      </c>
      <c r="S4">
        <v>-3.1089465617999998</v>
      </c>
      <c r="T4">
        <v>-2.6260600090000001</v>
      </c>
      <c r="U4">
        <v>0.87647026780000004</v>
      </c>
      <c r="V4">
        <v>3.0920720099999999</v>
      </c>
      <c r="W4">
        <v>0.16519400479999999</v>
      </c>
      <c r="X4">
        <v>0.35628128050000002</v>
      </c>
      <c r="Y4">
        <v>0.68658757209999999</v>
      </c>
      <c r="Z4">
        <v>0.66953819989999996</v>
      </c>
      <c r="AA4">
        <v>0.27698999639999999</v>
      </c>
      <c r="AB4">
        <v>-0.60850453380000002</v>
      </c>
      <c r="AC4">
        <v>-1.2245287895000001</v>
      </c>
      <c r="AD4">
        <v>-0.64095723630000001</v>
      </c>
      <c r="AE4">
        <v>0.47393777970000001</v>
      </c>
      <c r="AF4">
        <v>0.55737966299999997</v>
      </c>
      <c r="AG4">
        <v>-0.42163872720000001</v>
      </c>
      <c r="AH4">
        <v>-0.1444984674</v>
      </c>
      <c r="AI4">
        <v>0.12041564289999999</v>
      </c>
      <c r="AJ4">
        <v>4.2500063800000001E-2</v>
      </c>
      <c r="AK4">
        <v>2.720628E-4</v>
      </c>
      <c r="AL4">
        <v>5.3562048799999998E-2</v>
      </c>
      <c r="AM4">
        <v>8.2928821400000005E-2</v>
      </c>
      <c r="AN4">
        <v>0.104881987</v>
      </c>
      <c r="AO4">
        <v>0.104881987</v>
      </c>
      <c r="AP4">
        <v>0.104881987</v>
      </c>
      <c r="AQ4">
        <v>4.0347762546999997</v>
      </c>
      <c r="AR4" t="s">
        <v>276</v>
      </c>
      <c r="AS4" t="s">
        <v>277</v>
      </c>
      <c r="AT4">
        <v>4</v>
      </c>
      <c r="AU4">
        <v>2.9</v>
      </c>
      <c r="AX4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294</v>
      </c>
      <c r="AD1" t="s">
        <v>207</v>
      </c>
      <c r="AE1" t="s">
        <v>208</v>
      </c>
      <c r="AF1" t="s">
        <v>209</v>
      </c>
    </row>
    <row r="2" spans="1:32">
      <c r="A2" t="s">
        <v>273</v>
      </c>
      <c r="B2" t="s">
        <v>295</v>
      </c>
      <c r="C2" t="s">
        <v>212</v>
      </c>
      <c r="D2">
        <v>3</v>
      </c>
      <c r="E2" t="s">
        <v>213</v>
      </c>
      <c r="F2" t="s">
        <v>214</v>
      </c>
      <c r="G2" t="s">
        <v>275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-7.0381231672000002</v>
      </c>
      <c r="R2">
        <v>-48</v>
      </c>
      <c r="S2">
        <v>99.619381901799997</v>
      </c>
      <c r="T2">
        <v>123.9648074335</v>
      </c>
      <c r="U2">
        <v>3.4841676110000002</v>
      </c>
      <c r="V2">
        <v>3.0847087E-3</v>
      </c>
      <c r="W2">
        <v>-6.8190700000000004E-5</v>
      </c>
      <c r="X2">
        <v>3.3240328923</v>
      </c>
      <c r="Y2">
        <v>97.207486111700007</v>
      </c>
      <c r="Z2">
        <v>76.178753201600003</v>
      </c>
      <c r="AA2">
        <v>317.88786322679999</v>
      </c>
      <c r="AB2">
        <v>340.38743261019999</v>
      </c>
      <c r="AC2">
        <v>1</v>
      </c>
      <c r="AF2">
        <v>1</v>
      </c>
    </row>
    <row r="3" spans="1:32">
      <c r="A3" t="s">
        <v>278</v>
      </c>
      <c r="B3" t="s">
        <v>296</v>
      </c>
      <c r="C3" t="s">
        <v>212</v>
      </c>
      <c r="D3">
        <v>3</v>
      </c>
      <c r="E3" t="s">
        <v>213</v>
      </c>
      <c r="F3" t="s">
        <v>214</v>
      </c>
      <c r="G3" t="s">
        <v>275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-7.0381231672000002</v>
      </c>
      <c r="R3">
        <v>-48</v>
      </c>
      <c r="S3">
        <v>93.047442016000005</v>
      </c>
      <c r="T3">
        <v>117.6722527384</v>
      </c>
      <c r="U3">
        <v>3.5261484629000002</v>
      </c>
      <c r="V3">
        <v>3.3831474000000001E-3</v>
      </c>
      <c r="W3">
        <v>-7.1913800000000003E-5</v>
      </c>
      <c r="X3">
        <v>3.3361909220000001</v>
      </c>
      <c r="Y3">
        <v>93.046354468399997</v>
      </c>
      <c r="Z3">
        <v>76.456066269100006</v>
      </c>
      <c r="AA3">
        <v>332.22661997329999</v>
      </c>
      <c r="AB3">
        <v>354.6587570044</v>
      </c>
      <c r="AC3">
        <v>1</v>
      </c>
      <c r="AF3">
        <v>1</v>
      </c>
    </row>
    <row r="4" spans="1:32">
      <c r="A4" t="s">
        <v>280</v>
      </c>
      <c r="B4" t="s">
        <v>297</v>
      </c>
      <c r="C4" t="s">
        <v>212</v>
      </c>
      <c r="D4">
        <v>3</v>
      </c>
      <c r="E4" t="s">
        <v>213</v>
      </c>
      <c r="F4" t="s">
        <v>214</v>
      </c>
      <c r="G4" t="s">
        <v>275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-9.3841642229000009</v>
      </c>
      <c r="R4">
        <v>-64</v>
      </c>
      <c r="S4">
        <v>101.5908275746</v>
      </c>
      <c r="T4">
        <v>132.9330910571</v>
      </c>
      <c r="U4">
        <v>3.3684547340000002</v>
      </c>
      <c r="V4">
        <v>2.4336237E-3</v>
      </c>
      <c r="W4">
        <v>-6.4809100000000003E-5</v>
      </c>
      <c r="X4">
        <v>3.2023510820999999</v>
      </c>
      <c r="Y4">
        <v>100.0841085516</v>
      </c>
      <c r="Z4">
        <v>80.761028272900006</v>
      </c>
      <c r="AA4">
        <v>305.94951928389997</v>
      </c>
      <c r="AB4">
        <v>327.66776753840003</v>
      </c>
      <c r="AC4">
        <v>1</v>
      </c>
      <c r="AF4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4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298</v>
      </c>
      <c r="R1" t="s">
        <v>299</v>
      </c>
      <c r="S1" t="s">
        <v>300</v>
      </c>
      <c r="T1" t="s">
        <v>301</v>
      </c>
      <c r="U1" t="s">
        <v>302</v>
      </c>
      <c r="V1" t="s">
        <v>303</v>
      </c>
      <c r="W1" t="s">
        <v>304</v>
      </c>
      <c r="X1" t="s">
        <v>305</v>
      </c>
      <c r="Y1" t="s">
        <v>306</v>
      </c>
      <c r="Z1" t="s">
        <v>307</v>
      </c>
      <c r="AA1" t="s">
        <v>308</v>
      </c>
      <c r="AB1" t="s">
        <v>309</v>
      </c>
      <c r="AC1" t="s">
        <v>310</v>
      </c>
      <c r="AD1" t="s">
        <v>311</v>
      </c>
      <c r="AE1" t="s">
        <v>312</v>
      </c>
      <c r="AF1" t="s">
        <v>313</v>
      </c>
      <c r="AG1" t="s">
        <v>314</v>
      </c>
      <c r="AH1" t="s">
        <v>315</v>
      </c>
      <c r="AI1" t="s">
        <v>316</v>
      </c>
      <c r="AJ1" t="s">
        <v>317</v>
      </c>
      <c r="AK1" t="s">
        <v>318</v>
      </c>
      <c r="AL1" t="s">
        <v>319</v>
      </c>
      <c r="AM1" t="s">
        <v>320</v>
      </c>
      <c r="AN1" t="s">
        <v>321</v>
      </c>
      <c r="AO1" t="s">
        <v>322</v>
      </c>
      <c r="AP1" t="s">
        <v>323</v>
      </c>
      <c r="AQ1" t="s">
        <v>324</v>
      </c>
      <c r="AR1" t="s">
        <v>325</v>
      </c>
      <c r="AS1" t="s">
        <v>326</v>
      </c>
      <c r="AT1" t="s">
        <v>327</v>
      </c>
      <c r="AU1" t="s">
        <v>328</v>
      </c>
      <c r="AV1" t="s">
        <v>329</v>
      </c>
      <c r="AW1" t="s">
        <v>330</v>
      </c>
      <c r="AX1" t="s">
        <v>331</v>
      </c>
      <c r="AY1" t="s">
        <v>332</v>
      </c>
      <c r="AZ1" t="s">
        <v>333</v>
      </c>
      <c r="BA1" t="s">
        <v>334</v>
      </c>
      <c r="BB1" t="s">
        <v>335</v>
      </c>
      <c r="BC1" t="s">
        <v>336</v>
      </c>
      <c r="BD1" t="s">
        <v>337</v>
      </c>
      <c r="BE1" t="s">
        <v>338</v>
      </c>
      <c r="BF1" t="s">
        <v>339</v>
      </c>
      <c r="BG1" t="s">
        <v>340</v>
      </c>
      <c r="BH1" t="s">
        <v>341</v>
      </c>
      <c r="BI1" t="s">
        <v>342</v>
      </c>
      <c r="BJ1" t="s">
        <v>343</v>
      </c>
      <c r="BK1" t="s">
        <v>344</v>
      </c>
      <c r="BL1" t="s">
        <v>345</v>
      </c>
      <c r="BM1" t="s">
        <v>346</v>
      </c>
      <c r="BN1" t="s">
        <v>347</v>
      </c>
      <c r="BO1" t="s">
        <v>348</v>
      </c>
      <c r="BP1" t="s">
        <v>349</v>
      </c>
      <c r="BQ1" t="s">
        <v>350</v>
      </c>
      <c r="BR1" t="s">
        <v>351</v>
      </c>
      <c r="BS1" t="s">
        <v>352</v>
      </c>
      <c r="BT1" t="s">
        <v>353</v>
      </c>
      <c r="BU1" t="s">
        <v>354</v>
      </c>
      <c r="BV1" t="s">
        <v>355</v>
      </c>
      <c r="BW1" t="s">
        <v>356</v>
      </c>
      <c r="BX1" t="s">
        <v>357</v>
      </c>
      <c r="BY1" t="s">
        <v>358</v>
      </c>
      <c r="BZ1" t="s">
        <v>359</v>
      </c>
      <c r="CA1" t="s">
        <v>360</v>
      </c>
      <c r="CB1" t="s">
        <v>361</v>
      </c>
      <c r="CC1" t="s">
        <v>362</v>
      </c>
      <c r="CD1" t="s">
        <v>363</v>
      </c>
      <c r="CE1" t="s">
        <v>364</v>
      </c>
      <c r="CF1" t="s">
        <v>365</v>
      </c>
      <c r="CG1" t="s">
        <v>366</v>
      </c>
      <c r="CH1" t="s">
        <v>367</v>
      </c>
      <c r="CI1" t="s">
        <v>368</v>
      </c>
      <c r="CJ1" t="s">
        <v>369</v>
      </c>
      <c r="CK1" t="s">
        <v>370</v>
      </c>
      <c r="CL1" t="s">
        <v>371</v>
      </c>
      <c r="CM1" t="s">
        <v>372</v>
      </c>
      <c r="CN1" t="s">
        <v>373</v>
      </c>
      <c r="CO1" t="s">
        <v>374</v>
      </c>
      <c r="CP1" t="s">
        <v>375</v>
      </c>
      <c r="CQ1" t="s">
        <v>376</v>
      </c>
      <c r="CR1" t="s">
        <v>377</v>
      </c>
      <c r="CS1" t="s">
        <v>378</v>
      </c>
      <c r="CT1" t="s">
        <v>379</v>
      </c>
      <c r="CU1" t="s">
        <v>380</v>
      </c>
      <c r="CV1" t="s">
        <v>381</v>
      </c>
      <c r="CW1" t="s">
        <v>382</v>
      </c>
      <c r="CX1" t="s">
        <v>383</v>
      </c>
      <c r="CY1" t="s">
        <v>384</v>
      </c>
      <c r="CZ1" t="s">
        <v>385</v>
      </c>
      <c r="DA1" t="s">
        <v>386</v>
      </c>
      <c r="DB1" t="s">
        <v>387</v>
      </c>
      <c r="DC1" t="s">
        <v>388</v>
      </c>
      <c r="DD1" t="s">
        <v>389</v>
      </c>
      <c r="DE1" t="s">
        <v>390</v>
      </c>
      <c r="DF1" t="s">
        <v>391</v>
      </c>
      <c r="DG1" t="s">
        <v>392</v>
      </c>
      <c r="DH1" t="s">
        <v>393</v>
      </c>
      <c r="DI1" t="s">
        <v>394</v>
      </c>
      <c r="DJ1" t="s">
        <v>395</v>
      </c>
      <c r="DK1" t="s">
        <v>396</v>
      </c>
      <c r="DL1" t="s">
        <v>397</v>
      </c>
      <c r="DM1" t="s">
        <v>398</v>
      </c>
      <c r="DN1" t="s">
        <v>399</v>
      </c>
      <c r="DO1" t="s">
        <v>400</v>
      </c>
      <c r="DP1" t="s">
        <v>401</v>
      </c>
      <c r="DQ1" t="s">
        <v>402</v>
      </c>
      <c r="DR1" t="s">
        <v>403</v>
      </c>
      <c r="DS1" t="s">
        <v>404</v>
      </c>
      <c r="DT1" t="s">
        <v>405</v>
      </c>
      <c r="DU1" t="s">
        <v>406</v>
      </c>
      <c r="DV1" t="s">
        <v>407</v>
      </c>
      <c r="DW1" t="s">
        <v>408</v>
      </c>
      <c r="DX1" t="s">
        <v>409</v>
      </c>
      <c r="DY1" t="s">
        <v>410</v>
      </c>
      <c r="DZ1" t="s">
        <v>411</v>
      </c>
      <c r="EA1" t="s">
        <v>412</v>
      </c>
      <c r="EB1" t="s">
        <v>413</v>
      </c>
      <c r="EC1" t="s">
        <v>414</v>
      </c>
      <c r="ED1" t="s">
        <v>415</v>
      </c>
      <c r="EE1" t="s">
        <v>416</v>
      </c>
      <c r="EF1" t="s">
        <v>417</v>
      </c>
      <c r="EG1" t="s">
        <v>418</v>
      </c>
      <c r="EH1" t="s">
        <v>419</v>
      </c>
      <c r="EI1" t="s">
        <v>420</v>
      </c>
      <c r="EJ1" t="s">
        <v>421</v>
      </c>
      <c r="EK1" t="s">
        <v>422</v>
      </c>
      <c r="EL1" t="s">
        <v>423</v>
      </c>
      <c r="EM1" t="s">
        <v>424</v>
      </c>
      <c r="EN1" t="s">
        <v>425</v>
      </c>
      <c r="EO1" t="s">
        <v>426</v>
      </c>
      <c r="EP1" t="s">
        <v>427</v>
      </c>
      <c r="EQ1" t="s">
        <v>428</v>
      </c>
      <c r="ER1" t="s">
        <v>429</v>
      </c>
      <c r="ES1" t="s">
        <v>430</v>
      </c>
      <c r="ET1" t="s">
        <v>431</v>
      </c>
      <c r="EU1" t="s">
        <v>432</v>
      </c>
      <c r="EV1" t="s">
        <v>433</v>
      </c>
      <c r="EW1" t="s">
        <v>434</v>
      </c>
      <c r="EX1" t="s">
        <v>435</v>
      </c>
      <c r="EY1" t="s">
        <v>436</v>
      </c>
      <c r="EZ1" t="s">
        <v>437</v>
      </c>
      <c r="FA1" t="s">
        <v>438</v>
      </c>
      <c r="FB1" t="s">
        <v>439</v>
      </c>
      <c r="FC1" t="s">
        <v>440</v>
      </c>
      <c r="FD1" t="s">
        <v>441</v>
      </c>
      <c r="FE1" t="s">
        <v>442</v>
      </c>
      <c r="FF1" t="s">
        <v>443</v>
      </c>
      <c r="FG1" t="s">
        <v>444</v>
      </c>
      <c r="FH1" t="s">
        <v>445</v>
      </c>
      <c r="FI1" t="s">
        <v>446</v>
      </c>
      <c r="FJ1" t="s">
        <v>447</v>
      </c>
      <c r="FK1" t="s">
        <v>448</v>
      </c>
      <c r="FL1" t="s">
        <v>449</v>
      </c>
      <c r="FM1" t="s">
        <v>450</v>
      </c>
      <c r="FN1" t="s">
        <v>451</v>
      </c>
      <c r="FO1" t="s">
        <v>452</v>
      </c>
      <c r="FP1" t="s">
        <v>453</v>
      </c>
      <c r="FQ1" t="s">
        <v>454</v>
      </c>
      <c r="FR1" t="s">
        <v>455</v>
      </c>
      <c r="FS1" t="s">
        <v>456</v>
      </c>
      <c r="FT1" t="s">
        <v>457</v>
      </c>
      <c r="FU1" t="s">
        <v>458</v>
      </c>
      <c r="FV1" t="s">
        <v>459</v>
      </c>
      <c r="FW1" t="s">
        <v>460</v>
      </c>
      <c r="FX1" t="s">
        <v>461</v>
      </c>
      <c r="FY1" t="s">
        <v>462</v>
      </c>
      <c r="FZ1" t="s">
        <v>463</v>
      </c>
      <c r="GA1" t="s">
        <v>464</v>
      </c>
      <c r="GB1" t="s">
        <v>465</v>
      </c>
      <c r="GC1" t="s">
        <v>466</v>
      </c>
      <c r="GD1" t="s">
        <v>467</v>
      </c>
      <c r="GE1" t="s">
        <v>468</v>
      </c>
      <c r="GF1" t="s">
        <v>469</v>
      </c>
      <c r="GG1" t="s">
        <v>470</v>
      </c>
      <c r="GH1" t="s">
        <v>471</v>
      </c>
      <c r="GI1" t="s">
        <v>472</v>
      </c>
      <c r="GJ1" t="s">
        <v>473</v>
      </c>
      <c r="GK1" t="s">
        <v>474</v>
      </c>
      <c r="GL1" t="s">
        <v>475</v>
      </c>
      <c r="GM1" t="s">
        <v>476</v>
      </c>
      <c r="GN1" t="s">
        <v>477</v>
      </c>
      <c r="GO1" t="s">
        <v>478</v>
      </c>
      <c r="GP1" t="s">
        <v>479</v>
      </c>
      <c r="GQ1" t="s">
        <v>480</v>
      </c>
      <c r="GR1" t="s">
        <v>481</v>
      </c>
      <c r="GS1" t="s">
        <v>482</v>
      </c>
      <c r="GT1" t="s">
        <v>483</v>
      </c>
      <c r="GU1" t="s">
        <v>484</v>
      </c>
      <c r="GV1" t="s">
        <v>485</v>
      </c>
      <c r="GW1" t="s">
        <v>486</v>
      </c>
      <c r="GX1" t="s">
        <v>487</v>
      </c>
      <c r="GY1" t="s">
        <v>488</v>
      </c>
      <c r="GZ1" t="s">
        <v>489</v>
      </c>
      <c r="HA1" t="s">
        <v>490</v>
      </c>
      <c r="HB1" t="s">
        <v>491</v>
      </c>
      <c r="HC1" t="s">
        <v>492</v>
      </c>
      <c r="HD1" t="s">
        <v>493</v>
      </c>
      <c r="HE1" t="s">
        <v>494</v>
      </c>
      <c r="HF1" t="s">
        <v>495</v>
      </c>
      <c r="HG1" t="s">
        <v>496</v>
      </c>
      <c r="HH1" t="s">
        <v>497</v>
      </c>
      <c r="HI1" t="s">
        <v>498</v>
      </c>
      <c r="HJ1" t="s">
        <v>499</v>
      </c>
      <c r="HK1" t="s">
        <v>500</v>
      </c>
      <c r="HL1" t="s">
        <v>501</v>
      </c>
      <c r="HM1" t="s">
        <v>502</v>
      </c>
      <c r="HN1" t="s">
        <v>503</v>
      </c>
      <c r="HO1" t="s">
        <v>504</v>
      </c>
      <c r="HP1" t="s">
        <v>505</v>
      </c>
      <c r="HQ1" t="s">
        <v>506</v>
      </c>
      <c r="HR1" t="s">
        <v>507</v>
      </c>
      <c r="HS1" t="s">
        <v>508</v>
      </c>
      <c r="HT1" t="s">
        <v>509</v>
      </c>
      <c r="HU1" t="s">
        <v>510</v>
      </c>
      <c r="HV1" t="s">
        <v>511</v>
      </c>
      <c r="HW1" t="s">
        <v>512</v>
      </c>
      <c r="HX1" t="s">
        <v>513</v>
      </c>
      <c r="HY1" t="s">
        <v>514</v>
      </c>
      <c r="HZ1" t="s">
        <v>515</v>
      </c>
      <c r="IA1" t="s">
        <v>516</v>
      </c>
      <c r="IB1" t="s">
        <v>517</v>
      </c>
      <c r="IC1" t="s">
        <v>518</v>
      </c>
      <c r="ID1" t="s">
        <v>519</v>
      </c>
      <c r="IE1" t="s">
        <v>520</v>
      </c>
      <c r="IF1" t="s">
        <v>521</v>
      </c>
      <c r="IG1" t="s">
        <v>522</v>
      </c>
      <c r="IH1" t="s">
        <v>523</v>
      </c>
      <c r="II1" t="s">
        <v>524</v>
      </c>
      <c r="IJ1" t="s">
        <v>525</v>
      </c>
      <c r="IK1" t="s">
        <v>526</v>
      </c>
      <c r="IL1" t="s">
        <v>527</v>
      </c>
      <c r="IM1" t="s">
        <v>528</v>
      </c>
      <c r="IN1" t="s">
        <v>529</v>
      </c>
      <c r="IO1" t="s">
        <v>530</v>
      </c>
      <c r="IP1" t="s">
        <v>531</v>
      </c>
      <c r="IQ1" t="s">
        <v>532</v>
      </c>
      <c r="IR1" t="s">
        <v>533</v>
      </c>
      <c r="IS1" t="s">
        <v>534</v>
      </c>
      <c r="IT1" t="s">
        <v>535</v>
      </c>
      <c r="IU1" t="s">
        <v>536</v>
      </c>
      <c r="IV1" t="s">
        <v>537</v>
      </c>
      <c r="IW1" t="s">
        <v>538</v>
      </c>
      <c r="IX1" t="s">
        <v>539</v>
      </c>
      <c r="IY1" t="s">
        <v>540</v>
      </c>
      <c r="IZ1" t="s">
        <v>541</v>
      </c>
      <c r="JA1" t="s">
        <v>542</v>
      </c>
      <c r="JB1" t="s">
        <v>543</v>
      </c>
      <c r="JC1" t="s">
        <v>544</v>
      </c>
      <c r="JD1" t="s">
        <v>545</v>
      </c>
      <c r="JE1" t="s">
        <v>546</v>
      </c>
      <c r="JF1" t="s">
        <v>547</v>
      </c>
      <c r="JG1" t="s">
        <v>548</v>
      </c>
      <c r="JH1" t="s">
        <v>549</v>
      </c>
      <c r="JI1" t="s">
        <v>550</v>
      </c>
      <c r="JJ1" t="s">
        <v>551</v>
      </c>
      <c r="JK1" t="s">
        <v>289</v>
      </c>
      <c r="JL1" t="s">
        <v>552</v>
      </c>
      <c r="JM1" t="s">
        <v>553</v>
      </c>
      <c r="JN1" t="s">
        <v>554</v>
      </c>
      <c r="JO1" t="s">
        <v>207</v>
      </c>
      <c r="JP1" t="s">
        <v>208</v>
      </c>
      <c r="JQ1" t="s">
        <v>209</v>
      </c>
    </row>
    <row r="2" spans="1:277">
      <c r="A2" t="s">
        <v>555</v>
      </c>
      <c r="B2" t="s">
        <v>556</v>
      </c>
      <c r="C2" t="s">
        <v>212</v>
      </c>
      <c r="D2">
        <v>3</v>
      </c>
      <c r="E2" t="s">
        <v>213</v>
      </c>
      <c r="F2" t="s">
        <v>214</v>
      </c>
      <c r="G2" t="s">
        <v>557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0</v>
      </c>
      <c r="R2">
        <v>0.89999999909999995</v>
      </c>
      <c r="S2">
        <v>0.89999999909999995</v>
      </c>
      <c r="T2">
        <v>1.0999999995</v>
      </c>
      <c r="U2">
        <v>0.89999999909999995</v>
      </c>
      <c r="V2">
        <v>1.0999999995</v>
      </c>
      <c r="W2">
        <v>1.1999999988000001</v>
      </c>
      <c r="X2">
        <v>1.3999999992000001</v>
      </c>
      <c r="Y2">
        <v>1.3999999992000001</v>
      </c>
      <c r="Z2">
        <v>1.3999999992000001</v>
      </c>
      <c r="AA2">
        <v>1.3999999992000001</v>
      </c>
      <c r="AB2">
        <v>1.6999999989000001</v>
      </c>
      <c r="AC2">
        <v>1.8</v>
      </c>
      <c r="AD2">
        <v>1.8999999993000001</v>
      </c>
      <c r="AE2">
        <v>1.9999999986000001</v>
      </c>
      <c r="AF2">
        <v>2.3999999993999999</v>
      </c>
      <c r="AG2">
        <v>5.9999999994</v>
      </c>
      <c r="AH2">
        <v>11.0999999997</v>
      </c>
      <c r="AI2">
        <v>16.299999999299999</v>
      </c>
      <c r="AJ2">
        <v>23.199999999599999</v>
      </c>
      <c r="AK2">
        <v>29.9999999988</v>
      </c>
      <c r="AL2">
        <v>36.299999999800001</v>
      </c>
      <c r="AM2">
        <v>43.799999999500002</v>
      </c>
      <c r="AN2">
        <v>51.599999998900003</v>
      </c>
      <c r="AO2">
        <v>60.099999998800001</v>
      </c>
      <c r="AP2">
        <v>67.299999998800004</v>
      </c>
      <c r="AQ2">
        <v>74.999999998899995</v>
      </c>
      <c r="AR2">
        <v>82.3</v>
      </c>
      <c r="AS2">
        <v>89.799999999700006</v>
      </c>
      <c r="AT2">
        <v>97.700000000299994</v>
      </c>
      <c r="AU2">
        <v>106.20000000020001</v>
      </c>
      <c r="AV2">
        <v>114.7000000001</v>
      </c>
      <c r="AW2">
        <v>122.49999999950001</v>
      </c>
      <c r="AX2">
        <v>130.4</v>
      </c>
      <c r="AY2">
        <v>137.89999999969999</v>
      </c>
      <c r="AZ2">
        <v>146.49999999889999</v>
      </c>
      <c r="BA2">
        <v>154.69999999909999</v>
      </c>
      <c r="BB2">
        <v>163.79999999840001</v>
      </c>
      <c r="BC2">
        <v>171.5999999997</v>
      </c>
      <c r="BD2">
        <v>179.99999999849999</v>
      </c>
      <c r="BE2">
        <v>188.00000000009999</v>
      </c>
      <c r="BF2">
        <v>195.59999999909999</v>
      </c>
      <c r="BG2">
        <v>203.99999999970001</v>
      </c>
      <c r="BH2">
        <v>212.79999999930001</v>
      </c>
      <c r="BI2">
        <v>220.79999999910001</v>
      </c>
      <c r="BJ2">
        <v>228.6999999997</v>
      </c>
      <c r="BK2">
        <v>236.6000000002</v>
      </c>
      <c r="BL2">
        <v>243.99999999880001</v>
      </c>
      <c r="BM2">
        <v>252.3000000001</v>
      </c>
      <c r="BN2">
        <v>260.09999999950003</v>
      </c>
      <c r="BO2">
        <v>268.50000000009999</v>
      </c>
      <c r="BP2">
        <v>275.99999999980002</v>
      </c>
      <c r="BQ2">
        <v>284.09999999889999</v>
      </c>
      <c r="BR2">
        <v>291.40000000010002</v>
      </c>
      <c r="BS2">
        <v>298.10000000000002</v>
      </c>
      <c r="BT2">
        <v>305.8000000001</v>
      </c>
      <c r="BU2">
        <v>313.19999999869998</v>
      </c>
      <c r="BV2">
        <v>321.1999999985</v>
      </c>
      <c r="BW2">
        <v>327.99999999950001</v>
      </c>
      <c r="BX2">
        <v>335.1000000002</v>
      </c>
      <c r="BY2">
        <v>341.699999999</v>
      </c>
      <c r="BZ2">
        <v>347.70000000030001</v>
      </c>
      <c r="CA2">
        <v>354.89999999849999</v>
      </c>
      <c r="CB2">
        <v>361.69999999949999</v>
      </c>
      <c r="CC2">
        <v>369.09999999989998</v>
      </c>
      <c r="CD2">
        <v>375.50000000009999</v>
      </c>
      <c r="CE2">
        <v>381.6999999999</v>
      </c>
      <c r="CF2">
        <v>387.89999999970001</v>
      </c>
      <c r="CG2">
        <v>393.50000000009999</v>
      </c>
      <c r="CH2">
        <v>399.29999999910001</v>
      </c>
      <c r="CI2">
        <v>405.69999999930002</v>
      </c>
      <c r="CJ2">
        <v>411.69999999869998</v>
      </c>
      <c r="CK2">
        <v>418.39999999870003</v>
      </c>
      <c r="CL2">
        <v>423.8999999998</v>
      </c>
      <c r="CM2">
        <v>429.39999999909998</v>
      </c>
      <c r="CN2">
        <v>435.1999999999</v>
      </c>
      <c r="CO2">
        <v>440.49999999879998</v>
      </c>
      <c r="CP2">
        <v>445.79999999950002</v>
      </c>
      <c r="CQ2">
        <v>450.49999999900001</v>
      </c>
      <c r="CR2">
        <v>455.5</v>
      </c>
      <c r="CS2">
        <v>459.69999999940001</v>
      </c>
      <c r="CT2">
        <v>463.79999999950002</v>
      </c>
      <c r="CU2">
        <v>464.5</v>
      </c>
      <c r="CV2">
        <v>464.5</v>
      </c>
      <c r="CW2">
        <v>464.1999999985</v>
      </c>
      <c r="CX2">
        <v>464.2999999996</v>
      </c>
      <c r="CY2">
        <v>464.2999999996</v>
      </c>
      <c r="CZ2">
        <v>464.3999999989</v>
      </c>
      <c r="DA2">
        <v>464.1999999985</v>
      </c>
      <c r="DB2">
        <v>464.2999999996</v>
      </c>
      <c r="DC2">
        <v>463.99999999990001</v>
      </c>
      <c r="DD2">
        <v>464.09999999920001</v>
      </c>
      <c r="DE2">
        <v>463.89999999880001</v>
      </c>
      <c r="DF2">
        <v>463.89999999880001</v>
      </c>
      <c r="DG2">
        <v>0.69999999869999996</v>
      </c>
      <c r="DH2">
        <v>1.8</v>
      </c>
      <c r="DI2">
        <v>1.9999999986000001</v>
      </c>
      <c r="DJ2">
        <v>1.8999999993000001</v>
      </c>
      <c r="DK2">
        <v>2.1999999990000001</v>
      </c>
      <c r="DL2">
        <v>1.9999999986000001</v>
      </c>
      <c r="DM2">
        <v>2.1999999990000001</v>
      </c>
      <c r="DN2">
        <v>1.9999999986000001</v>
      </c>
      <c r="DO2">
        <v>2.0999999997000001</v>
      </c>
      <c r="DP2">
        <v>2.4999999986999999</v>
      </c>
      <c r="DQ2">
        <v>2.4999999986999999</v>
      </c>
      <c r="DR2">
        <v>2.4999999986999999</v>
      </c>
      <c r="DS2">
        <v>2.6999999991000001</v>
      </c>
      <c r="DT2">
        <v>2.8000000001999998</v>
      </c>
      <c r="DU2">
        <v>2.9999999987999999</v>
      </c>
      <c r="DV2">
        <v>4.1000000000999997</v>
      </c>
      <c r="DW2">
        <v>9.6999999986999992</v>
      </c>
      <c r="DX2">
        <v>14.4</v>
      </c>
      <c r="DY2">
        <v>20.9999999988</v>
      </c>
      <c r="DZ2">
        <v>27.599999999400001</v>
      </c>
      <c r="EA2">
        <v>34.099999998900003</v>
      </c>
      <c r="EB2">
        <v>41.699999999799999</v>
      </c>
      <c r="EC2">
        <v>49.299999998799997</v>
      </c>
      <c r="ED2">
        <v>57.899999999800002</v>
      </c>
      <c r="EE2">
        <v>65.099999999800005</v>
      </c>
      <c r="EF2">
        <v>72.299999999799994</v>
      </c>
      <c r="EG2">
        <v>79.700000000200006</v>
      </c>
      <c r="EH2">
        <v>86.900000000199995</v>
      </c>
      <c r="EI2">
        <v>95.199999999699997</v>
      </c>
      <c r="EJ2">
        <v>103.29999999890001</v>
      </c>
      <c r="EK2">
        <v>112.1999999996</v>
      </c>
      <c r="EL2">
        <v>119.6999999993</v>
      </c>
      <c r="EM2">
        <v>127.8999999995</v>
      </c>
      <c r="EN2">
        <v>135.2999999999</v>
      </c>
      <c r="EO2">
        <v>143.29999999969999</v>
      </c>
      <c r="EP2">
        <v>151.7999999996</v>
      </c>
      <c r="EQ2">
        <v>161.00000000009999</v>
      </c>
      <c r="ER2">
        <v>168.89999999880001</v>
      </c>
      <c r="ES2">
        <v>177.099999999</v>
      </c>
      <c r="ET2">
        <v>184.79999999910001</v>
      </c>
      <c r="EU2">
        <v>192.79999999890001</v>
      </c>
      <c r="EV2">
        <v>201.39999999989999</v>
      </c>
      <c r="EW2">
        <v>209.9999999991</v>
      </c>
      <c r="EX2">
        <v>218.49999999900001</v>
      </c>
      <c r="EY2">
        <v>226.3999999996</v>
      </c>
      <c r="EZ2">
        <v>234.39999999939999</v>
      </c>
      <c r="FA2">
        <v>241.79999999980001</v>
      </c>
      <c r="FB2">
        <v>250.0999999993</v>
      </c>
      <c r="FC2">
        <v>258.09999999910002</v>
      </c>
      <c r="FD2">
        <v>267.29999999950002</v>
      </c>
      <c r="FE2">
        <v>274.6999999999</v>
      </c>
      <c r="FF2">
        <v>282.69999999970003</v>
      </c>
      <c r="FG2">
        <v>289.79999999860001</v>
      </c>
      <c r="FH2">
        <v>296.8000000001</v>
      </c>
      <c r="FI2">
        <v>304.50000000019998</v>
      </c>
      <c r="FJ2">
        <v>312.2999999996</v>
      </c>
      <c r="FK2">
        <v>320.20000000009998</v>
      </c>
      <c r="FL2">
        <v>327.19999999970003</v>
      </c>
      <c r="FM2">
        <v>334.39999999970001</v>
      </c>
      <c r="FN2">
        <v>341.19999999890001</v>
      </c>
      <c r="FO2">
        <v>347.20000000020002</v>
      </c>
      <c r="FP2">
        <v>354.49999999950001</v>
      </c>
      <c r="FQ2">
        <v>361.3999999998</v>
      </c>
      <c r="FR2">
        <v>369.09999999989998</v>
      </c>
      <c r="FS2">
        <v>375.19999999859999</v>
      </c>
      <c r="FT2">
        <v>381.7999999992</v>
      </c>
      <c r="FU2">
        <v>387.99999999900001</v>
      </c>
      <c r="FV2">
        <v>393.29999999969999</v>
      </c>
      <c r="FW2">
        <v>399.49999999950001</v>
      </c>
      <c r="FX2">
        <v>405.79999999860001</v>
      </c>
      <c r="FY2">
        <v>412.3</v>
      </c>
      <c r="FZ2">
        <v>418.20000000009998</v>
      </c>
      <c r="GA2">
        <v>424.49999999919999</v>
      </c>
      <c r="GB2">
        <v>429.29999999979998</v>
      </c>
      <c r="GC2">
        <v>435.0999999988</v>
      </c>
      <c r="GD2">
        <v>440.30000000019999</v>
      </c>
      <c r="GE2">
        <v>444.79999999929998</v>
      </c>
      <c r="GF2">
        <v>449.99999999890002</v>
      </c>
      <c r="GG2">
        <v>454.39999999870003</v>
      </c>
      <c r="GH2">
        <v>458.69999999919997</v>
      </c>
      <c r="GI2">
        <v>462.2999999992</v>
      </c>
      <c r="GJ2">
        <v>464.3999999989</v>
      </c>
      <c r="GK2">
        <v>464.2999999996</v>
      </c>
      <c r="GL2">
        <v>464.3999999989</v>
      </c>
      <c r="GM2">
        <v>464.1999999985</v>
      </c>
      <c r="GN2">
        <v>464.5</v>
      </c>
      <c r="GO2">
        <v>464.1999999985</v>
      </c>
      <c r="GP2">
        <v>464.3999999989</v>
      </c>
      <c r="GQ2">
        <v>464.1999999985</v>
      </c>
      <c r="GR2">
        <v>464.2999999996</v>
      </c>
      <c r="GS2">
        <v>464.09999999920001</v>
      </c>
      <c r="GT2">
        <v>463.99999999990001</v>
      </c>
      <c r="GU2">
        <v>464.2999999996</v>
      </c>
      <c r="GV2">
        <v>464.09999999920001</v>
      </c>
      <c r="GW2">
        <v>1</v>
      </c>
      <c r="GX2">
        <v>124.30000000130001</v>
      </c>
      <c r="GY2">
        <v>122.49999999950001</v>
      </c>
      <c r="GZ2">
        <v>122.49999999950001</v>
      </c>
      <c r="HA2">
        <v>127.8999999995</v>
      </c>
      <c r="HB2">
        <v>123.9556572285</v>
      </c>
      <c r="HC2">
        <v>-5.4</v>
      </c>
      <c r="HD2">
        <v>464.09980622159998</v>
      </c>
      <c r="HE2">
        <v>293.5515879001</v>
      </c>
      <c r="HF2">
        <v>100.51502852820001</v>
      </c>
      <c r="HG2">
        <v>464.5</v>
      </c>
      <c r="HH2">
        <v>464.49997846920002</v>
      </c>
      <c r="HI2">
        <v>464.5</v>
      </c>
      <c r="HJ2">
        <v>464.5</v>
      </c>
      <c r="HK2">
        <v>114.9560117302</v>
      </c>
      <c r="HL2">
        <v>3.3240328923</v>
      </c>
      <c r="HM2">
        <v>3.2534992062999999</v>
      </c>
      <c r="HN2">
        <v>3.2910594340000001</v>
      </c>
      <c r="HO2">
        <v>3.1057244069999999</v>
      </c>
      <c r="HP2">
        <v>3.4841676110000002</v>
      </c>
      <c r="HQ2">
        <v>2.336076957</v>
      </c>
      <c r="HR2">
        <v>23.440628700200001</v>
      </c>
      <c r="HS2">
        <v>-30.4985337243</v>
      </c>
      <c r="HT2">
        <v>-208</v>
      </c>
      <c r="HU2">
        <v>417.5072451286</v>
      </c>
      <c r="HV2">
        <v>91.495601172999997</v>
      </c>
      <c r="HW2">
        <v>624</v>
      </c>
      <c r="HX2">
        <v>23.440628700200001</v>
      </c>
      <c r="HY2">
        <v>-30.4985337243</v>
      </c>
      <c r="HZ2">
        <v>-208</v>
      </c>
      <c r="IA2">
        <v>417.5072451286</v>
      </c>
      <c r="IB2">
        <v>91.495601172999997</v>
      </c>
      <c r="IC2">
        <v>624</v>
      </c>
      <c r="ID2">
        <v>46.992733340599997</v>
      </c>
      <c r="IE2">
        <v>2.4118957901</v>
      </c>
      <c r="IF2">
        <v>-39.8826979472</v>
      </c>
      <c r="IG2">
        <v>-272</v>
      </c>
      <c r="IH2">
        <v>440.00681451200001</v>
      </c>
      <c r="II2">
        <v>100.87976539589999</v>
      </c>
      <c r="IJ2">
        <v>688</v>
      </c>
      <c r="IK2">
        <v>394.06661642829999</v>
      </c>
      <c r="IL2">
        <v>121.9941348974</v>
      </c>
      <c r="IM2">
        <v>417.66934007970002</v>
      </c>
      <c r="IN2">
        <v>131.37829912020001</v>
      </c>
      <c r="IO2">
        <v>6.9000000003000004</v>
      </c>
      <c r="IP2">
        <v>5.8000000007999999</v>
      </c>
      <c r="IQ2">
        <v>9.2000000003999993</v>
      </c>
      <c r="IR2">
        <v>4.5491149250999996</v>
      </c>
      <c r="IS2">
        <v>4.5491149250999996</v>
      </c>
      <c r="IT2">
        <v>4.6999999995000001</v>
      </c>
      <c r="IU2">
        <v>-32.844574780099997</v>
      </c>
      <c r="IV2">
        <v>7.4000000004000004</v>
      </c>
      <c r="IW2">
        <v>72.727272727300004</v>
      </c>
      <c r="IX2">
        <v>5.6999999997000002</v>
      </c>
      <c r="IY2">
        <v>98.533724340199996</v>
      </c>
      <c r="IZ2">
        <v>-38.190213421499998</v>
      </c>
      <c r="JA2">
        <v>0.34191284690000001</v>
      </c>
      <c r="JB2">
        <v>-3.465373E-4</v>
      </c>
      <c r="JC2">
        <v>6.5069999999999997E-7</v>
      </c>
      <c r="JD2">
        <v>0.30083938170000002</v>
      </c>
      <c r="JE2">
        <v>0.2530924631</v>
      </c>
      <c r="JF2">
        <v>0.12591665539999999</v>
      </c>
      <c r="JG2">
        <v>123.9648074335</v>
      </c>
      <c r="JH2">
        <v>3.4841676110000002</v>
      </c>
      <c r="JI2">
        <v>3.0847087E-3</v>
      </c>
      <c r="JJ2">
        <v>-6.8190700000000004E-5</v>
      </c>
      <c r="JK2">
        <v>3.3240328923</v>
      </c>
      <c r="JL2">
        <v>1.1636860845999999</v>
      </c>
      <c r="JM2">
        <v>0.49012668619999999</v>
      </c>
      <c r="JN2" t="s">
        <v>558</v>
      </c>
      <c r="JQ2">
        <v>1</v>
      </c>
    </row>
    <row r="3" spans="1:277">
      <c r="A3" t="s">
        <v>559</v>
      </c>
      <c r="B3" t="s">
        <v>560</v>
      </c>
      <c r="C3" t="s">
        <v>212</v>
      </c>
      <c r="D3">
        <v>3</v>
      </c>
      <c r="E3" t="s">
        <v>213</v>
      </c>
      <c r="F3" t="s">
        <v>214</v>
      </c>
      <c r="G3" t="s">
        <v>557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0.99999999839999998</v>
      </c>
      <c r="R3">
        <v>0.99999999839999998</v>
      </c>
      <c r="S3">
        <v>0.99999999839999998</v>
      </c>
      <c r="T3">
        <v>0.99999999839999998</v>
      </c>
      <c r="U3">
        <v>0.79999999980000003</v>
      </c>
      <c r="V3">
        <v>0.79999999980000003</v>
      </c>
      <c r="W3">
        <v>0.79999999980000003</v>
      </c>
      <c r="X3">
        <v>0.99999999839999998</v>
      </c>
      <c r="Y3">
        <v>0.79999999980000003</v>
      </c>
      <c r="Z3">
        <v>0.69999999869999996</v>
      </c>
      <c r="AA3">
        <v>0.89999999909999995</v>
      </c>
      <c r="AB3">
        <v>0.69999999869999996</v>
      </c>
      <c r="AC3">
        <v>0.69999999869999996</v>
      </c>
      <c r="AD3">
        <v>0.59999999940000004</v>
      </c>
      <c r="AE3">
        <v>0.59999999940000004</v>
      </c>
      <c r="AF3">
        <v>0</v>
      </c>
      <c r="AG3">
        <v>0</v>
      </c>
      <c r="AH3">
        <v>2.9999999987999999</v>
      </c>
      <c r="AI3">
        <v>9.1999999985999992</v>
      </c>
      <c r="AJ3">
        <v>16.299999999299999</v>
      </c>
      <c r="AK3">
        <v>23.799999999000001</v>
      </c>
      <c r="AL3">
        <v>30.0999999999</v>
      </c>
      <c r="AM3">
        <v>37.3999999993</v>
      </c>
      <c r="AN3">
        <v>44.099999999200001</v>
      </c>
      <c r="AO3">
        <v>51.799999999299999</v>
      </c>
      <c r="AP3">
        <v>59.499999999400004</v>
      </c>
      <c r="AQ3">
        <v>66.799999998700002</v>
      </c>
      <c r="AR3">
        <v>76.099999998399994</v>
      </c>
      <c r="AS3">
        <v>82.799999998299995</v>
      </c>
      <c r="AT3">
        <v>90.999999998500002</v>
      </c>
      <c r="AU3">
        <v>98.3999999989</v>
      </c>
      <c r="AV3">
        <v>106.4999999999</v>
      </c>
      <c r="AW3">
        <v>115.09999999910001</v>
      </c>
      <c r="AX3">
        <v>125.19999999860001</v>
      </c>
      <c r="AY3">
        <v>132.6999999983</v>
      </c>
      <c r="AZ3">
        <v>141.09999999889999</v>
      </c>
      <c r="BA3">
        <v>148.5999999986</v>
      </c>
      <c r="BB3">
        <v>156.79999999879999</v>
      </c>
      <c r="BC3">
        <v>165.09999999830001</v>
      </c>
      <c r="BD3">
        <v>173.8999999998</v>
      </c>
      <c r="BE3">
        <v>182.49999999900001</v>
      </c>
      <c r="BF3">
        <v>190.39999999950001</v>
      </c>
      <c r="BG3">
        <v>198.39999999930001</v>
      </c>
      <c r="BH3">
        <v>206.5999999995</v>
      </c>
      <c r="BI3">
        <v>214.5999999993</v>
      </c>
      <c r="BJ3">
        <v>223.1999999985</v>
      </c>
      <c r="BK3">
        <v>232.19999999859999</v>
      </c>
      <c r="BL3">
        <v>239.49999999970001</v>
      </c>
      <c r="BM3">
        <v>247.39999999840001</v>
      </c>
      <c r="BN3">
        <v>254.59999999839999</v>
      </c>
      <c r="BO3">
        <v>262.39999999960003</v>
      </c>
      <c r="BP3">
        <v>270.39999999939999</v>
      </c>
      <c r="BQ3">
        <v>279.39999999939999</v>
      </c>
      <c r="BR3">
        <v>286.89999999920002</v>
      </c>
      <c r="BS3">
        <v>294.09999999920001</v>
      </c>
      <c r="BT3">
        <v>301.59999999889999</v>
      </c>
      <c r="BU3">
        <v>308.09999999839999</v>
      </c>
      <c r="BV3">
        <v>315.19999999909999</v>
      </c>
      <c r="BW3">
        <v>322.69999999880002</v>
      </c>
      <c r="BX3">
        <v>331.29999999979998</v>
      </c>
      <c r="BY3">
        <v>337.89999999859998</v>
      </c>
      <c r="BZ3">
        <v>344.69999999959998</v>
      </c>
      <c r="CA3">
        <v>351.19999999919997</v>
      </c>
      <c r="CB3">
        <v>357.19999999859999</v>
      </c>
      <c r="CC3">
        <v>363.6999999999</v>
      </c>
      <c r="CD3">
        <v>370.59999999839999</v>
      </c>
      <c r="CE3">
        <v>377.39999999939999</v>
      </c>
      <c r="CF3">
        <v>384.49999999829998</v>
      </c>
      <c r="CG3">
        <v>389.99999999940002</v>
      </c>
      <c r="CH3">
        <v>395.79999999839998</v>
      </c>
      <c r="CI3">
        <v>401.7999999996</v>
      </c>
      <c r="CJ3">
        <v>407.29999999889998</v>
      </c>
      <c r="CK3">
        <v>413.49999999869999</v>
      </c>
      <c r="CL3">
        <v>419.2999999996</v>
      </c>
      <c r="CM3">
        <v>424.9</v>
      </c>
      <c r="CN3">
        <v>431.59999999989998</v>
      </c>
      <c r="CO3">
        <v>436.49999999980002</v>
      </c>
      <c r="CP3">
        <v>441.8999999998</v>
      </c>
      <c r="CQ3">
        <v>447.39999999909998</v>
      </c>
      <c r="CR3">
        <v>452.59999999870001</v>
      </c>
      <c r="CS3">
        <v>457.19999999890001</v>
      </c>
      <c r="CT3">
        <v>459.49999999900001</v>
      </c>
      <c r="CU3">
        <v>459.39999999970001</v>
      </c>
      <c r="CV3">
        <v>459.39999999970001</v>
      </c>
      <c r="CW3">
        <v>459.59999999830001</v>
      </c>
      <c r="CX3">
        <v>459.7999999987</v>
      </c>
      <c r="CY3">
        <v>459.8999999998</v>
      </c>
      <c r="CZ3">
        <v>459.8999999998</v>
      </c>
      <c r="DA3">
        <v>459.69999999940001</v>
      </c>
      <c r="DB3">
        <v>459.49999999900001</v>
      </c>
      <c r="DC3">
        <v>459.49999999900001</v>
      </c>
      <c r="DD3">
        <v>459.59999999830001</v>
      </c>
      <c r="DE3">
        <v>459.69999999940001</v>
      </c>
      <c r="DF3">
        <v>459.7999999987</v>
      </c>
      <c r="DG3">
        <v>2.0999999997000001</v>
      </c>
      <c r="DH3">
        <v>1.2999999999</v>
      </c>
      <c r="DI3">
        <v>1.1999999988000001</v>
      </c>
      <c r="DJ3">
        <v>1.2999999999</v>
      </c>
      <c r="DK3">
        <v>1.2999999999</v>
      </c>
      <c r="DL3">
        <v>1.2999999999</v>
      </c>
      <c r="DM3">
        <v>1.1999999988000001</v>
      </c>
      <c r="DN3">
        <v>1.2999999999</v>
      </c>
      <c r="DO3">
        <v>1.1999999988000001</v>
      </c>
      <c r="DP3">
        <v>1.0999999995</v>
      </c>
      <c r="DQ3">
        <v>1.0999999995</v>
      </c>
      <c r="DR3">
        <v>1.0999999995</v>
      </c>
      <c r="DS3">
        <v>1.0999999995</v>
      </c>
      <c r="DT3">
        <v>0.89999999909999995</v>
      </c>
      <c r="DU3">
        <v>1.1999999988000001</v>
      </c>
      <c r="DV3">
        <v>0.99999999839999998</v>
      </c>
      <c r="DW3">
        <v>1.4999999985000001</v>
      </c>
      <c r="DX3">
        <v>7.3999999986000002</v>
      </c>
      <c r="DY3">
        <v>14.4999999993</v>
      </c>
      <c r="DZ3">
        <v>23.0999999985</v>
      </c>
      <c r="EA3">
        <v>29.199999998999999</v>
      </c>
      <c r="EB3">
        <v>35.699999998499997</v>
      </c>
      <c r="EC3">
        <v>42.7</v>
      </c>
      <c r="ED3">
        <v>50.199999999699997</v>
      </c>
      <c r="EE3">
        <v>58.099999998400001</v>
      </c>
      <c r="EF3">
        <v>65.999999998899995</v>
      </c>
      <c r="EG3">
        <v>74.799999998499999</v>
      </c>
      <c r="EH3">
        <v>81.5999999995</v>
      </c>
      <c r="EI3">
        <v>88.999999999899998</v>
      </c>
      <c r="EJ3">
        <v>96.399999998499993</v>
      </c>
      <c r="EK3">
        <v>104.89999999849999</v>
      </c>
      <c r="EL3">
        <v>113.2999999991</v>
      </c>
      <c r="EM3">
        <v>123.39999999859999</v>
      </c>
      <c r="EN3">
        <v>131.7999999992</v>
      </c>
      <c r="EO3">
        <v>138.99999999920001</v>
      </c>
      <c r="EP3">
        <v>146.99999999900001</v>
      </c>
      <c r="EQ3">
        <v>155.2999999985</v>
      </c>
      <c r="ER3">
        <v>163.79999999840001</v>
      </c>
      <c r="ES3">
        <v>173.49999999900001</v>
      </c>
      <c r="ET3">
        <v>181.59999999990001</v>
      </c>
      <c r="EU3">
        <v>189.3</v>
      </c>
      <c r="EV3">
        <v>196.79999999969999</v>
      </c>
      <c r="EW3">
        <v>205.1999999985</v>
      </c>
      <c r="EX3">
        <v>213.69999999839999</v>
      </c>
      <c r="EY3">
        <v>222.49999999990001</v>
      </c>
      <c r="EZ3">
        <v>231.49999999990001</v>
      </c>
      <c r="FA3">
        <v>238.6999999999</v>
      </c>
      <c r="FB3">
        <v>246.19999999960001</v>
      </c>
      <c r="FC3">
        <v>253.99999999900001</v>
      </c>
      <c r="FD3">
        <v>262.39999999960003</v>
      </c>
      <c r="FE3">
        <v>270.59999999979999</v>
      </c>
      <c r="FF3">
        <v>279.79999999839998</v>
      </c>
      <c r="FG3">
        <v>286.79999999990002</v>
      </c>
      <c r="FH3">
        <v>294.09999999920001</v>
      </c>
      <c r="FI3">
        <v>300.99999999950001</v>
      </c>
      <c r="FJ3">
        <v>308.79999999889998</v>
      </c>
      <c r="FK3">
        <v>316.29999999860001</v>
      </c>
      <c r="FL3">
        <v>323.99999999869999</v>
      </c>
      <c r="FM3">
        <v>331.99999999850002</v>
      </c>
      <c r="FN3">
        <v>338.39999999870003</v>
      </c>
      <c r="FO3">
        <v>344.79999999889998</v>
      </c>
      <c r="FP3">
        <v>351.09999999989998</v>
      </c>
      <c r="FQ3">
        <v>358.29999999990002</v>
      </c>
      <c r="FR3">
        <v>365.19999999840002</v>
      </c>
      <c r="FS3">
        <v>371.89999999830002</v>
      </c>
      <c r="FT3">
        <v>379.19999999940001</v>
      </c>
      <c r="FU3">
        <v>385.29999999990002</v>
      </c>
      <c r="FV3">
        <v>390.99999999959999</v>
      </c>
      <c r="FW3">
        <v>397.19999999940001</v>
      </c>
      <c r="FX3">
        <v>402.49999999829998</v>
      </c>
      <c r="FY3">
        <v>408.7</v>
      </c>
      <c r="FZ3">
        <v>414.49999999900001</v>
      </c>
      <c r="GA3">
        <v>420.49999999840003</v>
      </c>
      <c r="GB3">
        <v>425.79999999910001</v>
      </c>
      <c r="GC3">
        <v>432.19999999930002</v>
      </c>
      <c r="GD3">
        <v>437.2999999996</v>
      </c>
      <c r="GE3">
        <v>442.79999999889998</v>
      </c>
      <c r="GF3">
        <v>447.89999999920002</v>
      </c>
      <c r="GG3">
        <v>451.69999999959998</v>
      </c>
      <c r="GH3">
        <v>456.49999999840003</v>
      </c>
      <c r="GI3">
        <v>459.1</v>
      </c>
      <c r="GJ3">
        <v>459.29999999860001</v>
      </c>
      <c r="GK3">
        <v>459.49999999900001</v>
      </c>
      <c r="GL3">
        <v>459.69999999940001</v>
      </c>
      <c r="GM3">
        <v>459.69999999940001</v>
      </c>
      <c r="GN3">
        <v>459.39999999970001</v>
      </c>
      <c r="GO3">
        <v>459.39999999970001</v>
      </c>
      <c r="GP3">
        <v>459.59999999830001</v>
      </c>
      <c r="GQ3">
        <v>459.69999999940001</v>
      </c>
      <c r="GR3">
        <v>459.49999999900001</v>
      </c>
      <c r="GS3">
        <v>459.49999999900001</v>
      </c>
      <c r="GT3">
        <v>459.39999999970001</v>
      </c>
      <c r="GU3">
        <v>459.29999999860001</v>
      </c>
      <c r="GV3">
        <v>459.49999999900001</v>
      </c>
      <c r="GW3">
        <v>1</v>
      </c>
      <c r="GX3">
        <v>116.7000000005</v>
      </c>
      <c r="GY3">
        <v>115.09999999910001</v>
      </c>
      <c r="GZ3">
        <v>115.09999999910001</v>
      </c>
      <c r="HA3">
        <v>123.39999999859999</v>
      </c>
      <c r="HB3">
        <v>117.2528548113</v>
      </c>
      <c r="HC3">
        <v>-8.2999999995000007</v>
      </c>
      <c r="HD3">
        <v>459.50006525190003</v>
      </c>
      <c r="HE3">
        <v>308.021207178</v>
      </c>
      <c r="HF3">
        <v>100.6614790644</v>
      </c>
      <c r="HG3">
        <v>459.8999999998</v>
      </c>
      <c r="HH3">
        <v>459.69999999940001</v>
      </c>
      <c r="HI3">
        <v>459.8999999998</v>
      </c>
      <c r="HJ3">
        <v>459.69999999940001</v>
      </c>
      <c r="HK3">
        <v>112.6099706745</v>
      </c>
      <c r="HL3">
        <v>3.3361909220000001</v>
      </c>
      <c r="HM3">
        <v>3.269081109</v>
      </c>
      <c r="HN3">
        <v>3.3087364087000002</v>
      </c>
      <c r="HO3">
        <v>3.1191121444999999</v>
      </c>
      <c r="HP3">
        <v>3.5261484629000002</v>
      </c>
      <c r="HQ3">
        <v>2.1809269844000001</v>
      </c>
      <c r="HR3">
        <v>16.591375747000001</v>
      </c>
      <c r="HS3">
        <v>-30.4985337243</v>
      </c>
      <c r="HT3">
        <v>-208</v>
      </c>
      <c r="HU3">
        <v>425.27406198929998</v>
      </c>
      <c r="HV3">
        <v>96.187683284499997</v>
      </c>
      <c r="HW3">
        <v>656</v>
      </c>
      <c r="HX3">
        <v>16.591375747000001</v>
      </c>
      <c r="HY3">
        <v>-30.4985337243</v>
      </c>
      <c r="HZ3">
        <v>-208</v>
      </c>
      <c r="IA3">
        <v>425.27406198929998</v>
      </c>
      <c r="IB3">
        <v>96.187683284499997</v>
      </c>
      <c r="IC3">
        <v>656</v>
      </c>
      <c r="ID3">
        <v>34.425938010099998</v>
      </c>
      <c r="IE3">
        <v>1.0875475999999999E-3</v>
      </c>
      <c r="IF3">
        <v>-39.8826979472</v>
      </c>
      <c r="IG3">
        <v>-272</v>
      </c>
      <c r="IH3">
        <v>447.70619902039999</v>
      </c>
      <c r="II3">
        <v>105.57184750730001</v>
      </c>
      <c r="IJ3">
        <v>720</v>
      </c>
      <c r="IK3">
        <v>408.6826862424</v>
      </c>
      <c r="IL3">
        <v>126.6862170088</v>
      </c>
      <c r="IM3">
        <v>433.93656335050002</v>
      </c>
      <c r="IN3">
        <v>136.0703812317</v>
      </c>
      <c r="IO3">
        <v>7.1000000006999997</v>
      </c>
      <c r="IP3">
        <v>6.4000000002000004</v>
      </c>
      <c r="IQ3">
        <v>10.0999999995</v>
      </c>
      <c r="IR3">
        <v>6.0758344951999996</v>
      </c>
      <c r="IS3">
        <v>6.0758344951999996</v>
      </c>
      <c r="IT3">
        <v>5.3000000006999999</v>
      </c>
      <c r="IU3">
        <v>-32.844574780099997</v>
      </c>
      <c r="IV3">
        <v>9.3999999990000003</v>
      </c>
      <c r="IW3">
        <v>44.5747800587</v>
      </c>
      <c r="IX3">
        <v>6.2999999990999997</v>
      </c>
      <c r="IY3">
        <v>103.22580645159999</v>
      </c>
      <c r="IZ3">
        <v>-35.871749384700003</v>
      </c>
      <c r="JA3">
        <v>0.33973720429999998</v>
      </c>
      <c r="JB3">
        <v>-3.6705899999999998E-4</v>
      </c>
      <c r="JC3">
        <v>6.9930000000000002E-7</v>
      </c>
      <c r="JD3">
        <v>0.29974303730000001</v>
      </c>
      <c r="JE3">
        <v>0.45345399879999998</v>
      </c>
      <c r="JF3">
        <v>0.1580582126</v>
      </c>
      <c r="JG3">
        <v>117.6722527384</v>
      </c>
      <c r="JH3">
        <v>3.5261484629000002</v>
      </c>
      <c r="JI3">
        <v>3.3831474000000001E-3</v>
      </c>
      <c r="JJ3">
        <v>-7.1913800000000003E-5</v>
      </c>
      <c r="JK3">
        <v>3.3361909220000001</v>
      </c>
      <c r="JL3">
        <v>1.4229290885000001</v>
      </c>
      <c r="JM3">
        <v>0.65978406030000003</v>
      </c>
      <c r="JN3" t="s">
        <v>558</v>
      </c>
      <c r="JQ3">
        <v>1</v>
      </c>
    </row>
    <row r="4" spans="1:277">
      <c r="A4" t="s">
        <v>561</v>
      </c>
      <c r="B4" t="s">
        <v>562</v>
      </c>
      <c r="C4" t="s">
        <v>212</v>
      </c>
      <c r="D4">
        <v>3</v>
      </c>
      <c r="E4" t="s">
        <v>213</v>
      </c>
      <c r="F4" t="s">
        <v>214</v>
      </c>
      <c r="G4" t="s">
        <v>557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0</v>
      </c>
      <c r="R4">
        <v>0.69999999869999996</v>
      </c>
      <c r="S4">
        <v>0.59999999940000004</v>
      </c>
      <c r="T4">
        <v>0.79999999980000003</v>
      </c>
      <c r="U4">
        <v>0.79999999980000003</v>
      </c>
      <c r="V4">
        <v>0.89999999909999995</v>
      </c>
      <c r="W4">
        <v>1.0000000002</v>
      </c>
      <c r="X4">
        <v>1.0000000002</v>
      </c>
      <c r="Y4">
        <v>1.0000000002</v>
      </c>
      <c r="Z4">
        <v>0.89999999909999995</v>
      </c>
      <c r="AA4">
        <v>1.2999999999</v>
      </c>
      <c r="AB4">
        <v>1.0999999995</v>
      </c>
      <c r="AC4">
        <v>1.1999999988000001</v>
      </c>
      <c r="AD4">
        <v>1.5000000003</v>
      </c>
      <c r="AE4">
        <v>3.9999999989999999</v>
      </c>
      <c r="AF4">
        <v>8.2999999995000007</v>
      </c>
      <c r="AG4">
        <v>14.1000000003</v>
      </c>
      <c r="AH4">
        <v>20.599999999800001</v>
      </c>
      <c r="AI4">
        <v>27.500000000099998</v>
      </c>
      <c r="AJ4">
        <v>33.799999999199997</v>
      </c>
      <c r="AK4">
        <v>40.799999998899999</v>
      </c>
      <c r="AL4">
        <v>47.800000000300003</v>
      </c>
      <c r="AM4">
        <v>55.800000000099999</v>
      </c>
      <c r="AN4">
        <v>63.000000000100002</v>
      </c>
      <c r="AO4">
        <v>70.200000000100005</v>
      </c>
      <c r="AP4">
        <v>77.400000000099993</v>
      </c>
      <c r="AQ4">
        <v>84.899999999800002</v>
      </c>
      <c r="AR4">
        <v>91.999999998700005</v>
      </c>
      <c r="AS4">
        <v>99.8</v>
      </c>
      <c r="AT4">
        <v>108.1999999988</v>
      </c>
      <c r="AU4">
        <v>115.59999999919999</v>
      </c>
      <c r="AV4">
        <v>123.2999999993</v>
      </c>
      <c r="AW4">
        <v>131.29999999910001</v>
      </c>
      <c r="AX4">
        <v>138.99999999920001</v>
      </c>
      <c r="AY4">
        <v>146.80000000039999</v>
      </c>
      <c r="AZ4">
        <v>155.1999999992</v>
      </c>
      <c r="BA4">
        <v>163.30000000019999</v>
      </c>
      <c r="BB4">
        <v>170.89999999919999</v>
      </c>
      <c r="BC4">
        <v>178.5999999993</v>
      </c>
      <c r="BD4">
        <v>186.59999999909999</v>
      </c>
      <c r="BE4">
        <v>194.1999999999</v>
      </c>
      <c r="BF4">
        <v>202.29999999899999</v>
      </c>
      <c r="BG4">
        <v>210.69999999960001</v>
      </c>
      <c r="BH4">
        <v>218.30000000050001</v>
      </c>
      <c r="BI4">
        <v>225.59999999979999</v>
      </c>
      <c r="BJ4">
        <v>233.59999999959999</v>
      </c>
      <c r="BK4">
        <v>241.2000000004</v>
      </c>
      <c r="BL4">
        <v>248.8999999987</v>
      </c>
      <c r="BM4">
        <v>256.40000000020001</v>
      </c>
      <c r="BN4">
        <v>264.39999999999998</v>
      </c>
      <c r="BO4">
        <v>271.09999999989998</v>
      </c>
      <c r="BP4">
        <v>278.59999999960002</v>
      </c>
      <c r="BQ4">
        <v>286.09999999939998</v>
      </c>
      <c r="BR4">
        <v>293.20000000009998</v>
      </c>
      <c r="BS4">
        <v>299.99999999929997</v>
      </c>
      <c r="BT4">
        <v>307.19999999930002</v>
      </c>
      <c r="BU4">
        <v>314.699999999</v>
      </c>
      <c r="BV4">
        <v>321.5999999993</v>
      </c>
      <c r="BW4">
        <v>327.99999999950001</v>
      </c>
      <c r="BX4">
        <v>334.60000000010001</v>
      </c>
      <c r="BY4">
        <v>341.50000000049999</v>
      </c>
      <c r="BZ4">
        <v>347.70000000030001</v>
      </c>
      <c r="CA4">
        <v>353.99999999940002</v>
      </c>
      <c r="CB4">
        <v>360.49999999890002</v>
      </c>
      <c r="CC4">
        <v>367.19999999880002</v>
      </c>
      <c r="CD4">
        <v>373.49999999969998</v>
      </c>
      <c r="CE4">
        <v>379.10000000010001</v>
      </c>
      <c r="CF4">
        <v>384.79999999979998</v>
      </c>
      <c r="CG4">
        <v>390.99999999959999</v>
      </c>
      <c r="CH4">
        <v>396.80000000040002</v>
      </c>
      <c r="CI4">
        <v>402.50000000009999</v>
      </c>
      <c r="CJ4">
        <v>408.09999999870001</v>
      </c>
      <c r="CK4">
        <v>413.89999999960003</v>
      </c>
      <c r="CL4">
        <v>419.2999999996</v>
      </c>
      <c r="CM4">
        <v>424.60000000029999</v>
      </c>
      <c r="CN4">
        <v>429.79999999990002</v>
      </c>
      <c r="CO4">
        <v>434.79999999910001</v>
      </c>
      <c r="CP4">
        <v>440.19999999909999</v>
      </c>
      <c r="CQ4">
        <v>445.29999999939997</v>
      </c>
      <c r="CR4">
        <v>449.89999999960003</v>
      </c>
      <c r="CS4">
        <v>453.1999999999</v>
      </c>
      <c r="CT4">
        <v>456.69999999880002</v>
      </c>
      <c r="CU4">
        <v>458.09999999979999</v>
      </c>
      <c r="CV4">
        <v>457.99999999869999</v>
      </c>
      <c r="CW4">
        <v>458.09999999979999</v>
      </c>
      <c r="CX4">
        <v>458.19999999909999</v>
      </c>
      <c r="CY4">
        <v>458.30000000019999</v>
      </c>
      <c r="CZ4">
        <v>458.30000000019999</v>
      </c>
      <c r="DA4">
        <v>458.30000000019999</v>
      </c>
      <c r="DB4">
        <v>458.19999999909999</v>
      </c>
      <c r="DC4">
        <v>458.39999999949998</v>
      </c>
      <c r="DD4">
        <v>458.30000000019999</v>
      </c>
      <c r="DE4">
        <v>458.30000000019999</v>
      </c>
      <c r="DF4">
        <v>458.39999999949998</v>
      </c>
      <c r="DG4">
        <v>0.50000000010000001</v>
      </c>
      <c r="DH4">
        <v>1.5999999996000001</v>
      </c>
      <c r="DI4">
        <v>1.8999999993000001</v>
      </c>
      <c r="DJ4">
        <v>2.0000000004</v>
      </c>
      <c r="DK4">
        <v>1.8999999993000001</v>
      </c>
      <c r="DL4">
        <v>2.0000000004</v>
      </c>
      <c r="DM4">
        <v>2.0999999997000001</v>
      </c>
      <c r="DN4">
        <v>2.5999999998000001</v>
      </c>
      <c r="DO4">
        <v>2.5999999998000001</v>
      </c>
      <c r="DP4">
        <v>2.6999999991000001</v>
      </c>
      <c r="DQ4">
        <v>2.8000000001999998</v>
      </c>
      <c r="DR4">
        <v>2.5999999998000001</v>
      </c>
      <c r="DS4">
        <v>2.8999999994999999</v>
      </c>
      <c r="DT4">
        <v>2.8999999994999999</v>
      </c>
      <c r="DU4">
        <v>6.7999999991999998</v>
      </c>
      <c r="DV4">
        <v>11.8999999995</v>
      </c>
      <c r="DW4">
        <v>18.8999999991</v>
      </c>
      <c r="DX4">
        <v>25.2</v>
      </c>
      <c r="DY4">
        <v>32.100000000400001</v>
      </c>
      <c r="DZ4">
        <v>38.800000000300003</v>
      </c>
      <c r="EA4">
        <v>45.799999999900002</v>
      </c>
      <c r="EB4">
        <v>53.3999999989</v>
      </c>
      <c r="EC4">
        <v>60.999999999700002</v>
      </c>
      <c r="ED4">
        <v>67.999999999300002</v>
      </c>
      <c r="EE4">
        <v>74.999999998899995</v>
      </c>
      <c r="EF4">
        <v>82.3</v>
      </c>
      <c r="EG4">
        <v>89.700000000399996</v>
      </c>
      <c r="EH4">
        <v>97.299999999400001</v>
      </c>
      <c r="EI4">
        <v>105.49999999969999</v>
      </c>
      <c r="EJ4">
        <v>113.2999999991</v>
      </c>
      <c r="EK4">
        <v>120.69999999949999</v>
      </c>
      <c r="EL4">
        <v>128.09999999990001</v>
      </c>
      <c r="EM4">
        <v>136.39999999939999</v>
      </c>
      <c r="EN4">
        <v>143.8999999991</v>
      </c>
      <c r="EO4">
        <v>152</v>
      </c>
      <c r="EP4">
        <v>160.59999999920001</v>
      </c>
      <c r="EQ4">
        <v>167.90000000040001</v>
      </c>
      <c r="ER4">
        <v>175.99999999950001</v>
      </c>
      <c r="ES4">
        <v>183.79999999890001</v>
      </c>
      <c r="ET4">
        <v>191.69999999940001</v>
      </c>
      <c r="EU4">
        <v>199.6999999992</v>
      </c>
      <c r="EV4">
        <v>207.8000000001</v>
      </c>
      <c r="EW4">
        <v>215.89999999919999</v>
      </c>
      <c r="EX4">
        <v>223.3999999989</v>
      </c>
      <c r="EY4">
        <v>231.29999999949999</v>
      </c>
      <c r="EZ4">
        <v>239.29999999930001</v>
      </c>
      <c r="FA4">
        <v>246.6999999997</v>
      </c>
      <c r="FB4">
        <v>254.3999999998</v>
      </c>
      <c r="FC4">
        <v>262.30000000029997</v>
      </c>
      <c r="FD4">
        <v>270.00000000040001</v>
      </c>
      <c r="FE4">
        <v>277.0999999993</v>
      </c>
      <c r="FF4">
        <v>284.49999999980002</v>
      </c>
      <c r="FG4">
        <v>291.90000000020001</v>
      </c>
      <c r="FH4">
        <v>298.8999999998</v>
      </c>
      <c r="FI4">
        <v>305.8000000001</v>
      </c>
      <c r="FJ4">
        <v>314.00000000030002</v>
      </c>
      <c r="FK4">
        <v>320.89999999880001</v>
      </c>
      <c r="FL4">
        <v>327.19999999970003</v>
      </c>
      <c r="FM4">
        <v>333.89999999960003</v>
      </c>
      <c r="FN4">
        <v>341.00000000030002</v>
      </c>
      <c r="FO4">
        <v>347.20000000020002</v>
      </c>
      <c r="FP4">
        <v>353.69999999970003</v>
      </c>
      <c r="FQ4">
        <v>360.30000000029997</v>
      </c>
      <c r="FR4">
        <v>367.19999999880002</v>
      </c>
      <c r="FS4">
        <v>373.2</v>
      </c>
      <c r="FT4">
        <v>378.99999999900001</v>
      </c>
      <c r="FU4">
        <v>384.89999999909998</v>
      </c>
      <c r="FV4">
        <v>390.99999999959999</v>
      </c>
      <c r="FW4">
        <v>396.69999999930002</v>
      </c>
      <c r="FX4">
        <v>402.39999999899999</v>
      </c>
      <c r="FY4">
        <v>408.1999999999</v>
      </c>
      <c r="FZ4">
        <v>413.99999999890002</v>
      </c>
      <c r="GA4">
        <v>419.7000000004</v>
      </c>
      <c r="GB4">
        <v>424.79999999889998</v>
      </c>
      <c r="GC4">
        <v>429.59999999950003</v>
      </c>
      <c r="GD4">
        <v>434.90000000020001</v>
      </c>
      <c r="GE4">
        <v>439.89999999939999</v>
      </c>
      <c r="GF4">
        <v>445.09999999899998</v>
      </c>
      <c r="GG4">
        <v>449.30000000019999</v>
      </c>
      <c r="GH4">
        <v>452.49999999940002</v>
      </c>
      <c r="GI4">
        <v>456.00000000009999</v>
      </c>
      <c r="GJ4">
        <v>458.19999999909999</v>
      </c>
      <c r="GK4">
        <v>458.09999999979999</v>
      </c>
      <c r="GL4">
        <v>458.19999999909999</v>
      </c>
      <c r="GM4">
        <v>458.09999999979999</v>
      </c>
      <c r="GN4">
        <v>458.19999999909999</v>
      </c>
      <c r="GO4">
        <v>458.30000000019999</v>
      </c>
      <c r="GP4">
        <v>458.30000000019999</v>
      </c>
      <c r="GQ4">
        <v>458.30000000019999</v>
      </c>
      <c r="GR4">
        <v>458.09999999979999</v>
      </c>
      <c r="GS4">
        <v>458.19999999909999</v>
      </c>
      <c r="GT4">
        <v>458.39999999949998</v>
      </c>
      <c r="GU4">
        <v>458.49999999879998</v>
      </c>
      <c r="GV4">
        <v>458.39999999949998</v>
      </c>
      <c r="GW4">
        <v>1</v>
      </c>
      <c r="GX4">
        <v>133.20000000019999</v>
      </c>
      <c r="GY4">
        <v>131.29999999910001</v>
      </c>
      <c r="GZ4">
        <v>131.29999999910001</v>
      </c>
      <c r="HA4">
        <v>136.39999999939999</v>
      </c>
      <c r="HB4">
        <v>132.78916884739999</v>
      </c>
      <c r="HC4">
        <v>-5.1000000002999997</v>
      </c>
      <c r="HD4">
        <v>458.39999999949998</v>
      </c>
      <c r="HE4">
        <v>274.75117801120001</v>
      </c>
      <c r="HF4">
        <v>111.9593695456</v>
      </c>
      <c r="HG4">
        <v>458.49999999879998</v>
      </c>
      <c r="HH4">
        <v>458.49999999879998</v>
      </c>
      <c r="HI4">
        <v>458.39999999949998</v>
      </c>
      <c r="HJ4">
        <v>458.49999999879998</v>
      </c>
      <c r="HK4">
        <v>114.9560117302</v>
      </c>
      <c r="HL4">
        <v>3.2023510820999999</v>
      </c>
      <c r="HM4">
        <v>3.1483114087000001</v>
      </c>
      <c r="HN4">
        <v>3.1810191824</v>
      </c>
      <c r="HO4">
        <v>2.9563984015</v>
      </c>
      <c r="HP4">
        <v>3.3684547340000002</v>
      </c>
      <c r="HQ4">
        <v>2.2571279286000001</v>
      </c>
      <c r="HR4">
        <v>20.829799301800001</v>
      </c>
      <c r="HS4">
        <v>-35.190615835800003</v>
      </c>
      <c r="HT4">
        <v>-240</v>
      </c>
      <c r="HU4">
        <v>407.54034685850002</v>
      </c>
      <c r="HV4">
        <v>89.149560117299998</v>
      </c>
      <c r="HW4">
        <v>608</v>
      </c>
      <c r="HX4">
        <v>20.829799301800001</v>
      </c>
      <c r="HY4">
        <v>-35.190615835800003</v>
      </c>
      <c r="HZ4">
        <v>-240</v>
      </c>
      <c r="IA4">
        <v>407.54034685850002</v>
      </c>
      <c r="IB4">
        <v>89.149560117299998</v>
      </c>
      <c r="IC4">
        <v>608</v>
      </c>
      <c r="ID4">
        <v>50.959653140299999</v>
      </c>
      <c r="IE4">
        <v>1.506719023</v>
      </c>
      <c r="IF4">
        <v>-44.5747800587</v>
      </c>
      <c r="IG4">
        <v>-304</v>
      </c>
      <c r="IH4">
        <v>429.25859511300001</v>
      </c>
      <c r="II4">
        <v>98.533724340199996</v>
      </c>
      <c r="IJ4">
        <v>672</v>
      </c>
      <c r="IK4">
        <v>386.71054755680001</v>
      </c>
      <c r="IL4">
        <v>124.3401759531</v>
      </c>
      <c r="IM4">
        <v>410.79432809849999</v>
      </c>
      <c r="IN4">
        <v>133.724340176</v>
      </c>
      <c r="IO4">
        <v>6.9999999996</v>
      </c>
      <c r="IP4">
        <v>5.7999999989999997</v>
      </c>
      <c r="IQ4">
        <v>8.5999999991999996</v>
      </c>
      <c r="IR4">
        <v>4.7934692019999998</v>
      </c>
      <c r="IS4">
        <v>4.7934692019999998</v>
      </c>
      <c r="IT4">
        <v>4.7999999987999997</v>
      </c>
      <c r="IU4">
        <v>-37.536656891500002</v>
      </c>
      <c r="IV4">
        <v>6.8000000009999999</v>
      </c>
      <c r="IW4">
        <v>53.958944281500003</v>
      </c>
      <c r="IX4">
        <v>5.8000000007999999</v>
      </c>
      <c r="IY4">
        <v>93.841642228699996</v>
      </c>
      <c r="IZ4">
        <v>-42.420225526400003</v>
      </c>
      <c r="JA4">
        <v>0.35701338630000001</v>
      </c>
      <c r="JB4">
        <v>-3.7465349999999997E-4</v>
      </c>
      <c r="JC4">
        <v>7.1230000000000005E-7</v>
      </c>
      <c r="JD4">
        <v>0.31227057070000003</v>
      </c>
      <c r="JE4">
        <v>0.18858950390000001</v>
      </c>
      <c r="JF4">
        <v>8.2300042800000001E-2</v>
      </c>
      <c r="JG4">
        <v>132.9330910571</v>
      </c>
      <c r="JH4">
        <v>3.3684547340000002</v>
      </c>
      <c r="JI4">
        <v>2.4336237E-3</v>
      </c>
      <c r="JJ4">
        <v>-6.4809100000000003E-5</v>
      </c>
      <c r="JK4">
        <v>3.2023510820999999</v>
      </c>
      <c r="JL4">
        <v>0.88857150299999998</v>
      </c>
      <c r="JM4">
        <v>0.36769478319999999</v>
      </c>
      <c r="JN4" t="s">
        <v>558</v>
      </c>
      <c r="JQ4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82.178753201600003</v>
      </c>
      <c r="D16" s="9">
        <f>AVERAGE(C18:C20)</f>
        <v>32.920342757633335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82.456066269100006</v>
      </c>
      <c r="D17" s="9">
        <f>AVERAGE(C21:C23)</f>
        <v>6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86.761028272900006</v>
      </c>
      <c r="D18" s="11">
        <f>AVERAGE(C24:C26)</f>
        <v>6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6</v>
      </c>
      <c r="D19" s="6">
        <f>AVERAGE('Summary(3pcs)'!E34:E35)</f>
        <v>147.5541360099879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6</v>
      </c>
      <c r="D20" s="9">
        <f>AVERAGE('Summary(3pcs)'!E36:E38)</f>
        <v>-75.519932495428748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6</v>
      </c>
      <c r="D21" s="9">
        <f>AVERAGE('Summary(3pcs)'!E39:E41)</f>
        <v>-177.50310559006209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6</v>
      </c>
      <c r="D22" s="11">
        <f>AVERAGE('Summary(3pcs)'!E42:E44)</f>
        <v>-177.50310559006209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6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-4.6461769613000001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0.83465756790000001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0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0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0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0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0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0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-0.95287984835000006</v>
      </c>
      <c r="C39" s="5">
        <f>'Summary(3pcs)'!M34</f>
        <v>-4.6461769613000001</v>
      </c>
      <c r="D39" s="11">
        <f t="shared" si="0"/>
        <v>0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0.83465756790000001</v>
      </c>
      <c r="D40" s="6">
        <f t="shared" si="0"/>
        <v>0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0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0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0</v>
      </c>
      <c r="C43" s="8">
        <f>'Summary(3pcs)'!M39</f>
        <v>0</v>
      </c>
      <c r="D43" s="6">
        <f t="shared" ref="D43:D54" si="2">C55</f>
        <v>-2.4355080484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0</v>
      </c>
      <c r="D44" s="9">
        <f t="shared" si="2"/>
        <v>0.58505525740000008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0</v>
      </c>
      <c r="D45" s="11">
        <f t="shared" si="2"/>
        <v>4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0</v>
      </c>
      <c r="D46" s="6">
        <f t="shared" si="2"/>
        <v>4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0</v>
      </c>
      <c r="D47" s="9">
        <f t="shared" si="2"/>
        <v>4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0</v>
      </c>
      <c r="D48" s="11">
        <f t="shared" si="2"/>
        <v>4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4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4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4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4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1.5373868022499999</v>
      </c>
      <c r="C55" s="5">
        <f>'Summary(3pcs)'!N34</f>
        <v>-2.4355080484</v>
      </c>
      <c r="D55" s="6">
        <f>AVERAGE(D31:D33)</f>
        <v>-1.2705064644666668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0.58505525740000008</v>
      </c>
      <c r="D56" s="9">
        <f>AVERAGE(D34:D36)</f>
        <v>0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4</v>
      </c>
      <c r="D57" s="9">
        <f>AVERAGE(D37:D39)</f>
        <v>0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4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4</v>
      </c>
      <c r="C59" s="8">
        <f>'Summary(3pcs)'!N39</f>
        <v>4</v>
      </c>
      <c r="D59" s="9">
        <f>AVERAGE(D43:D45)</f>
        <v>0.71651573633333332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4</v>
      </c>
      <c r="D60" s="9">
        <f>AVERAGE(D46:D48)</f>
        <v>4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4</v>
      </c>
      <c r="D61" s="9">
        <f>AVERAGE(D49:D51)</f>
        <v>4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4</v>
      </c>
      <c r="D63" s="6">
        <f>AVERAGE(C71:C73)</f>
        <v>-6.461333215233334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4</v>
      </c>
      <c r="D64" s="9">
        <f>AVERAGE(C74:C76)</f>
        <v>-6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-6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-6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-4.0625511010333328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-3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-3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-6.4390125871000006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-9.5167317390000008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-3.4282553195999999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-6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-6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-6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-6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-6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-6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-6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-6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-6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-4.3251979351000003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-1.7535088061999999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-6.1089465617999998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-3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-3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-3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-3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-3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-3</v>
      </c>
    </row>
    <row r="96" spans="1:7">
      <c r="A96" s="1" t="s">
        <v>87</v>
      </c>
      <c r="C96" s="5">
        <f>'Summary(3pcs)'!W43</f>
        <v>-3</v>
      </c>
    </row>
    <row r="97" spans="1:3">
      <c r="A97" s="1" t="s">
        <v>87</v>
      </c>
      <c r="C97" s="8">
        <f>'Summary(3pcs)'!W44</f>
        <v>-3</v>
      </c>
    </row>
    <row r="98" spans="1:3" ht="17.25" thickBot="1">
      <c r="A98" s="1" t="s">
        <v>87</v>
      </c>
      <c r="C98" s="10">
        <f>'Summary(3pcs)'!W45</f>
        <v>-3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2022-09-23T11:12:11Z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