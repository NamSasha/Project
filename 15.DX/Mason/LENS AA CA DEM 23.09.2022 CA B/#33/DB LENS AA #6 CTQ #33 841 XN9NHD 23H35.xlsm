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<sst xmlns="http://schemas.openxmlformats.org/spreadsheetml/2006/main" count="1419" uniqueCount="671">
  <si>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</si>
  <si>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</si>
  <si>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</si>
  <si>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</si>
  <si>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</si>
  <si>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</si>
  <si>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</si>
  <si>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</si>
  <si>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</si>
  <si>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</si>
  <si>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</si>
  <si>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</si>
  <si>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</si>
  <si>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</si>
  <si>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</si>
  <si>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</si>
  <si>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</si>
  <si>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</si>
  <si>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</si>
  <si>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</si>
  <si>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</si>
  <si>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</si>
  <si>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</si>
  <si>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</si>
  <si>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</si>
  <si>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</si>
  <si>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</si>
  <si>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</si>
  <si>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</si>
  <si>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</si>
  <si>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</si>
  <si>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</si>
  <si>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</si>
  <si>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</si>
  <si>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</si>
  <si>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</si>
  <si>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</si>
  <si>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</si>
  <si>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</si>
  <si>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</si>
  <si>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</si>
  <si>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</si>
  <si>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</si>
  <si>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</si>
  <si>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</si>
  <si>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</si>
  <si>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</si>
  <si>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</si>
  <si>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</si>
  <si>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</si>
  <si>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</si>
  <si>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</si>
  <si>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</si>
  <si>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</si>
  <si>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</si>
  <si>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</si>
  <si>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</si>
  <si>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</si>
  <si>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</si>
  <si>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</si>
  <si>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</si>
  <si>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</si>
  <si>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</si>
  <si>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</si>
  <si>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</si>
  <si>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</si>
  <si>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</si>
  <si>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</si>
  <si>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</si>
  <si>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</si>
  <si>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</si>
  <si>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</si>
  <si>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</si>
  <si>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</si>
  <si>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</si>
  <si>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</si>
  <si>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</si>
  <si>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</si>
  <si>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</si>
  <si>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</si>
  <si>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</si>
  <si>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</si>
  <si>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</si>
  <si>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</si>
  <si>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</si>
  <si>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</si>
  <si>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</si>
  <si>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</si>
  <si>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</si>
  <si>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</si>
  <si>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</si>
  <si>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</si>
  <si>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</si>
  <si>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</si>
  <si>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</si>
  <si>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</si>
  <si>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</si>
  <si>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</si>
  <si>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</si>
  <si>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</si>
  <si>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</si>
  <si>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</si>
  <si>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</si>
  <si>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</si>
  <si>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</si>
  <si>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</si>
  <si>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</si>
  <si>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</si>
  <si>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</si>
  <si>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</si>
  <si>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</si>
  <si>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</si>
  <si>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</si>
  <si>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</si>
  <si>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</si>
  <si>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</si>
  <si>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</si>
  <si>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</si>
  <si>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</si>
  <si>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</si>
  <si>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</si>
  <si>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</si>
  <si>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</si>
  <si>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</si>
  <si>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</si>
  <si>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</si>
  <si>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</si>
  <si>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</si>
  <si>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</si>
  <si>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</si>
  <si>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</si>
  <si>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</si>
  <si>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</si>
  <si>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</si>
  <si>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</si>
  <si>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</si>
  <si>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</si>
  <si>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</si>
  <si>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</si>
  <si>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</si>
  <si>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</si>
  <si>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</si>
  <si>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</si>
  <si>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</si>
  <si>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</si>
  <si>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</si>
  <si>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</si>
  <si>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</si>
  <si>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</si>
  <si>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</si>
  <si>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</si>
  <si>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</si>
  <si>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</si>
  <si>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</si>
  <si>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</si>
  <si>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</si>
  <si>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</si>
  <si>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</si>
  <si>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</si>
  <si>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</si>
  <si>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</si>
  <si>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</si>
  <si>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</si>
  <si>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</si>
  <si>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</si>
  <si>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</si>
  <si>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</si>
  <si>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</si>
  <si>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</si>
  <si>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</si>
  <si>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</si>
  <si>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</si>
  <si>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</si>
  <si>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</si>
  <si>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</si>
  <si>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</si>
  <si>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</si>
  <si>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</si>
  <si>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</si>
  <si>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</si>
  <si>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</si>
  <si>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</si>
  <si>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</si>
  <si>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</si>
  <si>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</si>
  <si>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</si>
  <si>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</si>
  <si>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</si>
  <si>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</si>
  <si>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</si>
  <si>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</si>
  <si>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</si>
  <si>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</si>
  <si>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</si>
  <si>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</si>
  <si>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</si>
  <si>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</si>
  <si>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</si>
  <si>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</si>
  <si>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</si>
  <si>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</si>
  <si>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</si>
  <si>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</si>
  <si>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</si>
  <si>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</si>
  <si>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</si>
  <si>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</si>
  <si>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</si>
  <si>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VCMLEBC060A</t>
  </si>
  <si>
    <t>DB_C1001</t>
  </si>
  <si>
    <t>210615ADOE</t>
  </si>
  <si>
    <t>R13A_OC_MFG_C10_21091603_b1779c9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</si>
  <si>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</si>
  <si>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</si>
  <si>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</si>
  <si>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</si>
  <si>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</si>
  <si>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</si>
  <si>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</si>
  <si>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</si>
  <si>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</si>
  <si>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</si>
  <si>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</si>
  <si>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</si>
  <si>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</si>
  <si>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</si>
  <si>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</si>
  <si>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</si>
  <si>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</si>
  <si>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</si>
  <si>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</si>
  <si>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</si>
  <si>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</si>
  <si>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</si>
  <si>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</si>
  <si>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</si>
  <si>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</si>
  <si>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</si>
  <si>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</si>
  <si>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</si>
  <si>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</si>
  <si>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</si>
  <si>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</si>
  <si>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</si>
  <si>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</si>
  <si>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</si>
  <si>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</si>
  <si>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</si>
  <si>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</si>
  <si>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</si>
  <si>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</si>
  <si>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</si>
  <si>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</si>
  <si>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</si>
  <si>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</si>
  <si>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</si>
  <si>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</si>
  <si>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</si>
  <si>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</si>
  <si>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</si>
  <si>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</si>
  <si>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</si>
  <si>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</si>
  <si>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</si>
  <si>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</si>
  <si>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</si>
  <si>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</si>
  <si>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</si>
  <si>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</si>
  <si>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</si>
  <si>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</si>
  <si>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</si>
  <si>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</si>
  <si>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</si>
  <si>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</si>
  <si>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</si>
  <si>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</si>
  <si>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</si>
  <si>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</si>
  <si>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</si>
  <si>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</si>
  <si>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</si>
  <si>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</si>
  <si>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</si>
  <si>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</si>
  <si>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</si>
  <si>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</si>
  <si>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</si>
  <si>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</si>
  <si>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</si>
  <si>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</si>
  <si>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</si>
  <si>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</si>
  <si>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</si>
  <si>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</si>
  <si>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</si>
  <si>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</si>
  <si>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</si>
  <si>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</si>
  <si>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</si>
  <si>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</si>
  <si>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</si>
  <si>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</si>
  <si>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</si>
  <si>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</si>
  <si>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</si>
  <si>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</si>
  <si>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</si>
  <si>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</si>
  <si>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</si>
  <si>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</si>
  <si>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</si>
  <si>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</si>
  <si>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</si>
  <si>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</si>
  <si>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</si>
  <si>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</si>
  <si>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</si>
  <si>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</si>
  <si>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</si>
  <si>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</si>
  <si>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</si>
  <si>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</si>
  <si>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</si>
  <si>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</si>
  <si>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</si>
  <si>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</si>
  <si>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</si>
  <si>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</si>
  <si>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</si>
  <si>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</si>
  <si>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</si>
  <si>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</si>
  <si>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</si>
  <si>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</si>
  <si>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</si>
  <si>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</si>
  <si>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</si>
  <si>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</si>
  <si>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</si>
  <si>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</si>
  <si>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</si>
  <si>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</si>
  <si>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</si>
  <si>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</si>
  <si>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</si>
  <si>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</si>
  <si>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</si>
  <si>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</si>
  <si>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</si>
  <si>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</si>
  <si>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</si>
  <si>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</si>
  <si>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</si>
  <si>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</si>
  <si>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</si>
  <si>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</si>
  <si>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</si>
  <si>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</si>
  <si>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</si>
  <si>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</si>
  <si>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</si>
  <si>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</si>
  <si>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</si>
  <si>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</si>
  <si>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</si>
  <si>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</si>
  <si>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</si>
  <si>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</si>
  <si>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</si>
  <si>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</si>
  <si>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</si>
  <si>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</si>
  <si>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</si>
  <si>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</si>
  <si>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</si>
  <si>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</si>
  <si>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</si>
  <si>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</si>
  <si>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</si>
  <si>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</si>
  <si>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</si>
  <si>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</si>
  <si>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</si>
  <si>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</si>
  <si>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</si>
  <si>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</si>
  <si>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</si>
  <si>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</si>
  <si>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</si>
  <si>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</si>
  <si>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</si>
  <si>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</si>
  <si>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</si>
  <si>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</si>
  <si>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</si>
  <si>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</si>
  <si>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</si>
  <si>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</si>
  <si>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</si>
  <si>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</si>
  <si>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</si>
  <si>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</si>
  <si>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</si>
  <si>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</si>
  <si>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</si>
  <si>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</si>
  <si>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</si>
  <si>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</si>
  <si>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</si>
  <si>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</si>
  <si>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</si>
  <si>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</si>
  <si>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</si>
  <si>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</si>
  <si>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</si>
  <si>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</si>
  <si>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</si>
  <si>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</si>
  <si>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</si>
  <si>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</si>
  <si>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</si>
  <si>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</si>
  <si>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</si>
  <si>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</si>
  <si>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</si>
  <si>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</si>
  <si>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</si>
  <si>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</si>
  <si>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</si>
  <si>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</si>
  <si>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</si>
  <si>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</si>
  <si>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</si>
  <si>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</si>
  <si>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</si>
  <si>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</si>
  <si>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</si>
  <si>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</si>
  <si>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</si>
  <si>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</si>
  <si>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</si>
  <si>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</si>
  <si>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</si>
  <si>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</si>
  <si>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</si>
  <si>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</si>
  <si>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</si>
  <si>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</si>
  <si>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</si>
  <si>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</si>
  <si>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</si>
  <si>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</si>
  <si>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</si>
  <si>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</si>
  <si>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</si>
  <si>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</si>
  <si>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</si>
  <si>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</si>
  <si>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</si>
  <si>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</si>
  <si>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</si>
  <si>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</si>
  <si>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</si>
  <si>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</si>
  <si>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</si>
  <si>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</si>
  <si>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</si>
  <si>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</si>
  <si>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</si>
  <si>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</si>
  <si>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</si>
  <si>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</si>
  <si>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</si>
  <si>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</si>
  <si>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</si>
  <si>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</si>
  <si>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</si>
  <si>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</si>
  <si>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</si>
  <si>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</si>
  <si>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</si>
  <si>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</si>
  <si>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</si>
  <si>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</si>
  <si>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</si>
  <si>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</si>
  <si>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</si>
  <si>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</si>
  <si>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</si>
  <si>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</si>
  <si>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</si>
  <si>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</si>
  <si>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</si>
  <si>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</si>
  <si>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</si>
  <si>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</si>
  <si>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</si>
  <si>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</si>
  <si>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</si>
  <si>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</si>
  <si>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</si>
  <si>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</si>
  <si>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</si>
  <si>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</si>
  <si>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</si>
  <si>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</si>
  <si>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</si>
  <si>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</si>
  <si>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</si>
  <si>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</si>
  <si>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</si>
  <si>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</si>
  <si>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</si>
  <si>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</si>
  <si>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</si>
  <si>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</si>
  <si>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</si>
  <si>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</si>
  <si>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</si>
  <si>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</si>
  <si>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</si>
  <si>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R13A_IPQC_MFG_Laser_C10_21090805_b1779c9</t>
  </si>
  <si>
    <t>v9p4</t>
  </si>
  <si>
    <t>MS</t>
  </si>
  <si>
    <t>D:\EVMS\TP\LOG\ VSY841XN9NHO_2022092319</t>
    <phoneticPr fontId="8" type="noConversion"/>
  </si>
  <si>
    <t>T220923191517679VCMLEBC060</t>
  </si>
  <si>
    <t>'2022-09-23 19:15:26:462</t>
  </si>
  <si>
    <t xml:space="preserve"> VSY841XN9NHO</t>
  </si>
  <si>
    <t>22cc06080835</t>
  </si>
  <si>
    <t>0x5280186297dd5e07</t>
  </si>
  <si>
    <t>MFBC373BB6CM24B6C335035131</t>
  </si>
  <si>
    <t>MF3C3513BFKP13A7A640</t>
  </si>
  <si>
    <t>DNA22301052480C04A</t>
  </si>
  <si>
    <t>T220923191621120VCMLEBC060</t>
  </si>
  <si>
    <t>'2022-09-23 19:16:29:991</t>
  </si>
  <si>
    <t>22cc06080710</t>
  </si>
  <si>
    <t>0x52801162a64eca06</t>
  </si>
  <si>
    <t>MFBC373BB6BF24B6C741036111</t>
  </si>
  <si>
    <t>MF3C3513BFL013A7A643</t>
  </si>
  <si>
    <t>DNA22301055500L01A</t>
  </si>
  <si>
    <t>T220923191724137VCMLEBC060</t>
  </si>
  <si>
    <t>'2022-09-23 19:17:32:925</t>
  </si>
  <si>
    <t>22cc06080844</t>
  </si>
  <si>
    <t>0x5280186297dd5a03</t>
  </si>
  <si>
    <t>MFBC373BB6C324B6C439043151</t>
  </si>
  <si>
    <t>MF3C3513BFKT13A7A641</t>
  </si>
  <si>
    <t>DNA22301055500M09A</t>
  </si>
  <si>
    <t>T220923191830028VCMLEBC060</t>
  </si>
  <si>
    <t>'2022-09-23 19:18:38:857</t>
  </si>
  <si>
    <t>22cc06080206</t>
  </si>
  <si>
    <t>0x52801162a6551a04</t>
  </si>
  <si>
    <t>MFBC373BB6DH24B6B739044121</t>
  </si>
  <si>
    <t>MF3C3513BFL813A7A649</t>
  </si>
  <si>
    <t>DNA22301051980G14A</t>
  </si>
  <si>
    <t>T220923191937994VCMLEBC060</t>
  </si>
  <si>
    <t>'2022-09-23 19:19:47:273</t>
  </si>
  <si>
    <t>22cc06080650</t>
  </si>
  <si>
    <t>0x52801562a30b2903</t>
  </si>
  <si>
    <t>MFBC373BB6B724B6B330066123</t>
  </si>
  <si>
    <t>MF3C3513BFL613A7A634</t>
  </si>
  <si>
    <t>DNA22301050850J01A</t>
  </si>
  <si>
    <t>T220923192042694VCMLEBC060</t>
  </si>
  <si>
    <t>'2022-09-23 19:20:51:564</t>
  </si>
  <si>
    <t>22cc06090270</t>
  </si>
  <si>
    <t>0x52801162a656f605</t>
  </si>
  <si>
    <t>MF2C3872B39EB3B6A736018112</t>
  </si>
  <si>
    <t>MF3C3513BFJ813A7A648</t>
  </si>
  <si>
    <t>DNA22287024040D13A</t>
  </si>
  <si>
    <t>T220923192151540VCMLEBC060</t>
  </si>
  <si>
    <t>'2022-09-23 19:22:00:441</t>
  </si>
  <si>
    <t>22cc06080490</t>
  </si>
  <si>
    <t>0x52801162a6563108</t>
  </si>
  <si>
    <t>MFBC373BB6BH24B6C535066112</t>
  </si>
  <si>
    <t>MF3C3513BFKU13A7A632</t>
  </si>
  <si>
    <t>DNA22301050850E02A</t>
  </si>
  <si>
    <t>T220923192256541VCMLEBC060</t>
  </si>
  <si>
    <t>'2022-09-23 19:23:05:487</t>
  </si>
  <si>
    <t>22cc06080935</t>
  </si>
  <si>
    <t>0x52801162a6562d01</t>
  </si>
  <si>
    <t>MFBC373BB6CT24B6B940012132</t>
  </si>
  <si>
    <t>MF3C3513BFL113A7A643</t>
  </si>
  <si>
    <t>DNA22301052480C11A</t>
  </si>
  <si>
    <t>T220923191543913VCMLEBC060</t>
  </si>
  <si>
    <t>'2022-09-23 19:16:12:319</t>
  </si>
  <si>
    <t>T220923191647434VCMLEBC060</t>
  </si>
  <si>
    <t>'2022-09-23 19:17:15:417</t>
  </si>
  <si>
    <t>T220923191750423VCMLEBC060</t>
  </si>
  <si>
    <t>'2022-09-23 19:18:18:950</t>
  </si>
  <si>
    <t>T220923191856224VCMLEBC060</t>
  </si>
  <si>
    <t>'2022-09-23 19:19:25:017</t>
  </si>
  <si>
    <t>T220923192004871VCMLEBC060</t>
  </si>
  <si>
    <t>'2022-09-23 19:20:33:885</t>
  </si>
  <si>
    <t>T220923192109011VCMLEBC060</t>
  </si>
  <si>
    <t>'2022-09-23 19:21:39:272</t>
  </si>
  <si>
    <t>T220923192217951VCMLEBC060</t>
  </si>
  <si>
    <t>'2022-09-23 19:22:46:714</t>
  </si>
  <si>
    <t>'2022-09-23 19:16:02:293</t>
  </si>
  <si>
    <t>'2022-09-23 19:17:05:390</t>
  </si>
  <si>
    <t>'2022-09-23 19:18:08:923</t>
  </si>
  <si>
    <t>'2022-09-23 19:19:14:987</t>
  </si>
  <si>
    <t>'2022-09-23 19:20:23:857</t>
  </si>
  <si>
    <t>'2022-09-23 19:21:29:246</t>
  </si>
  <si>
    <t>'2022-09-23 19:22:36:686</t>
  </si>
  <si>
    <t>T220923191529145VCMLEBC060</t>
  </si>
  <si>
    <t>'2022-09-23 19:15:41:686</t>
  </si>
  <si>
    <t>T220923191632661VCMLEBC060</t>
  </si>
  <si>
    <t>'2022-09-23 19:16:45:196</t>
  </si>
  <si>
    <t>T220923191735655VCMLEBC060</t>
  </si>
  <si>
    <t>'2022-09-23 19:17:48:192</t>
  </si>
  <si>
    <t>T220923191841502VCMLEBC060</t>
  </si>
  <si>
    <t>'2022-09-23 19:18:54:038</t>
  </si>
  <si>
    <t>T220923191950105VCMLEBC060</t>
  </si>
  <si>
    <t>'2022-09-23 19:20:02:641</t>
  </si>
  <si>
    <t>T220923192054243VCMLEBC060</t>
  </si>
  <si>
    <t>'2022-09-23 19:21:06:776</t>
  </si>
  <si>
    <t>T220923192203189VCMLEBC060</t>
  </si>
  <si>
    <t>'2022-09-23 19:22:15:728</t>
  </si>
  <si>
    <t>T220923192308216VCMLEBC060</t>
  </si>
  <si>
    <t>'2022-09-23 19:23:20:755</t>
  </si>
  <si>
    <t>T220923192323006VCMLEBC060</t>
  </si>
  <si>
    <t>'2022-09-23 19:23:52:051</t>
  </si>
  <si>
    <t>'2022-09-23 19:23:42:022</t>
  </si>
  <si>
    <t>T220923192401207VCMLEBC060</t>
  </si>
  <si>
    <t>'2022-09-23 19:24:09:951</t>
  </si>
  <si>
    <t>22cc06090770</t>
  </si>
  <si>
    <t>0x52801162a64d6804</t>
  </si>
  <si>
    <t>MF2C3872B3LWB3B69837005123</t>
  </si>
  <si>
    <t>MF3C3513BFJ913A7A643</t>
  </si>
  <si>
    <t>DNA22287024040C08A</t>
  </si>
  <si>
    <t>T220923192412583VCMLEBC060</t>
  </si>
  <si>
    <t>'2022-09-23 19:24:25:116</t>
  </si>
  <si>
    <t>T220923192427367VCMLEBC060</t>
  </si>
  <si>
    <t>'2022-09-23 19:24:57:550</t>
  </si>
  <si>
    <t>'2022-09-23 19:24:47:528</t>
  </si>
  <si>
    <t>T220923192510171VCMLEBC060</t>
  </si>
  <si>
    <t>'2022-09-23 19:25:18:951</t>
  </si>
  <si>
    <t>22cc06080558</t>
  </si>
  <si>
    <t>0x52801562a30b3305</t>
  </si>
  <si>
    <t>MFBC373BB6B924B6C234027121</t>
  </si>
  <si>
    <t>MF3C3513BFL913A7A646</t>
  </si>
  <si>
    <t>DNA22301052480C03A</t>
  </si>
  <si>
    <t>T220923192536885VCMLEBC060</t>
  </si>
  <si>
    <t>'2022-09-23 19:26:05:159</t>
  </si>
  <si>
    <t>'2022-09-23 19:25:55:136</t>
  </si>
  <si>
    <t>T220923192522084VCMLEBC060</t>
  </si>
  <si>
    <t>'2022-09-23 19:25:34:621</t>
  </si>
  <si>
    <t>T220923192643338VCMLEBC060</t>
  </si>
  <si>
    <t>'2022-09-23 19:26:52:516</t>
  </si>
  <si>
    <t>22cc06080560</t>
  </si>
  <si>
    <t>0x52801162a64ec604</t>
  </si>
  <si>
    <t>MFBC373BB6BP24B6B536069127</t>
  </si>
  <si>
    <t>MF3C3513BFKZ13A7A651</t>
  </si>
  <si>
    <t>DNA22301052480D04A</t>
  </si>
  <si>
    <t>T220923192656177VCMLEBC060</t>
  </si>
  <si>
    <t>'2022-09-23 19:27:08:708</t>
  </si>
  <si>
    <t>T220923192710941VCMLEBC060</t>
  </si>
  <si>
    <t>'2022-09-23 19:27:40:355</t>
  </si>
  <si>
    <t>'2022-09-23 19:27:30:329</t>
  </si>
  <si>
    <t>T220923192811018VCMLEBC060</t>
  </si>
  <si>
    <t>'2022-09-23 19:28:20:267</t>
  </si>
  <si>
    <t>22cc06080738</t>
  </si>
  <si>
    <t>0x52801162a6562502</t>
  </si>
  <si>
    <t>MFBC373BB6C224B6B731031146</t>
  </si>
  <si>
    <t>MF3C3513BFLD13A7A645</t>
  </si>
  <si>
    <t>DNA22301052480C08A</t>
  </si>
  <si>
    <t>T220923192837683VCMLEBC060</t>
  </si>
  <si>
    <t>'2022-09-23 19:29:07:049</t>
  </si>
  <si>
    <t>'2022-09-23 19:28:57:025</t>
  </si>
  <si>
    <t>T220923192822920VCMLEBC060</t>
  </si>
  <si>
    <t>'2022-09-23 19:28:35:453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</si>
</sst>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3.8110379762000002</c:v>
                </c:pt>
                <c:pt idx="1">
                  <c:v>6.1713540460000003</c:v>
                </c:pt>
                <c:pt idx="2">
                  <c:v>7.2067277983000002</c:v>
                </c:pt>
                <c:pt idx="3">
                  <c:v>0.42882829989999999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10.6746928142</c:v>
                </c:pt>
                <c:pt idx="1">
                  <c:v>7.0190843957000002</c:v>
                </c:pt>
                <c:pt idx="2">
                  <c:v>9.5294220303999992</c:v>
                </c:pt>
                <c:pt idx="3">
                  <c:v>9.3815002201999995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5.7297066068333331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9.0743997467666659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1632"/>
        <c:axId val="60423168"/>
      </c:scatterChart>
      <c:valAx>
        <c:axId val="604216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423168"/>
        <c:crosses val="autoZero"/>
        <c:crossBetween val="midCat"/>
        <c:majorUnit val="10"/>
      </c:valAx>
      <c:valAx>
        <c:axId val="604231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421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-2.7762555613000002</c:v>
                </c:pt>
                <c:pt idx="1">
                  <c:v>2.0010930317</c:v>
                </c:pt>
                <c:pt idx="2">
                  <c:v>-9.4535902289999996</c:v>
                </c:pt>
                <c:pt idx="3">
                  <c:v>-7.1767711523999997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9.2991508122999988</c:v>
                </c:pt>
                <c:pt idx="1">
                  <c:v>8.5810727922999988</c:v>
                </c:pt>
                <c:pt idx="2">
                  <c:v>-0.37342798199999994</c:v>
                </c:pt>
                <c:pt idx="3">
                  <c:v>1.0549242151999998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-0.11544474323333336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9.0872412749333318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95200"/>
        <c:axId val="60605184"/>
      </c:scatterChart>
      <c:valAx>
        <c:axId val="605952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605184"/>
        <c:crosses val="autoZero"/>
        <c:crossBetween val="midCat"/>
        <c:majorUnit val="10"/>
      </c:valAx>
      <c:valAx>
        <c:axId val="606051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59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-6.4674079906999999</c:v>
                </c:pt>
                <c:pt idx="1">
                  <c:v>-1.7759311786</c:v>
                </c:pt>
                <c:pt idx="2">
                  <c:v>-2.7235661812999998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-8.4413848199999642E-2</c:v>
                </c:pt>
                <c:pt idx="1">
                  <c:v>-4.2351261426000004</c:v>
                </c:pt>
                <c:pt idx="2">
                  <c:v>-1.6897958940000004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-7.6992564573666664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0.19902746166666674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65472"/>
        <c:axId val="101067008"/>
      </c:scatterChart>
      <c:valAx>
        <c:axId val="1010654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1067008"/>
        <c:crosses val="autoZero"/>
        <c:crossBetween val="midCat"/>
        <c:majorUnit val="10"/>
      </c:valAx>
      <c:valAx>
        <c:axId val="10106700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106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0.3272408249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-7.5586488644000003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-1.3907521783333332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-4.4945236336666667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980736"/>
        <c:axId val="132982272"/>
      </c:scatterChart>
      <c:valAx>
        <c:axId val="1329807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982272"/>
        <c:crosses val="autoZero"/>
        <c:crossBetween val="midCat"/>
        <c:majorUnit val="10"/>
      </c:valAx>
      <c:valAx>
        <c:axId val="1329822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980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88.248423490700006</c:v>
                </c:pt>
                <c:pt idx="1">
                  <c:v>93.955580898099996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94.473423949766655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027328"/>
        <c:axId val="133028864"/>
      </c:scatterChart>
      <c:valAx>
        <c:axId val="13302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028864"/>
        <c:crosses val="autoZero"/>
        <c:crossBetween val="midCat"/>
      </c:valAx>
      <c:valAx>
        <c:axId val="13302886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027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101.21626746050001</c:v>
                </c:pt>
                <c:pt idx="1">
                  <c:v>94.730746459200006</c:v>
                </c:pt>
                <c:pt idx="2">
                  <c:v>97.679910452300007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95.314756170699994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99680"/>
        <c:axId val="137401472"/>
      </c:scatterChart>
      <c:valAx>
        <c:axId val="13739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401472"/>
        <c:crosses val="autoZero"/>
        <c:crossBetween val="midCat"/>
      </c:valAx>
      <c:valAx>
        <c:axId val="13740147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399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93.533611600599997</c:v>
                </c:pt>
                <c:pt idx="1">
                  <c:v>87.827132484299995</c:v>
                </c:pt>
                <c:pt idx="2">
                  <c:v>100.4395871194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95.56115724850001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52928"/>
        <c:axId val="137462912"/>
      </c:scatterChart>
      <c:valAx>
        <c:axId val="13745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462912"/>
        <c:crosses val="autoZero"/>
        <c:crossBetween val="midCat"/>
      </c:valAx>
      <c:valAx>
        <c:axId val="13746291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45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98.416752141800004</c:v>
                </c:pt>
                <c:pt idx="1">
                  <c:v>94.216165734900002</c:v>
                </c:pt>
                <c:pt idx="2">
                  <c:v>96.347179128199997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94.428336064966672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87104"/>
        <c:axId val="137488640"/>
      </c:scatterChart>
      <c:valAx>
        <c:axId val="13748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488640"/>
        <c:crosses val="autoZero"/>
        <c:crossBetween val="midCat"/>
      </c:valAx>
      <c:valAx>
        <c:axId val="13748864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48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-4.5263282061000005</c:v>
                </c:pt>
                <c:pt idx="1">
                  <c:v>-9.3402862499999628E-2</c:v>
                </c:pt>
                <c:pt idx="2">
                  <c:v>-2.9898424149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2.099624157</c:v>
                </c:pt>
                <c:pt idx="1">
                  <c:v>-4.1052238940999999</c:v>
                </c:pt>
                <c:pt idx="2">
                  <c:v>-1.7989454269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-2.5365244945000001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-1.2681817213333333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07040"/>
        <c:axId val="137608576"/>
      </c:scatterChart>
      <c:valAx>
        <c:axId val="1376070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608576"/>
        <c:crosses val="autoZero"/>
        <c:crossBetween val="midCat"/>
        <c:majorUnit val="10"/>
      </c:valAx>
      <c:valAx>
        <c:axId val="1376085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60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-10.375061988799999</c:v>
                </c:pt>
                <c:pt idx="1">
                  <c:v>-9.1852018832999995</c:v>
                </c:pt>
                <c:pt idx="2">
                  <c:v>-8.8410201073000003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-3.5539224744000002</c:v>
                </c:pt>
                <c:pt idx="1">
                  <c:v>-2.4530370234999999</c:v>
                </c:pt>
                <c:pt idx="2">
                  <c:v>2.5849967002999996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-9.467094659799999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-1.140654265866667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98688"/>
        <c:axId val="137716864"/>
      </c:scatterChart>
      <c:valAx>
        <c:axId val="1376986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716864"/>
        <c:crosses val="autoZero"/>
        <c:crossBetween val="midCat"/>
        <c:majorUnit val="10"/>
      </c:valAx>
      <c:valAx>
        <c:axId val="1377168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698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4.4858589171999999</c:v>
                </c:pt>
                <c:pt idx="1">
                  <c:v>-0.82348251340000012</c:v>
                </c:pt>
                <c:pt idx="2">
                  <c:v>-4.5837714672000001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-3.9353893995</c:v>
                </c:pt>
                <c:pt idx="1">
                  <c:v>-3.2899862527999999</c:v>
                </c:pt>
                <c:pt idx="2">
                  <c:v>-10.330406189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-0.30713168780000011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-5.8519272804333333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30848"/>
        <c:axId val="137632384"/>
      </c:scatterChart>
      <c:valAx>
        <c:axId val="1376308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632384"/>
        <c:crosses val="autoZero"/>
        <c:crossBetween val="midCat"/>
        <c:majorUnit val="10"/>
      </c:valAx>
      <c:valAx>
        <c:axId val="1376323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630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-9.8818869591000009</c:v>
                </c:pt>
                <c:pt idx="1">
                  <c:v>-7.1867547035000001</c:v>
                </c:pt>
                <c:pt idx="2">
                  <c:v>-1.5788493156000003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-1.1142576932999999</c:v>
                </c:pt>
                <c:pt idx="1">
                  <c:v>8.5755271912000008</c:v>
                </c:pt>
                <c:pt idx="2">
                  <c:v>2.8243846893000004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-6.2158303260666665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3.4285513957333342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1536"/>
        <c:axId val="137687424"/>
      </c:scatterChart>
      <c:valAx>
        <c:axId val="1376815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687424"/>
        <c:crosses val="autoZero"/>
        <c:crossBetween val="midCat"/>
        <c:majorUnit val="10"/>
      </c:valAx>
      <c:valAx>
        <c:axId val="1376874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68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152</v>
      </c>
      <c r="C3" s="72">
        <v>0.2</v>
      </c>
      <c r="D3" s="72" t="s">
        <v>153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VSY841XN9NHO_2022092319_D50_ON_OC.csv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VSY841XN9NHO_2022092319_FPDC_INFD_normal.csv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VSY841XN9NHO_2022092319_INFDMargin_IPQC.csv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VSY841XN9NHO_2022092319_VCM_MEASURE.csv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525</v>
      </c>
      <c r="D8" s="20"/>
    </row>
    <row r="19" spans="3:3">
      <c r="C19" s="74" t="s">
        <v>159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T47" sqref="T47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524</v>
      </c>
      <c r="S31" s="84" t="s">
        <v>151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166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167</v>
      </c>
      <c r="N33" s="41" t="s">
        <v>168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22cc06080835</v>
      </c>
      <c r="C34" s="44">
        <f>IPQC!S2+VLOOKUP($R$31,$AD$38:$AK$42,6,FALSE)+VLOOKUP('File location'!$B$1,'Tester offset'!$A$2:$D$4,2,FALSE)</f>
        <v>88.248423490700006</v>
      </c>
      <c r="D34" s="44">
        <f>IPQC!Z2+VLOOKUP($R$31,$AD$38:$AK$42,6,FALSE)</f>
        <v>76.760950986799998</v>
      </c>
      <c r="E34" s="44">
        <f>VCM!HU2-'Summary(3pcs)'!C34-'Summary(3pcs)'!$D$32</f>
        <v>146.63231385753789</v>
      </c>
      <c r="F34" s="90">
        <f>AVERAGEIF($A$34:$A$45,1,$C$34:$C$45)</f>
        <v>94.473423949766655</v>
      </c>
      <c r="G34" s="91">
        <f>AVERAGEIF($A$34:$A$45,1,$D$34:$D$45)</f>
        <v>81.397563306033319</v>
      </c>
      <c r="H34" s="91">
        <f>AVERAGEIF($A$34:$A$45,1,$E$34:$E$45)</f>
        <v>137.09047491927126</v>
      </c>
      <c r="I34" s="91">
        <f>85-F34</f>
        <v>-9.473423949766655</v>
      </c>
      <c r="J34"/>
      <c r="K34" s="79">
        <f>T34</f>
        <v>1</v>
      </c>
      <c r="L34" s="80" t="str">
        <f>OC!J2</f>
        <v>22cc06080835</v>
      </c>
      <c r="M34" s="44">
        <f>OC!S2+VLOOKUP($R$31,$AD$38:$AK$42,4,FALSE)</f>
        <v>3.8110379762000002</v>
      </c>
      <c r="N34" s="44">
        <f>OC!T2+VLOOKUP($R$31,$AD$38:$AK$42,5,FALSE)</f>
        <v>10.6746928142</v>
      </c>
      <c r="O34" s="92">
        <f>AVERAGEIF($K$34:$K$45,1,$M$34:$M$45)</f>
        <v>5.7297066068333331</v>
      </c>
      <c r="P34" s="92">
        <f>AVERAGEIF($K$34:$K$45,1,$N$34:$N$45)</f>
        <v>9.0743997467666659</v>
      </c>
      <c r="Q34" s="90">
        <f>P34*0.001</f>
        <v>9.0743997467666662E-3</v>
      </c>
      <c r="R34" s="90">
        <f>O34*0.001</f>
        <v>5.7297066068333329E-3</v>
      </c>
      <c r="T34" s="79">
        <v>1</v>
      </c>
      <c r="U34" s="80" t="str">
        <f>FPDC!J2</f>
        <v>22cc06080835</v>
      </c>
      <c r="V34" s="75">
        <f>FPDC!R2+VLOOKUP($R$31,$AD$38:$AK$42,2,FALSE)+VLOOKUP($R$31,$AD$38:$AK$42,7,FALSE)+VLOOKUP('File location'!$B$1,'Tester offset'!$A$2:$D$4,3,FALSE)</f>
        <v>-9.8818869591000009</v>
      </c>
      <c r="W34" s="76">
        <f>FPDC!S2+VLOOKUP($R$31,$AD$38:$AK$42,3,FALSE)+VLOOKUP($R$31,$AD$38:$AK$42,8,FALSE)+VLOOKUP('File location'!$B$1,'Tester offset'!$A$2:$D$4,4,FALSE)</f>
        <v>-1.1142576932999999</v>
      </c>
      <c r="X34" s="92">
        <f>AVERAGEIF($T$34:$T$45,1,$V$34:$V$45)</f>
        <v>-6.2158303260666665</v>
      </c>
      <c r="Y34" s="92">
        <f>AVERAGEIF($T$34:$T$45,1,$W$34:$W$45)</f>
        <v>3.4285513957333342</v>
      </c>
      <c r="Z34" s="90">
        <f>(X34*-0.01)/4</f>
        <v>1.5539575815166667E-2</v>
      </c>
      <c r="AA34" s="90">
        <f>(Y34*-0.01)/4</f>
        <v>-8.5713784893333353E-3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22cc06080710</v>
      </c>
      <c r="C35" s="44">
        <f>IPQC!S3+VLOOKUP($R$31,$AD$38:$AK$42,6,FALSE)+VLOOKUP('File location'!$B$1,'Tester offset'!$A$2:$D$4,2,FALSE)</f>
        <v>93.955580898099996</v>
      </c>
      <c r="D35" s="44">
        <f>IPQC!Z3+VLOOKUP($R$31,$AD$38:$AK$42,6,FALSE)</f>
        <v>85.284078539800007</v>
      </c>
      <c r="E35" s="44">
        <f>VCM!HU3-'Summary(3pcs)'!C35-'Summary(3pcs)'!$D$32</f>
        <v>132.1916166781379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22cc06080710</v>
      </c>
      <c r="M35" s="44">
        <f>OC!S3+VLOOKUP($R$31,$AD$38:$AK$42,4,FALSE)</f>
        <v>6.1713540460000003</v>
      </c>
      <c r="N35" s="44">
        <f>OC!T3+VLOOKUP($R$31,$AD$38:$AK$42,5,FALSE)</f>
        <v>7.0190843957000002</v>
      </c>
      <c r="O35" s="92"/>
      <c r="P35" s="92"/>
      <c r="Q35" s="90"/>
      <c r="R35" s="90"/>
      <c r="T35" s="79">
        <v>1</v>
      </c>
      <c r="U35" s="80" t="str">
        <f>FPDC!J3</f>
        <v>22cc06080710</v>
      </c>
      <c r="V35" s="75">
        <f>FPDC!R3+VLOOKUP($R$31,$AD$38:$AK$42,2,FALSE)+VLOOKUP($R$31,$AD$38:$AK$42,7,FALSE)+VLOOKUP('File location'!$B$1,'Tester offset'!$A$2:$D$4,3,FALSE)</f>
        <v>-7.1867547035000001</v>
      </c>
      <c r="W35" s="76">
        <f>FPDC!S3+VLOOKUP($R$31,$AD$38:$AK$42,3,FALSE)+VLOOKUP($R$31,$AD$38:$AK$42,8,FALSE)+VLOOKUP('File location'!$B$1,'Tester offset'!$A$2:$D$4,4,FALSE)</f>
        <v>8.5755271912000008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22cc06080844</v>
      </c>
      <c r="C36" s="44">
        <f>IPQC!S4+VLOOKUP($R$31,$AD$38:$AK$42,6,FALSE)+VLOOKUP('File location'!$B$1,'Tester offset'!$A$2:$D$4,2,FALSE)</f>
        <v>101.21626746050001</v>
      </c>
      <c r="D36" s="44">
        <f>IPQC!Z4+VLOOKUP($R$31,$AD$38:$AK$42,6,FALSE)</f>
        <v>82.147660391499997</v>
      </c>
      <c r="E36" s="44">
        <f>VCM!HU4-'Summary(3pcs)'!C36-'Summary(3pcs)'!$D$32</f>
        <v>132.44749422213795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22cc06080844</v>
      </c>
      <c r="M36" s="44">
        <f>OC!S4+VLOOKUP($R$31,$AD$38:$AK$42,4,FALSE)</f>
        <v>7.2067277983000002</v>
      </c>
      <c r="N36" s="44">
        <f>OC!T4+VLOOKUP($R$31,$AD$38:$AK$42,5,FALSE)</f>
        <v>9.5294220303999992</v>
      </c>
      <c r="O36" s="92"/>
      <c r="P36" s="92"/>
      <c r="Q36" s="90"/>
      <c r="R36" s="90"/>
      <c r="T36" s="79">
        <v>1</v>
      </c>
      <c r="U36" s="80" t="str">
        <f>FPDC!J4</f>
        <v>22cc06080844</v>
      </c>
      <c r="V36" s="75">
        <f>FPDC!R4+VLOOKUP($R$31,$AD$38:$AK$42,2,FALSE)+VLOOKUP($R$31,$AD$38:$AK$42,7,FALSE)+VLOOKUP('File location'!$B$1,'Tester offset'!$A$2:$D$4,3,FALSE)</f>
        <v>-1.5788493156000003</v>
      </c>
      <c r="W36" s="76">
        <f>FPDC!S4+VLOOKUP($R$31,$AD$38:$AK$42,3,FALSE)+VLOOKUP($R$31,$AD$38:$AK$42,8,FALSE)+VLOOKUP('File location'!$B$1,'Tester offset'!$A$2:$D$4,4,FALSE)</f>
        <v>2.8243846893000004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22cc06080206</v>
      </c>
      <c r="C37" s="44">
        <f>IPQC!S5+VLOOKUP($R$31,$AD$38:$AK$42,6,FALSE)+VLOOKUP('File location'!$B$1,'Tester offset'!$A$2:$D$4,2,FALSE)</f>
        <v>94.730746459200006</v>
      </c>
      <c r="D37" s="44">
        <f>IPQC!Z5+VLOOKUP($R$31,$AD$38:$AK$42,6,FALSE)</f>
        <v>83.135284385700004</v>
      </c>
      <c r="E37" s="44">
        <f>VCM!HU5-'Summary(3pcs)'!C37-'Summary(3pcs)'!$D$32</f>
        <v>135.44833852253788</v>
      </c>
      <c r="F37" s="90">
        <f>AVERAGEIF($A$34:$A$45,2,$C$34:$C$45)</f>
        <v>95.314756170699994</v>
      </c>
      <c r="G37" s="91">
        <f>AVERAGEIF($A$34:$A$45,2,$D$34:$D$45)</f>
        <v>85.486183812666681</v>
      </c>
      <c r="H37" s="91">
        <f>AVERAGEIF($A$34:$A$45,2,$E$34:$E$45)</f>
        <v>132.62996629700456</v>
      </c>
      <c r="I37" s="91">
        <f>85-F37</f>
        <v>-10.314756170699994</v>
      </c>
      <c r="J37"/>
      <c r="K37" s="79">
        <f t="shared" si="1"/>
        <v>2</v>
      </c>
      <c r="L37" s="80" t="str">
        <f>OC!J5</f>
        <v>22cc06080206</v>
      </c>
      <c r="M37" s="44">
        <f>OC!S5+VLOOKUP($R$31,$AD$38:$AK$42,4,FALSE)</f>
        <v>0.42882829989999999</v>
      </c>
      <c r="N37" s="44">
        <f>OC!T5+VLOOKUP($R$31,$AD$38:$AK$42,5,FALSE)</f>
        <v>9.3815002201999995</v>
      </c>
      <c r="O37" s="92">
        <f>AVERAGEIF($K$34:$K$45,2,$M$34:$M$45)</f>
        <v>-0.11544474323333336</v>
      </c>
      <c r="P37" s="92">
        <f>AVERAGEIF($K$34:$K$45,2,$N$34:$N$45)</f>
        <v>9.0872412749333318</v>
      </c>
      <c r="Q37" s="90">
        <f>P37*0.001</f>
        <v>9.0872412749333324E-3</v>
      </c>
      <c r="R37" s="90">
        <f>O37*0.001</f>
        <v>-1.1544474323333336E-4</v>
      </c>
      <c r="T37" s="79">
        <v>2</v>
      </c>
      <c r="U37" s="80" t="str">
        <f>FPDC!J5</f>
        <v>22cc06080206</v>
      </c>
      <c r="V37" s="75">
        <f>FPDC!R5+VLOOKUP($R$31,$AD$38:$AK$42,2,FALSE)+VLOOKUP($R$31,$AD$38:$AK$42,7,FALSE)+VLOOKUP('File location'!$B$1,'Tester offset'!$A$2:$D$4,3,FALSE)</f>
        <v>-4.5263282061000005</v>
      </c>
      <c r="W37" s="76">
        <f>FPDC!S5+VLOOKUP($R$31,$AD$38:$AK$42,3,FALSE)+VLOOKUP($R$31,$AD$38:$AK$42,8,FALSE)+VLOOKUP('File location'!$B$1,'Tester offset'!$A$2:$D$4,4,FALSE)</f>
        <v>2.099624157</v>
      </c>
      <c r="X37" s="92">
        <f>AVERAGEIF($T$34:$T$45,2,$V$34:$V$45)</f>
        <v>-2.5365244945000001</v>
      </c>
      <c r="Y37" s="92">
        <f>AVERAGEIF($T$34:$T$45,2,$W$34:$W$45)</f>
        <v>-1.2681817213333333</v>
      </c>
      <c r="Z37" s="90">
        <f>(X37*-0.01)/4</f>
        <v>6.3413112362500001E-3</v>
      </c>
      <c r="AA37" s="90">
        <f>(Y37*-0.01)/4</f>
        <v>3.1704543033333333E-3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22cc06080650</v>
      </c>
      <c r="C38" s="44">
        <f>IPQC!S6+VLOOKUP($R$31,$AD$38:$AK$42,6,FALSE)+VLOOKUP('File location'!$B$1,'Tester offset'!$A$2:$D$4,2,FALSE)</f>
        <v>97.679910452300007</v>
      </c>
      <c r="D38" s="44">
        <f>IPQC!Z6+VLOOKUP($R$31,$AD$38:$AK$42,6,FALSE)</f>
        <v>86.164139526699998</v>
      </c>
      <c r="E38" s="44">
        <f>VCM!HU6-'Summary(3pcs)'!C38-'Summary(3pcs)'!$D$32</f>
        <v>141.98958307723791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22cc06080650</v>
      </c>
      <c r="M38" s="44">
        <f>OC!S6+VLOOKUP($R$31,$AD$38:$AK$42,4,FALSE)</f>
        <v>-2.7762555613000002</v>
      </c>
      <c r="N38" s="44">
        <f>OC!T6+VLOOKUP($R$31,$AD$38:$AK$42,5,FALSE)</f>
        <v>9.2991508122999988</v>
      </c>
      <c r="O38" s="92"/>
      <c r="P38" s="92"/>
      <c r="Q38" s="90"/>
      <c r="R38" s="90"/>
      <c r="T38" s="79">
        <v>2</v>
      </c>
      <c r="U38" s="80" t="str">
        <f>FPDC!J6</f>
        <v>22cc06080650</v>
      </c>
      <c r="V38" s="75">
        <f>FPDC!R6+VLOOKUP($R$31,$AD$38:$AK$42,2,FALSE)+VLOOKUP($R$31,$AD$38:$AK$42,7,FALSE)+VLOOKUP('File location'!$B$1,'Tester offset'!$A$2:$D$4,3,FALSE)</f>
        <v>-9.3402862499999628E-2</v>
      </c>
      <c r="W38" s="76">
        <f>FPDC!S6+VLOOKUP($R$31,$AD$38:$AK$42,3,FALSE)+VLOOKUP($R$31,$AD$38:$AK$42,8,FALSE)+VLOOKUP('File location'!$B$1,'Tester offset'!$A$2:$D$4,4,FALSE)</f>
        <v>-4.1052238940999999</v>
      </c>
      <c r="X38" s="92"/>
      <c r="Y38" s="92"/>
      <c r="Z38" s="90"/>
      <c r="AA38" s="90"/>
      <c r="AD38" s="79" t="s">
        <v>169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22cc06090270</v>
      </c>
      <c r="C39" s="44">
        <f>IPQC!S7+VLOOKUP($R$31,$AD$38:$AK$42,6,FALSE)+VLOOKUP('File location'!$B$1,'Tester offset'!$A$2:$D$4,2,FALSE)</f>
        <v>93.533611600599997</v>
      </c>
      <c r="D39" s="44">
        <f>IPQC!Z7+VLOOKUP($R$31,$AD$38:$AK$42,6,FALSE)</f>
        <v>87.159127525599999</v>
      </c>
      <c r="E39" s="44">
        <f>VCM!HU7-'Summary(3pcs)'!C39-'Summary(3pcs)'!$D$32</f>
        <v>120.45197729123788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22cc06090270</v>
      </c>
      <c r="M39" s="44">
        <f>OC!S7+VLOOKUP($R$31,$AD$38:$AK$42,4,FALSE)</f>
        <v>2.0010930317</v>
      </c>
      <c r="N39" s="44">
        <f>OC!T7+VLOOKUP($R$31,$AD$38:$AK$42,5,FALSE)</f>
        <v>8.5810727922999988</v>
      </c>
      <c r="O39" s="92"/>
      <c r="P39" s="92"/>
      <c r="Q39" s="90"/>
      <c r="R39" s="90"/>
      <c r="T39" s="79">
        <v>2</v>
      </c>
      <c r="U39" s="80" t="str">
        <f>FPDC!J7</f>
        <v>22cc06090270</v>
      </c>
      <c r="V39" s="75">
        <f>FPDC!R7+VLOOKUP($R$31,$AD$38:$AK$42,2,FALSE)+VLOOKUP($R$31,$AD$38:$AK$42,7,FALSE)+VLOOKUP('File location'!$B$1,'Tester offset'!$A$2:$D$4,3,FALSE)</f>
        <v>-2.9898424149</v>
      </c>
      <c r="W39" s="76">
        <f>FPDC!S7+VLOOKUP($R$31,$AD$38:$AK$42,3,FALSE)+VLOOKUP($R$31,$AD$38:$AK$42,8,FALSE)+VLOOKUP('File location'!$B$1,'Tester offset'!$A$2:$D$4,4,FALSE)</f>
        <v>-1.7989454269</v>
      </c>
      <c r="X39" s="92"/>
      <c r="Y39" s="92"/>
      <c r="Z39" s="90"/>
      <c r="AA39" s="90"/>
      <c r="AD39" s="30" t="s">
        <v>170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22cc06080490</v>
      </c>
      <c r="C40" s="44">
        <f>IPQC!S8+VLOOKUP($R$31,$AD$38:$AK$42,6,FALSE)+VLOOKUP('File location'!$B$1,'Tester offset'!$A$2:$D$4,2,FALSE)</f>
        <v>87.827132484299995</v>
      </c>
      <c r="D40" s="44">
        <f>IPQC!Z8+VLOOKUP($R$31,$AD$38:$AK$42,6,FALSE)</f>
        <v>77.172147590999998</v>
      </c>
      <c r="E40" s="44">
        <f>VCM!HU8-'Summary(3pcs)'!C40-'Summary(3pcs)'!$D$32</f>
        <v>133.11228178743795</v>
      </c>
      <c r="F40" s="90">
        <f>AVERAGEIF($A$34:$A$45,3,$C$34:$C$45)</f>
        <v>95.56115724850001</v>
      </c>
      <c r="G40" s="91">
        <f>AVERAGEIF($A$34:$A$45,3,$D$34:$D$45)</f>
        <v>86.089598779533333</v>
      </c>
      <c r="H40" s="91">
        <f>AVERAGEIF($A$34:$A$45,3,$E$34:$E$45)</f>
        <v>135.64578647887126</v>
      </c>
      <c r="I40" s="91">
        <f>85-F40</f>
        <v>-10.56115724850001</v>
      </c>
      <c r="J40"/>
      <c r="K40" s="79">
        <f t="shared" si="1"/>
        <v>3</v>
      </c>
      <c r="L40" s="80" t="str">
        <f>OC!J8</f>
        <v>22cc06080490</v>
      </c>
      <c r="M40" s="44">
        <f>OC!S8+VLOOKUP($R$31,$AD$38:$AK$42,4,FALSE)</f>
        <v>-9.4535902289999996</v>
      </c>
      <c r="N40" s="44">
        <f>OC!T8+VLOOKUP($R$31,$AD$38:$AK$42,5,FALSE)</f>
        <v>-0.37342798199999994</v>
      </c>
      <c r="O40" s="92">
        <f>AVERAGEIF($K$34:$K$45,3,$M$34:$M$45)</f>
        <v>-7.6992564573666664</v>
      </c>
      <c r="P40" s="92">
        <f>AVERAGEIF($K$34:$K$45,3,$N$34:$N$45)</f>
        <v>0.19902746166666674</v>
      </c>
      <c r="Q40" s="90">
        <f>P40*0.001</f>
        <v>1.9902746166666673E-4</v>
      </c>
      <c r="R40" s="90">
        <f>O40*0.001</f>
        <v>-7.6992564573666669E-3</v>
      </c>
      <c r="T40" s="79">
        <v>3</v>
      </c>
      <c r="U40" s="80" t="str">
        <f>FPDC!J8</f>
        <v>22cc06080490</v>
      </c>
      <c r="V40" s="75">
        <f>FPDC!R8+VLOOKUP($R$31,$AD$38:$AK$42,2,FALSE)+VLOOKUP($R$31,$AD$38:$AK$42,7,FALSE)+VLOOKUP('File location'!$B$1,'Tester offset'!$A$2:$D$4,3,FALSE)</f>
        <v>-10.375061988799999</v>
      </c>
      <c r="W40" s="76">
        <f>FPDC!S8+VLOOKUP($R$31,$AD$38:$AK$42,3,FALSE)+VLOOKUP($R$31,$AD$38:$AK$42,8,FALSE)+VLOOKUP('File location'!$B$1,'Tester offset'!$A$2:$D$4,4,FALSE)</f>
        <v>-3.5539224744000002</v>
      </c>
      <c r="X40" s="92">
        <f>AVERAGEIF($T$34:$T$45,3,$V$34:$V$45)</f>
        <v>-9.467094659799999</v>
      </c>
      <c r="Y40" s="92">
        <f>AVERAGEIF($T$34:$T$45,3,$W$34:$W$45)</f>
        <v>-1.140654265866667</v>
      </c>
      <c r="Z40" s="90">
        <f>(X40*-0.01)/4</f>
        <v>2.3667736649499997E-2</v>
      </c>
      <c r="AA40" s="90">
        <f>(Y40*-0.01)/4</f>
        <v>2.8516356646666676E-3</v>
      </c>
      <c r="AD40" s="30" t="s">
        <v>171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22cc06080935</v>
      </c>
      <c r="C41" s="44">
        <f>IPQC!S9+VLOOKUP($R$31,$AD$38:$AK$42,6,FALSE)+VLOOKUP('File location'!$B$1,'Tester offset'!$A$2:$D$4,2,FALSE)</f>
        <v>100.4395871194</v>
      </c>
      <c r="D41" s="44">
        <f>IPQC!Z9+VLOOKUP($R$31,$AD$38:$AK$42,6,FALSE)</f>
        <v>90.4827121191</v>
      </c>
      <c r="E41" s="44">
        <f>VCM!HU9-'Summary(3pcs)'!C41-'Summary(3pcs)'!$D$32</f>
        <v>134.54095860693792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22cc06080935</v>
      </c>
      <c r="M41" s="44">
        <f>OC!S9+VLOOKUP($R$31,$AD$38:$AK$42,4,FALSE)</f>
        <v>-7.1767711523999997</v>
      </c>
      <c r="N41" s="44">
        <f>OC!T9+VLOOKUP($R$31,$AD$38:$AK$42,5,FALSE)</f>
        <v>1.0549242151999998</v>
      </c>
      <c r="O41" s="92"/>
      <c r="P41" s="92"/>
      <c r="Q41" s="90"/>
      <c r="R41" s="90"/>
      <c r="T41" s="79">
        <v>3</v>
      </c>
      <c r="U41" s="80" t="str">
        <f>FPDC!J9</f>
        <v>22cc06080935</v>
      </c>
      <c r="V41" s="75">
        <f>FPDC!R9+VLOOKUP($R$31,$AD$38:$AK$42,2,FALSE)+VLOOKUP($R$31,$AD$38:$AK$42,7,FALSE)+VLOOKUP('File location'!$B$1,'Tester offset'!$A$2:$D$4,3,FALSE)</f>
        <v>-9.1852018832999995</v>
      </c>
      <c r="W41" s="76">
        <f>FPDC!S9+VLOOKUP($R$31,$AD$38:$AK$42,3,FALSE)+VLOOKUP($R$31,$AD$38:$AK$42,8,FALSE)+VLOOKUP('File location'!$B$1,'Tester offset'!$A$2:$D$4,4,FALSE)</f>
        <v>-2.4530370234999999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22cc06090770</v>
      </c>
      <c r="C42" s="44">
        <f>IPQC!S10+VLOOKUP($R$31,$AD$38:$AK$42,6,FALSE)+VLOOKUP('File location'!$B$1,'Tester offset'!$A$2:$D$4,2,FALSE)</f>
        <v>98.416752141800004</v>
      </c>
      <c r="D42" s="44">
        <f>IPQC!Z10+VLOOKUP($R$31,$AD$38:$AK$42,6,FALSE)</f>
        <v>90.613936628499999</v>
      </c>
      <c r="E42" s="44">
        <f>VCM!HU10-'Summary(3pcs)'!C42-'Summary(3pcs)'!$D$32</f>
        <v>139.28411904223788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22cc06090770</v>
      </c>
      <c r="M42" s="44">
        <f>OC!S10+VLOOKUP($R$31,$AD$38:$AK$42,4,FALSE)</f>
        <v>-6.4674079906999999</v>
      </c>
      <c r="N42" s="44">
        <f>OC!T10+VLOOKUP($R$31,$AD$38:$AK$42,5,FALSE)</f>
        <v>-8.4413848199999642E-2</v>
      </c>
      <c r="O42" s="92"/>
      <c r="P42" s="92"/>
      <c r="Q42" s="90"/>
      <c r="R42" s="90"/>
      <c r="T42" s="79">
        <v>3</v>
      </c>
      <c r="U42" s="80" t="str">
        <f>FPDC!J10</f>
        <v>22cc06090770</v>
      </c>
      <c r="V42" s="75">
        <f>FPDC!R10+VLOOKUP($R$31,$AD$38:$AK$42,2,FALSE)+VLOOKUP($R$31,$AD$38:$AK$42,7,FALSE)+VLOOKUP('File location'!$B$1,'Tester offset'!$A$2:$D$4,3,FALSE)</f>
        <v>-8.8410201073000003</v>
      </c>
      <c r="W42" s="76">
        <f>FPDC!S10+VLOOKUP($R$31,$AD$38:$AK$42,3,FALSE)+VLOOKUP($R$31,$AD$38:$AK$42,8,FALSE)+VLOOKUP('File location'!$B$1,'Tester offset'!$A$2:$D$4,4,FALSE)</f>
        <v>2.5849967002999996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22cc06080558</v>
      </c>
      <c r="C43" s="44">
        <f>IPQC!S11+VLOOKUP($R$31,$AD$38:$AK$42,6,FALSE)+VLOOKUP('File location'!$B$1,'Tester offset'!$A$2:$D$4,2,FALSE)</f>
        <v>94.216165734900002</v>
      </c>
      <c r="D43" s="44">
        <f>IPQC!Z11+VLOOKUP($R$31,$AD$38:$AK$42,6,FALSE)</f>
        <v>82.205741844299993</v>
      </c>
      <c r="E43" s="44">
        <f>VCM!HU11-'Summary(3pcs)'!C43-'Summary(3pcs)'!$D$32</f>
        <v>144.88661168623787</v>
      </c>
      <c r="F43" s="90">
        <f>AVERAGEIF($A$34:$A$45,4,$C$34:$C$45)</f>
        <v>94.428336064966672</v>
      </c>
      <c r="G43" s="91">
        <f>AVERAGEIF($A$34:$A$45,4,$D$34:$D$45)</f>
        <v>84.19328406293333</v>
      </c>
      <c r="H43" s="91">
        <f>AVERAGEIF($A$34:$A$45,4,$E$34:$E$45)</f>
        <v>135.38145686477122</v>
      </c>
      <c r="I43" s="91">
        <f>85-F43</f>
        <v>-9.4283360649666719</v>
      </c>
      <c r="J43"/>
      <c r="K43" s="79">
        <f t="shared" si="1"/>
        <v>4</v>
      </c>
      <c r="L43" s="80" t="str">
        <f>OC!J11</f>
        <v>22cc06080558</v>
      </c>
      <c r="M43" s="44">
        <f>OC!S11+VLOOKUP($R$31,$AD$38:$AK$42,4,FALSE)</f>
        <v>-1.7759311786</v>
      </c>
      <c r="N43" s="44">
        <f>OC!T11+VLOOKUP($R$31,$AD$38:$AK$42,5,FALSE)</f>
        <v>-4.2351261426000004</v>
      </c>
      <c r="O43" s="92">
        <f>AVERAGEIF($K$34:$K$45,4,$M$34:$M$45)</f>
        <v>-1.3907521783333332</v>
      </c>
      <c r="P43" s="92">
        <f>AVERAGEIF($K$34:$K$45,4,$N$34:$N$45)</f>
        <v>-4.4945236336666667</v>
      </c>
      <c r="Q43" s="90">
        <f>P43*0.001</f>
        <v>-4.4945236336666671E-3</v>
      </c>
      <c r="R43" s="90">
        <f>O43*0.001</f>
        <v>-1.3907521783333332E-3</v>
      </c>
      <c r="T43" s="79">
        <v>4</v>
      </c>
      <c r="U43" s="80" t="str">
        <f>FPDC!J11</f>
        <v>22cc06080558</v>
      </c>
      <c r="V43" s="75">
        <f>FPDC!R11+VLOOKUP($R$31,$AD$38:$AK$42,2,FALSE)+VLOOKUP($R$31,$AD$38:$AK$42,7,FALSE)+VLOOKUP('File location'!$B$1,'Tester offset'!$A$2:$D$4,3,FALSE)</f>
        <v>4.4858589171999999</v>
      </c>
      <c r="W43" s="76">
        <f>FPDC!S11+VLOOKUP($R$31,$AD$38:$AK$42,3,FALSE)+VLOOKUP($R$31,$AD$38:$AK$42,8,FALSE)+VLOOKUP('File location'!$B$1,'Tester offset'!$A$2:$D$4,4,FALSE)</f>
        <v>-3.9353893995</v>
      </c>
      <c r="X43" s="92">
        <f>AVERAGEIF($T$34:$T$45,4,$V$34:$V$45)</f>
        <v>-0.30713168780000011</v>
      </c>
      <c r="Y43" s="92">
        <f>AVERAGEIF($T$34:$T$45,4,$W$34:$W$45)</f>
        <v>-5.8519272804333333</v>
      </c>
      <c r="Z43" s="90">
        <f>(X43*-0.01)/4</f>
        <v>7.6782921950000024E-4</v>
      </c>
      <c r="AA43" s="90">
        <f>(Y43*-0.01)/4</f>
        <v>1.4629818201083333E-2</v>
      </c>
    </row>
    <row r="44" spans="1:37" s="32" customFormat="1" ht="17.100000000000001" customHeight="1">
      <c r="A44" s="79">
        <f t="shared" si="0"/>
        <v>4</v>
      </c>
      <c r="B44" s="80" t="str">
        <f>IPQC!J12</f>
        <v>22cc06080560</v>
      </c>
      <c r="C44" s="44">
        <f>IPQC!S12+VLOOKUP($R$31,$AD$38:$AK$42,6,FALSE)+VLOOKUP('File location'!$B$1,'Tester offset'!$A$2:$D$4,2,FALSE)</f>
        <v>96.347179128199997</v>
      </c>
      <c r="D44" s="44">
        <f>IPQC!Z12+VLOOKUP($R$31,$AD$38:$AK$42,6,FALSE)</f>
        <v>87.789731374400006</v>
      </c>
      <c r="E44" s="44">
        <f>VCM!HU12-'Summary(3pcs)'!C44-'Summary(3pcs)'!$D$32</f>
        <v>127.61146494773789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22cc06080560</v>
      </c>
      <c r="M44" s="44">
        <f>OC!S12+VLOOKUP($R$31,$AD$38:$AK$42,4,FALSE)</f>
        <v>-2.7235661812999998</v>
      </c>
      <c r="N44" s="44">
        <f>OC!T12+VLOOKUP($R$31,$AD$38:$AK$42,5,FALSE)</f>
        <v>-1.6897958940000004</v>
      </c>
      <c r="O44" s="92"/>
      <c r="P44" s="92"/>
      <c r="Q44" s="90"/>
      <c r="R44" s="90"/>
      <c r="T44" s="79">
        <v>4</v>
      </c>
      <c r="U44" s="80" t="str">
        <f>FPDC!J12</f>
        <v>22cc06080560</v>
      </c>
      <c r="V44" s="75">
        <f>FPDC!R12+VLOOKUP($R$31,$AD$38:$AK$42,2,FALSE)+VLOOKUP($R$31,$AD$38:$AK$42,7,FALSE)+VLOOKUP('File location'!$B$1,'Tester offset'!$A$2:$D$4,3,FALSE)</f>
        <v>-0.82348251340000012</v>
      </c>
      <c r="W44" s="76">
        <f>FPDC!S12+VLOOKUP($R$31,$AD$38:$AK$42,3,FALSE)+VLOOKUP($R$31,$AD$38:$AK$42,8,FALSE)+VLOOKUP('File location'!$B$1,'Tester offset'!$A$2:$D$4,4,FALSE)</f>
        <v>-3.2899862527999999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22cc06080738</v>
      </c>
      <c r="C45" s="44">
        <f>IPQC!S13+VLOOKUP($R$31,$AD$38:$AK$42,6,FALSE)+VLOOKUP('File location'!$B$1,'Tester offset'!$A$2:$D$4,2,FALSE)</f>
        <v>92.721663331800002</v>
      </c>
      <c r="D45" s="44">
        <f>IPQC!Z13+VLOOKUP($R$31,$AD$38:$AK$42,6,FALSE)</f>
        <v>82.584378970100005</v>
      </c>
      <c r="E45" s="44">
        <f>VCM!HU13-'Summary(3pcs)'!C45-'Summary(3pcs)'!$D$32</f>
        <v>133.64629396033791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22cc06080738</v>
      </c>
      <c r="M45" s="44">
        <f>OC!S13+VLOOKUP($R$31,$AD$38:$AK$42,4,FALSE)</f>
        <v>0.3272408249</v>
      </c>
      <c r="N45" s="44">
        <f>OC!T13+VLOOKUP($R$31,$AD$38:$AK$42,5,FALSE)</f>
        <v>-7.5586488644000003</v>
      </c>
      <c r="O45" s="92"/>
      <c r="P45" s="92"/>
      <c r="Q45" s="90"/>
      <c r="R45" s="90"/>
      <c r="T45" s="79">
        <v>4</v>
      </c>
      <c r="U45" s="80" t="str">
        <f>FPDC!J13</f>
        <v>22cc06080738</v>
      </c>
      <c r="V45" s="75">
        <f>FPDC!R13+VLOOKUP($R$31,$AD$38:$AK$42,2,FALSE)+VLOOKUP($R$31,$AD$38:$AK$42,7,FALSE)+VLOOKUP('File location'!$B$1,'Tester offset'!$A$2:$D$4,3,FALSE)</f>
        <v>-4.5837714672000001</v>
      </c>
      <c r="W45" s="76">
        <f>FPDC!S13+VLOOKUP($R$31,$AD$38:$AK$42,3,FALSE)+VLOOKUP($R$31,$AD$38:$AK$42,8,FALSE)+VLOOKUP('File location'!$B$1,'Tester offset'!$A$2:$D$4,4,FALSE)</f>
        <v>-10.330406189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160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154</v>
      </c>
      <c r="G48" s="89"/>
      <c r="H48" s="78" t="s">
        <v>141</v>
      </c>
      <c r="I48" s="32"/>
      <c r="K48" s="32"/>
      <c r="L48" s="32"/>
      <c r="M48" s="32"/>
      <c r="N48" s="32"/>
      <c r="O48" s="93" t="s">
        <v>155</v>
      </c>
      <c r="P48" s="89"/>
      <c r="Q48" s="78" t="s">
        <v>161</v>
      </c>
      <c r="R48" s="32"/>
      <c r="S48" s="32"/>
      <c r="T48" s="32"/>
      <c r="U48" s="32"/>
      <c r="V48" s="32"/>
      <c r="W48" s="32"/>
      <c r="X48" s="32"/>
      <c r="Y48" s="93" t="s">
        <v>155</v>
      </c>
      <c r="Z48" s="89"/>
      <c r="AA48" s="78" t="s">
        <v>104</v>
      </c>
    </row>
    <row r="49" spans="6:27" ht="17.25">
      <c r="F49" s="89" t="s">
        <v>156</v>
      </c>
      <c r="G49" s="89"/>
      <c r="H49" s="78" t="s">
        <v>107</v>
      </c>
      <c r="I49" s="32"/>
      <c r="K49" s="32"/>
      <c r="L49" s="32"/>
      <c r="M49" s="32"/>
      <c r="N49" s="32"/>
      <c r="O49" s="93" t="s">
        <v>164</v>
      </c>
      <c r="P49" s="89"/>
      <c r="Q49" s="78" t="s">
        <v>162</v>
      </c>
      <c r="R49" s="32"/>
      <c r="S49" s="32"/>
      <c r="T49" s="32"/>
      <c r="U49" s="32"/>
      <c r="V49" s="32"/>
      <c r="W49" s="32"/>
      <c r="X49" s="32"/>
      <c r="Y49" s="93" t="s">
        <v>158</v>
      </c>
      <c r="Z49" s="89"/>
      <c r="AA49" s="78" t="s">
        <v>163</v>
      </c>
    </row>
    <row r="50" spans="6:27" ht="17.25">
      <c r="F50" s="89" t="s">
        <v>16</v>
      </c>
      <c r="G50" s="89"/>
      <c r="H50" s="78" t="s">
        <v>106</v>
      </c>
      <c r="I50" s="32"/>
      <c r="K50" s="32"/>
      <c r="M50" s="32"/>
      <c r="N50" s="32"/>
      <c r="O50" s="93" t="s">
        <v>164</v>
      </c>
      <c r="P50" s="89"/>
      <c r="Q50" s="78" t="s">
        <v>165</v>
      </c>
      <c r="R50" s="32"/>
      <c r="S50" s="32"/>
      <c r="T50" s="32"/>
      <c r="U50" s="32"/>
      <c r="V50" s="32"/>
      <c r="W50" s="32"/>
      <c r="X50" s="32"/>
      <c r="Y50" s="93" t="s">
        <v>157</v>
      </c>
      <c r="Z50" s="89"/>
      <c r="AA50" s="78" t="s">
        <v>142</v>
      </c>
    </row>
    <row r="52" spans="6:27" ht="19.5">
      <c r="I52" s="45"/>
      <c r="J52" s="45"/>
      <c r="K52" s="81" t="s">
        <v>150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88.248423490700006</v>
      </c>
      <c r="L54" s="49">
        <f t="shared" ref="L54:L65" si="4">D34</f>
        <v>76.760950986799998</v>
      </c>
      <c r="M54" s="49">
        <f t="shared" ref="M54:M65" si="5">E34</f>
        <v>146.63231385753789</v>
      </c>
      <c r="N54" s="49">
        <f t="shared" ref="N54:O65" si="6">M34</f>
        <v>3.8110379762000002</v>
      </c>
      <c r="O54" s="49">
        <f t="shared" si="6"/>
        <v>10.6746928142</v>
      </c>
      <c r="P54" s="49">
        <f t="shared" ref="P54:P65" si="7">V34</f>
        <v>-9.8818869591000009</v>
      </c>
      <c r="Q54" s="50">
        <f t="shared" ref="Q54:Q65" si="8">W34</f>
        <v>-1.1142576932999999</v>
      </c>
    </row>
    <row r="55" spans="6:27" ht="19.5">
      <c r="I55" s="47">
        <f t="shared" si="2"/>
        <v>1</v>
      </c>
      <c r="J55" s="46"/>
      <c r="K55" s="51">
        <f t="shared" si="3"/>
        <v>93.955580898099996</v>
      </c>
      <c r="L55" s="52">
        <f t="shared" si="4"/>
        <v>85.284078539800007</v>
      </c>
      <c r="M55" s="52">
        <f t="shared" si="5"/>
        <v>132.1916166781379</v>
      </c>
      <c r="N55" s="52">
        <f t="shared" si="6"/>
        <v>6.1713540460000003</v>
      </c>
      <c r="O55" s="52">
        <f t="shared" si="6"/>
        <v>7.0190843957000002</v>
      </c>
      <c r="P55" s="52">
        <f t="shared" si="7"/>
        <v>-7.1867547035000001</v>
      </c>
      <c r="Q55" s="53">
        <f t="shared" si="8"/>
        <v>8.5755271912000008</v>
      </c>
    </row>
    <row r="56" spans="6:27" ht="19.5">
      <c r="I56" s="47">
        <f t="shared" si="2"/>
        <v>1</v>
      </c>
      <c r="J56" s="46"/>
      <c r="K56" s="54">
        <f t="shared" si="3"/>
        <v>101.21626746050001</v>
      </c>
      <c r="L56" s="55">
        <f t="shared" si="4"/>
        <v>82.147660391499997</v>
      </c>
      <c r="M56" s="55">
        <f t="shared" si="5"/>
        <v>132.44749422213795</v>
      </c>
      <c r="N56" s="55">
        <f t="shared" si="6"/>
        <v>7.2067277983000002</v>
      </c>
      <c r="O56" s="55">
        <f t="shared" si="6"/>
        <v>9.5294220303999992</v>
      </c>
      <c r="P56" s="55">
        <f t="shared" si="7"/>
        <v>-1.5788493156000003</v>
      </c>
      <c r="Q56" s="56">
        <f t="shared" si="8"/>
        <v>2.8243846893000004</v>
      </c>
    </row>
    <row r="57" spans="6:27" ht="19.5">
      <c r="I57" s="47">
        <f t="shared" si="2"/>
        <v>2</v>
      </c>
      <c r="J57" s="46"/>
      <c r="K57" s="57">
        <f t="shared" si="3"/>
        <v>94.730746459200006</v>
      </c>
      <c r="L57" s="58">
        <f t="shared" si="4"/>
        <v>83.135284385700004</v>
      </c>
      <c r="M57" s="58">
        <f t="shared" si="5"/>
        <v>135.44833852253788</v>
      </c>
      <c r="N57" s="58">
        <f t="shared" si="6"/>
        <v>0.42882829989999999</v>
      </c>
      <c r="O57" s="58">
        <f t="shared" si="6"/>
        <v>9.3815002201999995</v>
      </c>
      <c r="P57" s="58">
        <f t="shared" si="7"/>
        <v>-4.5263282061000005</v>
      </c>
      <c r="Q57" s="59">
        <f t="shared" si="8"/>
        <v>2.099624157</v>
      </c>
    </row>
    <row r="58" spans="6:27" ht="19.5">
      <c r="I58" s="47">
        <f t="shared" si="2"/>
        <v>2</v>
      </c>
      <c r="J58" s="46"/>
      <c r="K58" s="57">
        <f t="shared" si="3"/>
        <v>97.679910452300007</v>
      </c>
      <c r="L58" s="58">
        <f t="shared" si="4"/>
        <v>86.164139526699998</v>
      </c>
      <c r="M58" s="58">
        <f t="shared" si="5"/>
        <v>141.98958307723791</v>
      </c>
      <c r="N58" s="58">
        <f t="shared" si="6"/>
        <v>-2.7762555613000002</v>
      </c>
      <c r="O58" s="58">
        <f t="shared" si="6"/>
        <v>9.2991508122999988</v>
      </c>
      <c r="P58" s="58">
        <f t="shared" si="7"/>
        <v>-9.3402862499999628E-2</v>
      </c>
      <c r="Q58" s="59">
        <f t="shared" si="8"/>
        <v>-4.1052238940999999</v>
      </c>
    </row>
    <row r="59" spans="6:27" ht="19.5">
      <c r="I59" s="47">
        <f t="shared" si="2"/>
        <v>2</v>
      </c>
      <c r="J59" s="46"/>
      <c r="K59" s="57">
        <f t="shared" si="3"/>
        <v>93.533611600599997</v>
      </c>
      <c r="L59" s="58">
        <f t="shared" si="4"/>
        <v>87.159127525599999</v>
      </c>
      <c r="M59" s="58">
        <f t="shared" si="5"/>
        <v>120.45197729123788</v>
      </c>
      <c r="N59" s="58">
        <f t="shared" si="6"/>
        <v>2.0010930317</v>
      </c>
      <c r="O59" s="58">
        <f t="shared" si="6"/>
        <v>8.5810727922999988</v>
      </c>
      <c r="P59" s="58">
        <f t="shared" si="7"/>
        <v>-2.9898424149</v>
      </c>
      <c r="Q59" s="59">
        <f t="shared" si="8"/>
        <v>-1.7989454269</v>
      </c>
    </row>
    <row r="60" spans="6:27" ht="19.5">
      <c r="I60" s="47">
        <f t="shared" si="2"/>
        <v>3</v>
      </c>
      <c r="J60" s="46"/>
      <c r="K60" s="60">
        <f t="shared" si="3"/>
        <v>87.827132484299995</v>
      </c>
      <c r="L60" s="61">
        <f t="shared" si="4"/>
        <v>77.172147590999998</v>
      </c>
      <c r="M60" s="61">
        <f t="shared" si="5"/>
        <v>133.11228178743795</v>
      </c>
      <c r="N60" s="61">
        <f t="shared" si="6"/>
        <v>-9.4535902289999996</v>
      </c>
      <c r="O60" s="61">
        <f t="shared" si="6"/>
        <v>-0.37342798199999994</v>
      </c>
      <c r="P60" s="61">
        <f t="shared" si="7"/>
        <v>-10.375061988799999</v>
      </c>
      <c r="Q60" s="62">
        <f t="shared" si="8"/>
        <v>-3.5539224744000002</v>
      </c>
    </row>
    <row r="61" spans="6:27" ht="19.5">
      <c r="I61" s="47">
        <f t="shared" si="2"/>
        <v>3</v>
      </c>
      <c r="J61" s="46"/>
      <c r="K61" s="63">
        <f t="shared" si="3"/>
        <v>100.4395871194</v>
      </c>
      <c r="L61" s="64">
        <f t="shared" si="4"/>
        <v>90.4827121191</v>
      </c>
      <c r="M61" s="64">
        <f t="shared" si="5"/>
        <v>134.54095860693792</v>
      </c>
      <c r="N61" s="64">
        <f t="shared" si="6"/>
        <v>-7.1767711523999997</v>
      </c>
      <c r="O61" s="64">
        <f t="shared" si="6"/>
        <v>1.0549242151999998</v>
      </c>
      <c r="P61" s="64">
        <f t="shared" si="7"/>
        <v>-9.1852018832999995</v>
      </c>
      <c r="Q61" s="65">
        <f t="shared" si="8"/>
        <v>-2.4530370234999999</v>
      </c>
    </row>
    <row r="62" spans="6:27" ht="19.5">
      <c r="I62" s="47">
        <f t="shared" si="2"/>
        <v>3</v>
      </c>
      <c r="J62" s="46"/>
      <c r="K62" s="66">
        <f t="shared" si="3"/>
        <v>98.416752141800004</v>
      </c>
      <c r="L62" s="67">
        <f t="shared" si="4"/>
        <v>90.613936628499999</v>
      </c>
      <c r="M62" s="67">
        <f t="shared" si="5"/>
        <v>139.28411904223788</v>
      </c>
      <c r="N62" s="67">
        <f t="shared" si="6"/>
        <v>-6.4674079906999999</v>
      </c>
      <c r="O62" s="67">
        <f t="shared" si="6"/>
        <v>-8.4413848199999642E-2</v>
      </c>
      <c r="P62" s="67">
        <f t="shared" si="7"/>
        <v>-8.8410201073000003</v>
      </c>
      <c r="Q62" s="68">
        <f t="shared" si="8"/>
        <v>2.5849967002999996</v>
      </c>
    </row>
    <row r="63" spans="6:27" ht="19.5">
      <c r="I63" s="47">
        <f t="shared" si="2"/>
        <v>4</v>
      </c>
      <c r="J63" s="46"/>
      <c r="K63" s="57">
        <f t="shared" si="3"/>
        <v>94.216165734900002</v>
      </c>
      <c r="L63" s="58">
        <f t="shared" si="4"/>
        <v>82.205741844299993</v>
      </c>
      <c r="M63" s="58">
        <f t="shared" si="5"/>
        <v>144.88661168623787</v>
      </c>
      <c r="N63" s="58">
        <f t="shared" si="6"/>
        <v>-1.7759311786</v>
      </c>
      <c r="O63" s="58">
        <f t="shared" si="6"/>
        <v>-4.2351261426000004</v>
      </c>
      <c r="P63" s="58">
        <f t="shared" si="7"/>
        <v>4.4858589171999999</v>
      </c>
      <c r="Q63" s="59">
        <f t="shared" si="8"/>
        <v>-3.9353893995</v>
      </c>
    </row>
    <row r="64" spans="6:27" ht="19.5">
      <c r="I64" s="47">
        <f t="shared" si="2"/>
        <v>4</v>
      </c>
      <c r="J64" s="46"/>
      <c r="K64" s="57">
        <f t="shared" si="3"/>
        <v>96.347179128199997</v>
      </c>
      <c r="L64" s="58">
        <f t="shared" si="4"/>
        <v>87.789731374400006</v>
      </c>
      <c r="M64" s="58">
        <f t="shared" si="5"/>
        <v>127.61146494773789</v>
      </c>
      <c r="N64" s="58">
        <f t="shared" si="6"/>
        <v>-2.7235661812999998</v>
      </c>
      <c r="O64" s="58">
        <f t="shared" si="6"/>
        <v>-1.6897958940000004</v>
      </c>
      <c r="P64" s="58">
        <f t="shared" si="7"/>
        <v>-0.82348251340000012</v>
      </c>
      <c r="Q64" s="59">
        <f t="shared" si="8"/>
        <v>-3.2899862527999999</v>
      </c>
    </row>
    <row r="65" spans="9:17" ht="20.25" thickBot="1">
      <c r="I65" s="47">
        <f t="shared" si="2"/>
        <v>4</v>
      </c>
      <c r="J65" s="46"/>
      <c r="K65" s="69">
        <f t="shared" si="3"/>
        <v>92.721663331800002</v>
      </c>
      <c r="L65" s="70">
        <f t="shared" si="4"/>
        <v>82.584378970100005</v>
      </c>
      <c r="M65" s="70">
        <f t="shared" si="5"/>
        <v>133.64629396033791</v>
      </c>
      <c r="N65" s="70">
        <f t="shared" si="6"/>
        <v>0.3272408249</v>
      </c>
      <c r="O65" s="70">
        <f t="shared" si="6"/>
        <v>-7.5586488644000003</v>
      </c>
      <c r="P65" s="70">
        <f t="shared" si="7"/>
        <v>-4.5837714672000001</v>
      </c>
      <c r="Q65" s="71">
        <f t="shared" si="8"/>
        <v>-10.330406189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189</v>
      </c>
      <c r="S1" t="s">
        <v>190</v>
      </c>
      <c r="T1" t="s">
        <v>191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</row>
    <row r="2" spans="1:36">
      <c r="A2" t="s">
        <v>526</v>
      </c>
      <c r="B2" t="s">
        <v>527</v>
      </c>
      <c r="C2" t="s">
        <v>208</v>
      </c>
      <c r="D2">
        <v>3</v>
      </c>
      <c r="E2" t="s">
        <v>209</v>
      </c>
      <c r="F2" t="s">
        <v>210</v>
      </c>
      <c r="G2" t="s">
        <v>211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2116.3110379762002</v>
      </c>
      <c r="R2">
        <v>1505.8253071858001</v>
      </c>
      <c r="S2">
        <v>3.8110379762000002</v>
      </c>
      <c r="T2">
        <v>6.6746928142000002</v>
      </c>
      <c r="U2">
        <v>7.6860610601000001</v>
      </c>
      <c r="V2">
        <v>735.28909999999996</v>
      </c>
      <c r="W2">
        <v>403.8442</v>
      </c>
      <c r="X2">
        <v>404.05470000000003</v>
      </c>
      <c r="Y2">
        <v>398.6343</v>
      </c>
      <c r="Z2">
        <v>401.8442</v>
      </c>
      <c r="AA2">
        <v>568.69172500000002</v>
      </c>
      <c r="AB2" t="s">
        <v>212</v>
      </c>
      <c r="AC2" t="s">
        <v>213</v>
      </c>
      <c r="AD2" t="s">
        <v>214</v>
      </c>
      <c r="AE2" t="s">
        <v>215</v>
      </c>
      <c r="AF2" t="s">
        <v>216</v>
      </c>
      <c r="AG2">
        <v>7</v>
      </c>
      <c r="AH2" t="s">
        <v>217</v>
      </c>
      <c r="AJ2">
        <v>1</v>
      </c>
    </row>
    <row r="3" spans="1:36">
      <c r="A3" t="s">
        <v>534</v>
      </c>
      <c r="B3" t="s">
        <v>535</v>
      </c>
      <c r="C3" t="s">
        <v>208</v>
      </c>
      <c r="D3">
        <v>3</v>
      </c>
      <c r="E3" t="s">
        <v>209</v>
      </c>
      <c r="F3" t="s">
        <v>210</v>
      </c>
      <c r="G3" t="s">
        <v>211</v>
      </c>
      <c r="H3" t="s">
        <v>528</v>
      </c>
      <c r="J3" t="s">
        <v>536</v>
      </c>
      <c r="K3" t="s">
        <v>537</v>
      </c>
      <c r="L3" t="s">
        <v>538</v>
      </c>
      <c r="M3" t="s">
        <v>539</v>
      </c>
      <c r="N3" t="s">
        <v>540</v>
      </c>
      <c r="O3">
        <v>0</v>
      </c>
      <c r="P3">
        <v>0</v>
      </c>
      <c r="Q3">
        <v>2118.671354046</v>
      </c>
      <c r="R3">
        <v>1509.4809156043</v>
      </c>
      <c r="S3">
        <v>6.1713540460000003</v>
      </c>
      <c r="T3">
        <v>3.0190843957000002</v>
      </c>
      <c r="U3">
        <v>6.8702606464000002</v>
      </c>
      <c r="V3">
        <v>726.49779999999998</v>
      </c>
      <c r="W3">
        <v>398.75439999999998</v>
      </c>
      <c r="X3">
        <v>400.4434</v>
      </c>
      <c r="Y3">
        <v>397.45740000000001</v>
      </c>
      <c r="Z3">
        <v>400.81400000000002</v>
      </c>
      <c r="AA3">
        <v>562.93254999999999</v>
      </c>
      <c r="AB3" t="s">
        <v>212</v>
      </c>
      <c r="AC3" t="s">
        <v>213</v>
      </c>
      <c r="AD3" t="s">
        <v>214</v>
      </c>
      <c r="AE3" t="s">
        <v>215</v>
      </c>
      <c r="AF3" t="s">
        <v>216</v>
      </c>
      <c r="AG3">
        <v>7</v>
      </c>
      <c r="AH3" t="s">
        <v>217</v>
      </c>
      <c r="AJ3">
        <v>1</v>
      </c>
    </row>
    <row r="4" spans="1:36">
      <c r="A4" t="s">
        <v>541</v>
      </c>
      <c r="B4" t="s">
        <v>542</v>
      </c>
      <c r="C4" t="s">
        <v>208</v>
      </c>
      <c r="D4">
        <v>3</v>
      </c>
      <c r="E4" t="s">
        <v>209</v>
      </c>
      <c r="F4" t="s">
        <v>210</v>
      </c>
      <c r="G4" t="s">
        <v>211</v>
      </c>
      <c r="H4" t="s">
        <v>528</v>
      </c>
      <c r="J4" t="s">
        <v>543</v>
      </c>
      <c r="K4" t="s">
        <v>544</v>
      </c>
      <c r="L4" t="s">
        <v>545</v>
      </c>
      <c r="M4" t="s">
        <v>546</v>
      </c>
      <c r="N4" t="s">
        <v>547</v>
      </c>
      <c r="O4">
        <v>0</v>
      </c>
      <c r="P4">
        <v>0</v>
      </c>
      <c r="Q4">
        <v>2119.7067277983001</v>
      </c>
      <c r="R4">
        <v>1506.9705779696001</v>
      </c>
      <c r="S4">
        <v>7.2067277983000002</v>
      </c>
      <c r="T4">
        <v>5.5294220304000001</v>
      </c>
      <c r="U4">
        <v>9.0835804367000001</v>
      </c>
      <c r="V4">
        <v>745.19010000000003</v>
      </c>
      <c r="W4">
        <v>405.69040000000001</v>
      </c>
      <c r="X4">
        <v>406.88339999999999</v>
      </c>
      <c r="Y4">
        <v>402.81909999999999</v>
      </c>
      <c r="Z4">
        <v>405.7371</v>
      </c>
      <c r="AA4">
        <v>575.23630000000003</v>
      </c>
      <c r="AB4" t="s">
        <v>212</v>
      </c>
      <c r="AC4" t="s">
        <v>213</v>
      </c>
      <c r="AD4" t="s">
        <v>214</v>
      </c>
      <c r="AE4" t="s">
        <v>215</v>
      </c>
      <c r="AF4" t="s">
        <v>216</v>
      </c>
      <c r="AG4">
        <v>7</v>
      </c>
      <c r="AH4" t="s">
        <v>217</v>
      </c>
      <c r="AJ4">
        <v>1</v>
      </c>
    </row>
    <row r="5" spans="1:36">
      <c r="A5" t="s">
        <v>548</v>
      </c>
      <c r="B5" t="s">
        <v>549</v>
      </c>
      <c r="C5" t="s">
        <v>208</v>
      </c>
      <c r="D5">
        <v>3</v>
      </c>
      <c r="E5" t="s">
        <v>209</v>
      </c>
      <c r="F5" t="s">
        <v>210</v>
      </c>
      <c r="G5" t="s">
        <v>211</v>
      </c>
      <c r="H5" t="s">
        <v>528</v>
      </c>
      <c r="J5" t="s">
        <v>550</v>
      </c>
      <c r="K5" t="s">
        <v>551</v>
      </c>
      <c r="L5" t="s">
        <v>552</v>
      </c>
      <c r="M5" t="s">
        <v>553</v>
      </c>
      <c r="N5" t="s">
        <v>554</v>
      </c>
      <c r="O5">
        <v>0</v>
      </c>
      <c r="P5">
        <v>0</v>
      </c>
      <c r="Q5">
        <v>2112.9288282999</v>
      </c>
      <c r="R5">
        <v>1507.1184997798</v>
      </c>
      <c r="S5">
        <v>0.42882829989999999</v>
      </c>
      <c r="T5">
        <v>5.3815002202000004</v>
      </c>
      <c r="U5">
        <v>5.3985589124000004</v>
      </c>
      <c r="V5">
        <v>749.54780000000005</v>
      </c>
      <c r="W5">
        <v>409.09219999999999</v>
      </c>
      <c r="X5">
        <v>406.64780000000002</v>
      </c>
      <c r="Y5">
        <v>406.49279999999999</v>
      </c>
      <c r="Z5">
        <v>408.60489999999999</v>
      </c>
      <c r="AA5">
        <v>578.62861250000003</v>
      </c>
      <c r="AB5" t="s">
        <v>212</v>
      </c>
      <c r="AC5" t="s">
        <v>213</v>
      </c>
      <c r="AD5" t="s">
        <v>214</v>
      </c>
      <c r="AE5" t="s">
        <v>215</v>
      </c>
      <c r="AF5" t="s">
        <v>216</v>
      </c>
      <c r="AG5">
        <v>7</v>
      </c>
      <c r="AH5" t="s">
        <v>217</v>
      </c>
      <c r="AJ5">
        <v>1</v>
      </c>
    </row>
    <row r="6" spans="1:36">
      <c r="A6" t="s">
        <v>555</v>
      </c>
      <c r="B6" t="s">
        <v>556</v>
      </c>
      <c r="C6" t="s">
        <v>208</v>
      </c>
      <c r="D6">
        <v>3</v>
      </c>
      <c r="E6" t="s">
        <v>209</v>
      </c>
      <c r="F6" t="s">
        <v>210</v>
      </c>
      <c r="G6" t="s">
        <v>211</v>
      </c>
      <c r="H6" t="s">
        <v>528</v>
      </c>
      <c r="J6" t="s">
        <v>557</v>
      </c>
      <c r="K6" t="s">
        <v>558</v>
      </c>
      <c r="L6" t="s">
        <v>559</v>
      </c>
      <c r="M6" t="s">
        <v>560</v>
      </c>
      <c r="N6" t="s">
        <v>561</v>
      </c>
      <c r="O6">
        <v>0</v>
      </c>
      <c r="P6">
        <v>0</v>
      </c>
      <c r="Q6">
        <v>2109.7237444387001</v>
      </c>
      <c r="R6">
        <v>1507.2008491877</v>
      </c>
      <c r="S6">
        <v>-2.7762555613000002</v>
      </c>
      <c r="T6">
        <v>5.2991508122999997</v>
      </c>
      <c r="U6">
        <v>5.9823569161999997</v>
      </c>
      <c r="V6">
        <v>735.10429999999997</v>
      </c>
      <c r="W6">
        <v>395.00439999999998</v>
      </c>
      <c r="X6">
        <v>393.20269999999999</v>
      </c>
      <c r="Y6">
        <v>392.49459999999999</v>
      </c>
      <c r="Z6">
        <v>392.59769999999997</v>
      </c>
      <c r="AA6">
        <v>564.21457499999997</v>
      </c>
      <c r="AB6" t="s">
        <v>212</v>
      </c>
      <c r="AC6" t="s">
        <v>213</v>
      </c>
      <c r="AD6" t="s">
        <v>214</v>
      </c>
      <c r="AE6" t="s">
        <v>215</v>
      </c>
      <c r="AF6" t="s">
        <v>216</v>
      </c>
      <c r="AG6">
        <v>7</v>
      </c>
      <c r="AH6" t="s">
        <v>217</v>
      </c>
      <c r="AJ6">
        <v>1</v>
      </c>
    </row>
    <row r="7" spans="1:36">
      <c r="A7" t="s">
        <v>562</v>
      </c>
      <c r="B7" t="s">
        <v>563</v>
      </c>
      <c r="C7" t="s">
        <v>208</v>
      </c>
      <c r="D7">
        <v>3</v>
      </c>
      <c r="E7" t="s">
        <v>209</v>
      </c>
      <c r="F7" t="s">
        <v>210</v>
      </c>
      <c r="G7" t="s">
        <v>211</v>
      </c>
      <c r="H7" t="s">
        <v>528</v>
      </c>
      <c r="J7" t="s">
        <v>564</v>
      </c>
      <c r="K7" t="s">
        <v>565</v>
      </c>
      <c r="L7" t="s">
        <v>566</v>
      </c>
      <c r="M7" t="s">
        <v>567</v>
      </c>
      <c r="N7" t="s">
        <v>568</v>
      </c>
      <c r="O7">
        <v>0</v>
      </c>
      <c r="P7">
        <v>0</v>
      </c>
      <c r="Q7">
        <v>2114.5010930316998</v>
      </c>
      <c r="R7">
        <v>1507.9189272077001</v>
      </c>
      <c r="S7">
        <v>2.0010930317</v>
      </c>
      <c r="T7">
        <v>4.5810727922999996</v>
      </c>
      <c r="U7">
        <v>4.9990600366000004</v>
      </c>
      <c r="V7">
        <v>743.39930000000004</v>
      </c>
      <c r="W7">
        <v>403.1071</v>
      </c>
      <c r="X7">
        <v>400.3349</v>
      </c>
      <c r="Y7">
        <v>398.87639999999999</v>
      </c>
      <c r="Z7">
        <v>400.23289999999997</v>
      </c>
      <c r="AA7">
        <v>572.01856250000003</v>
      </c>
      <c r="AB7" t="s">
        <v>212</v>
      </c>
      <c r="AC7" t="s">
        <v>213</v>
      </c>
      <c r="AD7" t="s">
        <v>214</v>
      </c>
      <c r="AE7" t="s">
        <v>215</v>
      </c>
      <c r="AF7" t="s">
        <v>216</v>
      </c>
      <c r="AG7">
        <v>7</v>
      </c>
      <c r="AH7" t="s">
        <v>217</v>
      </c>
      <c r="AJ7">
        <v>1</v>
      </c>
    </row>
    <row r="8" spans="1:36">
      <c r="A8" t="s">
        <v>569</v>
      </c>
      <c r="B8" t="s">
        <v>570</v>
      </c>
      <c r="C8" t="s">
        <v>208</v>
      </c>
      <c r="D8">
        <v>3</v>
      </c>
      <c r="E8" t="s">
        <v>209</v>
      </c>
      <c r="F8" t="s">
        <v>210</v>
      </c>
      <c r="G8" t="s">
        <v>211</v>
      </c>
      <c r="H8" t="s">
        <v>528</v>
      </c>
      <c r="J8" t="s">
        <v>571</v>
      </c>
      <c r="K8" t="s">
        <v>572</v>
      </c>
      <c r="L8" t="s">
        <v>573</v>
      </c>
      <c r="M8" t="s">
        <v>574</v>
      </c>
      <c r="N8" t="s">
        <v>575</v>
      </c>
      <c r="O8">
        <v>0</v>
      </c>
      <c r="P8">
        <v>0</v>
      </c>
      <c r="Q8">
        <v>2103.0464097710001</v>
      </c>
      <c r="R8">
        <v>1516.8734279820001</v>
      </c>
      <c r="S8">
        <v>-9.4535902289999996</v>
      </c>
      <c r="T8">
        <v>-4.3734279819999999</v>
      </c>
      <c r="U8">
        <v>10.416200868400001</v>
      </c>
      <c r="V8">
        <v>719.40830000000005</v>
      </c>
      <c r="W8">
        <v>391.15159999999997</v>
      </c>
      <c r="X8">
        <v>392.71789999999999</v>
      </c>
      <c r="Y8">
        <v>392.48849999999999</v>
      </c>
      <c r="Z8">
        <v>387.24489999999997</v>
      </c>
      <c r="AA8">
        <v>555.15451250000001</v>
      </c>
      <c r="AB8" t="s">
        <v>212</v>
      </c>
      <c r="AC8" t="s">
        <v>213</v>
      </c>
      <c r="AD8" t="s">
        <v>214</v>
      </c>
      <c r="AE8" t="s">
        <v>215</v>
      </c>
      <c r="AF8" t="s">
        <v>216</v>
      </c>
      <c r="AG8">
        <v>7</v>
      </c>
      <c r="AH8" t="s">
        <v>217</v>
      </c>
      <c r="AJ8">
        <v>1</v>
      </c>
    </row>
    <row r="9" spans="1:36">
      <c r="A9" t="s">
        <v>576</v>
      </c>
      <c r="B9" t="s">
        <v>577</v>
      </c>
      <c r="C9" t="s">
        <v>208</v>
      </c>
      <c r="D9">
        <v>3</v>
      </c>
      <c r="E9" t="s">
        <v>209</v>
      </c>
      <c r="F9" t="s">
        <v>210</v>
      </c>
      <c r="G9" t="s">
        <v>211</v>
      </c>
      <c r="H9" t="s">
        <v>528</v>
      </c>
      <c r="J9" t="s">
        <v>578</v>
      </c>
      <c r="K9" t="s">
        <v>579</v>
      </c>
      <c r="L9" t="s">
        <v>580</v>
      </c>
      <c r="M9" t="s">
        <v>581</v>
      </c>
      <c r="N9" t="s">
        <v>582</v>
      </c>
      <c r="O9">
        <v>0</v>
      </c>
      <c r="P9">
        <v>0</v>
      </c>
      <c r="Q9">
        <v>2105.3232288476001</v>
      </c>
      <c r="R9">
        <v>1515.4450757848001</v>
      </c>
      <c r="S9">
        <v>-7.1767711523999997</v>
      </c>
      <c r="T9">
        <v>-2.9450757848000002</v>
      </c>
      <c r="U9">
        <v>7.7575457170000002</v>
      </c>
      <c r="V9">
        <v>718.71169999999995</v>
      </c>
      <c r="W9">
        <v>388.27350000000001</v>
      </c>
      <c r="X9">
        <v>393.09539999999998</v>
      </c>
      <c r="Y9">
        <v>391.18130000000002</v>
      </c>
      <c r="Z9">
        <v>387.15640000000002</v>
      </c>
      <c r="AA9">
        <v>554.31917499999997</v>
      </c>
      <c r="AB9" t="s">
        <v>212</v>
      </c>
      <c r="AC9" t="s">
        <v>213</v>
      </c>
      <c r="AD9" t="s">
        <v>214</v>
      </c>
      <c r="AE9" t="s">
        <v>215</v>
      </c>
      <c r="AF9" t="s">
        <v>216</v>
      </c>
      <c r="AG9">
        <v>7</v>
      </c>
      <c r="AH9" t="s">
        <v>217</v>
      </c>
      <c r="AJ9">
        <v>1</v>
      </c>
    </row>
    <row r="10" spans="1:36">
      <c r="A10" t="s">
        <v>623</v>
      </c>
      <c r="B10" t="s">
        <v>624</v>
      </c>
      <c r="C10" t="s">
        <v>208</v>
      </c>
      <c r="D10">
        <v>3</v>
      </c>
      <c r="E10" t="s">
        <v>209</v>
      </c>
      <c r="F10" t="s">
        <v>210</v>
      </c>
      <c r="G10" t="s">
        <v>211</v>
      </c>
      <c r="H10" t="s">
        <v>528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2106.0325920093001</v>
      </c>
      <c r="R10">
        <v>1516.5844138482</v>
      </c>
      <c r="S10">
        <v>-6.4674079906999999</v>
      </c>
      <c r="T10">
        <v>-4.0844138481999996</v>
      </c>
      <c r="U10">
        <v>7.6491700596000003</v>
      </c>
      <c r="V10">
        <v>734.78150000000005</v>
      </c>
      <c r="W10">
        <v>394.1345</v>
      </c>
      <c r="X10">
        <v>400.93790000000001</v>
      </c>
      <c r="Y10">
        <v>397.27339999999998</v>
      </c>
      <c r="Z10">
        <v>393.47829999999999</v>
      </c>
      <c r="AA10">
        <v>565.6187625</v>
      </c>
      <c r="AB10" t="s">
        <v>212</v>
      </c>
      <c r="AC10" t="s">
        <v>213</v>
      </c>
      <c r="AD10" t="s">
        <v>214</v>
      </c>
      <c r="AE10" t="s">
        <v>215</v>
      </c>
      <c r="AF10" t="s">
        <v>216</v>
      </c>
      <c r="AG10">
        <v>7</v>
      </c>
      <c r="AH10" t="s">
        <v>217</v>
      </c>
      <c r="AJ10">
        <v>1</v>
      </c>
    </row>
    <row r="11" spans="1:36">
      <c r="A11" t="s">
        <v>635</v>
      </c>
      <c r="B11" t="s">
        <v>636</v>
      </c>
      <c r="C11" t="s">
        <v>208</v>
      </c>
      <c r="D11">
        <v>3</v>
      </c>
      <c r="E11" t="s">
        <v>209</v>
      </c>
      <c r="F11" t="s">
        <v>210</v>
      </c>
      <c r="G11" t="s">
        <v>211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2110.7240688214001</v>
      </c>
      <c r="R11">
        <v>1520.7351261425999</v>
      </c>
      <c r="S11">
        <v>-1.7759311786</v>
      </c>
      <c r="T11">
        <v>-8.2351261426000004</v>
      </c>
      <c r="U11">
        <v>8.4244426602000004</v>
      </c>
      <c r="V11">
        <v>721.5104</v>
      </c>
      <c r="W11">
        <v>387.04790000000003</v>
      </c>
      <c r="X11">
        <v>391.64699999999999</v>
      </c>
      <c r="Y11">
        <v>388.2996</v>
      </c>
      <c r="Z11">
        <v>389.85359999999997</v>
      </c>
      <c r="AA11">
        <v>555.36121249999997</v>
      </c>
      <c r="AB11" t="s">
        <v>212</v>
      </c>
      <c r="AC11" t="s">
        <v>213</v>
      </c>
      <c r="AD11" t="s">
        <v>214</v>
      </c>
      <c r="AE11" t="s">
        <v>215</v>
      </c>
      <c r="AF11" t="s">
        <v>216</v>
      </c>
      <c r="AG11">
        <v>7</v>
      </c>
      <c r="AH11" t="s">
        <v>217</v>
      </c>
      <c r="AJ11">
        <v>1</v>
      </c>
    </row>
    <row r="12" spans="1:36">
      <c r="A12" t="s">
        <v>647</v>
      </c>
      <c r="B12" t="s">
        <v>648</v>
      </c>
      <c r="C12" t="s">
        <v>208</v>
      </c>
      <c r="D12">
        <v>3</v>
      </c>
      <c r="E12" t="s">
        <v>209</v>
      </c>
      <c r="F12" t="s">
        <v>210</v>
      </c>
      <c r="G12" t="s">
        <v>211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2109.7764338186998</v>
      </c>
      <c r="R12">
        <v>1518.1897958940001</v>
      </c>
      <c r="S12">
        <v>-2.7235661812999998</v>
      </c>
      <c r="T12">
        <v>-5.6897958940000004</v>
      </c>
      <c r="U12">
        <v>6.3080575504</v>
      </c>
      <c r="V12">
        <v>734.92679999999996</v>
      </c>
      <c r="W12">
        <v>399.16989999999998</v>
      </c>
      <c r="X12">
        <v>405.4633</v>
      </c>
      <c r="Y12">
        <v>401.33679999999998</v>
      </c>
      <c r="Z12">
        <v>399.16269999999997</v>
      </c>
      <c r="AA12">
        <v>568.10498749999999</v>
      </c>
      <c r="AB12" t="s">
        <v>212</v>
      </c>
      <c r="AC12" t="s">
        <v>213</v>
      </c>
      <c r="AD12" t="s">
        <v>214</v>
      </c>
      <c r="AE12" t="s">
        <v>215</v>
      </c>
      <c r="AF12" t="s">
        <v>216</v>
      </c>
      <c r="AG12">
        <v>7</v>
      </c>
      <c r="AH12" t="s">
        <v>217</v>
      </c>
      <c r="AJ12">
        <v>1</v>
      </c>
    </row>
    <row r="13" spans="1:36">
      <c r="A13" t="s">
        <v>659</v>
      </c>
      <c r="B13" t="s">
        <v>660</v>
      </c>
      <c r="C13" t="s">
        <v>208</v>
      </c>
      <c r="D13">
        <v>3</v>
      </c>
      <c r="E13" t="s">
        <v>209</v>
      </c>
      <c r="F13" t="s">
        <v>210</v>
      </c>
      <c r="G13" t="s">
        <v>211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2112.8272408248999</v>
      </c>
      <c r="R13">
        <v>1524.0586488644001</v>
      </c>
      <c r="S13">
        <v>0.3272408249</v>
      </c>
      <c r="T13">
        <v>-11.5586488644</v>
      </c>
      <c r="U13">
        <v>11.5632802495</v>
      </c>
      <c r="V13">
        <v>734.84569999999997</v>
      </c>
      <c r="W13">
        <v>394.68959999999998</v>
      </c>
      <c r="X13">
        <v>403.44200000000001</v>
      </c>
      <c r="Y13">
        <v>397.98809999999997</v>
      </c>
      <c r="Z13">
        <v>397.01679999999999</v>
      </c>
      <c r="AA13">
        <v>566.56491249999999</v>
      </c>
      <c r="AB13" t="s">
        <v>212</v>
      </c>
      <c r="AC13" t="s">
        <v>213</v>
      </c>
      <c r="AD13" t="s">
        <v>214</v>
      </c>
      <c r="AE13" t="s">
        <v>215</v>
      </c>
      <c r="AF13" t="s">
        <v>216</v>
      </c>
      <c r="AG13">
        <v>7</v>
      </c>
      <c r="AH13" t="s">
        <v>217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218</v>
      </c>
      <c r="R1" t="s">
        <v>219</v>
      </c>
      <c r="S1" t="s">
        <v>220</v>
      </c>
      <c r="T1" t="s">
        <v>221</v>
      </c>
      <c r="U1" t="s">
        <v>222</v>
      </c>
      <c r="V1" t="s">
        <v>223</v>
      </c>
      <c r="W1" t="s">
        <v>224</v>
      </c>
      <c r="X1" t="s">
        <v>225</v>
      </c>
      <c r="Y1" t="s">
        <v>226</v>
      </c>
      <c r="Z1" t="s">
        <v>227</v>
      </c>
      <c r="AA1" t="s">
        <v>228</v>
      </c>
      <c r="AB1" t="s">
        <v>229</v>
      </c>
      <c r="AC1" t="s">
        <v>230</v>
      </c>
      <c r="AD1" t="s">
        <v>231</v>
      </c>
      <c r="AE1" t="s">
        <v>232</v>
      </c>
      <c r="AF1" t="s">
        <v>233</v>
      </c>
      <c r="AG1" t="s">
        <v>234</v>
      </c>
      <c r="AH1" t="s">
        <v>235</v>
      </c>
      <c r="AI1" t="s">
        <v>236</v>
      </c>
      <c r="AJ1" t="s">
        <v>237</v>
      </c>
      <c r="AK1" t="s">
        <v>238</v>
      </c>
      <c r="AL1" t="s">
        <v>239</v>
      </c>
      <c r="AM1" t="s">
        <v>240</v>
      </c>
      <c r="AN1" t="s">
        <v>241</v>
      </c>
      <c r="AO1" t="s">
        <v>242</v>
      </c>
      <c r="AP1" t="s">
        <v>243</v>
      </c>
      <c r="AQ1" t="s">
        <v>244</v>
      </c>
      <c r="AR1" t="s">
        <v>245</v>
      </c>
      <c r="AS1" t="s">
        <v>246</v>
      </c>
      <c r="AT1" t="s">
        <v>247</v>
      </c>
      <c r="AU1" t="s">
        <v>248</v>
      </c>
      <c r="AV1" t="s">
        <v>205</v>
      </c>
      <c r="AW1" t="s">
        <v>206</v>
      </c>
      <c r="AX1" t="s">
        <v>207</v>
      </c>
    </row>
    <row r="2" spans="1:50">
      <c r="A2" t="s">
        <v>583</v>
      </c>
      <c r="B2" t="s">
        <v>584</v>
      </c>
      <c r="C2" t="s">
        <v>208</v>
      </c>
      <c r="D2">
        <v>3</v>
      </c>
      <c r="E2" t="s">
        <v>209</v>
      </c>
      <c r="F2" t="s">
        <v>210</v>
      </c>
      <c r="G2" t="s">
        <v>249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-3.3378999999999998E-6</v>
      </c>
      <c r="R2">
        <v>-3.8818869591</v>
      </c>
      <c r="S2">
        <v>1.8857423067000001</v>
      </c>
      <c r="T2">
        <v>3.1830606460999999</v>
      </c>
      <c r="U2">
        <v>10.0875034332</v>
      </c>
      <c r="V2">
        <v>-1.1167565584000001</v>
      </c>
      <c r="W2">
        <v>0.29407882689999998</v>
      </c>
      <c r="X2">
        <v>1.2939083575999999</v>
      </c>
      <c r="Y2">
        <v>-0.76681113239999998</v>
      </c>
      <c r="Z2">
        <v>-9.9621057499999999E-2</v>
      </c>
      <c r="AA2">
        <v>1.6433029175</v>
      </c>
      <c r="AB2">
        <v>-3.0048182011</v>
      </c>
      <c r="AC2">
        <v>1.1194515227999999</v>
      </c>
      <c r="AD2">
        <v>0.80851852889999998</v>
      </c>
      <c r="AE2">
        <v>-3.2530963400000001E-2</v>
      </c>
      <c r="AF2">
        <v>0.35058063270000001</v>
      </c>
      <c r="AG2">
        <v>1.0456159115000001</v>
      </c>
      <c r="AH2">
        <v>-3.4412205199999997E-2</v>
      </c>
      <c r="AI2">
        <v>-1.1124730100000001E-2</v>
      </c>
      <c r="AJ2">
        <v>-0.41525354980000001</v>
      </c>
      <c r="AK2">
        <v>2.7646590000000003E-4</v>
      </c>
      <c r="AL2">
        <v>5.5483572199999998E-2</v>
      </c>
      <c r="AM2">
        <v>7.29393661E-2</v>
      </c>
      <c r="AN2">
        <v>4.3740045300000002E-2</v>
      </c>
      <c r="AO2">
        <v>0.23936130110000001</v>
      </c>
      <c r="AP2">
        <v>0.23936130110000001</v>
      </c>
      <c r="AQ2">
        <v>4.3156772829000003</v>
      </c>
      <c r="AR2" t="s">
        <v>250</v>
      </c>
      <c r="AS2" t="s">
        <v>251</v>
      </c>
      <c r="AT2">
        <v>3</v>
      </c>
      <c r="AU2">
        <v>2.9</v>
      </c>
      <c r="AX2">
        <v>1</v>
      </c>
    </row>
    <row r="3" spans="1:50">
      <c r="A3" t="s">
        <v>585</v>
      </c>
      <c r="B3" t="s">
        <v>586</v>
      </c>
      <c r="C3" t="s">
        <v>208</v>
      </c>
      <c r="D3">
        <v>3</v>
      </c>
      <c r="E3" t="s">
        <v>209</v>
      </c>
      <c r="F3" t="s">
        <v>210</v>
      </c>
      <c r="G3" t="s">
        <v>249</v>
      </c>
      <c r="H3" t="s">
        <v>528</v>
      </c>
      <c r="J3" t="s">
        <v>536</v>
      </c>
      <c r="K3" t="s">
        <v>537</v>
      </c>
      <c r="L3" t="s">
        <v>538</v>
      </c>
      <c r="M3" t="s">
        <v>539</v>
      </c>
      <c r="N3" t="s">
        <v>540</v>
      </c>
      <c r="O3">
        <v>0</v>
      </c>
      <c r="P3">
        <v>0</v>
      </c>
      <c r="Q3">
        <v>-1.09822E-5</v>
      </c>
      <c r="R3">
        <v>-1.1867547034999999</v>
      </c>
      <c r="S3">
        <v>11.575527191200001</v>
      </c>
      <c r="T3">
        <v>-0.2314786613</v>
      </c>
      <c r="U3">
        <v>5.2722110748000004</v>
      </c>
      <c r="V3">
        <v>0.22212910650000001</v>
      </c>
      <c r="W3">
        <v>-0.24912518259999999</v>
      </c>
      <c r="X3">
        <v>1.9997261763</v>
      </c>
      <c r="Y3">
        <v>0.28563997149999998</v>
      </c>
      <c r="Z3">
        <v>1.3031592369</v>
      </c>
      <c r="AA3">
        <v>2.3059763908000002</v>
      </c>
      <c r="AB3">
        <v>-2.2866659164000001</v>
      </c>
      <c r="AC3">
        <v>0.45869898799999997</v>
      </c>
      <c r="AD3">
        <v>0.21524769069999999</v>
      </c>
      <c r="AE3">
        <v>-1.1491239070999999</v>
      </c>
      <c r="AF3">
        <v>0.39798718690000001</v>
      </c>
      <c r="AG3">
        <v>-0.1476012468</v>
      </c>
      <c r="AH3">
        <v>0.98007893560000003</v>
      </c>
      <c r="AI3">
        <v>-4.03773189E-2</v>
      </c>
      <c r="AJ3">
        <v>-0.47815963630000002</v>
      </c>
      <c r="AK3">
        <v>2.1478139999999999E-4</v>
      </c>
      <c r="AL3">
        <v>4.8084825300000002E-2</v>
      </c>
      <c r="AM3">
        <v>2.6041611999999999E-2</v>
      </c>
      <c r="AN3">
        <v>0.15335896609999999</v>
      </c>
      <c r="AO3">
        <v>0.17601320149999999</v>
      </c>
      <c r="AP3">
        <v>0.17601320149999999</v>
      </c>
      <c r="AQ3">
        <v>11.636202837700001</v>
      </c>
      <c r="AR3" t="s">
        <v>250</v>
      </c>
      <c r="AS3" t="s">
        <v>251</v>
      </c>
      <c r="AT3">
        <v>3</v>
      </c>
      <c r="AU3">
        <v>2.9</v>
      </c>
      <c r="AX3">
        <v>1</v>
      </c>
    </row>
    <row r="4" spans="1:50">
      <c r="A4" t="s">
        <v>587</v>
      </c>
      <c r="B4" t="s">
        <v>588</v>
      </c>
      <c r="C4" t="s">
        <v>208</v>
      </c>
      <c r="D4">
        <v>3</v>
      </c>
      <c r="E4" t="s">
        <v>209</v>
      </c>
      <c r="F4" t="s">
        <v>210</v>
      </c>
      <c r="G4" t="s">
        <v>249</v>
      </c>
      <c r="H4" t="s">
        <v>528</v>
      </c>
      <c r="J4" t="s">
        <v>543</v>
      </c>
      <c r="K4" t="s">
        <v>544</v>
      </c>
      <c r="L4" t="s">
        <v>545</v>
      </c>
      <c r="M4" t="s">
        <v>546</v>
      </c>
      <c r="N4" t="s">
        <v>547</v>
      </c>
      <c r="O4">
        <v>0</v>
      </c>
      <c r="P4">
        <v>0</v>
      </c>
      <c r="Q4">
        <v>2.6225999999999999E-5</v>
      </c>
      <c r="R4">
        <v>4.4211506843999997</v>
      </c>
      <c r="S4">
        <v>5.8243846893000004</v>
      </c>
      <c r="T4">
        <v>-5.0142855643999997</v>
      </c>
      <c r="U4">
        <v>-1.2394070625</v>
      </c>
      <c r="V4">
        <v>-2.6200640202000001</v>
      </c>
      <c r="W4">
        <v>-1.155954361</v>
      </c>
      <c r="X4">
        <v>-1.2257696389999999</v>
      </c>
      <c r="Y4">
        <v>2.3953340054000001</v>
      </c>
      <c r="Z4">
        <v>0.54247719049999998</v>
      </c>
      <c r="AA4">
        <v>0.92379921669999998</v>
      </c>
      <c r="AB4">
        <v>-0.63856434819999996</v>
      </c>
      <c r="AC4">
        <v>1.2442098855999999</v>
      </c>
      <c r="AD4">
        <v>0.85973656180000002</v>
      </c>
      <c r="AE4">
        <v>0.1319184303</v>
      </c>
      <c r="AF4">
        <v>-0.45291346310000002</v>
      </c>
      <c r="AG4">
        <v>-0.72180044649999997</v>
      </c>
      <c r="AH4">
        <v>0.29392433169999999</v>
      </c>
      <c r="AI4">
        <v>-0.73923856020000001</v>
      </c>
      <c r="AJ4">
        <v>0.38743826749999999</v>
      </c>
      <c r="AK4">
        <v>1.906028E-4</v>
      </c>
      <c r="AL4">
        <v>4.5483395500000003E-2</v>
      </c>
      <c r="AM4">
        <v>8.0090492999999999E-2</v>
      </c>
      <c r="AN4">
        <v>0.1199971437</v>
      </c>
      <c r="AO4">
        <v>0.1199971437</v>
      </c>
      <c r="AP4">
        <v>0.1421490312</v>
      </c>
      <c r="AQ4">
        <v>7.3123204512999997</v>
      </c>
      <c r="AR4" t="s">
        <v>250</v>
      </c>
      <c r="AS4" t="s">
        <v>251</v>
      </c>
      <c r="AT4">
        <v>3</v>
      </c>
      <c r="AU4">
        <v>2.9</v>
      </c>
      <c r="AX4">
        <v>1</v>
      </c>
    </row>
    <row r="5" spans="1:50">
      <c r="A5" t="s">
        <v>589</v>
      </c>
      <c r="B5" t="s">
        <v>590</v>
      </c>
      <c r="C5" t="s">
        <v>208</v>
      </c>
      <c r="D5">
        <v>3</v>
      </c>
      <c r="E5" t="s">
        <v>209</v>
      </c>
      <c r="F5" t="s">
        <v>210</v>
      </c>
      <c r="G5" t="s">
        <v>249</v>
      </c>
      <c r="H5" t="s">
        <v>528</v>
      </c>
      <c r="J5" t="s">
        <v>550</v>
      </c>
      <c r="K5" t="s">
        <v>551</v>
      </c>
      <c r="L5" t="s">
        <v>552</v>
      </c>
      <c r="M5" t="s">
        <v>553</v>
      </c>
      <c r="N5" t="s">
        <v>554</v>
      </c>
      <c r="O5">
        <v>0</v>
      </c>
      <c r="P5">
        <v>0</v>
      </c>
      <c r="Q5">
        <v>1.6093E-6</v>
      </c>
      <c r="R5">
        <v>1.4736717938999999</v>
      </c>
      <c r="S5">
        <v>5.099624157</v>
      </c>
      <c r="T5">
        <v>-5.2287244797000003</v>
      </c>
      <c r="U5">
        <v>1.1448156834000001</v>
      </c>
      <c r="V5">
        <v>-1.8946938515</v>
      </c>
      <c r="W5">
        <v>-1.0522199869</v>
      </c>
      <c r="X5">
        <v>0.85317516329999998</v>
      </c>
      <c r="Y5">
        <v>1.8777301311000001</v>
      </c>
      <c r="Z5">
        <v>1.3074400424999999</v>
      </c>
      <c r="AA5">
        <v>0.9153110981</v>
      </c>
      <c r="AB5">
        <v>-1.1775184869999999</v>
      </c>
      <c r="AC5">
        <v>-6.2299609200000002E-2</v>
      </c>
      <c r="AD5">
        <v>0.29694527389999997</v>
      </c>
      <c r="AE5">
        <v>-0.36970531940000001</v>
      </c>
      <c r="AF5">
        <v>0.55585724120000002</v>
      </c>
      <c r="AG5">
        <v>0.31780475380000001</v>
      </c>
      <c r="AH5">
        <v>7.4415326099999998E-2</v>
      </c>
      <c r="AI5">
        <v>-7.2867691499999998E-2</v>
      </c>
      <c r="AJ5">
        <v>-0.21790808440000001</v>
      </c>
      <c r="AK5">
        <v>2.178072E-4</v>
      </c>
      <c r="AL5">
        <v>4.69926409E-2</v>
      </c>
      <c r="AM5">
        <v>4.5322254300000003E-2</v>
      </c>
      <c r="AN5">
        <v>7.9715602100000005E-2</v>
      </c>
      <c r="AO5">
        <v>7.9715602100000005E-2</v>
      </c>
      <c r="AP5">
        <v>0.1093954146</v>
      </c>
      <c r="AQ5">
        <v>5.3082836302</v>
      </c>
      <c r="AR5" t="s">
        <v>250</v>
      </c>
      <c r="AS5" t="s">
        <v>251</v>
      </c>
      <c r="AT5">
        <v>3</v>
      </c>
      <c r="AU5">
        <v>2.9</v>
      </c>
      <c r="AX5">
        <v>1</v>
      </c>
    </row>
    <row r="6" spans="1:50">
      <c r="A6" t="s">
        <v>591</v>
      </c>
      <c r="B6" t="s">
        <v>592</v>
      </c>
      <c r="C6" t="s">
        <v>208</v>
      </c>
      <c r="D6">
        <v>3</v>
      </c>
      <c r="E6" t="s">
        <v>209</v>
      </c>
      <c r="F6" t="s">
        <v>210</v>
      </c>
      <c r="G6" t="s">
        <v>249</v>
      </c>
      <c r="H6" t="s">
        <v>528</v>
      </c>
      <c r="J6" t="s">
        <v>557</v>
      </c>
      <c r="K6" t="s">
        <v>558</v>
      </c>
      <c r="L6" t="s">
        <v>559</v>
      </c>
      <c r="M6" t="s">
        <v>560</v>
      </c>
      <c r="N6" t="s">
        <v>561</v>
      </c>
      <c r="O6">
        <v>0</v>
      </c>
      <c r="P6">
        <v>0</v>
      </c>
      <c r="Q6">
        <v>-6.3180999999999997E-6</v>
      </c>
      <c r="R6">
        <v>5.9065971375000004</v>
      </c>
      <c r="S6">
        <v>-1.1052238941000001</v>
      </c>
      <c r="T6">
        <v>5.3652439117000004</v>
      </c>
      <c r="U6">
        <v>6.4802241325000001</v>
      </c>
      <c r="V6">
        <v>3.0395038128</v>
      </c>
      <c r="W6">
        <v>-2.6130242348000001</v>
      </c>
      <c r="X6">
        <v>2.6237266064</v>
      </c>
      <c r="Y6">
        <v>0.36364620920000001</v>
      </c>
      <c r="Z6">
        <v>-1.6550198792999999</v>
      </c>
      <c r="AA6">
        <v>1.3563245534999999</v>
      </c>
      <c r="AB6">
        <v>-2.3779282570000002</v>
      </c>
      <c r="AC6">
        <v>-1.5912227631</v>
      </c>
      <c r="AD6">
        <v>1.316037178</v>
      </c>
      <c r="AE6">
        <v>-0.65010309219999995</v>
      </c>
      <c r="AF6">
        <v>-0.88556438680000005</v>
      </c>
      <c r="AG6">
        <v>-0.61011850830000003</v>
      </c>
      <c r="AH6">
        <v>0.3941782117</v>
      </c>
      <c r="AI6">
        <v>0.62441968920000002</v>
      </c>
      <c r="AJ6">
        <v>0.2324916273</v>
      </c>
      <c r="AK6">
        <v>2.425389E-4</v>
      </c>
      <c r="AL6">
        <v>5.2247442300000002E-2</v>
      </c>
      <c r="AM6">
        <v>0.13494087760000001</v>
      </c>
      <c r="AN6">
        <v>7.8115351499999999E-2</v>
      </c>
      <c r="AO6">
        <v>0.19897753000000001</v>
      </c>
      <c r="AP6">
        <v>0.19897753000000001</v>
      </c>
      <c r="AQ6">
        <v>6.0091105497999999</v>
      </c>
      <c r="AR6" t="s">
        <v>250</v>
      </c>
      <c r="AS6" t="s">
        <v>251</v>
      </c>
      <c r="AT6">
        <v>3</v>
      </c>
      <c r="AU6">
        <v>2.9</v>
      </c>
      <c r="AX6">
        <v>1</v>
      </c>
    </row>
    <row r="7" spans="1:50">
      <c r="A7" t="s">
        <v>593</v>
      </c>
      <c r="B7" t="s">
        <v>594</v>
      </c>
      <c r="C7" t="s">
        <v>208</v>
      </c>
      <c r="D7">
        <v>3</v>
      </c>
      <c r="E7" t="s">
        <v>209</v>
      </c>
      <c r="F7" t="s">
        <v>210</v>
      </c>
      <c r="G7" t="s">
        <v>249</v>
      </c>
      <c r="H7" t="s">
        <v>528</v>
      </c>
      <c r="J7" t="s">
        <v>564</v>
      </c>
      <c r="K7" t="s">
        <v>565</v>
      </c>
      <c r="L7" t="s">
        <v>566</v>
      </c>
      <c r="M7" t="s">
        <v>567</v>
      </c>
      <c r="N7" t="s">
        <v>568</v>
      </c>
      <c r="O7">
        <v>0</v>
      </c>
      <c r="P7">
        <v>0</v>
      </c>
      <c r="Q7">
        <v>-6.0975599999999999E-5</v>
      </c>
      <c r="R7">
        <v>3.0101575851</v>
      </c>
      <c r="S7">
        <v>1.2010545731</v>
      </c>
      <c r="T7">
        <v>-1.5153678656</v>
      </c>
      <c r="U7">
        <v>4.3917818069000001</v>
      </c>
      <c r="V7">
        <v>3.2110996246000001</v>
      </c>
      <c r="W7">
        <v>-1.2357960938999999</v>
      </c>
      <c r="X7">
        <v>-0.1995538473</v>
      </c>
      <c r="Y7">
        <v>2.3444471358999999</v>
      </c>
      <c r="Z7">
        <v>-0.47848731280000001</v>
      </c>
      <c r="AA7">
        <v>0.25043144820000002</v>
      </c>
      <c r="AB7">
        <v>-1.5561437606999999</v>
      </c>
      <c r="AC7">
        <v>-0.43434041740000001</v>
      </c>
      <c r="AD7">
        <v>0.67669779060000002</v>
      </c>
      <c r="AE7">
        <v>0.29057469959999999</v>
      </c>
      <c r="AF7">
        <v>-0.86926031110000002</v>
      </c>
      <c r="AG7">
        <v>-0.4102879465</v>
      </c>
      <c r="AH7">
        <v>0.31658142810000001</v>
      </c>
      <c r="AI7">
        <v>0.33429163690000002</v>
      </c>
      <c r="AJ7">
        <v>0.61382848020000003</v>
      </c>
      <c r="AK7">
        <v>2.3651999999999999E-4</v>
      </c>
      <c r="AL7">
        <v>5.0362490099999997E-2</v>
      </c>
      <c r="AM7">
        <v>7.9698137899999993E-2</v>
      </c>
      <c r="AN7">
        <v>4.3967187400000003E-2</v>
      </c>
      <c r="AO7">
        <v>0.1145517081</v>
      </c>
      <c r="AP7">
        <v>0.12461034949999999</v>
      </c>
      <c r="AQ7">
        <v>3.2409228277</v>
      </c>
      <c r="AR7" t="s">
        <v>250</v>
      </c>
      <c r="AS7" t="s">
        <v>251</v>
      </c>
      <c r="AT7">
        <v>3</v>
      </c>
      <c r="AU7">
        <v>2.9</v>
      </c>
      <c r="AX7">
        <v>1</v>
      </c>
    </row>
    <row r="8" spans="1:50">
      <c r="A8" t="s">
        <v>595</v>
      </c>
      <c r="B8" t="s">
        <v>596</v>
      </c>
      <c r="C8" t="s">
        <v>208</v>
      </c>
      <c r="D8">
        <v>3</v>
      </c>
      <c r="E8" t="s">
        <v>209</v>
      </c>
      <c r="F8" t="s">
        <v>210</v>
      </c>
      <c r="G8" t="s">
        <v>249</v>
      </c>
      <c r="H8" t="s">
        <v>528</v>
      </c>
      <c r="J8" t="s">
        <v>571</v>
      </c>
      <c r="K8" t="s">
        <v>572</v>
      </c>
      <c r="L8" t="s">
        <v>573</v>
      </c>
      <c r="M8" t="s">
        <v>574</v>
      </c>
      <c r="N8" t="s">
        <v>575</v>
      </c>
      <c r="O8">
        <v>0</v>
      </c>
      <c r="P8">
        <v>0</v>
      </c>
      <c r="Q8">
        <v>2.1338499999999999E-5</v>
      </c>
      <c r="R8">
        <v>-4.3750619887999997</v>
      </c>
      <c r="S8">
        <v>-0.55392247439999998</v>
      </c>
      <c r="T8">
        <v>-0.52047812940000004</v>
      </c>
      <c r="U8">
        <v>3.0506210327000001</v>
      </c>
      <c r="V8">
        <v>-1.3757966757</v>
      </c>
      <c r="W8">
        <v>1.0474889277999999</v>
      </c>
      <c r="X8">
        <v>1.2961460352</v>
      </c>
      <c r="Y8">
        <v>5.2858561300000002E-2</v>
      </c>
      <c r="Z8">
        <v>0.33431863779999998</v>
      </c>
      <c r="AA8">
        <v>1.2197701931</v>
      </c>
      <c r="AB8">
        <v>-0.68509066100000005</v>
      </c>
      <c r="AC8">
        <v>0.19131471219999999</v>
      </c>
      <c r="AD8">
        <v>0.47935724260000001</v>
      </c>
      <c r="AE8">
        <v>-0.1324854493</v>
      </c>
      <c r="AF8">
        <v>-4.8042893400000002E-2</v>
      </c>
      <c r="AG8">
        <v>0.13084757329999999</v>
      </c>
      <c r="AH8">
        <v>-1.1681311131000001</v>
      </c>
      <c r="AI8">
        <v>-0.46299147610000002</v>
      </c>
      <c r="AJ8">
        <v>-0.9305744171</v>
      </c>
      <c r="AK8">
        <v>2.697938E-4</v>
      </c>
      <c r="AL8">
        <v>5.2143160299999998E-2</v>
      </c>
      <c r="AM8">
        <v>7.8535892100000004E-2</v>
      </c>
      <c r="AN8">
        <v>5.7390335899999999E-2</v>
      </c>
      <c r="AO8">
        <v>0.1184875369</v>
      </c>
      <c r="AP8">
        <v>0.1184875369</v>
      </c>
      <c r="AQ8">
        <v>4.4099883801999997</v>
      </c>
      <c r="AR8" t="s">
        <v>250</v>
      </c>
      <c r="AS8" t="s">
        <v>251</v>
      </c>
      <c r="AT8">
        <v>3</v>
      </c>
      <c r="AU8">
        <v>2.9</v>
      </c>
      <c r="AX8">
        <v>1</v>
      </c>
    </row>
    <row r="9" spans="1:50">
      <c r="A9" t="s">
        <v>620</v>
      </c>
      <c r="B9" t="s">
        <v>621</v>
      </c>
      <c r="C9" t="s">
        <v>208</v>
      </c>
      <c r="D9">
        <v>3</v>
      </c>
      <c r="E9" t="s">
        <v>209</v>
      </c>
      <c r="F9" t="s">
        <v>210</v>
      </c>
      <c r="G9" t="s">
        <v>249</v>
      </c>
      <c r="H9" t="s">
        <v>528</v>
      </c>
      <c r="J9" t="s">
        <v>578</v>
      </c>
      <c r="K9" t="s">
        <v>579</v>
      </c>
      <c r="L9" t="s">
        <v>580</v>
      </c>
      <c r="M9" t="s">
        <v>581</v>
      </c>
      <c r="N9" t="s">
        <v>582</v>
      </c>
      <c r="O9">
        <v>0</v>
      </c>
      <c r="P9">
        <v>0</v>
      </c>
      <c r="Q9">
        <v>-7.0333000000000001E-6</v>
      </c>
      <c r="R9">
        <v>-3.1852018833</v>
      </c>
      <c r="S9">
        <v>0.54696297650000003</v>
      </c>
      <c r="T9">
        <v>-1.8172776698999999</v>
      </c>
      <c r="U9">
        <v>1.7109184264999999</v>
      </c>
      <c r="V9">
        <v>-3.2820143700000002</v>
      </c>
      <c r="W9">
        <v>0.98538935179999998</v>
      </c>
      <c r="X9">
        <v>-8.8189959499999998E-2</v>
      </c>
      <c r="Y9">
        <v>1.0819245577000001</v>
      </c>
      <c r="Z9">
        <v>9.6113726499999996E-2</v>
      </c>
      <c r="AA9">
        <v>4.2708098899999998E-2</v>
      </c>
      <c r="AB9">
        <v>-1.1338770389999999</v>
      </c>
      <c r="AC9">
        <v>0.98437774180000004</v>
      </c>
      <c r="AD9">
        <v>-0.35587689280000001</v>
      </c>
      <c r="AE9">
        <v>0.51363289359999997</v>
      </c>
      <c r="AF9">
        <v>-0.25978362560000001</v>
      </c>
      <c r="AG9">
        <v>-0.25533056259999998</v>
      </c>
      <c r="AH9">
        <v>-3.5156086099999997E-2</v>
      </c>
      <c r="AI9">
        <v>0.19105291369999999</v>
      </c>
      <c r="AJ9">
        <v>0.79458850619999999</v>
      </c>
      <c r="AK9">
        <v>2.233735E-4</v>
      </c>
      <c r="AL9">
        <v>4.8271894500000002E-2</v>
      </c>
      <c r="AM9">
        <v>8.5886970199999996E-2</v>
      </c>
      <c r="AN9">
        <v>6.0961701E-2</v>
      </c>
      <c r="AO9">
        <v>8.5886970199999996E-2</v>
      </c>
      <c r="AP9">
        <v>8.5886970199999996E-2</v>
      </c>
      <c r="AQ9">
        <v>3.2318229430000001</v>
      </c>
      <c r="AR9" t="s">
        <v>250</v>
      </c>
      <c r="AS9" t="s">
        <v>251</v>
      </c>
      <c r="AT9">
        <v>3</v>
      </c>
      <c r="AU9">
        <v>2.9</v>
      </c>
      <c r="AX9">
        <v>1</v>
      </c>
    </row>
    <row r="10" spans="1:50">
      <c r="A10" t="s">
        <v>632</v>
      </c>
      <c r="B10" t="s">
        <v>633</v>
      </c>
      <c r="C10" t="s">
        <v>208</v>
      </c>
      <c r="D10">
        <v>3</v>
      </c>
      <c r="E10" t="s">
        <v>209</v>
      </c>
      <c r="F10" t="s">
        <v>210</v>
      </c>
      <c r="G10" t="s">
        <v>249</v>
      </c>
      <c r="H10" t="s">
        <v>528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3.5760000000000003E-7</v>
      </c>
      <c r="R10">
        <v>-2.8410201072999999</v>
      </c>
      <c r="S10">
        <v>5.5849967002999996</v>
      </c>
      <c r="T10">
        <v>-0.92204880710000003</v>
      </c>
      <c r="U10">
        <v>2.1858434676999998</v>
      </c>
      <c r="V10">
        <v>0.85262000559999995</v>
      </c>
      <c r="W10">
        <v>0.75242918729999997</v>
      </c>
      <c r="X10">
        <v>-0.14481163020000001</v>
      </c>
      <c r="Y10">
        <v>-0.12680329379999999</v>
      </c>
      <c r="Z10">
        <v>0.69918698069999996</v>
      </c>
      <c r="AA10">
        <v>0.14921799299999999</v>
      </c>
      <c r="AB10">
        <v>-1.3585227728</v>
      </c>
      <c r="AC10">
        <v>7.6304554900000002E-2</v>
      </c>
      <c r="AD10">
        <v>-0.5579826832</v>
      </c>
      <c r="AE10">
        <v>0.31804108619999999</v>
      </c>
      <c r="AF10">
        <v>0.9344391823</v>
      </c>
      <c r="AG10">
        <v>-0.2274263799</v>
      </c>
      <c r="AH10">
        <v>0.4639018774</v>
      </c>
      <c r="AI10">
        <v>-0.33972197770000001</v>
      </c>
      <c r="AJ10">
        <v>-0.20129767060000001</v>
      </c>
      <c r="AK10">
        <v>2.099235E-4</v>
      </c>
      <c r="AL10">
        <v>4.5363977600000001E-2</v>
      </c>
      <c r="AM10">
        <v>4.4853422800000001E-2</v>
      </c>
      <c r="AN10">
        <v>9.0307705099999996E-2</v>
      </c>
      <c r="AO10">
        <v>0.1146591753</v>
      </c>
      <c r="AP10">
        <v>0.1146591753</v>
      </c>
      <c r="AQ10">
        <v>6.2660660220000004</v>
      </c>
      <c r="AR10" t="s">
        <v>250</v>
      </c>
      <c r="AS10" t="s">
        <v>251</v>
      </c>
      <c r="AT10">
        <v>3</v>
      </c>
      <c r="AU10">
        <v>2.9</v>
      </c>
      <c r="AX10">
        <v>1</v>
      </c>
    </row>
    <row r="11" spans="1:50">
      <c r="A11" t="s">
        <v>642</v>
      </c>
      <c r="B11" t="s">
        <v>643</v>
      </c>
      <c r="C11" t="s">
        <v>208</v>
      </c>
      <c r="D11">
        <v>3</v>
      </c>
      <c r="E11" t="s">
        <v>209</v>
      </c>
      <c r="F11" t="s">
        <v>210</v>
      </c>
      <c r="G11" t="s">
        <v>249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2.2172899999999999E-5</v>
      </c>
      <c r="R11">
        <v>10.4858589172</v>
      </c>
      <c r="S11">
        <v>-0.9353893995</v>
      </c>
      <c r="T11">
        <v>4.1056594849000003</v>
      </c>
      <c r="U11">
        <v>0.87831258769999998</v>
      </c>
      <c r="V11">
        <v>4.3200078011</v>
      </c>
      <c r="W11">
        <v>-8.1845417023000007</v>
      </c>
      <c r="X11">
        <v>1.7896523475999999</v>
      </c>
      <c r="Y11">
        <v>0.3860661983</v>
      </c>
      <c r="Z11">
        <v>-2.8753645419999998</v>
      </c>
      <c r="AA11">
        <v>-1.2449917793</v>
      </c>
      <c r="AB11">
        <v>-1.5207781791999999</v>
      </c>
      <c r="AC11">
        <v>-0.80685293670000002</v>
      </c>
      <c r="AD11">
        <v>3.4482181072000002</v>
      </c>
      <c r="AE11">
        <v>-1.4427359103999999</v>
      </c>
      <c r="AF11">
        <v>-0.71725112199999996</v>
      </c>
      <c r="AG11">
        <v>-1.2471834421000001</v>
      </c>
      <c r="AH11">
        <v>1.0311489105</v>
      </c>
      <c r="AI11">
        <v>1.9411890507</v>
      </c>
      <c r="AJ11">
        <v>-7.7003881299999993E-2</v>
      </c>
      <c r="AK11">
        <v>4.05311E-4</v>
      </c>
      <c r="AL11">
        <v>6.6585704699999998E-2</v>
      </c>
      <c r="AM11">
        <v>0.25273033979999998</v>
      </c>
      <c r="AN11">
        <v>6.7212402800000001E-2</v>
      </c>
      <c r="AO11">
        <v>0.25273033979999998</v>
      </c>
      <c r="AP11">
        <v>0.25273033979999998</v>
      </c>
      <c r="AQ11">
        <v>10.527496880099999</v>
      </c>
      <c r="AR11" t="s">
        <v>250</v>
      </c>
      <c r="AS11" t="s">
        <v>251</v>
      </c>
      <c r="AT11">
        <v>3</v>
      </c>
      <c r="AU11">
        <v>2.9</v>
      </c>
      <c r="AX11">
        <v>1</v>
      </c>
    </row>
    <row r="12" spans="1:50">
      <c r="A12" t="s">
        <v>656</v>
      </c>
      <c r="B12" t="s">
        <v>657</v>
      </c>
      <c r="C12" t="s">
        <v>208</v>
      </c>
      <c r="D12">
        <v>3</v>
      </c>
      <c r="E12" t="s">
        <v>209</v>
      </c>
      <c r="F12" t="s">
        <v>210</v>
      </c>
      <c r="G12" t="s">
        <v>249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-5.7219999999999996E-6</v>
      </c>
      <c r="R12">
        <v>5.1765174865999999</v>
      </c>
      <c r="S12">
        <v>-0.28998625280000001</v>
      </c>
      <c r="T12">
        <v>4.0268897999999997E-2</v>
      </c>
      <c r="U12">
        <v>3.3039124011999998</v>
      </c>
      <c r="V12">
        <v>3.9158680439000002</v>
      </c>
      <c r="W12">
        <v>-0.45937505360000003</v>
      </c>
      <c r="X12">
        <v>1.4588129519999999</v>
      </c>
      <c r="Y12">
        <v>-0.2143616974</v>
      </c>
      <c r="Z12">
        <v>0.30459398030000001</v>
      </c>
      <c r="AA12">
        <v>8.9761853200000005E-2</v>
      </c>
      <c r="AB12">
        <v>-1.4964932203000001</v>
      </c>
      <c r="AC12">
        <v>-0.46896111969999998</v>
      </c>
      <c r="AD12">
        <v>-0.55011415480000003</v>
      </c>
      <c r="AE12">
        <v>-0.66173648829999998</v>
      </c>
      <c r="AF12">
        <v>0.45125454659999997</v>
      </c>
      <c r="AG12">
        <v>4.8167198899999999E-2</v>
      </c>
      <c r="AH12">
        <v>0.27822333570000002</v>
      </c>
      <c r="AI12">
        <v>0.1261624992</v>
      </c>
      <c r="AJ12">
        <v>-6.8836502699999996E-2</v>
      </c>
      <c r="AK12">
        <v>1.7940640000000001E-4</v>
      </c>
      <c r="AL12">
        <v>4.4133383800000002E-2</v>
      </c>
      <c r="AM12">
        <v>0.1096753478</v>
      </c>
      <c r="AN12">
        <v>5.6141182800000002E-2</v>
      </c>
      <c r="AO12">
        <v>0.12483887370000001</v>
      </c>
      <c r="AP12">
        <v>0.12483887370000001</v>
      </c>
      <c r="AQ12">
        <v>5.1846335758000004</v>
      </c>
      <c r="AR12" t="s">
        <v>250</v>
      </c>
      <c r="AS12" t="s">
        <v>251</v>
      </c>
      <c r="AT12">
        <v>3</v>
      </c>
      <c r="AU12">
        <v>2.9</v>
      </c>
      <c r="AX12">
        <v>1</v>
      </c>
    </row>
    <row r="13" spans="1:50">
      <c r="A13" t="s">
        <v>666</v>
      </c>
      <c r="B13" t="s">
        <v>667</v>
      </c>
      <c r="C13" t="s">
        <v>208</v>
      </c>
      <c r="D13">
        <v>3</v>
      </c>
      <c r="E13" t="s">
        <v>209</v>
      </c>
      <c r="F13" t="s">
        <v>210</v>
      </c>
      <c r="G13" t="s">
        <v>249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-2.2649999999999999E-6</v>
      </c>
      <c r="R13">
        <v>1.4162285327999999</v>
      </c>
      <c r="S13">
        <v>-7.3304061889999996</v>
      </c>
      <c r="T13">
        <v>-4.5800428390999999</v>
      </c>
      <c r="U13">
        <v>1.1539118290000001</v>
      </c>
      <c r="V13">
        <v>0.66457140449999996</v>
      </c>
      <c r="W13">
        <v>-0.64689171310000004</v>
      </c>
      <c r="X13">
        <v>1.7008177041999999</v>
      </c>
      <c r="Y13">
        <v>1.742857933</v>
      </c>
      <c r="Z13">
        <v>-1.1913583279</v>
      </c>
      <c r="AA13">
        <v>-0.26976513860000001</v>
      </c>
      <c r="AB13">
        <v>-1.4150127172</v>
      </c>
      <c r="AC13">
        <v>-7.57389069E-2</v>
      </c>
      <c r="AD13">
        <v>-0.31037801500000001</v>
      </c>
      <c r="AE13">
        <v>-3.1770736000000001E-2</v>
      </c>
      <c r="AF13">
        <v>0.2279442549</v>
      </c>
      <c r="AG13">
        <v>0.29132387040000002</v>
      </c>
      <c r="AH13">
        <v>-0.80838519330000003</v>
      </c>
      <c r="AI13">
        <v>-0.20273685459999999</v>
      </c>
      <c r="AJ13">
        <v>-0.49793264269999998</v>
      </c>
      <c r="AK13">
        <v>2.388278E-4</v>
      </c>
      <c r="AL13">
        <v>5.1569670400000003E-2</v>
      </c>
      <c r="AM13">
        <v>4.72436361E-2</v>
      </c>
      <c r="AN13">
        <v>0.14551121</v>
      </c>
      <c r="AO13">
        <v>0.14551121</v>
      </c>
      <c r="AP13">
        <v>0.14551121</v>
      </c>
      <c r="AQ13">
        <v>7.4659599619000003</v>
      </c>
      <c r="AR13" t="s">
        <v>250</v>
      </c>
      <c r="AS13" t="s">
        <v>251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252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205</v>
      </c>
      <c r="AE1" t="s">
        <v>206</v>
      </c>
      <c r="AF1" t="s">
        <v>207</v>
      </c>
    </row>
    <row r="2" spans="1:32">
      <c r="A2" t="s">
        <v>583</v>
      </c>
      <c r="B2" t="s">
        <v>597</v>
      </c>
      <c r="C2" t="s">
        <v>208</v>
      </c>
      <c r="D2">
        <v>3</v>
      </c>
      <c r="E2" t="s">
        <v>209</v>
      </c>
      <c r="F2" t="s">
        <v>210</v>
      </c>
      <c r="G2" t="s">
        <v>249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-8.2111436950000005</v>
      </c>
      <c r="R2">
        <v>-56</v>
      </c>
      <c r="S2">
        <v>90.248423490700006</v>
      </c>
      <c r="T2">
        <v>118.1387512112</v>
      </c>
      <c r="U2">
        <v>3.4279140439</v>
      </c>
      <c r="V2">
        <v>3.2605331E-3</v>
      </c>
      <c r="W2">
        <v>-6.6711099999999999E-5</v>
      </c>
      <c r="X2">
        <v>3.273222697</v>
      </c>
      <c r="Y2">
        <v>89.237545795900004</v>
      </c>
      <c r="Z2">
        <v>70.760950986799998</v>
      </c>
      <c r="AA2">
        <v>324.1354194475</v>
      </c>
      <c r="AB2">
        <v>345.47301293769999</v>
      </c>
      <c r="AC2">
        <v>1</v>
      </c>
      <c r="AF2">
        <v>1</v>
      </c>
    </row>
    <row r="3" spans="1:32">
      <c r="A3" t="s">
        <v>585</v>
      </c>
      <c r="B3" t="s">
        <v>598</v>
      </c>
      <c r="C3" t="s">
        <v>208</v>
      </c>
      <c r="D3">
        <v>3</v>
      </c>
      <c r="E3" t="s">
        <v>209</v>
      </c>
      <c r="F3" t="s">
        <v>210</v>
      </c>
      <c r="G3" t="s">
        <v>249</v>
      </c>
      <c r="H3" t="s">
        <v>528</v>
      </c>
      <c r="J3" t="s">
        <v>536</v>
      </c>
      <c r="K3" t="s">
        <v>537</v>
      </c>
      <c r="L3" t="s">
        <v>538</v>
      </c>
      <c r="M3" t="s">
        <v>539</v>
      </c>
      <c r="N3" t="s">
        <v>540</v>
      </c>
      <c r="O3">
        <v>0</v>
      </c>
      <c r="P3">
        <v>0</v>
      </c>
      <c r="Q3">
        <v>-8.2111436950000005</v>
      </c>
      <c r="R3">
        <v>-56</v>
      </c>
      <c r="S3">
        <v>95.955580898099996</v>
      </c>
      <c r="T3">
        <v>124.2392200379</v>
      </c>
      <c r="U3">
        <v>3.4724748828999998</v>
      </c>
      <c r="V3">
        <v>2.8072929000000002E-3</v>
      </c>
      <c r="W3">
        <v>-7.2387900000000005E-5</v>
      </c>
      <c r="X3">
        <v>3.2906901625999998</v>
      </c>
      <c r="Y3">
        <v>94.350269872300004</v>
      </c>
      <c r="Z3">
        <v>79.284078539800007</v>
      </c>
      <c r="AA3">
        <v>309.6947222682</v>
      </c>
      <c r="AB3">
        <v>331.73909684709997</v>
      </c>
      <c r="AC3">
        <v>1</v>
      </c>
      <c r="AF3">
        <v>1</v>
      </c>
    </row>
    <row r="4" spans="1:32">
      <c r="A4" t="s">
        <v>587</v>
      </c>
      <c r="B4" t="s">
        <v>599</v>
      </c>
      <c r="C4" t="s">
        <v>208</v>
      </c>
      <c r="D4">
        <v>3</v>
      </c>
      <c r="E4" t="s">
        <v>209</v>
      </c>
      <c r="F4" t="s">
        <v>210</v>
      </c>
      <c r="G4" t="s">
        <v>249</v>
      </c>
      <c r="H4" t="s">
        <v>528</v>
      </c>
      <c r="J4" t="s">
        <v>543</v>
      </c>
      <c r="K4" t="s">
        <v>544</v>
      </c>
      <c r="L4" t="s">
        <v>545</v>
      </c>
      <c r="M4" t="s">
        <v>546</v>
      </c>
      <c r="N4" t="s">
        <v>547</v>
      </c>
      <c r="O4">
        <v>0</v>
      </c>
      <c r="P4">
        <v>0</v>
      </c>
      <c r="Q4">
        <v>-7.0381231672000002</v>
      </c>
      <c r="R4">
        <v>-48</v>
      </c>
      <c r="S4">
        <v>103.21626746050001</v>
      </c>
      <c r="T4">
        <v>127.6459123362</v>
      </c>
      <c r="U4">
        <v>3.4963448343999999</v>
      </c>
      <c r="V4">
        <v>3.0804773E-3</v>
      </c>
      <c r="W4">
        <v>-7.3052699999999999E-5</v>
      </c>
      <c r="X4">
        <v>3.3256039853999999</v>
      </c>
      <c r="Y4">
        <v>97.144038550199994</v>
      </c>
      <c r="Z4">
        <v>76.147660391499997</v>
      </c>
      <c r="AA4">
        <v>309.95059981219998</v>
      </c>
      <c r="AB4">
        <v>331.7999925245</v>
      </c>
      <c r="AC4">
        <v>1</v>
      </c>
      <c r="AF4">
        <v>1</v>
      </c>
    </row>
    <row r="5" spans="1:32">
      <c r="A5" t="s">
        <v>589</v>
      </c>
      <c r="B5" t="s">
        <v>600</v>
      </c>
      <c r="C5" t="s">
        <v>208</v>
      </c>
      <c r="D5">
        <v>3</v>
      </c>
      <c r="E5" t="s">
        <v>209</v>
      </c>
      <c r="F5" t="s">
        <v>210</v>
      </c>
      <c r="G5" t="s">
        <v>249</v>
      </c>
      <c r="H5" t="s">
        <v>528</v>
      </c>
      <c r="J5" t="s">
        <v>550</v>
      </c>
      <c r="K5" t="s">
        <v>551</v>
      </c>
      <c r="L5" t="s">
        <v>552</v>
      </c>
      <c r="M5" t="s">
        <v>553</v>
      </c>
      <c r="N5" t="s">
        <v>554</v>
      </c>
      <c r="O5">
        <v>0</v>
      </c>
      <c r="P5">
        <v>0</v>
      </c>
      <c r="Q5">
        <v>-4.6920821114000004</v>
      </c>
      <c r="R5">
        <v>-32</v>
      </c>
      <c r="S5">
        <v>96.730746459200006</v>
      </c>
      <c r="T5">
        <v>113.1394597816</v>
      </c>
      <c r="U5">
        <v>3.5149315135000001</v>
      </c>
      <c r="V5">
        <v>3.4615242000000002E-3</v>
      </c>
      <c r="W5">
        <v>-7.1891199999999994E-5</v>
      </c>
      <c r="X5">
        <v>3.3575052341</v>
      </c>
      <c r="Y5">
        <v>96.729642340799998</v>
      </c>
      <c r="Z5">
        <v>77.135284385700004</v>
      </c>
      <c r="AA5">
        <v>312.95144411259997</v>
      </c>
      <c r="AB5">
        <v>335.17914644180001</v>
      </c>
      <c r="AC5">
        <v>1</v>
      </c>
      <c r="AF5">
        <v>1</v>
      </c>
    </row>
    <row r="6" spans="1:32">
      <c r="A6" t="s">
        <v>591</v>
      </c>
      <c r="B6" t="s">
        <v>601</v>
      </c>
      <c r="C6" t="s">
        <v>208</v>
      </c>
      <c r="D6">
        <v>3</v>
      </c>
      <c r="E6" t="s">
        <v>209</v>
      </c>
      <c r="F6" t="s">
        <v>210</v>
      </c>
      <c r="G6" t="s">
        <v>249</v>
      </c>
      <c r="H6" t="s">
        <v>528</v>
      </c>
      <c r="J6" t="s">
        <v>557</v>
      </c>
      <c r="K6" t="s">
        <v>558</v>
      </c>
      <c r="L6" t="s">
        <v>559</v>
      </c>
      <c r="M6" t="s">
        <v>560</v>
      </c>
      <c r="N6" t="s">
        <v>561</v>
      </c>
      <c r="O6">
        <v>0</v>
      </c>
      <c r="P6">
        <v>0</v>
      </c>
      <c r="Q6">
        <v>-3.5190615836000001</v>
      </c>
      <c r="R6">
        <v>-24</v>
      </c>
      <c r="S6">
        <v>99.679910452300007</v>
      </c>
      <c r="T6">
        <v>111.9178251637</v>
      </c>
      <c r="U6">
        <v>3.4919896797000001</v>
      </c>
      <c r="V6">
        <v>3.8297652999999998E-3</v>
      </c>
      <c r="W6">
        <v>-7.3084999999999996E-5</v>
      </c>
      <c r="X6">
        <v>3.3230227203</v>
      </c>
      <c r="Y6">
        <v>98.577674770000002</v>
      </c>
      <c r="Z6">
        <v>80.164139526699998</v>
      </c>
      <c r="AA6">
        <v>319.4926886673</v>
      </c>
      <c r="AB6">
        <v>341.23769967909999</v>
      </c>
      <c r="AC6">
        <v>1</v>
      </c>
      <c r="AF6">
        <v>1</v>
      </c>
    </row>
    <row r="7" spans="1:32">
      <c r="A7" t="s">
        <v>593</v>
      </c>
      <c r="B7" t="s">
        <v>602</v>
      </c>
      <c r="C7" t="s">
        <v>208</v>
      </c>
      <c r="D7">
        <v>3</v>
      </c>
      <c r="E7" t="s">
        <v>209</v>
      </c>
      <c r="F7" t="s">
        <v>210</v>
      </c>
      <c r="G7" t="s">
        <v>249</v>
      </c>
      <c r="H7" t="s">
        <v>528</v>
      </c>
      <c r="J7" t="s">
        <v>564</v>
      </c>
      <c r="K7" t="s">
        <v>565</v>
      </c>
      <c r="L7" t="s">
        <v>566</v>
      </c>
      <c r="M7" t="s">
        <v>567</v>
      </c>
      <c r="N7" t="s">
        <v>568</v>
      </c>
      <c r="O7">
        <v>0</v>
      </c>
      <c r="P7">
        <v>0</v>
      </c>
      <c r="Q7">
        <v>-2.3460410557000002</v>
      </c>
      <c r="R7">
        <v>-16</v>
      </c>
      <c r="S7">
        <v>95.533611600599997</v>
      </c>
      <c r="T7">
        <v>103.36398210190001</v>
      </c>
      <c r="U7">
        <v>3.3456534931999999</v>
      </c>
      <c r="V7">
        <v>3.2414129999999998E-3</v>
      </c>
      <c r="W7">
        <v>-6.4241500000000005E-5</v>
      </c>
      <c r="X7">
        <v>3.2018178371000001</v>
      </c>
      <c r="Y7">
        <v>95.533207832100004</v>
      </c>
      <c r="Z7">
        <v>81.159127525599999</v>
      </c>
      <c r="AA7">
        <v>297.95508288129997</v>
      </c>
      <c r="AB7">
        <v>319.73704788930002</v>
      </c>
      <c r="AC7">
        <v>1</v>
      </c>
      <c r="AF7">
        <v>1</v>
      </c>
    </row>
    <row r="8" spans="1:32">
      <c r="A8" t="s">
        <v>595</v>
      </c>
      <c r="B8" t="s">
        <v>603</v>
      </c>
      <c r="C8" t="s">
        <v>208</v>
      </c>
      <c r="D8">
        <v>3</v>
      </c>
      <c r="E8" t="s">
        <v>209</v>
      </c>
      <c r="F8" t="s">
        <v>210</v>
      </c>
      <c r="G8" t="s">
        <v>249</v>
      </c>
      <c r="H8" t="s">
        <v>528</v>
      </c>
      <c r="J8" t="s">
        <v>571</v>
      </c>
      <c r="K8" t="s">
        <v>572</v>
      </c>
      <c r="L8" t="s">
        <v>573</v>
      </c>
      <c r="M8" t="s">
        <v>574</v>
      </c>
      <c r="N8" t="s">
        <v>575</v>
      </c>
      <c r="O8">
        <v>0</v>
      </c>
      <c r="P8">
        <v>0</v>
      </c>
      <c r="Q8">
        <v>-8.2111436950000005</v>
      </c>
      <c r="R8">
        <v>-56</v>
      </c>
      <c r="S8">
        <v>89.827132484299995</v>
      </c>
      <c r="T8">
        <v>117.75357913720001</v>
      </c>
      <c r="U8">
        <v>3.4318107682000001</v>
      </c>
      <c r="V8">
        <v>3.1722216E-3</v>
      </c>
      <c r="W8">
        <v>-7.0019999999999997E-5</v>
      </c>
      <c r="X8">
        <v>3.2810396626</v>
      </c>
      <c r="Y8">
        <v>89.826729664499993</v>
      </c>
      <c r="Z8">
        <v>71.172147590999998</v>
      </c>
      <c r="AA8">
        <v>310.61538737749999</v>
      </c>
      <c r="AB8">
        <v>332.83909779430002</v>
      </c>
      <c r="AC8">
        <v>1</v>
      </c>
      <c r="AF8">
        <v>1</v>
      </c>
    </row>
    <row r="9" spans="1:32">
      <c r="A9" t="s">
        <v>620</v>
      </c>
      <c r="B9" t="s">
        <v>622</v>
      </c>
      <c r="C9" t="s">
        <v>208</v>
      </c>
      <c r="D9">
        <v>3</v>
      </c>
      <c r="E9" t="s">
        <v>209</v>
      </c>
      <c r="F9" t="s">
        <v>210</v>
      </c>
      <c r="G9" t="s">
        <v>249</v>
      </c>
      <c r="H9" t="s">
        <v>528</v>
      </c>
      <c r="J9" t="s">
        <v>578</v>
      </c>
      <c r="K9" t="s">
        <v>579</v>
      </c>
      <c r="L9" t="s">
        <v>580</v>
      </c>
      <c r="M9" t="s">
        <v>581</v>
      </c>
      <c r="N9" t="s">
        <v>582</v>
      </c>
      <c r="O9">
        <v>0</v>
      </c>
      <c r="P9">
        <v>0</v>
      </c>
      <c r="Q9">
        <v>-5.8651026392999999</v>
      </c>
      <c r="R9">
        <v>-40</v>
      </c>
      <c r="S9">
        <v>102.4395871194</v>
      </c>
      <c r="T9">
        <v>122.2023050833</v>
      </c>
      <c r="U9">
        <v>3.3915955419000001</v>
      </c>
      <c r="V9">
        <v>3.3597718E-3</v>
      </c>
      <c r="W9">
        <v>-6.8219799999999994E-5</v>
      </c>
      <c r="X9">
        <v>3.2359249574</v>
      </c>
      <c r="Y9">
        <v>102.2374818558</v>
      </c>
      <c r="Z9">
        <v>84.4827121191</v>
      </c>
      <c r="AA9">
        <v>312.04406419700001</v>
      </c>
      <c r="AB9">
        <v>333.8988339334</v>
      </c>
      <c r="AC9">
        <v>1</v>
      </c>
      <c r="AF9">
        <v>1</v>
      </c>
    </row>
    <row r="10" spans="1:32">
      <c r="A10" t="s">
        <v>632</v>
      </c>
      <c r="B10" t="s">
        <v>634</v>
      </c>
      <c r="C10" t="s">
        <v>208</v>
      </c>
      <c r="D10">
        <v>3</v>
      </c>
      <c r="E10" t="s">
        <v>209</v>
      </c>
      <c r="F10" t="s">
        <v>210</v>
      </c>
      <c r="G10" t="s">
        <v>249</v>
      </c>
      <c r="H10" t="s">
        <v>528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0</v>
      </c>
      <c r="R10">
        <v>0</v>
      </c>
      <c r="S10">
        <v>100.4167521418</v>
      </c>
      <c r="T10">
        <v>100.4167521418</v>
      </c>
      <c r="U10">
        <v>3.4553572424999999</v>
      </c>
      <c r="V10">
        <v>4.1278397000000001E-3</v>
      </c>
      <c r="W10">
        <v>-6.7608199999999994E-5</v>
      </c>
      <c r="X10">
        <v>3.3247354452</v>
      </c>
      <c r="Y10">
        <v>100.01604004630001</v>
      </c>
      <c r="Z10">
        <v>84.613936628499999</v>
      </c>
      <c r="AA10">
        <v>316.78722463230002</v>
      </c>
      <c r="AB10">
        <v>338.3454301548</v>
      </c>
      <c r="AC10">
        <v>1</v>
      </c>
      <c r="AF10">
        <v>1</v>
      </c>
    </row>
    <row r="11" spans="1:32">
      <c r="A11" t="s">
        <v>642</v>
      </c>
      <c r="B11" t="s">
        <v>644</v>
      </c>
      <c r="C11" t="s">
        <v>208</v>
      </c>
      <c r="D11">
        <v>3</v>
      </c>
      <c r="E11" t="s">
        <v>209</v>
      </c>
      <c r="F11" t="s">
        <v>210</v>
      </c>
      <c r="G11" t="s">
        <v>249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-7.0381231672000002</v>
      </c>
      <c r="R11">
        <v>-48</v>
      </c>
      <c r="S11">
        <v>96.216165734900002</v>
      </c>
      <c r="T11">
        <v>120.5411226656</v>
      </c>
      <c r="U11">
        <v>3.4819268585000001</v>
      </c>
      <c r="V11">
        <v>3.1719666999999998E-3</v>
      </c>
      <c r="W11">
        <v>-6.9268000000000002E-5</v>
      </c>
      <c r="X11">
        <v>3.3077805272999998</v>
      </c>
      <c r="Y11">
        <v>96.210752470200006</v>
      </c>
      <c r="Z11">
        <v>76.205741844299993</v>
      </c>
      <c r="AA11">
        <v>322.38971727630002</v>
      </c>
      <c r="AB11">
        <v>344.12342715239998</v>
      </c>
      <c r="AC11">
        <v>1</v>
      </c>
      <c r="AF11">
        <v>1</v>
      </c>
    </row>
    <row r="12" spans="1:32">
      <c r="A12" t="s">
        <v>656</v>
      </c>
      <c r="B12" t="s">
        <v>658</v>
      </c>
      <c r="C12" t="s">
        <v>208</v>
      </c>
      <c r="D12">
        <v>3</v>
      </c>
      <c r="E12" t="s">
        <v>209</v>
      </c>
      <c r="F12" t="s">
        <v>210</v>
      </c>
      <c r="G12" t="s">
        <v>249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-4.6920821114000004</v>
      </c>
      <c r="R12">
        <v>-32</v>
      </c>
      <c r="S12">
        <v>98.347179128199997</v>
      </c>
      <c r="T12">
        <v>114.3141138232</v>
      </c>
      <c r="U12">
        <v>3.421017532</v>
      </c>
      <c r="V12">
        <v>3.5180890999999999E-3</v>
      </c>
      <c r="W12">
        <v>-7.0741200000000006E-5</v>
      </c>
      <c r="X12">
        <v>3.2742910142000001</v>
      </c>
      <c r="Y12">
        <v>97.7468678794</v>
      </c>
      <c r="Z12">
        <v>81.789731374400006</v>
      </c>
      <c r="AA12">
        <v>305.11457053779998</v>
      </c>
      <c r="AB12">
        <v>327.8914713831</v>
      </c>
      <c r="AC12">
        <v>1</v>
      </c>
      <c r="AF12">
        <v>1</v>
      </c>
    </row>
    <row r="13" spans="1:32">
      <c r="A13" t="s">
        <v>666</v>
      </c>
      <c r="B13" t="s">
        <v>668</v>
      </c>
      <c r="C13" t="s">
        <v>208</v>
      </c>
      <c r="D13">
        <v>3</v>
      </c>
      <c r="E13" t="s">
        <v>209</v>
      </c>
      <c r="F13" t="s">
        <v>210</v>
      </c>
      <c r="G13" t="s">
        <v>249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-5.8651026392999999</v>
      </c>
      <c r="R13">
        <v>-40</v>
      </c>
      <c r="S13">
        <v>94.721663331800002</v>
      </c>
      <c r="T13">
        <v>114.30737905860001</v>
      </c>
      <c r="U13">
        <v>3.3616562423</v>
      </c>
      <c r="V13">
        <v>3.4130778999999999E-3</v>
      </c>
      <c r="W13">
        <v>-6.6095799999999998E-5</v>
      </c>
      <c r="X13">
        <v>3.2199591818000002</v>
      </c>
      <c r="Y13">
        <v>93.103933783000002</v>
      </c>
      <c r="Z13">
        <v>76.584378970100005</v>
      </c>
      <c r="AA13">
        <v>311.14939955030002</v>
      </c>
      <c r="AB13">
        <v>333.36302225520001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265</v>
      </c>
      <c r="R1" t="s">
        <v>266</v>
      </c>
      <c r="S1" t="s">
        <v>267</v>
      </c>
      <c r="T1" t="s">
        <v>268</v>
      </c>
      <c r="U1" t="s">
        <v>269</v>
      </c>
      <c r="V1" t="s">
        <v>270</v>
      </c>
      <c r="W1" t="s">
        <v>271</v>
      </c>
      <c r="X1" t="s">
        <v>272</v>
      </c>
      <c r="Y1" t="s">
        <v>273</v>
      </c>
      <c r="Z1" t="s">
        <v>274</v>
      </c>
      <c r="AA1" t="s">
        <v>275</v>
      </c>
      <c r="AB1" t="s">
        <v>276</v>
      </c>
      <c r="AC1" t="s">
        <v>277</v>
      </c>
      <c r="AD1" t="s">
        <v>278</v>
      </c>
      <c r="AE1" t="s">
        <v>279</v>
      </c>
      <c r="AF1" t="s">
        <v>280</v>
      </c>
      <c r="AG1" t="s">
        <v>281</v>
      </c>
      <c r="AH1" t="s">
        <v>282</v>
      </c>
      <c r="AI1" t="s">
        <v>283</v>
      </c>
      <c r="AJ1" t="s">
        <v>284</v>
      </c>
      <c r="AK1" t="s">
        <v>285</v>
      </c>
      <c r="AL1" t="s">
        <v>286</v>
      </c>
      <c r="AM1" t="s">
        <v>287</v>
      </c>
      <c r="AN1" t="s">
        <v>288</v>
      </c>
      <c r="AO1" t="s">
        <v>289</v>
      </c>
      <c r="AP1" t="s">
        <v>290</v>
      </c>
      <c r="AQ1" t="s">
        <v>291</v>
      </c>
      <c r="AR1" t="s">
        <v>292</v>
      </c>
      <c r="AS1" t="s">
        <v>293</v>
      </c>
      <c r="AT1" t="s">
        <v>294</v>
      </c>
      <c r="AU1" t="s">
        <v>295</v>
      </c>
      <c r="AV1" t="s">
        <v>296</v>
      </c>
      <c r="AW1" t="s">
        <v>297</v>
      </c>
      <c r="AX1" t="s">
        <v>298</v>
      </c>
      <c r="AY1" t="s">
        <v>299</v>
      </c>
      <c r="AZ1" t="s">
        <v>300</v>
      </c>
      <c r="BA1" t="s">
        <v>301</v>
      </c>
      <c r="BB1" t="s">
        <v>302</v>
      </c>
      <c r="BC1" t="s">
        <v>303</v>
      </c>
      <c r="BD1" t="s">
        <v>304</v>
      </c>
      <c r="BE1" t="s">
        <v>305</v>
      </c>
      <c r="BF1" t="s">
        <v>306</v>
      </c>
      <c r="BG1" t="s">
        <v>307</v>
      </c>
      <c r="BH1" t="s">
        <v>308</v>
      </c>
      <c r="BI1" t="s">
        <v>309</v>
      </c>
      <c r="BJ1" t="s">
        <v>310</v>
      </c>
      <c r="BK1" t="s">
        <v>311</v>
      </c>
      <c r="BL1" t="s">
        <v>312</v>
      </c>
      <c r="BM1" t="s">
        <v>313</v>
      </c>
      <c r="BN1" t="s">
        <v>314</v>
      </c>
      <c r="BO1" t="s">
        <v>315</v>
      </c>
      <c r="BP1" t="s">
        <v>316</v>
      </c>
      <c r="BQ1" t="s">
        <v>317</v>
      </c>
      <c r="BR1" t="s">
        <v>318</v>
      </c>
      <c r="BS1" t="s">
        <v>319</v>
      </c>
      <c r="BT1" t="s">
        <v>320</v>
      </c>
      <c r="BU1" t="s">
        <v>321</v>
      </c>
      <c r="BV1" t="s">
        <v>322</v>
      </c>
      <c r="BW1" t="s">
        <v>323</v>
      </c>
      <c r="BX1" t="s">
        <v>324</v>
      </c>
      <c r="BY1" t="s">
        <v>325</v>
      </c>
      <c r="BZ1" t="s">
        <v>326</v>
      </c>
      <c r="CA1" t="s">
        <v>327</v>
      </c>
      <c r="CB1" t="s">
        <v>328</v>
      </c>
      <c r="CC1" t="s">
        <v>329</v>
      </c>
      <c r="CD1" t="s">
        <v>330</v>
      </c>
      <c r="CE1" t="s">
        <v>331</v>
      </c>
      <c r="CF1" t="s">
        <v>332</v>
      </c>
      <c r="CG1" t="s">
        <v>333</v>
      </c>
      <c r="CH1" t="s">
        <v>334</v>
      </c>
      <c r="CI1" t="s">
        <v>335</v>
      </c>
      <c r="CJ1" t="s">
        <v>336</v>
      </c>
      <c r="CK1" t="s">
        <v>337</v>
      </c>
      <c r="CL1" t="s">
        <v>338</v>
      </c>
      <c r="CM1" t="s">
        <v>339</v>
      </c>
      <c r="CN1" t="s">
        <v>340</v>
      </c>
      <c r="CO1" t="s">
        <v>341</v>
      </c>
      <c r="CP1" t="s">
        <v>342</v>
      </c>
      <c r="CQ1" t="s">
        <v>343</v>
      </c>
      <c r="CR1" t="s">
        <v>344</v>
      </c>
      <c r="CS1" t="s">
        <v>345</v>
      </c>
      <c r="CT1" t="s">
        <v>346</v>
      </c>
      <c r="CU1" t="s">
        <v>347</v>
      </c>
      <c r="CV1" t="s">
        <v>348</v>
      </c>
      <c r="CW1" t="s">
        <v>349</v>
      </c>
      <c r="CX1" t="s">
        <v>350</v>
      </c>
      <c r="CY1" t="s">
        <v>351</v>
      </c>
      <c r="CZ1" t="s">
        <v>352</v>
      </c>
      <c r="DA1" t="s">
        <v>353</v>
      </c>
      <c r="DB1" t="s">
        <v>354</v>
      </c>
      <c r="DC1" t="s">
        <v>355</v>
      </c>
      <c r="DD1" t="s">
        <v>356</v>
      </c>
      <c r="DE1" t="s">
        <v>357</v>
      </c>
      <c r="DF1" t="s">
        <v>358</v>
      </c>
      <c r="DG1" t="s">
        <v>359</v>
      </c>
      <c r="DH1" t="s">
        <v>360</v>
      </c>
      <c r="DI1" t="s">
        <v>361</v>
      </c>
      <c r="DJ1" t="s">
        <v>362</v>
      </c>
      <c r="DK1" t="s">
        <v>363</v>
      </c>
      <c r="DL1" t="s">
        <v>364</v>
      </c>
      <c r="DM1" t="s">
        <v>365</v>
      </c>
      <c r="DN1" t="s">
        <v>366</v>
      </c>
      <c r="DO1" t="s">
        <v>367</v>
      </c>
      <c r="DP1" t="s">
        <v>368</v>
      </c>
      <c r="DQ1" t="s">
        <v>369</v>
      </c>
      <c r="DR1" t="s">
        <v>370</v>
      </c>
      <c r="DS1" t="s">
        <v>371</v>
      </c>
      <c r="DT1" t="s">
        <v>372</v>
      </c>
      <c r="DU1" t="s">
        <v>373</v>
      </c>
      <c r="DV1" t="s">
        <v>374</v>
      </c>
      <c r="DW1" t="s">
        <v>375</v>
      </c>
      <c r="DX1" t="s">
        <v>376</v>
      </c>
      <c r="DY1" t="s">
        <v>377</v>
      </c>
      <c r="DZ1" t="s">
        <v>378</v>
      </c>
      <c r="EA1" t="s">
        <v>379</v>
      </c>
      <c r="EB1" t="s">
        <v>380</v>
      </c>
      <c r="EC1" t="s">
        <v>381</v>
      </c>
      <c r="ED1" t="s">
        <v>382</v>
      </c>
      <c r="EE1" t="s">
        <v>383</v>
      </c>
      <c r="EF1" t="s">
        <v>384</v>
      </c>
      <c r="EG1" t="s">
        <v>385</v>
      </c>
      <c r="EH1" t="s">
        <v>386</v>
      </c>
      <c r="EI1" t="s">
        <v>387</v>
      </c>
      <c r="EJ1" t="s">
        <v>388</v>
      </c>
      <c r="EK1" t="s">
        <v>389</v>
      </c>
      <c r="EL1" t="s">
        <v>390</v>
      </c>
      <c r="EM1" t="s">
        <v>391</v>
      </c>
      <c r="EN1" t="s">
        <v>392</v>
      </c>
      <c r="EO1" t="s">
        <v>393</v>
      </c>
      <c r="EP1" t="s">
        <v>394</v>
      </c>
      <c r="EQ1" t="s">
        <v>395</v>
      </c>
      <c r="ER1" t="s">
        <v>396</v>
      </c>
      <c r="ES1" t="s">
        <v>397</v>
      </c>
      <c r="ET1" t="s">
        <v>398</v>
      </c>
      <c r="EU1" t="s">
        <v>399</v>
      </c>
      <c r="EV1" t="s">
        <v>400</v>
      </c>
      <c r="EW1" t="s">
        <v>401</v>
      </c>
      <c r="EX1" t="s">
        <v>402</v>
      </c>
      <c r="EY1" t="s">
        <v>403</v>
      </c>
      <c r="EZ1" t="s">
        <v>404</v>
      </c>
      <c r="FA1" t="s">
        <v>405</v>
      </c>
      <c r="FB1" t="s">
        <v>406</v>
      </c>
      <c r="FC1" t="s">
        <v>407</v>
      </c>
      <c r="FD1" t="s">
        <v>408</v>
      </c>
      <c r="FE1" t="s">
        <v>409</v>
      </c>
      <c r="FF1" t="s">
        <v>410</v>
      </c>
      <c r="FG1" t="s">
        <v>411</v>
      </c>
      <c r="FH1" t="s">
        <v>412</v>
      </c>
      <c r="FI1" t="s">
        <v>413</v>
      </c>
      <c r="FJ1" t="s">
        <v>414</v>
      </c>
      <c r="FK1" t="s">
        <v>415</v>
      </c>
      <c r="FL1" t="s">
        <v>416</v>
      </c>
      <c r="FM1" t="s">
        <v>417</v>
      </c>
      <c r="FN1" t="s">
        <v>418</v>
      </c>
      <c r="FO1" t="s">
        <v>419</v>
      </c>
      <c r="FP1" t="s">
        <v>420</v>
      </c>
      <c r="FQ1" t="s">
        <v>421</v>
      </c>
      <c r="FR1" t="s">
        <v>422</v>
      </c>
      <c r="FS1" t="s">
        <v>423</v>
      </c>
      <c r="FT1" t="s">
        <v>424</v>
      </c>
      <c r="FU1" t="s">
        <v>425</v>
      </c>
      <c r="FV1" t="s">
        <v>426</v>
      </c>
      <c r="FW1" t="s">
        <v>427</v>
      </c>
      <c r="FX1" t="s">
        <v>428</v>
      </c>
      <c r="FY1" t="s">
        <v>429</v>
      </c>
      <c r="FZ1" t="s">
        <v>430</v>
      </c>
      <c r="GA1" t="s">
        <v>431</v>
      </c>
      <c r="GB1" t="s">
        <v>432</v>
      </c>
      <c r="GC1" t="s">
        <v>433</v>
      </c>
      <c r="GD1" t="s">
        <v>434</v>
      </c>
      <c r="GE1" t="s">
        <v>435</v>
      </c>
      <c r="GF1" t="s">
        <v>436</v>
      </c>
      <c r="GG1" t="s">
        <v>437</v>
      </c>
      <c r="GH1" t="s">
        <v>438</v>
      </c>
      <c r="GI1" t="s">
        <v>439</v>
      </c>
      <c r="GJ1" t="s">
        <v>440</v>
      </c>
      <c r="GK1" t="s">
        <v>441</v>
      </c>
      <c r="GL1" t="s">
        <v>442</v>
      </c>
      <c r="GM1" t="s">
        <v>443</v>
      </c>
      <c r="GN1" t="s">
        <v>444</v>
      </c>
      <c r="GO1" t="s">
        <v>445</v>
      </c>
      <c r="GP1" t="s">
        <v>446</v>
      </c>
      <c r="GQ1" t="s">
        <v>447</v>
      </c>
      <c r="GR1" t="s">
        <v>448</v>
      </c>
      <c r="GS1" t="s">
        <v>449</v>
      </c>
      <c r="GT1" t="s">
        <v>450</v>
      </c>
      <c r="GU1" t="s">
        <v>451</v>
      </c>
      <c r="GV1" t="s">
        <v>452</v>
      </c>
      <c r="GW1" t="s">
        <v>453</v>
      </c>
      <c r="GX1" t="s">
        <v>454</v>
      </c>
      <c r="GY1" t="s">
        <v>455</v>
      </c>
      <c r="GZ1" t="s">
        <v>456</v>
      </c>
      <c r="HA1" t="s">
        <v>457</v>
      </c>
      <c r="HB1" t="s">
        <v>458</v>
      </c>
      <c r="HC1" t="s">
        <v>459</v>
      </c>
      <c r="HD1" t="s">
        <v>460</v>
      </c>
      <c r="HE1" t="s">
        <v>461</v>
      </c>
      <c r="HF1" t="s">
        <v>462</v>
      </c>
      <c r="HG1" t="s">
        <v>463</v>
      </c>
      <c r="HH1" t="s">
        <v>464</v>
      </c>
      <c r="HI1" t="s">
        <v>465</v>
      </c>
      <c r="HJ1" t="s">
        <v>466</v>
      </c>
      <c r="HK1" t="s">
        <v>467</v>
      </c>
      <c r="HL1" t="s">
        <v>468</v>
      </c>
      <c r="HM1" t="s">
        <v>469</v>
      </c>
      <c r="HN1" t="s">
        <v>470</v>
      </c>
      <c r="HO1" t="s">
        <v>471</v>
      </c>
      <c r="HP1" t="s">
        <v>472</v>
      </c>
      <c r="HQ1" t="s">
        <v>473</v>
      </c>
      <c r="HR1" t="s">
        <v>474</v>
      </c>
      <c r="HS1" t="s">
        <v>475</v>
      </c>
      <c r="HT1" t="s">
        <v>476</v>
      </c>
      <c r="HU1" t="s">
        <v>477</v>
      </c>
      <c r="HV1" t="s">
        <v>478</v>
      </c>
      <c r="HW1" t="s">
        <v>479</v>
      </c>
      <c r="HX1" t="s">
        <v>480</v>
      </c>
      <c r="HY1" t="s">
        <v>481</v>
      </c>
      <c r="HZ1" t="s">
        <v>482</v>
      </c>
      <c r="IA1" t="s">
        <v>483</v>
      </c>
      <c r="IB1" t="s">
        <v>484</v>
      </c>
      <c r="IC1" t="s">
        <v>485</v>
      </c>
      <c r="ID1" t="s">
        <v>486</v>
      </c>
      <c r="IE1" t="s">
        <v>487</v>
      </c>
      <c r="IF1" t="s">
        <v>488</v>
      </c>
      <c r="IG1" t="s">
        <v>489</v>
      </c>
      <c r="IH1" t="s">
        <v>490</v>
      </c>
      <c r="II1" t="s">
        <v>491</v>
      </c>
      <c r="IJ1" t="s">
        <v>492</v>
      </c>
      <c r="IK1" t="s">
        <v>493</v>
      </c>
      <c r="IL1" t="s">
        <v>494</v>
      </c>
      <c r="IM1" t="s">
        <v>495</v>
      </c>
      <c r="IN1" t="s">
        <v>496</v>
      </c>
      <c r="IO1" t="s">
        <v>497</v>
      </c>
      <c r="IP1" t="s">
        <v>498</v>
      </c>
      <c r="IQ1" t="s">
        <v>499</v>
      </c>
      <c r="IR1" t="s">
        <v>500</v>
      </c>
      <c r="IS1" t="s">
        <v>501</v>
      </c>
      <c r="IT1" t="s">
        <v>502</v>
      </c>
      <c r="IU1" t="s">
        <v>503</v>
      </c>
      <c r="IV1" t="s">
        <v>504</v>
      </c>
      <c r="IW1" t="s">
        <v>505</v>
      </c>
      <c r="IX1" t="s">
        <v>506</v>
      </c>
      <c r="IY1" t="s">
        <v>507</v>
      </c>
      <c r="IZ1" t="s">
        <v>508</v>
      </c>
      <c r="JA1" t="s">
        <v>509</v>
      </c>
      <c r="JB1" t="s">
        <v>510</v>
      </c>
      <c r="JC1" t="s">
        <v>511</v>
      </c>
      <c r="JD1" t="s">
        <v>512</v>
      </c>
      <c r="JE1" t="s">
        <v>513</v>
      </c>
      <c r="JF1" t="s">
        <v>514</v>
      </c>
      <c r="JG1" t="s">
        <v>515</v>
      </c>
      <c r="JH1" t="s">
        <v>516</v>
      </c>
      <c r="JI1" t="s">
        <v>517</v>
      </c>
      <c r="JJ1" t="s">
        <v>518</v>
      </c>
      <c r="JK1" t="s">
        <v>259</v>
      </c>
      <c r="JL1" t="s">
        <v>519</v>
      </c>
      <c r="JM1" t="s">
        <v>520</v>
      </c>
      <c r="JN1" t="s">
        <v>521</v>
      </c>
      <c r="JO1" t="s">
        <v>205</v>
      </c>
      <c r="JP1" t="s">
        <v>206</v>
      </c>
      <c r="JQ1" t="s">
        <v>207</v>
      </c>
    </row>
    <row r="2" spans="1:277">
      <c r="A2" t="s">
        <v>604</v>
      </c>
      <c r="B2" t="s">
        <v>605</v>
      </c>
      <c r="C2" t="s">
        <v>208</v>
      </c>
      <c r="D2">
        <v>3</v>
      </c>
      <c r="E2" t="s">
        <v>209</v>
      </c>
      <c r="F2" t="s">
        <v>210</v>
      </c>
      <c r="G2" t="s">
        <v>522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1.0999999995</v>
      </c>
      <c r="R2">
        <v>1.5000000003</v>
      </c>
      <c r="S2">
        <v>1.5999999996000001</v>
      </c>
      <c r="T2">
        <v>1.5000000003</v>
      </c>
      <c r="U2">
        <v>1.5000000003</v>
      </c>
      <c r="V2">
        <v>1.2999999999</v>
      </c>
      <c r="W2">
        <v>1.3999999992000001</v>
      </c>
      <c r="X2">
        <v>1.3999999992000001</v>
      </c>
      <c r="Y2">
        <v>1.7000000007</v>
      </c>
      <c r="Z2">
        <v>1.5999999996000001</v>
      </c>
      <c r="AA2">
        <v>1.7000000007</v>
      </c>
      <c r="AB2">
        <v>1.3999999992000001</v>
      </c>
      <c r="AC2">
        <v>1.0999999995</v>
      </c>
      <c r="AD2">
        <v>0.79999999980000003</v>
      </c>
      <c r="AE2">
        <v>0</v>
      </c>
      <c r="AF2">
        <v>1.0000000002</v>
      </c>
      <c r="AG2">
        <v>3.8999999996999999</v>
      </c>
      <c r="AH2">
        <v>6.9999999996</v>
      </c>
      <c r="AI2">
        <v>12.8999999997</v>
      </c>
      <c r="AJ2">
        <v>19.200000000599999</v>
      </c>
      <c r="AK2">
        <v>25.700000000100001</v>
      </c>
      <c r="AL2">
        <v>32.600000000500003</v>
      </c>
      <c r="AM2">
        <v>39.3999999997</v>
      </c>
      <c r="AN2">
        <v>46.3999999993</v>
      </c>
      <c r="AO2">
        <v>55.3</v>
      </c>
      <c r="AP2">
        <v>62.299999999599997</v>
      </c>
      <c r="AQ2">
        <v>69.499999999600007</v>
      </c>
      <c r="AR2">
        <v>76.699999999599996</v>
      </c>
      <c r="AS2">
        <v>84.800000000500006</v>
      </c>
      <c r="AT2">
        <v>91.899999999399995</v>
      </c>
      <c r="AU2">
        <v>99.8</v>
      </c>
      <c r="AV2">
        <v>108.39999999920001</v>
      </c>
      <c r="AW2">
        <v>116.0999999993</v>
      </c>
      <c r="AX2">
        <v>124.4999999999</v>
      </c>
      <c r="AY2">
        <v>132.29999999930001</v>
      </c>
      <c r="AZ2">
        <v>139.4</v>
      </c>
      <c r="BA2">
        <v>147.80000000059999</v>
      </c>
      <c r="BB2">
        <v>156.60000000030001</v>
      </c>
      <c r="BC2">
        <v>164.80000000050001</v>
      </c>
      <c r="BD2">
        <v>172.59999999990001</v>
      </c>
      <c r="BE2">
        <v>180.39999999930001</v>
      </c>
      <c r="BF2">
        <v>188.5999999995</v>
      </c>
      <c r="BG2">
        <v>196.09999999920001</v>
      </c>
      <c r="BH2">
        <v>204.70000000019999</v>
      </c>
      <c r="BI2">
        <v>212.90000000040001</v>
      </c>
      <c r="BJ2">
        <v>220.60000000060001</v>
      </c>
      <c r="BK2">
        <v>228.30000000070001</v>
      </c>
      <c r="BL2">
        <v>235.89999999969999</v>
      </c>
      <c r="BM2">
        <v>244.1999999992</v>
      </c>
      <c r="BN2">
        <v>251.2000000006</v>
      </c>
      <c r="BO2">
        <v>259.59999999939998</v>
      </c>
      <c r="BP2">
        <v>267.20000000020002</v>
      </c>
      <c r="BQ2">
        <v>274.19999999980001</v>
      </c>
      <c r="BR2">
        <v>281.60000000029999</v>
      </c>
      <c r="BS2">
        <v>289.10000000000002</v>
      </c>
      <c r="BT2">
        <v>296.8000000001</v>
      </c>
      <c r="BU2">
        <v>303.90000000079999</v>
      </c>
      <c r="BV2">
        <v>311.10000000079998</v>
      </c>
      <c r="BW2">
        <v>318.19999999970003</v>
      </c>
      <c r="BX2">
        <v>324.69999999919997</v>
      </c>
      <c r="BY2">
        <v>331.59999999950003</v>
      </c>
      <c r="BZ2">
        <v>338.49999999980002</v>
      </c>
      <c r="CA2">
        <v>344.69999999959998</v>
      </c>
      <c r="CB2">
        <v>352.19999999940001</v>
      </c>
      <c r="CC2">
        <v>358.09999999950003</v>
      </c>
      <c r="CD2">
        <v>364.99999999980002</v>
      </c>
      <c r="CE2">
        <v>371.10000000029999</v>
      </c>
      <c r="CF2">
        <v>376.8</v>
      </c>
      <c r="CG2">
        <v>382.90000000049997</v>
      </c>
      <c r="CH2">
        <v>388.89999999989999</v>
      </c>
      <c r="CI2">
        <v>394.59999999960002</v>
      </c>
      <c r="CJ2">
        <v>400.90000000049997</v>
      </c>
      <c r="CK2">
        <v>406.69999999949999</v>
      </c>
      <c r="CL2">
        <v>412.20000000070002</v>
      </c>
      <c r="CM2">
        <v>418.20000000009998</v>
      </c>
      <c r="CN2">
        <v>423.39999999970001</v>
      </c>
      <c r="CO2">
        <v>428.4000000007</v>
      </c>
      <c r="CP2">
        <v>433.80000000069998</v>
      </c>
      <c r="CQ2">
        <v>439.3</v>
      </c>
      <c r="CR2">
        <v>444.10000000060001</v>
      </c>
      <c r="CS2">
        <v>449.39999999949998</v>
      </c>
      <c r="CT2">
        <v>453.79999999929998</v>
      </c>
      <c r="CU2">
        <v>454.40000000049997</v>
      </c>
      <c r="CV2">
        <v>454.70000000020002</v>
      </c>
      <c r="CW2">
        <v>454.49999999980002</v>
      </c>
      <c r="CX2">
        <v>454.49999999980002</v>
      </c>
      <c r="CY2">
        <v>454.20000000009998</v>
      </c>
      <c r="CZ2">
        <v>454.60000000090002</v>
      </c>
      <c r="DA2">
        <v>454.29999999939997</v>
      </c>
      <c r="DB2">
        <v>454.49999999980002</v>
      </c>
      <c r="DC2">
        <v>454.29999999939997</v>
      </c>
      <c r="DD2">
        <v>454.40000000049997</v>
      </c>
      <c r="DE2">
        <v>454.40000000049997</v>
      </c>
      <c r="DF2">
        <v>454.60000000090002</v>
      </c>
      <c r="DG2">
        <v>1.7000000007</v>
      </c>
      <c r="DH2">
        <v>2.2000000007999998</v>
      </c>
      <c r="DI2">
        <v>2.2000000007999998</v>
      </c>
      <c r="DJ2">
        <v>2.3000000000999998</v>
      </c>
      <c r="DK2">
        <v>2.3000000000999998</v>
      </c>
      <c r="DL2">
        <v>2.3999999993999999</v>
      </c>
      <c r="DM2">
        <v>2.5000000005</v>
      </c>
      <c r="DN2">
        <v>2.5000000005</v>
      </c>
      <c r="DO2">
        <v>2.3999999993999999</v>
      </c>
      <c r="DP2">
        <v>2.5000000005</v>
      </c>
      <c r="DQ2">
        <v>2.3000000000999998</v>
      </c>
      <c r="DR2">
        <v>2.3000000000999998</v>
      </c>
      <c r="DS2">
        <v>1.8999999993000001</v>
      </c>
      <c r="DT2">
        <v>1.2999999999</v>
      </c>
      <c r="DU2">
        <v>0.59999999940000004</v>
      </c>
      <c r="DV2">
        <v>3.3000000002999998</v>
      </c>
      <c r="DW2">
        <v>6.6000000005999997</v>
      </c>
      <c r="DX2">
        <v>11.8999999995</v>
      </c>
      <c r="DY2">
        <v>18.400000000799999</v>
      </c>
      <c r="DZ2">
        <v>25.1000000007</v>
      </c>
      <c r="EA2">
        <v>31.500000001</v>
      </c>
      <c r="EB2">
        <v>38.899999999599999</v>
      </c>
      <c r="EC2">
        <v>46.3999999993</v>
      </c>
      <c r="ED2">
        <v>54.299999999800001</v>
      </c>
      <c r="EE2">
        <v>61.499999999800004</v>
      </c>
      <c r="EF2">
        <v>68.699999999799999</v>
      </c>
      <c r="EG2">
        <v>75.800000000500006</v>
      </c>
      <c r="EH2">
        <v>82.899999999399995</v>
      </c>
      <c r="EI2">
        <v>90.700000000700001</v>
      </c>
      <c r="EJ2">
        <v>99.200000000599999</v>
      </c>
      <c r="EK2">
        <v>107.2000000004</v>
      </c>
      <c r="EL2">
        <v>114.9999999998</v>
      </c>
      <c r="EM2">
        <v>122.9000000003</v>
      </c>
      <c r="EN2">
        <v>130.8000000008</v>
      </c>
      <c r="EO2">
        <v>138.10000000010001</v>
      </c>
      <c r="EP2">
        <v>147.30000000050001</v>
      </c>
      <c r="EQ2">
        <v>155.09999999990001</v>
      </c>
      <c r="ER2">
        <v>163.59999999990001</v>
      </c>
      <c r="ES2">
        <v>171.3</v>
      </c>
      <c r="ET2">
        <v>179.40000000090001</v>
      </c>
      <c r="EU2">
        <v>187.4000000007</v>
      </c>
      <c r="EV2">
        <v>194.99999999970001</v>
      </c>
      <c r="EW2">
        <v>203.79999999930001</v>
      </c>
      <c r="EX2">
        <v>212.2999999992</v>
      </c>
      <c r="EY2">
        <v>219.8000000008</v>
      </c>
      <c r="EZ2">
        <v>227.99999999920001</v>
      </c>
      <c r="FA2">
        <v>236.00000000079999</v>
      </c>
      <c r="FB2">
        <v>244.1999999992</v>
      </c>
      <c r="FC2">
        <v>251.8</v>
      </c>
      <c r="FD2">
        <v>259.79999999979998</v>
      </c>
      <c r="FE2">
        <v>267.40000000060002</v>
      </c>
      <c r="FF2">
        <v>275.10000000069999</v>
      </c>
      <c r="FG2">
        <v>282.69999999970003</v>
      </c>
      <c r="FH2">
        <v>290.1000000002</v>
      </c>
      <c r="FI2">
        <v>297.59999999989998</v>
      </c>
      <c r="FJ2">
        <v>304.59999999950003</v>
      </c>
      <c r="FK2">
        <v>312.5</v>
      </c>
      <c r="FL2">
        <v>319.49999999959999</v>
      </c>
      <c r="FM2">
        <v>326.39999999989999</v>
      </c>
      <c r="FN2">
        <v>333.30000000019999</v>
      </c>
      <c r="FO2">
        <v>340.29999999979998</v>
      </c>
      <c r="FP2">
        <v>347.40000000060002</v>
      </c>
      <c r="FQ2">
        <v>354.19999999980001</v>
      </c>
      <c r="FR2">
        <v>360.6</v>
      </c>
      <c r="FS2">
        <v>367.09999999950003</v>
      </c>
      <c r="FT2">
        <v>373.10000000069999</v>
      </c>
      <c r="FU2">
        <v>379.30000000050001</v>
      </c>
      <c r="FV2">
        <v>385.50000000030002</v>
      </c>
      <c r="FW2">
        <v>391.79999999939997</v>
      </c>
      <c r="FX2">
        <v>397.99999999919999</v>
      </c>
      <c r="FY2">
        <v>403.89999999930001</v>
      </c>
      <c r="FZ2">
        <v>409.40000000049997</v>
      </c>
      <c r="GA2">
        <v>415.19999999949999</v>
      </c>
      <c r="GB2">
        <v>420.50000000019998</v>
      </c>
      <c r="GC2">
        <v>425.49999999940002</v>
      </c>
      <c r="GD2">
        <v>430.8000000001</v>
      </c>
      <c r="GE2">
        <v>436.10000000079998</v>
      </c>
      <c r="GF2">
        <v>441.1</v>
      </c>
      <c r="GG2">
        <v>445.79999999950002</v>
      </c>
      <c r="GH2">
        <v>450.60000000010001</v>
      </c>
      <c r="GI2">
        <v>454.20000000009998</v>
      </c>
      <c r="GJ2">
        <v>454.40000000049997</v>
      </c>
      <c r="GK2">
        <v>454.29999999939997</v>
      </c>
      <c r="GL2">
        <v>454.20000000009998</v>
      </c>
      <c r="GM2">
        <v>454.29999999939997</v>
      </c>
      <c r="GN2">
        <v>454.40000000049997</v>
      </c>
      <c r="GO2">
        <v>454.40000000049997</v>
      </c>
      <c r="GP2">
        <v>454.60000000090002</v>
      </c>
      <c r="GQ2">
        <v>454.29999999939997</v>
      </c>
      <c r="GR2">
        <v>454.40000000049997</v>
      </c>
      <c r="GS2">
        <v>454.10000000079998</v>
      </c>
      <c r="GT2">
        <v>454.49999999980002</v>
      </c>
      <c r="GU2">
        <v>454.49999999980002</v>
      </c>
      <c r="GV2">
        <v>454.49999999980002</v>
      </c>
      <c r="GW2">
        <v>1</v>
      </c>
      <c r="GX2">
        <v>118.50000000049999</v>
      </c>
      <c r="GY2">
        <v>116.0999999993</v>
      </c>
      <c r="GZ2">
        <v>116.0999999993</v>
      </c>
      <c r="HA2">
        <v>122.9000000003</v>
      </c>
      <c r="HB2">
        <v>117.8875054989</v>
      </c>
      <c r="HC2">
        <v>-6.8000000009999999</v>
      </c>
      <c r="HD2">
        <v>454.50001099849999</v>
      </c>
      <c r="HE2">
        <v>296.49633743940001</v>
      </c>
      <c r="HF2">
        <v>98.400032994900002</v>
      </c>
      <c r="HG2">
        <v>454.70000000020002</v>
      </c>
      <c r="HH2">
        <v>454.60000000090002</v>
      </c>
      <c r="HI2">
        <v>454.70000000020002</v>
      </c>
      <c r="HJ2">
        <v>454.60000000090002</v>
      </c>
      <c r="HK2">
        <v>112.6099706745</v>
      </c>
      <c r="HL2">
        <v>3.273222697</v>
      </c>
      <c r="HM2">
        <v>3.2076681342</v>
      </c>
      <c r="HN2">
        <v>3.2552583957999999</v>
      </c>
      <c r="HO2">
        <v>3.0428749667999999</v>
      </c>
      <c r="HP2">
        <v>3.4279140439</v>
      </c>
      <c r="HQ2">
        <v>2.2774368081</v>
      </c>
      <c r="HR2">
        <v>19.487472503999999</v>
      </c>
      <c r="HS2">
        <v>-30.4985337243</v>
      </c>
      <c r="HT2">
        <v>-208</v>
      </c>
      <c r="HU2">
        <v>414.38384293830001</v>
      </c>
      <c r="HV2">
        <v>93.841642228699996</v>
      </c>
      <c r="HW2">
        <v>640</v>
      </c>
      <c r="HX2">
        <v>19.487472503999999</v>
      </c>
      <c r="HY2">
        <v>-30.4985337243</v>
      </c>
      <c r="HZ2">
        <v>-208</v>
      </c>
      <c r="IA2">
        <v>414.38384293830001</v>
      </c>
      <c r="IB2">
        <v>93.841642228699996</v>
      </c>
      <c r="IC2">
        <v>640</v>
      </c>
      <c r="ID2">
        <v>40.216157062599997</v>
      </c>
      <c r="IE2">
        <v>1.0108776949</v>
      </c>
      <c r="IF2">
        <v>-39.8826979472</v>
      </c>
      <c r="IG2">
        <v>-272</v>
      </c>
      <c r="IH2">
        <v>435.72143642840001</v>
      </c>
      <c r="II2">
        <v>103.22580645159999</v>
      </c>
      <c r="IJ2">
        <v>704</v>
      </c>
      <c r="IK2">
        <v>394.89637043430002</v>
      </c>
      <c r="IL2">
        <v>124.3401759531</v>
      </c>
      <c r="IM2">
        <v>417.87223933109999</v>
      </c>
      <c r="IN2">
        <v>133.724340176</v>
      </c>
      <c r="IO2">
        <v>6.5000000013000001</v>
      </c>
      <c r="IP2">
        <v>5.9999999994</v>
      </c>
      <c r="IQ2">
        <v>9.2000000003999993</v>
      </c>
      <c r="IR2">
        <v>5.4061854809999996</v>
      </c>
      <c r="IS2">
        <v>5.4061854809999996</v>
      </c>
      <c r="IT2">
        <v>5.5000000011000001</v>
      </c>
      <c r="IU2">
        <v>-32.844574780099997</v>
      </c>
      <c r="IV2">
        <v>9.5000000001</v>
      </c>
      <c r="IW2">
        <v>70.381231671600005</v>
      </c>
      <c r="IX2">
        <v>8.2999999995000007</v>
      </c>
      <c r="IY2">
        <v>96.187683284499997</v>
      </c>
      <c r="IZ2">
        <v>-36.973207669499999</v>
      </c>
      <c r="JA2">
        <v>0.34658557379999999</v>
      </c>
      <c r="JB2">
        <v>-3.5622799999999999E-4</v>
      </c>
      <c r="JC2">
        <v>6.7859999999999995E-7</v>
      </c>
      <c r="JD2">
        <v>0.30550930770000001</v>
      </c>
      <c r="JE2">
        <v>0.23615401180000001</v>
      </c>
      <c r="JF2">
        <v>8.4078554700000002E-2</v>
      </c>
      <c r="JG2">
        <v>118.1387512112</v>
      </c>
      <c r="JH2">
        <v>3.4279140439</v>
      </c>
      <c r="JI2">
        <v>3.2605331E-3</v>
      </c>
      <c r="JJ2">
        <v>-6.6711099999999999E-5</v>
      </c>
      <c r="JK2">
        <v>3.273222697</v>
      </c>
      <c r="JL2">
        <v>0.98053877560000002</v>
      </c>
      <c r="JM2">
        <v>0.41644521159999998</v>
      </c>
      <c r="JN2" t="s">
        <v>523</v>
      </c>
      <c r="JQ2">
        <v>1</v>
      </c>
    </row>
    <row r="3" spans="1:277">
      <c r="A3" t="s">
        <v>606</v>
      </c>
      <c r="B3" t="s">
        <v>607</v>
      </c>
      <c r="C3" t="s">
        <v>208</v>
      </c>
      <c r="D3">
        <v>3</v>
      </c>
      <c r="E3" t="s">
        <v>209</v>
      </c>
      <c r="F3" t="s">
        <v>210</v>
      </c>
      <c r="G3" t="s">
        <v>522</v>
      </c>
      <c r="H3" t="s">
        <v>528</v>
      </c>
      <c r="J3" t="s">
        <v>536</v>
      </c>
      <c r="K3" t="s">
        <v>537</v>
      </c>
      <c r="L3" t="s">
        <v>538</v>
      </c>
      <c r="M3" t="s">
        <v>539</v>
      </c>
      <c r="N3" t="s">
        <v>540</v>
      </c>
      <c r="O3">
        <v>0</v>
      </c>
      <c r="P3">
        <v>0</v>
      </c>
      <c r="Q3">
        <v>0</v>
      </c>
      <c r="R3">
        <v>0.40000000079999998</v>
      </c>
      <c r="S3">
        <v>0.50000000010000001</v>
      </c>
      <c r="T3">
        <v>0.29999999970000002</v>
      </c>
      <c r="U3">
        <v>0.50000000010000001</v>
      </c>
      <c r="V3">
        <v>0.40000000079999998</v>
      </c>
      <c r="W3">
        <v>0.50000000010000001</v>
      </c>
      <c r="X3">
        <v>0.7000000005</v>
      </c>
      <c r="Y3">
        <v>0.59999999940000004</v>
      </c>
      <c r="Z3">
        <v>0.40000000079999998</v>
      </c>
      <c r="AA3">
        <v>0.7000000005</v>
      </c>
      <c r="AB3">
        <v>0.7000000005</v>
      </c>
      <c r="AC3">
        <v>0.7000000005</v>
      </c>
      <c r="AD3">
        <v>1.0000000002</v>
      </c>
      <c r="AE3">
        <v>1.5999999996000001</v>
      </c>
      <c r="AF3">
        <v>2.0000000004</v>
      </c>
      <c r="AG3">
        <v>5.3000000006999999</v>
      </c>
      <c r="AH3">
        <v>10.5999999996</v>
      </c>
      <c r="AI3">
        <v>16.400000000399999</v>
      </c>
      <c r="AJ3">
        <v>23.499999999300002</v>
      </c>
      <c r="AK3">
        <v>30.8999999997</v>
      </c>
      <c r="AL3">
        <v>37.000000000299998</v>
      </c>
      <c r="AM3">
        <v>44.100000000999998</v>
      </c>
      <c r="AN3">
        <v>51.900000000399999</v>
      </c>
      <c r="AO3">
        <v>59.900000000200002</v>
      </c>
      <c r="AP3">
        <v>66.3999999997</v>
      </c>
      <c r="AQ3">
        <v>74.399999999499997</v>
      </c>
      <c r="AR3">
        <v>82.200000000700001</v>
      </c>
      <c r="AS3">
        <v>89.200000000299994</v>
      </c>
      <c r="AT3">
        <v>97.100000000899996</v>
      </c>
      <c r="AU3">
        <v>105.2999999993</v>
      </c>
      <c r="AV3">
        <v>113.9000000003</v>
      </c>
      <c r="AW3">
        <v>121.6000000004</v>
      </c>
      <c r="AX3">
        <v>130.90000000009999</v>
      </c>
      <c r="AY3">
        <v>139.10000000030001</v>
      </c>
      <c r="AZ3">
        <v>146.3999999996</v>
      </c>
      <c r="BA3">
        <v>154.50000000060001</v>
      </c>
      <c r="BB3">
        <v>163.59999999990001</v>
      </c>
      <c r="BC3">
        <v>171.09999999959999</v>
      </c>
      <c r="BD3">
        <v>179.5999999995</v>
      </c>
      <c r="BE3">
        <v>188.00000000009999</v>
      </c>
      <c r="BF3">
        <v>194.99999999970001</v>
      </c>
      <c r="BG3">
        <v>203.10000000060001</v>
      </c>
      <c r="BH3">
        <v>211.99999999950001</v>
      </c>
      <c r="BI3">
        <v>219.19999999949999</v>
      </c>
      <c r="BJ3">
        <v>227.19999999940001</v>
      </c>
      <c r="BK3">
        <v>235.09999999990001</v>
      </c>
      <c r="BL3">
        <v>242.8</v>
      </c>
      <c r="BM3">
        <v>250.29999999969999</v>
      </c>
      <c r="BN3">
        <v>257.90000000049997</v>
      </c>
      <c r="BO3">
        <v>266.49999999969998</v>
      </c>
      <c r="BP3">
        <v>273.19999999959998</v>
      </c>
      <c r="BQ3">
        <v>280.69999999930002</v>
      </c>
      <c r="BR3">
        <v>288.39999999949998</v>
      </c>
      <c r="BS3">
        <v>295.09999999939998</v>
      </c>
      <c r="BT3">
        <v>302.10000000079998</v>
      </c>
      <c r="BU3">
        <v>309.10000000039997</v>
      </c>
      <c r="BV3">
        <v>317.0000000009</v>
      </c>
      <c r="BW3">
        <v>323.3</v>
      </c>
      <c r="BX3">
        <v>330.2999999996</v>
      </c>
      <c r="BY3">
        <v>337.10000000060001</v>
      </c>
      <c r="BZ3">
        <v>343.69999999940001</v>
      </c>
      <c r="CA3">
        <v>349.8</v>
      </c>
      <c r="CB3">
        <v>356.20000000020002</v>
      </c>
      <c r="CC3">
        <v>362.4</v>
      </c>
      <c r="CD3">
        <v>369.50000000070003</v>
      </c>
      <c r="CE3">
        <v>374.9000000007</v>
      </c>
      <c r="CF3">
        <v>381.10000000050002</v>
      </c>
      <c r="CG3">
        <v>387.30000000029997</v>
      </c>
      <c r="CH3">
        <v>393.2000000004</v>
      </c>
      <c r="CI3">
        <v>398.60000000039997</v>
      </c>
      <c r="CJ3">
        <v>404.3000000001</v>
      </c>
      <c r="CK3">
        <v>409.90000000060002</v>
      </c>
      <c r="CL3">
        <v>415.30000000059999</v>
      </c>
      <c r="CM3">
        <v>421.39999999930001</v>
      </c>
      <c r="CN3">
        <v>426.10000000060001</v>
      </c>
      <c r="CO3">
        <v>431.30000000019999</v>
      </c>
      <c r="CP3">
        <v>436.70000000020002</v>
      </c>
      <c r="CQ3">
        <v>442.0000000009</v>
      </c>
      <c r="CR3">
        <v>443.99999999950001</v>
      </c>
      <c r="CS3">
        <v>444.90000000039998</v>
      </c>
      <c r="CT3">
        <v>445.20000000009998</v>
      </c>
      <c r="CU3">
        <v>445.10000000079998</v>
      </c>
      <c r="CV3">
        <v>445.20000000009998</v>
      </c>
      <c r="CW3">
        <v>445.29999999939997</v>
      </c>
      <c r="CX3">
        <v>445.29999999939997</v>
      </c>
      <c r="CY3">
        <v>445.29999999939997</v>
      </c>
      <c r="CZ3">
        <v>445.20000000009998</v>
      </c>
      <c r="DA3">
        <v>445.29999999939997</v>
      </c>
      <c r="DB3">
        <v>445.20000000009998</v>
      </c>
      <c r="DC3">
        <v>445.29999999939997</v>
      </c>
      <c r="DD3">
        <v>445.29999999939997</v>
      </c>
      <c r="DE3">
        <v>445.29999999939997</v>
      </c>
      <c r="DF3">
        <v>445.10000000079998</v>
      </c>
      <c r="DG3">
        <v>0.59999999940000004</v>
      </c>
      <c r="DH3">
        <v>1.2999999999</v>
      </c>
      <c r="DI3">
        <v>1.2000000006</v>
      </c>
      <c r="DJ3">
        <v>1.2000000006</v>
      </c>
      <c r="DK3">
        <v>1.3999999992000001</v>
      </c>
      <c r="DL3">
        <v>1.3999999992000001</v>
      </c>
      <c r="DM3">
        <v>1.3999999992000001</v>
      </c>
      <c r="DN3">
        <v>1.3999999992000001</v>
      </c>
      <c r="DO3">
        <v>1.5000000003</v>
      </c>
      <c r="DP3">
        <v>1.3999999992000001</v>
      </c>
      <c r="DQ3">
        <v>1.5000000003</v>
      </c>
      <c r="DR3">
        <v>1.3999999992000001</v>
      </c>
      <c r="DS3">
        <v>1.5000000003</v>
      </c>
      <c r="DT3">
        <v>2.0999999997000001</v>
      </c>
      <c r="DU3">
        <v>2.7000000008999998</v>
      </c>
      <c r="DV3">
        <v>4.1999999994000001</v>
      </c>
      <c r="DW3">
        <v>9.7000000004999993</v>
      </c>
      <c r="DX3">
        <v>15.300000000900001</v>
      </c>
      <c r="DY3">
        <v>22.600000000200001</v>
      </c>
      <c r="DZ3">
        <v>30.0999999999</v>
      </c>
      <c r="EA3">
        <v>36.4000000009</v>
      </c>
      <c r="EB3">
        <v>43.100000000800001</v>
      </c>
      <c r="EC3">
        <v>50.600000000500003</v>
      </c>
      <c r="ED3">
        <v>58.9</v>
      </c>
      <c r="EE3">
        <v>66.000000000699998</v>
      </c>
      <c r="EF3">
        <v>73.099999999600001</v>
      </c>
      <c r="EG3">
        <v>80.900000000800006</v>
      </c>
      <c r="EH3">
        <v>88.299999999400001</v>
      </c>
      <c r="EI3">
        <v>95.800000001000001</v>
      </c>
      <c r="EJ3">
        <v>103.4999999993</v>
      </c>
      <c r="EK3">
        <v>112.8000000008</v>
      </c>
      <c r="EL3">
        <v>119.6999999993</v>
      </c>
      <c r="EM3">
        <v>128.89999999969999</v>
      </c>
      <c r="EN3">
        <v>138.00000000079999</v>
      </c>
      <c r="EO3">
        <v>145.0999999997</v>
      </c>
      <c r="EP3">
        <v>153.50000000029999</v>
      </c>
      <c r="EQ3">
        <v>162.30000000000001</v>
      </c>
      <c r="ER3">
        <v>169.7000000004</v>
      </c>
      <c r="ES3">
        <v>178.2999999996</v>
      </c>
      <c r="ET3">
        <v>186.99999999990001</v>
      </c>
      <c r="EU3">
        <v>193.90000000020001</v>
      </c>
      <c r="EV3">
        <v>202.40000000009999</v>
      </c>
      <c r="EW3">
        <v>210.9999999993</v>
      </c>
      <c r="EX3">
        <v>218.8999999998</v>
      </c>
      <c r="EY3">
        <v>226.6</v>
      </c>
      <c r="EZ3">
        <v>235.00000000060001</v>
      </c>
      <c r="FA3">
        <v>242.70000000069999</v>
      </c>
      <c r="FB3">
        <v>250.0999999993</v>
      </c>
      <c r="FC3">
        <v>258.10000000090002</v>
      </c>
      <c r="FD3">
        <v>266.70000000009998</v>
      </c>
      <c r="FE3">
        <v>273.60000000039997</v>
      </c>
      <c r="FF3">
        <v>281.3999999998</v>
      </c>
      <c r="FG3">
        <v>289.19999999930002</v>
      </c>
      <c r="FH3">
        <v>295.90000000100002</v>
      </c>
      <c r="FI3">
        <v>303.09999999920001</v>
      </c>
      <c r="FJ3">
        <v>310.49999999959999</v>
      </c>
      <c r="FK3">
        <v>318.60000000050002</v>
      </c>
      <c r="FL3">
        <v>324.69999999919997</v>
      </c>
      <c r="FM3">
        <v>331.89999999920002</v>
      </c>
      <c r="FN3">
        <v>338.99999999990001</v>
      </c>
      <c r="FO3">
        <v>345.19999999970003</v>
      </c>
      <c r="FP3">
        <v>351.6</v>
      </c>
      <c r="FQ3">
        <v>358.20000000060003</v>
      </c>
      <c r="FR3">
        <v>364.70000000009998</v>
      </c>
      <c r="FS3">
        <v>371.49999999929997</v>
      </c>
      <c r="FT3">
        <v>377.3000000001</v>
      </c>
      <c r="FU3">
        <v>383.59999999920001</v>
      </c>
      <c r="FV3">
        <v>389.99999999940002</v>
      </c>
      <c r="FW3">
        <v>395.39999999939999</v>
      </c>
      <c r="FX3">
        <v>400.79999999939997</v>
      </c>
      <c r="FY3">
        <v>406.3999999998</v>
      </c>
      <c r="FZ3">
        <v>412.00000000030002</v>
      </c>
      <c r="GA3">
        <v>417.49999999959999</v>
      </c>
      <c r="GB3">
        <v>423.1</v>
      </c>
      <c r="GC3">
        <v>427.99999999990001</v>
      </c>
      <c r="GD3">
        <v>433.30000000059999</v>
      </c>
      <c r="GE3">
        <v>438.09999999939998</v>
      </c>
      <c r="GF3">
        <v>442.60000000029999</v>
      </c>
      <c r="GG3">
        <v>444.10000000060001</v>
      </c>
      <c r="GH3">
        <v>444.90000000039998</v>
      </c>
      <c r="GI3">
        <v>444.99999999969998</v>
      </c>
      <c r="GJ3">
        <v>444.90000000039998</v>
      </c>
      <c r="GK3">
        <v>444.99999999969998</v>
      </c>
      <c r="GL3">
        <v>445.20000000009998</v>
      </c>
      <c r="GM3">
        <v>445.10000000079998</v>
      </c>
      <c r="GN3">
        <v>445.10000000079998</v>
      </c>
      <c r="GO3">
        <v>445.20000000009998</v>
      </c>
      <c r="GP3">
        <v>445.29999999939997</v>
      </c>
      <c r="GQ3">
        <v>445.10000000079998</v>
      </c>
      <c r="GR3">
        <v>445.10000000079998</v>
      </c>
      <c r="GS3">
        <v>445.10000000079998</v>
      </c>
      <c r="GT3">
        <v>445.20000000009998</v>
      </c>
      <c r="GU3">
        <v>445.29999999939997</v>
      </c>
      <c r="GV3">
        <v>445.40000000049997</v>
      </c>
      <c r="GW3">
        <v>1</v>
      </c>
      <c r="GX3">
        <v>124.600000001</v>
      </c>
      <c r="GY3">
        <v>121.6000000004</v>
      </c>
      <c r="GZ3">
        <v>121.6000000004</v>
      </c>
      <c r="HA3">
        <v>128.89999999969999</v>
      </c>
      <c r="HB3">
        <v>123.6532786887</v>
      </c>
      <c r="HC3">
        <v>-7.2999999992999998</v>
      </c>
      <c r="HD3">
        <v>445.39996631539998</v>
      </c>
      <c r="HE3">
        <v>281.99702447760001</v>
      </c>
      <c r="HF3">
        <v>106.98177633029999</v>
      </c>
      <c r="HG3">
        <v>445.40000000049997</v>
      </c>
      <c r="HH3">
        <v>445.39996631539998</v>
      </c>
      <c r="HI3">
        <v>445.29999999939997</v>
      </c>
      <c r="HJ3">
        <v>445.40000000049997</v>
      </c>
      <c r="HK3">
        <v>110.26392961880001</v>
      </c>
      <c r="HL3">
        <v>3.2906901625999998</v>
      </c>
      <c r="HM3">
        <v>3.2128430495</v>
      </c>
      <c r="HN3">
        <v>3.2482195311000002</v>
      </c>
      <c r="HO3">
        <v>3.0537972796999999</v>
      </c>
      <c r="HP3">
        <v>3.4724748828999998</v>
      </c>
      <c r="HQ3">
        <v>2.2470723038</v>
      </c>
      <c r="HR3">
        <v>16.671502358400001</v>
      </c>
      <c r="HS3">
        <v>-32.844574780099997</v>
      </c>
      <c r="HT3">
        <v>-224</v>
      </c>
      <c r="HU3">
        <v>405.65030316629998</v>
      </c>
      <c r="HV3">
        <v>89.149560117299998</v>
      </c>
      <c r="HW3">
        <v>608</v>
      </c>
      <c r="HX3">
        <v>16.671502358400001</v>
      </c>
      <c r="HY3">
        <v>-32.844574780099997</v>
      </c>
      <c r="HZ3">
        <v>-224</v>
      </c>
      <c r="IA3">
        <v>405.65030316629998</v>
      </c>
      <c r="IB3">
        <v>89.149560117299998</v>
      </c>
      <c r="IC3">
        <v>608</v>
      </c>
      <c r="ID3">
        <v>39.749663149</v>
      </c>
      <c r="IE3">
        <v>1.6053110259000001</v>
      </c>
      <c r="IF3">
        <v>-42.228739002899999</v>
      </c>
      <c r="IG3">
        <v>-288</v>
      </c>
      <c r="IH3">
        <v>427.69467774520001</v>
      </c>
      <c r="II3">
        <v>98.533724340199996</v>
      </c>
      <c r="IJ3">
        <v>672</v>
      </c>
      <c r="IK3">
        <v>388.97880080789997</v>
      </c>
      <c r="IL3">
        <v>121.9941348974</v>
      </c>
      <c r="IM3">
        <v>411.58657084999999</v>
      </c>
      <c r="IN3">
        <v>131.37829912020001</v>
      </c>
      <c r="IO3">
        <v>7.2999999992999998</v>
      </c>
      <c r="IP3">
        <v>6.0999999987000004</v>
      </c>
      <c r="IQ3">
        <v>9.3000000015000008</v>
      </c>
      <c r="IR3">
        <v>5.3876895163</v>
      </c>
      <c r="IS3">
        <v>5.3876895163</v>
      </c>
      <c r="IT3">
        <v>6.1999999998000002</v>
      </c>
      <c r="IU3">
        <v>-32.844574780099997</v>
      </c>
      <c r="IV3">
        <v>9.5000000001</v>
      </c>
      <c r="IW3">
        <v>56.304985337200002</v>
      </c>
      <c r="IX3">
        <v>7.7999999993999998</v>
      </c>
      <c r="IY3">
        <v>96.187683284499997</v>
      </c>
      <c r="IZ3">
        <v>-38.387880674100003</v>
      </c>
      <c r="JA3">
        <v>0.3447676979</v>
      </c>
      <c r="JB3">
        <v>-3.7084530000000001E-4</v>
      </c>
      <c r="JC3">
        <v>7.2699999999999999E-7</v>
      </c>
      <c r="JD3">
        <v>0.30388761949999998</v>
      </c>
      <c r="JE3">
        <v>0.28320003890000001</v>
      </c>
      <c r="JF3">
        <v>0.12739707350000001</v>
      </c>
      <c r="JG3">
        <v>124.2392200379</v>
      </c>
      <c r="JH3">
        <v>3.4724748828999998</v>
      </c>
      <c r="JI3">
        <v>2.8072929000000002E-3</v>
      </c>
      <c r="JJ3">
        <v>-7.2387900000000005E-5</v>
      </c>
      <c r="JK3">
        <v>3.2906901625999998</v>
      </c>
      <c r="JL3">
        <v>1.4222657836999999</v>
      </c>
      <c r="JM3">
        <v>0.60388760730000002</v>
      </c>
      <c r="JN3" t="s">
        <v>523</v>
      </c>
      <c r="JQ3">
        <v>1</v>
      </c>
    </row>
    <row r="4" spans="1:277">
      <c r="A4" t="s">
        <v>608</v>
      </c>
      <c r="B4" t="s">
        <v>609</v>
      </c>
      <c r="C4" t="s">
        <v>208</v>
      </c>
      <c r="D4">
        <v>3</v>
      </c>
      <c r="E4" t="s">
        <v>209</v>
      </c>
      <c r="F4" t="s">
        <v>210</v>
      </c>
      <c r="G4" t="s">
        <v>522</v>
      </c>
      <c r="H4" t="s">
        <v>528</v>
      </c>
      <c r="J4" t="s">
        <v>543</v>
      </c>
      <c r="K4" t="s">
        <v>544</v>
      </c>
      <c r="L4" t="s">
        <v>545</v>
      </c>
      <c r="M4" t="s">
        <v>546</v>
      </c>
      <c r="N4" t="s">
        <v>547</v>
      </c>
      <c r="O4">
        <v>0</v>
      </c>
      <c r="P4">
        <v>0</v>
      </c>
      <c r="Q4">
        <v>0</v>
      </c>
      <c r="R4">
        <v>0.60000000119999997</v>
      </c>
      <c r="S4">
        <v>0.79999999980000003</v>
      </c>
      <c r="T4">
        <v>1.0999999995</v>
      </c>
      <c r="U4">
        <v>1.0999999995</v>
      </c>
      <c r="V4">
        <v>1.0000000002</v>
      </c>
      <c r="W4">
        <v>0.90000000089999999</v>
      </c>
      <c r="X4">
        <v>0.7000000005</v>
      </c>
      <c r="Y4">
        <v>0.7000000005</v>
      </c>
      <c r="Z4">
        <v>1.0000000002</v>
      </c>
      <c r="AA4">
        <v>1.2000000006</v>
      </c>
      <c r="AB4">
        <v>1.2999999999</v>
      </c>
      <c r="AC4">
        <v>1.0999999995</v>
      </c>
      <c r="AD4">
        <v>1.2000000006</v>
      </c>
      <c r="AE4">
        <v>1.400000001</v>
      </c>
      <c r="AF4">
        <v>6.0000000012000001</v>
      </c>
      <c r="AG4">
        <v>11.0000000004</v>
      </c>
      <c r="AH4">
        <v>15.4999999995</v>
      </c>
      <c r="AI4">
        <v>19.8</v>
      </c>
      <c r="AJ4">
        <v>26.700000000300001</v>
      </c>
      <c r="AK4">
        <v>33.400000000299997</v>
      </c>
      <c r="AL4">
        <v>39.899999999800002</v>
      </c>
      <c r="AM4">
        <v>47.500000000599996</v>
      </c>
      <c r="AN4">
        <v>55.3</v>
      </c>
      <c r="AO4">
        <v>62.900000000799999</v>
      </c>
      <c r="AP4">
        <v>69.900000000399999</v>
      </c>
      <c r="AQ4">
        <v>77.699999999799999</v>
      </c>
      <c r="AR4">
        <v>85.199999999499994</v>
      </c>
      <c r="AS4">
        <v>92.599999999900007</v>
      </c>
      <c r="AT4">
        <v>101.20000000100001</v>
      </c>
      <c r="AU4">
        <v>109.0999999997</v>
      </c>
      <c r="AV4">
        <v>117.400000001</v>
      </c>
      <c r="AW4">
        <v>125.29999999970001</v>
      </c>
      <c r="AX4">
        <v>133.7999999996</v>
      </c>
      <c r="AY4">
        <v>141.7000000001</v>
      </c>
      <c r="AZ4">
        <v>150.10000000069999</v>
      </c>
      <c r="BA4">
        <v>158.60000000069999</v>
      </c>
      <c r="BB4">
        <v>167.1999999999</v>
      </c>
      <c r="BC4">
        <v>174.9</v>
      </c>
      <c r="BD4">
        <v>183.19999999949999</v>
      </c>
      <c r="BE4">
        <v>190.70000000100001</v>
      </c>
      <c r="BF4">
        <v>198.8000000001</v>
      </c>
      <c r="BG4">
        <v>207.7000000008</v>
      </c>
      <c r="BH4">
        <v>216.2000000008</v>
      </c>
      <c r="BI4">
        <v>224.0000000002</v>
      </c>
      <c r="BJ4">
        <v>231.70000000030001</v>
      </c>
      <c r="BK4">
        <v>239.60000000080001</v>
      </c>
      <c r="BL4">
        <v>247.10000000049999</v>
      </c>
      <c r="BM4">
        <v>255.6999999997</v>
      </c>
      <c r="BN4">
        <v>263.30000000050001</v>
      </c>
      <c r="BO4">
        <v>271.30000000029997</v>
      </c>
      <c r="BP4">
        <v>278.59999999960002</v>
      </c>
      <c r="BQ4">
        <v>286.00000000009999</v>
      </c>
      <c r="BR4">
        <v>293.10000000079998</v>
      </c>
      <c r="BS4">
        <v>300.30000000080003</v>
      </c>
      <c r="BT4">
        <v>308.19999999949999</v>
      </c>
      <c r="BU4">
        <v>315.39999999949998</v>
      </c>
      <c r="BV4">
        <v>322.59999999950003</v>
      </c>
      <c r="BW4">
        <v>329.79999999950002</v>
      </c>
      <c r="BX4">
        <v>336.30000000080003</v>
      </c>
      <c r="BY4">
        <v>342.59999999989998</v>
      </c>
      <c r="BZ4">
        <v>349.40000000100002</v>
      </c>
      <c r="CA4">
        <v>356.70000000030001</v>
      </c>
      <c r="CB4">
        <v>363.30000000090001</v>
      </c>
      <c r="CC4">
        <v>369.70000000110002</v>
      </c>
      <c r="CD4">
        <v>375.70000000049998</v>
      </c>
      <c r="CE4">
        <v>382.49999999969998</v>
      </c>
      <c r="CF4">
        <v>388.00000000080001</v>
      </c>
      <c r="CG4">
        <v>393.70000000049998</v>
      </c>
      <c r="CH4">
        <v>399.40000000020001</v>
      </c>
      <c r="CI4">
        <v>405.89999999970001</v>
      </c>
      <c r="CJ4">
        <v>411.79999999990002</v>
      </c>
      <c r="CK4">
        <v>417.4000000003</v>
      </c>
      <c r="CL4">
        <v>423.1</v>
      </c>
      <c r="CM4">
        <v>428.4000000007</v>
      </c>
      <c r="CN4">
        <v>434.10000000039997</v>
      </c>
      <c r="CO4">
        <v>438.90000000100002</v>
      </c>
      <c r="CP4">
        <v>443.99999999950001</v>
      </c>
      <c r="CQ4">
        <v>449.00000000049999</v>
      </c>
      <c r="CR4">
        <v>454.30000000119998</v>
      </c>
      <c r="CS4">
        <v>456.79999999990002</v>
      </c>
      <c r="CT4">
        <v>457.00000000030002</v>
      </c>
      <c r="CU4">
        <v>456.90000000100002</v>
      </c>
      <c r="CV4">
        <v>456.79999999990002</v>
      </c>
      <c r="CW4">
        <v>456.90000000100002</v>
      </c>
      <c r="CX4">
        <v>456.90000000100002</v>
      </c>
      <c r="CY4">
        <v>456.90000000100002</v>
      </c>
      <c r="CZ4">
        <v>456.79999999990002</v>
      </c>
      <c r="DA4">
        <v>456.79999999990002</v>
      </c>
      <c r="DB4">
        <v>456.59999999950003</v>
      </c>
      <c r="DC4">
        <v>456.79999999990002</v>
      </c>
      <c r="DD4">
        <v>457.00000000030002</v>
      </c>
      <c r="DE4">
        <v>456.79999999990002</v>
      </c>
      <c r="DF4">
        <v>456.79999999990002</v>
      </c>
      <c r="DG4">
        <v>0.90000000089999999</v>
      </c>
      <c r="DH4">
        <v>1.9000000011</v>
      </c>
      <c r="DI4">
        <v>1.8</v>
      </c>
      <c r="DJ4">
        <v>1.9000000011</v>
      </c>
      <c r="DK4">
        <v>1.8</v>
      </c>
      <c r="DL4">
        <v>1.7000000007</v>
      </c>
      <c r="DM4">
        <v>1.9000000011</v>
      </c>
      <c r="DN4">
        <v>2.3000000000999998</v>
      </c>
      <c r="DO4">
        <v>2.2000000007999998</v>
      </c>
      <c r="DP4">
        <v>2.3000000000999998</v>
      </c>
      <c r="DQ4">
        <v>2.0000000004</v>
      </c>
      <c r="DR4">
        <v>2.0999999997000001</v>
      </c>
      <c r="DS4">
        <v>2.0000000004</v>
      </c>
      <c r="DT4">
        <v>2.0000000004</v>
      </c>
      <c r="DU4">
        <v>4.8000000005999999</v>
      </c>
      <c r="DV4">
        <v>10.0999999995</v>
      </c>
      <c r="DW4">
        <v>15.0000000012</v>
      </c>
      <c r="DX4">
        <v>19.400000000999999</v>
      </c>
      <c r="DY4">
        <v>25.9000000005</v>
      </c>
      <c r="DZ4">
        <v>32.4000000001</v>
      </c>
      <c r="EA4">
        <v>39.000000000699998</v>
      </c>
      <c r="EB4">
        <v>46.3</v>
      </c>
      <c r="EC4">
        <v>54.299999999800001</v>
      </c>
      <c r="ED4">
        <v>61.999999999899998</v>
      </c>
      <c r="EE4">
        <v>68.800000000899999</v>
      </c>
      <c r="EF4">
        <v>76.699999999599996</v>
      </c>
      <c r="EG4">
        <v>84.1</v>
      </c>
      <c r="EH4">
        <v>91.500000000499995</v>
      </c>
      <c r="EI4">
        <v>99.8</v>
      </c>
      <c r="EJ4">
        <v>107.6000000012</v>
      </c>
      <c r="EK4">
        <v>116.1000000011</v>
      </c>
      <c r="EL4">
        <v>123.4000000004</v>
      </c>
      <c r="EM4">
        <v>132.19999999999999</v>
      </c>
      <c r="EN4">
        <v>140.19999999980001</v>
      </c>
      <c r="EO4">
        <v>148.50000000110001</v>
      </c>
      <c r="EP4">
        <v>157.40000000009999</v>
      </c>
      <c r="EQ4">
        <v>165.60000000030001</v>
      </c>
      <c r="ER4">
        <v>173.20000000109999</v>
      </c>
      <c r="ES4">
        <v>181.70000000100001</v>
      </c>
      <c r="ET4">
        <v>189.7000000008</v>
      </c>
      <c r="EU4">
        <v>197.5999999995</v>
      </c>
      <c r="EV4">
        <v>206.5999999995</v>
      </c>
      <c r="EW4">
        <v>215.1000000013</v>
      </c>
      <c r="EX4">
        <v>223.2000000004</v>
      </c>
      <c r="EY4">
        <v>230.9000000005</v>
      </c>
      <c r="EZ4">
        <v>238.800000001</v>
      </c>
      <c r="FA4">
        <v>246.4</v>
      </c>
      <c r="FB4">
        <v>255.4</v>
      </c>
      <c r="FC4">
        <v>263.00000000080001</v>
      </c>
      <c r="FD4">
        <v>271.00000000059998</v>
      </c>
      <c r="FE4">
        <v>278.50000000030002</v>
      </c>
      <c r="FF4">
        <v>286.40000000089998</v>
      </c>
      <c r="FG4">
        <v>293.49999999980002</v>
      </c>
      <c r="FH4">
        <v>300.60000000050002</v>
      </c>
      <c r="FI4">
        <v>309.10000000039997</v>
      </c>
      <c r="FJ4">
        <v>316.50000000080001</v>
      </c>
      <c r="FK4">
        <v>323.7000000008</v>
      </c>
      <c r="FL4">
        <v>330.90000000079999</v>
      </c>
      <c r="FM4">
        <v>337.60000000069999</v>
      </c>
      <c r="FN4">
        <v>344.30000000069998</v>
      </c>
      <c r="FO4">
        <v>351.00000000059998</v>
      </c>
      <c r="FP4">
        <v>358.29999999990002</v>
      </c>
      <c r="FQ4">
        <v>365.10000000090002</v>
      </c>
      <c r="FR4">
        <v>371.69999999970003</v>
      </c>
      <c r="FS4">
        <v>378.00000000059998</v>
      </c>
      <c r="FT4">
        <v>383.7999999996</v>
      </c>
      <c r="FU4">
        <v>390.19999999980001</v>
      </c>
      <c r="FV4">
        <v>395.70000000089999</v>
      </c>
      <c r="FW4">
        <v>402</v>
      </c>
      <c r="FX4">
        <v>408.300000001</v>
      </c>
      <c r="FY4">
        <v>414.00000000070003</v>
      </c>
      <c r="FZ4">
        <v>419.7000000004</v>
      </c>
      <c r="GA4">
        <v>425.30000000080003</v>
      </c>
      <c r="GB4">
        <v>430.40000000110001</v>
      </c>
      <c r="GC4">
        <v>435.4000000003</v>
      </c>
      <c r="GD4">
        <v>440.59999999989998</v>
      </c>
      <c r="GE4">
        <v>444.99999999969998</v>
      </c>
      <c r="GF4">
        <v>449.59999999989998</v>
      </c>
      <c r="GG4">
        <v>454.79999999950002</v>
      </c>
      <c r="GH4">
        <v>456.70000000060003</v>
      </c>
      <c r="GI4">
        <v>456.70000000060003</v>
      </c>
      <c r="GJ4">
        <v>456.70000000060003</v>
      </c>
      <c r="GK4">
        <v>456.79999999990002</v>
      </c>
      <c r="GL4">
        <v>456.70000000060003</v>
      </c>
      <c r="GM4">
        <v>456.90000000100002</v>
      </c>
      <c r="GN4">
        <v>456.90000000100002</v>
      </c>
      <c r="GO4">
        <v>456.79999999990002</v>
      </c>
      <c r="GP4">
        <v>456.59999999950003</v>
      </c>
      <c r="GQ4">
        <v>456.70000000060003</v>
      </c>
      <c r="GR4">
        <v>456.70000000060003</v>
      </c>
      <c r="GS4">
        <v>456.79999999990002</v>
      </c>
      <c r="GT4">
        <v>456.90000000100002</v>
      </c>
      <c r="GU4">
        <v>456.90000000100002</v>
      </c>
      <c r="GV4">
        <v>456.90000000100002</v>
      </c>
      <c r="GW4">
        <v>1</v>
      </c>
      <c r="GX4">
        <v>128.00000000060001</v>
      </c>
      <c r="GY4">
        <v>125.29999999970001</v>
      </c>
      <c r="GZ4">
        <v>125.29999999970001</v>
      </c>
      <c r="HA4">
        <v>132.19999999999999</v>
      </c>
      <c r="HB4">
        <v>127.2441404966</v>
      </c>
      <c r="HC4">
        <v>-6.9000000003000004</v>
      </c>
      <c r="HD4">
        <v>456.89997811680001</v>
      </c>
      <c r="HE4">
        <v>285.92272677609998</v>
      </c>
      <c r="HF4">
        <v>100.1755334276</v>
      </c>
      <c r="HG4">
        <v>457.00000000030002</v>
      </c>
      <c r="HH4">
        <v>456.90000000100002</v>
      </c>
      <c r="HI4">
        <v>457.00000000030002</v>
      </c>
      <c r="HJ4">
        <v>456.90000000100002</v>
      </c>
      <c r="HK4">
        <v>110.26392961880001</v>
      </c>
      <c r="HL4">
        <v>3.3256039853999999</v>
      </c>
      <c r="HM4">
        <v>3.2375194444000002</v>
      </c>
      <c r="HN4">
        <v>3.2965577456999999</v>
      </c>
      <c r="HO4">
        <v>3.1045924650000001</v>
      </c>
      <c r="HP4">
        <v>3.4963448343999999</v>
      </c>
      <c r="HQ4">
        <v>2.3038000757999999</v>
      </c>
      <c r="HR4">
        <v>27.0686070689</v>
      </c>
      <c r="HS4">
        <v>-30.4985337243</v>
      </c>
      <c r="HT4">
        <v>-208</v>
      </c>
      <c r="HU4">
        <v>413.16686727270002</v>
      </c>
      <c r="HV4">
        <v>89.149560117299998</v>
      </c>
      <c r="HW4">
        <v>608</v>
      </c>
      <c r="HX4">
        <v>27.0686070689</v>
      </c>
      <c r="HY4">
        <v>-30.4985337243</v>
      </c>
      <c r="HZ4">
        <v>-208</v>
      </c>
      <c r="IA4">
        <v>413.16686727270002</v>
      </c>
      <c r="IB4">
        <v>89.149560117299998</v>
      </c>
      <c r="IC4">
        <v>608</v>
      </c>
      <c r="ID4">
        <v>43.733132728299999</v>
      </c>
      <c r="IE4">
        <v>6.0722289102999998</v>
      </c>
      <c r="IF4">
        <v>-39.8826979472</v>
      </c>
      <c r="IG4">
        <v>-272</v>
      </c>
      <c r="IH4">
        <v>435.01625998499998</v>
      </c>
      <c r="II4">
        <v>98.533724340199996</v>
      </c>
      <c r="IJ4">
        <v>672</v>
      </c>
      <c r="IK4">
        <v>386.09826020380001</v>
      </c>
      <c r="IL4">
        <v>119.6480938416</v>
      </c>
      <c r="IM4">
        <v>409.03559470520003</v>
      </c>
      <c r="IN4">
        <v>129.03225806450001</v>
      </c>
      <c r="IO4">
        <v>6.9000000003000004</v>
      </c>
      <c r="IP4">
        <v>5.6999999997000002</v>
      </c>
      <c r="IQ4">
        <v>9</v>
      </c>
      <c r="IR4">
        <v>4.6770925364</v>
      </c>
      <c r="IS4">
        <v>4.6770925364</v>
      </c>
      <c r="IT4">
        <v>6.1000000004999997</v>
      </c>
      <c r="IU4">
        <v>-32.844574780099997</v>
      </c>
      <c r="IV4">
        <v>8.9000000007000004</v>
      </c>
      <c r="IW4">
        <v>86.803519061599999</v>
      </c>
      <c r="IX4">
        <v>7.3000000010999999</v>
      </c>
      <c r="IY4">
        <v>96.187683284499997</v>
      </c>
      <c r="IZ4">
        <v>-39.417955585000001</v>
      </c>
      <c r="JA4">
        <v>0.3460520144</v>
      </c>
      <c r="JB4">
        <v>-3.7426940000000002E-4</v>
      </c>
      <c r="JC4">
        <v>7.0119999999999995E-7</v>
      </c>
      <c r="JD4">
        <v>0.30069725809999998</v>
      </c>
      <c r="JE4">
        <v>0.25138749519999998</v>
      </c>
      <c r="JF4">
        <v>0.10164372689999999</v>
      </c>
      <c r="JG4">
        <v>127.6459123362</v>
      </c>
      <c r="JH4">
        <v>3.4963448343999999</v>
      </c>
      <c r="JI4">
        <v>3.0804773E-3</v>
      </c>
      <c r="JJ4">
        <v>-7.3052699999999999E-5</v>
      </c>
      <c r="JK4">
        <v>3.3256039853999999</v>
      </c>
      <c r="JL4">
        <v>1.118348466</v>
      </c>
      <c r="JM4">
        <v>0.48188658919999999</v>
      </c>
      <c r="JN4" t="s">
        <v>523</v>
      </c>
      <c r="JQ4">
        <v>1</v>
      </c>
    </row>
    <row r="5" spans="1:277">
      <c r="A5" t="s">
        <v>610</v>
      </c>
      <c r="B5" t="s">
        <v>611</v>
      </c>
      <c r="C5" t="s">
        <v>208</v>
      </c>
      <c r="D5">
        <v>3</v>
      </c>
      <c r="E5" t="s">
        <v>209</v>
      </c>
      <c r="F5" t="s">
        <v>210</v>
      </c>
      <c r="G5" t="s">
        <v>522</v>
      </c>
      <c r="H5" t="s">
        <v>528</v>
      </c>
      <c r="J5" t="s">
        <v>550</v>
      </c>
      <c r="K5" t="s">
        <v>551</v>
      </c>
      <c r="L5" t="s">
        <v>552</v>
      </c>
      <c r="M5" t="s">
        <v>553</v>
      </c>
      <c r="N5" t="s">
        <v>554</v>
      </c>
      <c r="O5">
        <v>0</v>
      </c>
      <c r="P5">
        <v>0</v>
      </c>
      <c r="Q5">
        <v>1.400000001</v>
      </c>
      <c r="R5">
        <v>1.400000001</v>
      </c>
      <c r="S5">
        <v>1.5000000003</v>
      </c>
      <c r="T5">
        <v>1.400000001</v>
      </c>
      <c r="U5">
        <v>1.5000000003</v>
      </c>
      <c r="V5">
        <v>1.5000000003</v>
      </c>
      <c r="W5">
        <v>1.2999999999</v>
      </c>
      <c r="X5">
        <v>1.400000001</v>
      </c>
      <c r="Y5">
        <v>1.400000001</v>
      </c>
      <c r="Z5">
        <v>1.5000000003</v>
      </c>
      <c r="AA5">
        <v>1.5000000003</v>
      </c>
      <c r="AB5">
        <v>1.400000001</v>
      </c>
      <c r="AC5">
        <v>1.400000001</v>
      </c>
      <c r="AD5">
        <v>1.5999999996000001</v>
      </c>
      <c r="AE5">
        <v>1.2000000006</v>
      </c>
      <c r="AF5">
        <v>0.79999999980000003</v>
      </c>
      <c r="AG5">
        <v>0</v>
      </c>
      <c r="AH5">
        <v>1.7000000007</v>
      </c>
      <c r="AI5">
        <v>6.3000000008999999</v>
      </c>
      <c r="AJ5">
        <v>12.6</v>
      </c>
      <c r="AK5">
        <v>19.299999999899999</v>
      </c>
      <c r="AL5">
        <v>26.100000001000002</v>
      </c>
      <c r="AM5">
        <v>33.400000000299997</v>
      </c>
      <c r="AN5">
        <v>40.200000001299998</v>
      </c>
      <c r="AO5">
        <v>47.899999999599999</v>
      </c>
      <c r="AP5">
        <v>55.700000000800003</v>
      </c>
      <c r="AQ5">
        <v>63.500000000199996</v>
      </c>
      <c r="AR5">
        <v>70.800000001300006</v>
      </c>
      <c r="AS5">
        <v>78.300000001000001</v>
      </c>
      <c r="AT5">
        <v>86.600000000500003</v>
      </c>
      <c r="AU5">
        <v>94.1000000003</v>
      </c>
      <c r="AV5">
        <v>102.5000000009</v>
      </c>
      <c r="AW5">
        <v>111.3999999998</v>
      </c>
      <c r="AX5">
        <v>119.8999999997</v>
      </c>
      <c r="AY5">
        <v>127.50000000049999</v>
      </c>
      <c r="AZ5">
        <v>136.00000000040001</v>
      </c>
      <c r="BA5">
        <v>143.70000000050001</v>
      </c>
      <c r="BB5">
        <v>152.7000000006</v>
      </c>
      <c r="BC5">
        <v>160.6000000011</v>
      </c>
      <c r="BD5">
        <v>169.10000000100001</v>
      </c>
      <c r="BE5">
        <v>176.90000000040001</v>
      </c>
      <c r="BF5">
        <v>185.4000000003</v>
      </c>
      <c r="BG5">
        <v>193.1999999997</v>
      </c>
      <c r="BH5">
        <v>202.00000000110001</v>
      </c>
      <c r="BI5">
        <v>210.0000000009</v>
      </c>
      <c r="BJ5">
        <v>218.30000000050001</v>
      </c>
      <c r="BK5">
        <v>226.20000000100001</v>
      </c>
      <c r="BL5">
        <v>234.00000000040001</v>
      </c>
      <c r="BM5">
        <v>242.0000000002</v>
      </c>
      <c r="BN5">
        <v>249.70000000030001</v>
      </c>
      <c r="BO5">
        <v>257.70000000009998</v>
      </c>
      <c r="BP5">
        <v>265.6999999999</v>
      </c>
      <c r="BQ5">
        <v>273.10000000029999</v>
      </c>
      <c r="BR5">
        <v>280.80000000050001</v>
      </c>
      <c r="BS5">
        <v>288.30000000019999</v>
      </c>
      <c r="BT5">
        <v>295.79999999990002</v>
      </c>
      <c r="BU5">
        <v>302.99999999990001</v>
      </c>
      <c r="BV5">
        <v>310.49999999959999</v>
      </c>
      <c r="BW5">
        <v>317.89999999999998</v>
      </c>
      <c r="BX5">
        <v>324.70000000099998</v>
      </c>
      <c r="BY5">
        <v>331.10000000119999</v>
      </c>
      <c r="BZ5">
        <v>338.10000000079998</v>
      </c>
      <c r="CA5">
        <v>345.19999999970003</v>
      </c>
      <c r="CB5">
        <v>351.80000000040002</v>
      </c>
      <c r="CC5">
        <v>358.70000000070002</v>
      </c>
      <c r="CD5">
        <v>364.90000000049997</v>
      </c>
      <c r="CE5">
        <v>371.4</v>
      </c>
      <c r="CF5">
        <v>377.80000000019999</v>
      </c>
      <c r="CG5">
        <v>383.60000000100001</v>
      </c>
      <c r="CH5">
        <v>389.80000000080003</v>
      </c>
      <c r="CI5">
        <v>396.00000000059998</v>
      </c>
      <c r="CJ5">
        <v>401.70000000030001</v>
      </c>
      <c r="CK5">
        <v>407.80000000090001</v>
      </c>
      <c r="CL5">
        <v>413.50000000059998</v>
      </c>
      <c r="CM5">
        <v>418.99999999990001</v>
      </c>
      <c r="CN5">
        <v>425.00000000109998</v>
      </c>
      <c r="CO5">
        <v>430.00000000030002</v>
      </c>
      <c r="CP5">
        <v>435.1999999999</v>
      </c>
      <c r="CQ5">
        <v>440.30000000019999</v>
      </c>
      <c r="CR5">
        <v>445.70000000020002</v>
      </c>
      <c r="CS5">
        <v>450.30000000040002</v>
      </c>
      <c r="CT5">
        <v>452.60000000050002</v>
      </c>
      <c r="CU5">
        <v>452.60000000050002</v>
      </c>
      <c r="CV5">
        <v>452.69999999980001</v>
      </c>
      <c r="CW5">
        <v>452.60000000050002</v>
      </c>
      <c r="CX5">
        <v>452.80000000090001</v>
      </c>
      <c r="CY5">
        <v>452.60000000050002</v>
      </c>
      <c r="CZ5">
        <v>452.50000000120002</v>
      </c>
      <c r="DA5">
        <v>452.60000000050002</v>
      </c>
      <c r="DB5">
        <v>452.60000000050002</v>
      </c>
      <c r="DC5">
        <v>452.69999999980001</v>
      </c>
      <c r="DD5">
        <v>452.60000000050002</v>
      </c>
      <c r="DE5">
        <v>452.80000000090001</v>
      </c>
      <c r="DF5">
        <v>452.90000000020001</v>
      </c>
      <c r="DG5">
        <v>2.2000000007999998</v>
      </c>
      <c r="DH5">
        <v>2.2000000007999998</v>
      </c>
      <c r="DI5">
        <v>2.4000000012</v>
      </c>
      <c r="DJ5">
        <v>2.3000000000999998</v>
      </c>
      <c r="DK5">
        <v>2.4000000012</v>
      </c>
      <c r="DL5">
        <v>2.3000000000999998</v>
      </c>
      <c r="DM5">
        <v>2.5999999998000001</v>
      </c>
      <c r="DN5">
        <v>2.4000000012</v>
      </c>
      <c r="DO5">
        <v>2.0999999997000001</v>
      </c>
      <c r="DP5">
        <v>2.0999999997000001</v>
      </c>
      <c r="DQ5">
        <v>2.2000000007999998</v>
      </c>
      <c r="DR5">
        <v>2.5000000005</v>
      </c>
      <c r="DS5">
        <v>2.4000000012</v>
      </c>
      <c r="DT5">
        <v>2.4000000012</v>
      </c>
      <c r="DU5">
        <v>2.0000000004</v>
      </c>
      <c r="DV5">
        <v>1.2999999999</v>
      </c>
      <c r="DW5">
        <v>1.0000000002</v>
      </c>
      <c r="DX5">
        <v>5.1999999996000001</v>
      </c>
      <c r="DY5">
        <v>12.200000000999999</v>
      </c>
      <c r="DZ5">
        <v>18.500000000099998</v>
      </c>
      <c r="EA5">
        <v>25.300000001200001</v>
      </c>
      <c r="EB5">
        <v>32.600000000500003</v>
      </c>
      <c r="EC5">
        <v>39.3999999997</v>
      </c>
      <c r="ED5">
        <v>47.4000000013</v>
      </c>
      <c r="EE5">
        <v>55.099999999600001</v>
      </c>
      <c r="EF5">
        <v>62.799999999699999</v>
      </c>
      <c r="EG5">
        <v>69.999999999699995</v>
      </c>
      <c r="EH5">
        <v>77.500000001199993</v>
      </c>
      <c r="EI5">
        <v>85.399999999900004</v>
      </c>
      <c r="EJ5">
        <v>92.899999999599999</v>
      </c>
      <c r="EK5">
        <v>101.5000000007</v>
      </c>
      <c r="EL5">
        <v>109.7000000009</v>
      </c>
      <c r="EM5">
        <v>118.3000000001</v>
      </c>
      <c r="EN5">
        <v>126.7000000007</v>
      </c>
      <c r="EO5">
        <v>134.79999999980001</v>
      </c>
      <c r="EP5">
        <v>142.60000000100001</v>
      </c>
      <c r="EQ5">
        <v>151.40000000059999</v>
      </c>
      <c r="ER5">
        <v>159.90000000059999</v>
      </c>
      <c r="ES5">
        <v>168.10000000080001</v>
      </c>
      <c r="ET5">
        <v>175.90000000020001</v>
      </c>
      <c r="EU5">
        <v>184.40000000009999</v>
      </c>
      <c r="EV5">
        <v>192.9</v>
      </c>
      <c r="EW5">
        <v>201.50000000099999</v>
      </c>
      <c r="EX5">
        <v>209.50000000079999</v>
      </c>
      <c r="EY5">
        <v>217.80000000039999</v>
      </c>
      <c r="EZ5">
        <v>225.90000000129999</v>
      </c>
      <c r="FA5">
        <v>233.70000000069999</v>
      </c>
      <c r="FB5">
        <v>242.400000001</v>
      </c>
      <c r="FC5">
        <v>249.7999999996</v>
      </c>
      <c r="FD5">
        <v>258.30000000130002</v>
      </c>
      <c r="FE5">
        <v>266.30000000109999</v>
      </c>
      <c r="FF5">
        <v>274.10000000050002</v>
      </c>
      <c r="FG5">
        <v>281.50000000099999</v>
      </c>
      <c r="FH5">
        <v>289.20000000110002</v>
      </c>
      <c r="FI5">
        <v>296.50000000040001</v>
      </c>
      <c r="FJ5">
        <v>304.50000000019998</v>
      </c>
      <c r="FK5">
        <v>311.80000000130002</v>
      </c>
      <c r="FL5">
        <v>319.60000000069999</v>
      </c>
      <c r="FM5">
        <v>326.69999999959998</v>
      </c>
      <c r="FN5">
        <v>333.40000000129999</v>
      </c>
      <c r="FO5">
        <v>340.60000000140002</v>
      </c>
      <c r="FP5">
        <v>347.10000000090002</v>
      </c>
      <c r="FQ5">
        <v>354.30000000090001</v>
      </c>
      <c r="FR5">
        <v>361.10000000010001</v>
      </c>
      <c r="FS5">
        <v>367.8</v>
      </c>
      <c r="FT5">
        <v>373.99999999980002</v>
      </c>
      <c r="FU5">
        <v>380.00000000099999</v>
      </c>
      <c r="FV5">
        <v>386.4000000012</v>
      </c>
      <c r="FW5">
        <v>392.60000000100001</v>
      </c>
      <c r="FX5">
        <v>398.50000000109998</v>
      </c>
      <c r="FY5">
        <v>404.70000000099998</v>
      </c>
      <c r="FZ5">
        <v>410.6000000011</v>
      </c>
      <c r="GA5">
        <v>416.19999999970003</v>
      </c>
      <c r="GB5">
        <v>421.7000000008</v>
      </c>
      <c r="GC5">
        <v>427.10000000079998</v>
      </c>
      <c r="GD5">
        <v>432.30000000040002</v>
      </c>
      <c r="GE5">
        <v>437.10000000100001</v>
      </c>
      <c r="GF5">
        <v>442.1000000002</v>
      </c>
      <c r="GG5">
        <v>447.10000000119999</v>
      </c>
      <c r="GH5">
        <v>450.60000000010001</v>
      </c>
      <c r="GI5">
        <v>452.50000000120002</v>
      </c>
      <c r="GJ5">
        <v>452.50000000120002</v>
      </c>
      <c r="GK5">
        <v>452.40000000010002</v>
      </c>
      <c r="GL5">
        <v>452.40000000010002</v>
      </c>
      <c r="GM5">
        <v>452.60000000050002</v>
      </c>
      <c r="GN5">
        <v>452.60000000050002</v>
      </c>
      <c r="GO5">
        <v>452.60000000050002</v>
      </c>
      <c r="GP5">
        <v>452.50000000120002</v>
      </c>
      <c r="GQ5">
        <v>452.60000000050002</v>
      </c>
      <c r="GR5">
        <v>452.60000000050002</v>
      </c>
      <c r="GS5">
        <v>452.69999999980001</v>
      </c>
      <c r="GT5">
        <v>452.50000000120002</v>
      </c>
      <c r="GU5">
        <v>452.80000000090001</v>
      </c>
      <c r="GV5">
        <v>452.80000000090001</v>
      </c>
      <c r="GW5">
        <v>1</v>
      </c>
      <c r="GX5">
        <v>112.4999999993</v>
      </c>
      <c r="GY5">
        <v>111.3999999998</v>
      </c>
      <c r="GZ5">
        <v>111.3999999998</v>
      </c>
      <c r="HA5">
        <v>118.3000000001</v>
      </c>
      <c r="HB5">
        <v>113.1499503145</v>
      </c>
      <c r="HC5">
        <v>-6.9000000003000004</v>
      </c>
      <c r="HD5">
        <v>452.80000000090001</v>
      </c>
      <c r="HE5">
        <v>296.53224025729997</v>
      </c>
      <c r="HF5">
        <v>93.554488241000001</v>
      </c>
      <c r="HG5">
        <v>452.90000000020001</v>
      </c>
      <c r="HH5">
        <v>452.80000000090001</v>
      </c>
      <c r="HI5">
        <v>452.90000000020001</v>
      </c>
      <c r="HJ5">
        <v>452.80000000090001</v>
      </c>
      <c r="HK5">
        <v>112.6099706745</v>
      </c>
      <c r="HL5">
        <v>3.3575052341</v>
      </c>
      <c r="HM5">
        <v>3.2762065796000002</v>
      </c>
      <c r="HN5">
        <v>3.3139201842000001</v>
      </c>
      <c r="HO5">
        <v>3.1490954964000002</v>
      </c>
      <c r="HP5">
        <v>3.5149315135000001</v>
      </c>
      <c r="HQ5">
        <v>2.3428595827000001</v>
      </c>
      <c r="HR5">
        <v>19.595462073499998</v>
      </c>
      <c r="HS5">
        <v>-28.152492668600001</v>
      </c>
      <c r="HT5">
        <v>-192</v>
      </c>
      <c r="HU5">
        <v>409.68219057179999</v>
      </c>
      <c r="HV5">
        <v>91.495601172999997</v>
      </c>
      <c r="HW5">
        <v>624</v>
      </c>
      <c r="HX5">
        <v>19.595462073499998</v>
      </c>
      <c r="HY5">
        <v>-28.152492668600001</v>
      </c>
      <c r="HZ5">
        <v>-192</v>
      </c>
      <c r="IA5">
        <v>409.68219057179999</v>
      </c>
      <c r="IB5">
        <v>91.495601172999997</v>
      </c>
      <c r="IC5">
        <v>624</v>
      </c>
      <c r="ID5">
        <v>43.117809429099999</v>
      </c>
      <c r="IE5">
        <v>1.1041184E-3</v>
      </c>
      <c r="IF5">
        <v>-37.536656891500002</v>
      </c>
      <c r="IG5">
        <v>-256</v>
      </c>
      <c r="IH5">
        <v>431.90989290099998</v>
      </c>
      <c r="II5">
        <v>100.87976539589999</v>
      </c>
      <c r="IJ5">
        <v>688</v>
      </c>
      <c r="IK5">
        <v>390.08672849829998</v>
      </c>
      <c r="IL5">
        <v>119.6480938416</v>
      </c>
      <c r="IM5">
        <v>414.64119465589999</v>
      </c>
      <c r="IN5">
        <v>129.03225806450001</v>
      </c>
      <c r="IO5">
        <v>7.0000000014000001</v>
      </c>
      <c r="IP5">
        <v>6.0000000012000001</v>
      </c>
      <c r="IQ5">
        <v>9</v>
      </c>
      <c r="IR5">
        <v>5.1290503511000001</v>
      </c>
      <c r="IS5">
        <v>5.1290503511000001</v>
      </c>
      <c r="IT5">
        <v>5.9000000001000004</v>
      </c>
      <c r="IU5">
        <v>-32.844574780099997</v>
      </c>
      <c r="IV5">
        <v>9.5000000001</v>
      </c>
      <c r="IW5">
        <v>65.689149560100006</v>
      </c>
      <c r="IX5">
        <v>8.2000000001999993</v>
      </c>
      <c r="IY5">
        <v>96.187683284499997</v>
      </c>
      <c r="IZ5">
        <v>-34.433085383200002</v>
      </c>
      <c r="JA5">
        <v>0.33545318769999999</v>
      </c>
      <c r="JB5">
        <v>-3.4086160000000002E-4</v>
      </c>
      <c r="JC5">
        <v>6.6410000000000002E-7</v>
      </c>
      <c r="JD5">
        <v>0.29784019090000002</v>
      </c>
      <c r="JE5">
        <v>0.20862653519999999</v>
      </c>
      <c r="JF5">
        <v>8.8336941299999999E-2</v>
      </c>
      <c r="JG5">
        <v>113.1394597816</v>
      </c>
      <c r="JH5">
        <v>3.5149315135000001</v>
      </c>
      <c r="JI5">
        <v>3.4615242000000002E-3</v>
      </c>
      <c r="JJ5">
        <v>-7.1891199999999994E-5</v>
      </c>
      <c r="JK5">
        <v>3.3575052341</v>
      </c>
      <c r="JL5">
        <v>1.062528879</v>
      </c>
      <c r="JM5">
        <v>0.44166584669999998</v>
      </c>
      <c r="JN5" t="s">
        <v>523</v>
      </c>
      <c r="JQ5">
        <v>1</v>
      </c>
    </row>
    <row r="6" spans="1:277">
      <c r="A6" t="s">
        <v>612</v>
      </c>
      <c r="B6" t="s">
        <v>613</v>
      </c>
      <c r="C6" t="s">
        <v>208</v>
      </c>
      <c r="D6">
        <v>3</v>
      </c>
      <c r="E6" t="s">
        <v>209</v>
      </c>
      <c r="F6" t="s">
        <v>210</v>
      </c>
      <c r="G6" t="s">
        <v>522</v>
      </c>
      <c r="H6" t="s">
        <v>528</v>
      </c>
      <c r="J6" t="s">
        <v>557</v>
      </c>
      <c r="K6" t="s">
        <v>558</v>
      </c>
      <c r="L6" t="s">
        <v>559</v>
      </c>
      <c r="M6" t="s">
        <v>560</v>
      </c>
      <c r="N6" t="s">
        <v>561</v>
      </c>
      <c r="O6">
        <v>0</v>
      </c>
      <c r="P6">
        <v>0</v>
      </c>
      <c r="Q6">
        <v>0</v>
      </c>
      <c r="R6">
        <v>0.7000000005</v>
      </c>
      <c r="S6">
        <v>0.59999999940000004</v>
      </c>
      <c r="T6">
        <v>0.79999999980000003</v>
      </c>
      <c r="U6">
        <v>0.7000000005</v>
      </c>
      <c r="V6">
        <v>0.59999999940000004</v>
      </c>
      <c r="W6">
        <v>0.7000000005</v>
      </c>
      <c r="X6">
        <v>0.7000000005</v>
      </c>
      <c r="Y6">
        <v>0.59999999940000004</v>
      </c>
      <c r="Z6">
        <v>0.79999999980000003</v>
      </c>
      <c r="AA6">
        <v>0.7000000005</v>
      </c>
      <c r="AB6">
        <v>0.79999999980000003</v>
      </c>
      <c r="AC6">
        <v>0.7000000005</v>
      </c>
      <c r="AD6">
        <v>0.89999999909999995</v>
      </c>
      <c r="AE6">
        <v>1.0999999995</v>
      </c>
      <c r="AF6">
        <v>1.2000000006</v>
      </c>
      <c r="AG6">
        <v>1.0999999995</v>
      </c>
      <c r="AH6">
        <v>2.3999999993999999</v>
      </c>
      <c r="AI6">
        <v>6.2999999990999997</v>
      </c>
      <c r="AJ6">
        <v>12.300000000300001</v>
      </c>
      <c r="AK6">
        <v>19.200000000599999</v>
      </c>
      <c r="AL6">
        <v>26.0999999991</v>
      </c>
      <c r="AM6">
        <v>32.900000000200002</v>
      </c>
      <c r="AN6">
        <v>39.899999999800002</v>
      </c>
      <c r="AO6">
        <v>46.700000000800003</v>
      </c>
      <c r="AP6">
        <v>53.900000000799999</v>
      </c>
      <c r="AQ6">
        <v>62.299999999599997</v>
      </c>
      <c r="AR6">
        <v>70.4000000005</v>
      </c>
      <c r="AS6">
        <v>78.199999999900001</v>
      </c>
      <c r="AT6">
        <v>85.6000000003</v>
      </c>
      <c r="AU6">
        <v>93.300000000500006</v>
      </c>
      <c r="AV6">
        <v>100.5999999998</v>
      </c>
      <c r="AW6">
        <v>109.50000000049999</v>
      </c>
      <c r="AX6">
        <v>118.0999999997</v>
      </c>
      <c r="AY6">
        <v>126.5999999996</v>
      </c>
      <c r="AZ6">
        <v>135.2000000006</v>
      </c>
      <c r="BA6">
        <v>142.59999999920001</v>
      </c>
      <c r="BB6">
        <v>150.40000000040001</v>
      </c>
      <c r="BC6">
        <v>158.49999999950001</v>
      </c>
      <c r="BD6">
        <v>167.10000000060001</v>
      </c>
      <c r="BE6">
        <v>175.69999999980001</v>
      </c>
      <c r="BF6">
        <v>184.1000000004</v>
      </c>
      <c r="BG6">
        <v>192.19999999949999</v>
      </c>
      <c r="BH6">
        <v>199.8000000003</v>
      </c>
      <c r="BI6">
        <v>207.89999999939999</v>
      </c>
      <c r="BJ6">
        <v>216.3</v>
      </c>
      <c r="BK6">
        <v>224.50000000029999</v>
      </c>
      <c r="BL6">
        <v>232.59999999940001</v>
      </c>
      <c r="BM6">
        <v>240.70000000030001</v>
      </c>
      <c r="BN6">
        <v>247.99999999959999</v>
      </c>
      <c r="BO6">
        <v>255.4999999993</v>
      </c>
      <c r="BP6">
        <v>263.89999999989999</v>
      </c>
      <c r="BQ6">
        <v>271.69999999930002</v>
      </c>
      <c r="BR6">
        <v>279.59999999979999</v>
      </c>
      <c r="BS6">
        <v>287.3</v>
      </c>
      <c r="BT6">
        <v>294.90000000079999</v>
      </c>
      <c r="BU6">
        <v>301.4000000003</v>
      </c>
      <c r="BV6">
        <v>308.30000000059999</v>
      </c>
      <c r="BW6">
        <v>316.00000000070003</v>
      </c>
      <c r="BX6">
        <v>323.20000000070002</v>
      </c>
      <c r="BY6">
        <v>330.5</v>
      </c>
      <c r="BZ6">
        <v>337.60000000069999</v>
      </c>
      <c r="CA6">
        <v>344.90000000010002</v>
      </c>
      <c r="CB6">
        <v>350.80000000019999</v>
      </c>
      <c r="CC6">
        <v>357.2000000004</v>
      </c>
      <c r="CD6">
        <v>363.40000000020001</v>
      </c>
      <c r="CE6">
        <v>369.69999999930002</v>
      </c>
      <c r="CF6">
        <v>376.29999999990002</v>
      </c>
      <c r="CG6">
        <v>382.29999999929998</v>
      </c>
      <c r="CH6">
        <v>388.99999999919999</v>
      </c>
      <c r="CI6">
        <v>395.199999999</v>
      </c>
      <c r="CJ6">
        <v>400.70000000009998</v>
      </c>
      <c r="CK6">
        <v>406.1000000002</v>
      </c>
      <c r="CL6">
        <v>411.29999999979998</v>
      </c>
      <c r="CM6">
        <v>417.10000000060001</v>
      </c>
      <c r="CN6">
        <v>422.39999999949998</v>
      </c>
      <c r="CO6">
        <v>427.79999999950002</v>
      </c>
      <c r="CP6">
        <v>433.49999999919999</v>
      </c>
      <c r="CQ6">
        <v>438.79999999990002</v>
      </c>
      <c r="CR6">
        <v>444.60000000069999</v>
      </c>
      <c r="CS6">
        <v>449.69999999919997</v>
      </c>
      <c r="CT6">
        <v>452.69999999980001</v>
      </c>
      <c r="CU6">
        <v>453.60000000069999</v>
      </c>
      <c r="CV6">
        <v>453.7</v>
      </c>
      <c r="CW6">
        <v>453.4000000003</v>
      </c>
      <c r="CX6">
        <v>453.7</v>
      </c>
      <c r="CY6">
        <v>453.49999999959999</v>
      </c>
      <c r="CZ6">
        <v>453.79999999929998</v>
      </c>
      <c r="DA6">
        <v>453.90000000039998</v>
      </c>
      <c r="DB6">
        <v>453.99999999969998</v>
      </c>
      <c r="DC6">
        <v>454.20000000009998</v>
      </c>
      <c r="DD6">
        <v>453.90000000039998</v>
      </c>
      <c r="DE6">
        <v>454.09999999899998</v>
      </c>
      <c r="DF6">
        <v>453.7</v>
      </c>
      <c r="DG6">
        <v>1.0999999995</v>
      </c>
      <c r="DH6">
        <v>1.5999999996000001</v>
      </c>
      <c r="DI6">
        <v>1.7000000007</v>
      </c>
      <c r="DJ6">
        <v>1.7000000007</v>
      </c>
      <c r="DK6">
        <v>1.5000000003</v>
      </c>
      <c r="DL6">
        <v>1.8999999993000001</v>
      </c>
      <c r="DM6">
        <v>1.7000000007</v>
      </c>
      <c r="DN6">
        <v>2.0000000004</v>
      </c>
      <c r="DO6">
        <v>1.8</v>
      </c>
      <c r="DP6">
        <v>1.8999999993000001</v>
      </c>
      <c r="DQ6">
        <v>1.8</v>
      </c>
      <c r="DR6">
        <v>1.3999999992000001</v>
      </c>
      <c r="DS6">
        <v>1.5999999996000001</v>
      </c>
      <c r="DT6">
        <v>1.7000000007</v>
      </c>
      <c r="DU6">
        <v>1.8999999993000001</v>
      </c>
      <c r="DV6">
        <v>2.0000000004</v>
      </c>
      <c r="DW6">
        <v>1.8</v>
      </c>
      <c r="DX6">
        <v>5.6999999997000002</v>
      </c>
      <c r="DY6">
        <v>11.300000000100001</v>
      </c>
      <c r="DZ6">
        <v>18.399999998999998</v>
      </c>
      <c r="EA6">
        <v>25.599999999000001</v>
      </c>
      <c r="EB6">
        <v>33.100000000599998</v>
      </c>
      <c r="EC6">
        <v>39.699999999399999</v>
      </c>
      <c r="ED6">
        <v>46.3999999993</v>
      </c>
      <c r="EE6">
        <v>53.599999999300003</v>
      </c>
      <c r="EF6">
        <v>61.700000000199999</v>
      </c>
      <c r="EG6">
        <v>69.7</v>
      </c>
      <c r="EH6">
        <v>77.299999998999994</v>
      </c>
      <c r="EI6">
        <v>85.399999999900004</v>
      </c>
      <c r="EJ6">
        <v>92.699999999200003</v>
      </c>
      <c r="EK6">
        <v>100.0999999997</v>
      </c>
      <c r="EL6">
        <v>108.5999999996</v>
      </c>
      <c r="EM6">
        <v>117.0999999995</v>
      </c>
      <c r="EN6">
        <v>126.0000000002</v>
      </c>
      <c r="EO6">
        <v>134.2000000004</v>
      </c>
      <c r="EP6">
        <v>142.29999999949999</v>
      </c>
      <c r="EQ6">
        <v>149.99999999959999</v>
      </c>
      <c r="ER6">
        <v>157.60000000049999</v>
      </c>
      <c r="ES6">
        <v>166.3000000008</v>
      </c>
      <c r="ET6">
        <v>175.1999999997</v>
      </c>
      <c r="EU6">
        <v>183.60000000030001</v>
      </c>
      <c r="EV6">
        <v>191.9999999991</v>
      </c>
      <c r="EW6">
        <v>199.6999999992</v>
      </c>
      <c r="EX6">
        <v>207.5999999997</v>
      </c>
      <c r="EY6">
        <v>216.2000000008</v>
      </c>
      <c r="EZ6">
        <v>224.59999999959999</v>
      </c>
      <c r="FA6">
        <v>232.8999999991</v>
      </c>
      <c r="FB6">
        <v>241</v>
      </c>
      <c r="FC6">
        <v>248.29999999930001</v>
      </c>
      <c r="FD6">
        <v>255.90000000009999</v>
      </c>
      <c r="FE6">
        <v>264.39999999999998</v>
      </c>
      <c r="FF6">
        <v>272.4999999991</v>
      </c>
      <c r="FG6">
        <v>280.39999999960003</v>
      </c>
      <c r="FH6">
        <v>288.39999999949998</v>
      </c>
      <c r="FI6">
        <v>296.09999999960002</v>
      </c>
      <c r="FJ6">
        <v>302.90000000060002</v>
      </c>
      <c r="FK6">
        <v>310.4000000003</v>
      </c>
      <c r="FL6">
        <v>317.80000000069998</v>
      </c>
      <c r="FM6">
        <v>324.89999999960003</v>
      </c>
      <c r="FN6">
        <v>332.00000000030002</v>
      </c>
      <c r="FO6">
        <v>339.09999999920001</v>
      </c>
      <c r="FP6">
        <v>346.2999999992</v>
      </c>
      <c r="FQ6">
        <v>352.6000000002</v>
      </c>
      <c r="FR6">
        <v>359.0999999997</v>
      </c>
      <c r="FS6">
        <v>365.70000000030001</v>
      </c>
      <c r="FT6">
        <v>372.19999999980001</v>
      </c>
      <c r="FU6">
        <v>378.89999999970001</v>
      </c>
      <c r="FV6">
        <v>385.29999999990002</v>
      </c>
      <c r="FW6">
        <v>391.59999999899998</v>
      </c>
      <c r="FX6">
        <v>397.6000000002</v>
      </c>
      <c r="FY6">
        <v>402.59999999939998</v>
      </c>
      <c r="FZ6">
        <v>408.29999999910001</v>
      </c>
      <c r="GA6">
        <v>414.30000000040002</v>
      </c>
      <c r="GB6">
        <v>419.90000000079999</v>
      </c>
      <c r="GC6">
        <v>425.19999999970003</v>
      </c>
      <c r="GD6">
        <v>430.89999999939999</v>
      </c>
      <c r="GE6">
        <v>435.99999999969998</v>
      </c>
      <c r="GF6">
        <v>441.19999999930002</v>
      </c>
      <c r="GG6">
        <v>446.2999999996</v>
      </c>
      <c r="GH6">
        <v>450.60000000010001</v>
      </c>
      <c r="GI6">
        <v>452.69999999980001</v>
      </c>
      <c r="GJ6">
        <v>453.7</v>
      </c>
      <c r="GK6">
        <v>453.4000000003</v>
      </c>
      <c r="GL6">
        <v>453.60000000069999</v>
      </c>
      <c r="GM6">
        <v>453.7</v>
      </c>
      <c r="GN6">
        <v>453.90000000039998</v>
      </c>
      <c r="GO6">
        <v>454.09999999899998</v>
      </c>
      <c r="GP6">
        <v>453.99999999969998</v>
      </c>
      <c r="GQ6">
        <v>454.09999999899998</v>
      </c>
      <c r="GR6">
        <v>453.99999999969998</v>
      </c>
      <c r="GS6">
        <v>453.79999999929998</v>
      </c>
      <c r="GT6">
        <v>453.79999999929998</v>
      </c>
      <c r="GU6">
        <v>453.7</v>
      </c>
      <c r="GV6">
        <v>453.7</v>
      </c>
      <c r="GW6">
        <v>1</v>
      </c>
      <c r="GX6">
        <v>112.1999999996</v>
      </c>
      <c r="GY6">
        <v>109.50000000049999</v>
      </c>
      <c r="GZ6">
        <v>109.50000000049999</v>
      </c>
      <c r="HA6">
        <v>117.0999999995</v>
      </c>
      <c r="HB6">
        <v>111.39665198260001</v>
      </c>
      <c r="HC6">
        <v>-7.5999999989999996</v>
      </c>
      <c r="HD6">
        <v>453.7</v>
      </c>
      <c r="HE6">
        <v>307.775947137</v>
      </c>
      <c r="HF6">
        <v>91.880881056899995</v>
      </c>
      <c r="HG6">
        <v>454.20000000009998</v>
      </c>
      <c r="HH6">
        <v>454.09999999899998</v>
      </c>
      <c r="HI6">
        <v>454.20000000009998</v>
      </c>
      <c r="HJ6">
        <v>454.09999999899998</v>
      </c>
      <c r="HK6">
        <v>114.9560117302</v>
      </c>
      <c r="HL6">
        <v>3.3230227203</v>
      </c>
      <c r="HM6">
        <v>3.2316188910000001</v>
      </c>
      <c r="HN6">
        <v>3.2895451782</v>
      </c>
      <c r="HO6">
        <v>3.1025814976000001</v>
      </c>
      <c r="HP6">
        <v>3.4919896797000001</v>
      </c>
      <c r="HQ6">
        <v>2.2001802187999999</v>
      </c>
      <c r="HR6">
        <v>19.5157709257</v>
      </c>
      <c r="HS6">
        <v>-28.152492668600001</v>
      </c>
      <c r="HT6">
        <v>-192</v>
      </c>
      <c r="HU6">
        <v>419.17259911960002</v>
      </c>
      <c r="HV6">
        <v>96.187683284499997</v>
      </c>
      <c r="HW6">
        <v>656</v>
      </c>
      <c r="HX6">
        <v>19.5157709257</v>
      </c>
      <c r="HY6">
        <v>-28.152492668600001</v>
      </c>
      <c r="HZ6">
        <v>-192</v>
      </c>
      <c r="IA6">
        <v>419.17259911960002</v>
      </c>
      <c r="IB6">
        <v>96.187683284499997</v>
      </c>
      <c r="IC6">
        <v>656</v>
      </c>
      <c r="ID6">
        <v>34.927400879399997</v>
      </c>
      <c r="IE6">
        <v>1.1022356822999999</v>
      </c>
      <c r="IF6">
        <v>-37.536656891500002</v>
      </c>
      <c r="IG6">
        <v>-256</v>
      </c>
      <c r="IH6">
        <v>440.91761013140001</v>
      </c>
      <c r="II6">
        <v>105.57184750730001</v>
      </c>
      <c r="IJ6">
        <v>720</v>
      </c>
      <c r="IK6">
        <v>399.65682819400001</v>
      </c>
      <c r="IL6">
        <v>124.3401759531</v>
      </c>
      <c r="IM6">
        <v>423.99102422930002</v>
      </c>
      <c r="IN6">
        <v>133.724340176</v>
      </c>
      <c r="IO6">
        <v>7.0999999989000004</v>
      </c>
      <c r="IP6">
        <v>5.8000000007999999</v>
      </c>
      <c r="IQ6">
        <v>8.9000000007000004</v>
      </c>
      <c r="IR6">
        <v>5.6889344973</v>
      </c>
      <c r="IS6">
        <v>5.6889344973</v>
      </c>
      <c r="IT6">
        <v>6.0999999987000004</v>
      </c>
      <c r="IU6">
        <v>-30.4985337243</v>
      </c>
      <c r="IV6">
        <v>9.5000000001</v>
      </c>
      <c r="IW6">
        <v>58.651026393000002</v>
      </c>
      <c r="IX6">
        <v>8.2000000001999993</v>
      </c>
      <c r="IY6">
        <v>103.22580645159999</v>
      </c>
      <c r="IZ6">
        <v>-34.529979216199997</v>
      </c>
      <c r="JA6">
        <v>0.34301878829999999</v>
      </c>
      <c r="JB6">
        <v>-3.7594819999999999E-4</v>
      </c>
      <c r="JC6">
        <v>7.1679999999999996E-7</v>
      </c>
      <c r="JD6">
        <v>0.30093083440000001</v>
      </c>
      <c r="JE6">
        <v>0.31609190199999998</v>
      </c>
      <c r="JF6">
        <v>0.1362959882</v>
      </c>
      <c r="JG6">
        <v>111.9178251637</v>
      </c>
      <c r="JH6">
        <v>3.4919896797000001</v>
      </c>
      <c r="JI6">
        <v>3.8297652999999998E-3</v>
      </c>
      <c r="JJ6">
        <v>-7.3084999999999996E-5</v>
      </c>
      <c r="JK6">
        <v>3.3230227203</v>
      </c>
      <c r="JL6">
        <v>1.3043245834999999</v>
      </c>
      <c r="JM6">
        <v>0.53381467979999997</v>
      </c>
      <c r="JN6" t="s">
        <v>523</v>
      </c>
      <c r="JQ6">
        <v>1</v>
      </c>
    </row>
    <row r="7" spans="1:277">
      <c r="A7" t="s">
        <v>614</v>
      </c>
      <c r="B7" t="s">
        <v>615</v>
      </c>
      <c r="C7" t="s">
        <v>208</v>
      </c>
      <c r="D7">
        <v>3</v>
      </c>
      <c r="E7" t="s">
        <v>209</v>
      </c>
      <c r="F7" t="s">
        <v>210</v>
      </c>
      <c r="G7" t="s">
        <v>522</v>
      </c>
      <c r="H7" t="s">
        <v>528</v>
      </c>
      <c r="J7" t="s">
        <v>564</v>
      </c>
      <c r="K7" t="s">
        <v>565</v>
      </c>
      <c r="L7" t="s">
        <v>566</v>
      </c>
      <c r="M7" t="s">
        <v>567</v>
      </c>
      <c r="N7" t="s">
        <v>568</v>
      </c>
      <c r="O7">
        <v>0</v>
      </c>
      <c r="P7">
        <v>0</v>
      </c>
      <c r="Q7">
        <v>3.8999999996999999</v>
      </c>
      <c r="R7">
        <v>1.2999999999</v>
      </c>
      <c r="S7">
        <v>1.2000000006</v>
      </c>
      <c r="T7">
        <v>1.1000000013</v>
      </c>
      <c r="U7">
        <v>1.2999999999</v>
      </c>
      <c r="V7">
        <v>1.1000000013</v>
      </c>
      <c r="W7">
        <v>1.2000000006</v>
      </c>
      <c r="X7">
        <v>0.7000000005</v>
      </c>
      <c r="Y7">
        <v>0.79999999980000003</v>
      </c>
      <c r="Z7">
        <v>0.60000000119999997</v>
      </c>
      <c r="AA7">
        <v>0.60000000119999997</v>
      </c>
      <c r="AB7">
        <v>0.40000000079999998</v>
      </c>
      <c r="AC7">
        <v>0.20000000039999999</v>
      </c>
      <c r="AD7">
        <v>0.29999999970000002</v>
      </c>
      <c r="AE7">
        <v>0.29999999970000002</v>
      </c>
      <c r="AF7">
        <v>0.29999999970000002</v>
      </c>
      <c r="AG7">
        <v>0</v>
      </c>
      <c r="AH7">
        <v>0.40000000079999998</v>
      </c>
      <c r="AI7">
        <v>3.2000000009999998</v>
      </c>
      <c r="AJ7">
        <v>8.2000000001999993</v>
      </c>
      <c r="AK7">
        <v>14.200000001399999</v>
      </c>
      <c r="AL7">
        <v>20.599999999800001</v>
      </c>
      <c r="AM7">
        <v>27.200000000399999</v>
      </c>
      <c r="AN7">
        <v>33.999999999700002</v>
      </c>
      <c r="AO7">
        <v>41.600000000500003</v>
      </c>
      <c r="AP7">
        <v>48.700000001200003</v>
      </c>
      <c r="AQ7">
        <v>56.800000000300003</v>
      </c>
      <c r="AR7">
        <v>63.500000000199996</v>
      </c>
      <c r="AS7">
        <v>70.999999999899998</v>
      </c>
      <c r="AT7">
        <v>78.300000001000001</v>
      </c>
      <c r="AU7">
        <v>85.100000000199998</v>
      </c>
      <c r="AV7">
        <v>93.300000000500006</v>
      </c>
      <c r="AW7">
        <v>101.4000000014</v>
      </c>
      <c r="AX7">
        <v>110.5000000007</v>
      </c>
      <c r="AY7">
        <v>118.00000000039999</v>
      </c>
      <c r="AZ7">
        <v>125.79999999979999</v>
      </c>
      <c r="BA7">
        <v>133.40000000059999</v>
      </c>
      <c r="BB7">
        <v>140.800000001</v>
      </c>
      <c r="BC7">
        <v>148.6999999997</v>
      </c>
      <c r="BD7">
        <v>157.40000000009999</v>
      </c>
      <c r="BE7">
        <v>165.0000000009</v>
      </c>
      <c r="BF7">
        <v>172.9000000014</v>
      </c>
      <c r="BG7">
        <v>180.7000000008</v>
      </c>
      <c r="BH7">
        <v>188.40000000090001</v>
      </c>
      <c r="BI7">
        <v>195.6000000009</v>
      </c>
      <c r="BJ7">
        <v>203.5000000014</v>
      </c>
      <c r="BK7">
        <v>212.10000000060001</v>
      </c>
      <c r="BL7">
        <v>219.69999999960001</v>
      </c>
      <c r="BM7">
        <v>227.10000000010001</v>
      </c>
      <c r="BN7">
        <v>234.59999999979999</v>
      </c>
      <c r="BO7">
        <v>242.1000000013</v>
      </c>
      <c r="BP7">
        <v>249.1000000009</v>
      </c>
      <c r="BQ7">
        <v>257.40000000039998</v>
      </c>
      <c r="BR7">
        <v>264.50000000109998</v>
      </c>
      <c r="BS7">
        <v>272.00000000080001</v>
      </c>
      <c r="BT7">
        <v>278.60000000150001</v>
      </c>
      <c r="BU7">
        <v>285.79999999969999</v>
      </c>
      <c r="BV7">
        <v>292.99999999969998</v>
      </c>
      <c r="BW7">
        <v>299.50000000099999</v>
      </c>
      <c r="BX7">
        <v>306.90000000139997</v>
      </c>
      <c r="BY7">
        <v>313.79999999990002</v>
      </c>
      <c r="BZ7">
        <v>320.49999999980002</v>
      </c>
      <c r="CA7">
        <v>326.89999999999998</v>
      </c>
      <c r="CB7">
        <v>333.09999999979999</v>
      </c>
      <c r="CC7">
        <v>339.40000000079999</v>
      </c>
      <c r="CD7">
        <v>346.10000000069999</v>
      </c>
      <c r="CE7">
        <v>351.89999999970001</v>
      </c>
      <c r="CF7">
        <v>358.70000000070002</v>
      </c>
      <c r="CG7">
        <v>364.40000000039998</v>
      </c>
      <c r="CH7">
        <v>370.6000000002</v>
      </c>
      <c r="CI7">
        <v>376.50000000030002</v>
      </c>
      <c r="CJ7">
        <v>382.10000000069999</v>
      </c>
      <c r="CK7">
        <v>387.70000000110002</v>
      </c>
      <c r="CL7">
        <v>393.2000000004</v>
      </c>
      <c r="CM7">
        <v>398.4</v>
      </c>
      <c r="CN7">
        <v>404.00000000049999</v>
      </c>
      <c r="CO7">
        <v>409.90000000060002</v>
      </c>
      <c r="CP7">
        <v>415.30000000059999</v>
      </c>
      <c r="CQ7">
        <v>420.50000000019998</v>
      </c>
      <c r="CR7">
        <v>425.69999999980001</v>
      </c>
      <c r="CS7">
        <v>430.5999999997</v>
      </c>
      <c r="CT7">
        <v>435.4000000003</v>
      </c>
      <c r="CU7">
        <v>439.8000000001</v>
      </c>
      <c r="CV7">
        <v>443.10000000039997</v>
      </c>
      <c r="CW7">
        <v>445.49999999980002</v>
      </c>
      <c r="CX7">
        <v>445.49999999980002</v>
      </c>
      <c r="CY7">
        <v>445.49999999980002</v>
      </c>
      <c r="CZ7">
        <v>445.60000000090002</v>
      </c>
      <c r="DA7">
        <v>445.70000000020002</v>
      </c>
      <c r="DB7">
        <v>445.60000000090002</v>
      </c>
      <c r="DC7">
        <v>445.60000000090002</v>
      </c>
      <c r="DD7">
        <v>445.80000000130002</v>
      </c>
      <c r="DE7">
        <v>445.70000000020002</v>
      </c>
      <c r="DF7">
        <v>445.70000000020002</v>
      </c>
      <c r="DG7">
        <v>3.8999999996999999</v>
      </c>
      <c r="DH7">
        <v>1.7000000007</v>
      </c>
      <c r="DI7">
        <v>1.8</v>
      </c>
      <c r="DJ7">
        <v>1.400000001</v>
      </c>
      <c r="DK7">
        <v>1.400000001</v>
      </c>
      <c r="DL7">
        <v>1.400000001</v>
      </c>
      <c r="DM7">
        <v>1.2000000006</v>
      </c>
      <c r="DN7">
        <v>1.2000000006</v>
      </c>
      <c r="DO7">
        <v>1.2000000006</v>
      </c>
      <c r="DP7">
        <v>1.0000000002</v>
      </c>
      <c r="DQ7">
        <v>0.90000000089999999</v>
      </c>
      <c r="DR7">
        <v>0.90000000089999999</v>
      </c>
      <c r="DS7">
        <v>0.7000000005</v>
      </c>
      <c r="DT7">
        <v>0.7000000005</v>
      </c>
      <c r="DU7">
        <v>0.79999999980000003</v>
      </c>
      <c r="DV7">
        <v>0.79999999980000003</v>
      </c>
      <c r="DW7">
        <v>0.60000000119999997</v>
      </c>
      <c r="DX7">
        <v>0.90000000089999999</v>
      </c>
      <c r="DY7">
        <v>5.6000000003999997</v>
      </c>
      <c r="DZ7">
        <v>12.0999999999</v>
      </c>
      <c r="EA7">
        <v>18.9000000009</v>
      </c>
      <c r="EB7">
        <v>25.1000000007</v>
      </c>
      <c r="EC7">
        <v>32.000000001099998</v>
      </c>
      <c r="ED7">
        <v>39.200000001100001</v>
      </c>
      <c r="EE7">
        <v>46.700000000800003</v>
      </c>
      <c r="EF7">
        <v>54.4000000009</v>
      </c>
      <c r="EG7">
        <v>61.700000000199999</v>
      </c>
      <c r="EH7">
        <v>68.900000000199995</v>
      </c>
      <c r="EI7">
        <v>75.800000000500006</v>
      </c>
      <c r="EJ7">
        <v>83.200000000900005</v>
      </c>
      <c r="EK7">
        <v>90.799999999899995</v>
      </c>
      <c r="EL7">
        <v>99.200000000599999</v>
      </c>
      <c r="EM7">
        <v>107.79999999979999</v>
      </c>
      <c r="EN7">
        <v>115.70000000029999</v>
      </c>
      <c r="EO7">
        <v>123.3000000011</v>
      </c>
      <c r="EP7">
        <v>130.8000000008</v>
      </c>
      <c r="EQ7">
        <v>138.5000000009</v>
      </c>
      <c r="ER7">
        <v>146.6</v>
      </c>
      <c r="ES7">
        <v>155.50000000079999</v>
      </c>
      <c r="ET7">
        <v>163.40000000129999</v>
      </c>
      <c r="EU7">
        <v>171.00000000029999</v>
      </c>
      <c r="EV7">
        <v>178.7000000004</v>
      </c>
      <c r="EW7">
        <v>185.90000000040001</v>
      </c>
      <c r="EX7">
        <v>194.10000000060001</v>
      </c>
      <c r="EY7">
        <v>202.50000000119999</v>
      </c>
      <c r="EZ7">
        <v>210.80000000070001</v>
      </c>
      <c r="FA7">
        <v>218.39999999969999</v>
      </c>
      <c r="FB7">
        <v>226.20000000100001</v>
      </c>
      <c r="FC7">
        <v>233.70000000069999</v>
      </c>
      <c r="FD7">
        <v>240.70000000030001</v>
      </c>
      <c r="FE7">
        <v>248.49999999970001</v>
      </c>
      <c r="FF7">
        <v>256.9000000003</v>
      </c>
      <c r="FG7">
        <v>264.10000000029999</v>
      </c>
      <c r="FH7">
        <v>271.60000000000002</v>
      </c>
      <c r="FI7">
        <v>278.7000000008</v>
      </c>
      <c r="FJ7">
        <v>285.79999999969999</v>
      </c>
      <c r="FK7">
        <v>292.5000000014</v>
      </c>
      <c r="FL7">
        <v>299.39999999989999</v>
      </c>
      <c r="FM7">
        <v>307.30000000040002</v>
      </c>
      <c r="FN7">
        <v>314.00000000030002</v>
      </c>
      <c r="FO7">
        <v>320.80000000130002</v>
      </c>
      <c r="FP7">
        <v>327.19999999970003</v>
      </c>
      <c r="FQ7">
        <v>333.90000000139997</v>
      </c>
      <c r="FR7">
        <v>340.40000000100002</v>
      </c>
      <c r="FS7">
        <v>346.0000000014</v>
      </c>
      <c r="FT7">
        <v>353.30000000069998</v>
      </c>
      <c r="FU7">
        <v>359.59999999979999</v>
      </c>
      <c r="FV7">
        <v>365.60000000100001</v>
      </c>
      <c r="FW7">
        <v>371.60000000039997</v>
      </c>
      <c r="FX7">
        <v>377.50000000049999</v>
      </c>
      <c r="FY7">
        <v>383.10000000090002</v>
      </c>
      <c r="FZ7">
        <v>388.80000000059999</v>
      </c>
      <c r="GA7">
        <v>394.29999999990002</v>
      </c>
      <c r="GB7">
        <v>399.30000000090001</v>
      </c>
      <c r="GC7">
        <v>405.50000000080001</v>
      </c>
      <c r="GD7">
        <v>411.00000000009999</v>
      </c>
      <c r="GE7">
        <v>415.70000000139999</v>
      </c>
      <c r="GF7">
        <v>421.10000000140002</v>
      </c>
      <c r="GG7">
        <v>426.10000000060001</v>
      </c>
      <c r="GH7">
        <v>430.8000000001</v>
      </c>
      <c r="GI7">
        <v>435.5000000014</v>
      </c>
      <c r="GJ7">
        <v>439.5999999997</v>
      </c>
      <c r="GK7">
        <v>442.50000000099999</v>
      </c>
      <c r="GL7">
        <v>445.30000000119998</v>
      </c>
      <c r="GM7">
        <v>445.60000000090002</v>
      </c>
      <c r="GN7">
        <v>445.70000000020002</v>
      </c>
      <c r="GO7">
        <v>445.49999999980002</v>
      </c>
      <c r="GP7">
        <v>445.60000000090002</v>
      </c>
      <c r="GQ7">
        <v>445.49999999980002</v>
      </c>
      <c r="GR7">
        <v>445.80000000130002</v>
      </c>
      <c r="GS7">
        <v>445.80000000130002</v>
      </c>
      <c r="GT7">
        <v>445.70000000020002</v>
      </c>
      <c r="GU7">
        <v>445.90000000060002</v>
      </c>
      <c r="GV7">
        <v>445.70000000020002</v>
      </c>
      <c r="GW7">
        <v>1</v>
      </c>
      <c r="GX7">
        <v>100.8000000002</v>
      </c>
      <c r="GY7">
        <v>101.4000000014</v>
      </c>
      <c r="GZ7">
        <v>101.4000000014</v>
      </c>
      <c r="HA7">
        <v>107.79999999979999</v>
      </c>
      <c r="HB7">
        <v>102.9016599382</v>
      </c>
      <c r="HC7">
        <v>-6.3999999984000002</v>
      </c>
      <c r="HD7">
        <v>445.70000000020002</v>
      </c>
      <c r="HE7">
        <v>290.58703454369999</v>
      </c>
      <c r="HF7">
        <v>88.5271758632</v>
      </c>
      <c r="HG7">
        <v>445.90000000060002</v>
      </c>
      <c r="HH7">
        <v>445.90000000060002</v>
      </c>
      <c r="HI7">
        <v>445.80000000130002</v>
      </c>
      <c r="HJ7">
        <v>445.90000000060002</v>
      </c>
      <c r="HK7">
        <v>119.6480938416</v>
      </c>
      <c r="HL7">
        <v>3.2018178371000001</v>
      </c>
      <c r="HM7">
        <v>3.1254858135000001</v>
      </c>
      <c r="HN7">
        <v>3.1697678096000002</v>
      </c>
      <c r="HO7">
        <v>3.0103996086999998</v>
      </c>
      <c r="HP7">
        <v>3.3456534931999999</v>
      </c>
      <c r="HQ7">
        <v>2.2568328171999998</v>
      </c>
      <c r="HR7">
        <v>14.374484075</v>
      </c>
      <c r="HS7">
        <v>-28.152492668600001</v>
      </c>
      <c r="HT7">
        <v>-192</v>
      </c>
      <c r="HU7">
        <v>393.48869448189998</v>
      </c>
      <c r="HV7">
        <v>93.841642228699996</v>
      </c>
      <c r="HW7">
        <v>640</v>
      </c>
      <c r="HX7">
        <v>14.374484075</v>
      </c>
      <c r="HY7">
        <v>-28.152492668600001</v>
      </c>
      <c r="HZ7">
        <v>-192</v>
      </c>
      <c r="IA7">
        <v>393.48869448189998</v>
      </c>
      <c r="IB7">
        <v>93.841642228699996</v>
      </c>
      <c r="IC7">
        <v>640</v>
      </c>
      <c r="ID7">
        <v>52.411305518699997</v>
      </c>
      <c r="IE7">
        <v>4.037685E-4</v>
      </c>
      <c r="IF7">
        <v>-37.536656891500002</v>
      </c>
      <c r="IG7">
        <v>-256</v>
      </c>
      <c r="IH7">
        <v>415.27065948990003</v>
      </c>
      <c r="II7">
        <v>103.22580645159999</v>
      </c>
      <c r="IJ7">
        <v>704</v>
      </c>
      <c r="IK7">
        <v>379.11421040689999</v>
      </c>
      <c r="IL7">
        <v>121.9941348974</v>
      </c>
      <c r="IM7">
        <v>401.57793853710001</v>
      </c>
      <c r="IN7">
        <v>131.37829912020001</v>
      </c>
      <c r="IO7">
        <v>6.8000000009999999</v>
      </c>
      <c r="IP7">
        <v>6.1999999998000002</v>
      </c>
      <c r="IQ7">
        <v>9.0999999992999996</v>
      </c>
      <c r="IR7">
        <v>5.0818703009000004</v>
      </c>
      <c r="IS7">
        <v>5.0818703009000004</v>
      </c>
      <c r="IT7">
        <v>3.8999999996999999</v>
      </c>
      <c r="IU7">
        <v>-30.4985337243</v>
      </c>
      <c r="IV7">
        <v>7.7999999993999998</v>
      </c>
      <c r="IW7">
        <v>44.5747800587</v>
      </c>
      <c r="IX7">
        <v>6.9999999996</v>
      </c>
      <c r="IY7">
        <v>100.87976539589999</v>
      </c>
      <c r="IZ7">
        <v>-32.836970802099998</v>
      </c>
      <c r="JA7">
        <v>0.34690980259999998</v>
      </c>
      <c r="JB7">
        <v>-3.4581649999999999E-4</v>
      </c>
      <c r="JC7">
        <v>7.1520000000000005E-7</v>
      </c>
      <c r="JD7">
        <v>0.31232257759999998</v>
      </c>
      <c r="JE7">
        <v>0.34533729359999998</v>
      </c>
      <c r="JF7">
        <v>0.1170990428</v>
      </c>
      <c r="JG7">
        <v>103.36398210190001</v>
      </c>
      <c r="JH7">
        <v>3.3456534931999999</v>
      </c>
      <c r="JI7">
        <v>3.2414129999999998E-3</v>
      </c>
      <c r="JJ7">
        <v>-6.4241500000000005E-5</v>
      </c>
      <c r="JK7">
        <v>3.2018178371000001</v>
      </c>
      <c r="JL7">
        <v>1.5193701108</v>
      </c>
      <c r="JM7">
        <v>0.49115233850000001</v>
      </c>
      <c r="JN7" t="s">
        <v>523</v>
      </c>
      <c r="JQ7">
        <v>1</v>
      </c>
    </row>
    <row r="8" spans="1:277">
      <c r="A8" t="s">
        <v>616</v>
      </c>
      <c r="B8" t="s">
        <v>617</v>
      </c>
      <c r="C8" t="s">
        <v>208</v>
      </c>
      <c r="D8">
        <v>3</v>
      </c>
      <c r="E8" t="s">
        <v>209</v>
      </c>
      <c r="F8" t="s">
        <v>210</v>
      </c>
      <c r="G8" t="s">
        <v>522</v>
      </c>
      <c r="H8" t="s">
        <v>528</v>
      </c>
      <c r="J8" t="s">
        <v>571</v>
      </c>
      <c r="K8" t="s">
        <v>572</v>
      </c>
      <c r="L8" t="s">
        <v>573</v>
      </c>
      <c r="M8" t="s">
        <v>574</v>
      </c>
      <c r="N8" t="s">
        <v>575</v>
      </c>
      <c r="O8">
        <v>0</v>
      </c>
      <c r="P8">
        <v>0</v>
      </c>
      <c r="Q8">
        <v>4.8000000005999999</v>
      </c>
      <c r="R8">
        <v>5.2999999988999997</v>
      </c>
      <c r="S8">
        <v>5.4</v>
      </c>
      <c r="T8">
        <v>5.2999999988999997</v>
      </c>
      <c r="U8">
        <v>5.4</v>
      </c>
      <c r="V8">
        <v>5.6999999997000002</v>
      </c>
      <c r="W8">
        <v>5.4999999992999999</v>
      </c>
      <c r="X8">
        <v>5.6000000003999997</v>
      </c>
      <c r="Y8">
        <v>5.2999999988999997</v>
      </c>
      <c r="Z8">
        <v>4.1999999994000001</v>
      </c>
      <c r="AA8">
        <v>3.4999999988999999</v>
      </c>
      <c r="AB8">
        <v>3.0999999999000001</v>
      </c>
      <c r="AC8">
        <v>2.5000000005</v>
      </c>
      <c r="AD8">
        <v>1.5999999996000001</v>
      </c>
      <c r="AE8">
        <v>1.3999999992000001</v>
      </c>
      <c r="AF8">
        <v>0</v>
      </c>
      <c r="AG8">
        <v>1.8</v>
      </c>
      <c r="AH8">
        <v>5.6999999997000002</v>
      </c>
      <c r="AI8">
        <v>12.0999999999</v>
      </c>
      <c r="AJ8">
        <v>18.399999998999998</v>
      </c>
      <c r="AK8">
        <v>24.699999999900001</v>
      </c>
      <c r="AL8">
        <v>32.499999999300002</v>
      </c>
      <c r="AM8">
        <v>39.800000000499999</v>
      </c>
      <c r="AN8">
        <v>47.300000000200001</v>
      </c>
      <c r="AO8">
        <v>54.099999999399998</v>
      </c>
      <c r="AP8">
        <v>61.4000000005</v>
      </c>
      <c r="AQ8">
        <v>68.799999999099995</v>
      </c>
      <c r="AR8">
        <v>75.499999998999996</v>
      </c>
      <c r="AS8">
        <v>84.1</v>
      </c>
      <c r="AT8">
        <v>92.099999999800005</v>
      </c>
      <c r="AU8">
        <v>100.1999999989</v>
      </c>
      <c r="AV8">
        <v>107.5000000001</v>
      </c>
      <c r="AW8">
        <v>115.8999999989</v>
      </c>
      <c r="AX8">
        <v>123.4000000004</v>
      </c>
      <c r="AY8">
        <v>131.10000000049999</v>
      </c>
      <c r="AZ8">
        <v>140.19999999980001</v>
      </c>
      <c r="BA8">
        <v>148.6999999997</v>
      </c>
      <c r="BB8">
        <v>156.80000000070001</v>
      </c>
      <c r="BC8">
        <v>164.30000000039999</v>
      </c>
      <c r="BD8">
        <v>172.50000000060001</v>
      </c>
      <c r="BE8">
        <v>179.29999999980001</v>
      </c>
      <c r="BF8">
        <v>187.89999999899999</v>
      </c>
      <c r="BG8">
        <v>196.5</v>
      </c>
      <c r="BH8">
        <v>204.59999999909999</v>
      </c>
      <c r="BI8">
        <v>211.90000000020001</v>
      </c>
      <c r="BJ8">
        <v>220.40000000020001</v>
      </c>
      <c r="BK8">
        <v>227.30000000050001</v>
      </c>
      <c r="BL8">
        <v>235.1999999992</v>
      </c>
      <c r="BM8">
        <v>243.50000000049999</v>
      </c>
      <c r="BN8">
        <v>251.2000000006</v>
      </c>
      <c r="BO8">
        <v>258.7999999996</v>
      </c>
      <c r="BP8">
        <v>265.6999999999</v>
      </c>
      <c r="BQ8">
        <v>273.69999999970003</v>
      </c>
      <c r="BR8">
        <v>280.39999999960003</v>
      </c>
      <c r="BS8">
        <v>288.00000000049999</v>
      </c>
      <c r="BT8">
        <v>295.89999999920002</v>
      </c>
      <c r="BU8">
        <v>302.70000000020002</v>
      </c>
      <c r="BV8">
        <v>310.1999999999</v>
      </c>
      <c r="BW8">
        <v>316.9999999991</v>
      </c>
      <c r="BX8">
        <v>323.50000000040001</v>
      </c>
      <c r="BY8">
        <v>329.70000000020002</v>
      </c>
      <c r="BZ8">
        <v>336.10000000039997</v>
      </c>
      <c r="CA8">
        <v>343.30000000050001</v>
      </c>
      <c r="CB8">
        <v>350.39999999939999</v>
      </c>
      <c r="CC8">
        <v>356.8999999989</v>
      </c>
      <c r="CD8">
        <v>363.29999999910001</v>
      </c>
      <c r="CE8">
        <v>369.30000000029997</v>
      </c>
      <c r="CF8">
        <v>375.2000000004</v>
      </c>
      <c r="CG8">
        <v>380.49999999929997</v>
      </c>
      <c r="CH8">
        <v>386.0999999997</v>
      </c>
      <c r="CI8">
        <v>392.7999999996</v>
      </c>
      <c r="CJ8">
        <v>398.79999999900002</v>
      </c>
      <c r="CK8">
        <v>404.89999999949998</v>
      </c>
      <c r="CL8">
        <v>410.20000000030001</v>
      </c>
      <c r="CM8">
        <v>415.99999999929997</v>
      </c>
      <c r="CN8">
        <v>421.3</v>
      </c>
      <c r="CO8">
        <v>426.10000000060001</v>
      </c>
      <c r="CP8">
        <v>431.19999999909999</v>
      </c>
      <c r="CQ8">
        <v>436.09999999899998</v>
      </c>
      <c r="CR8">
        <v>441.69999999940001</v>
      </c>
      <c r="CS8">
        <v>446.79999999969999</v>
      </c>
      <c r="CT8">
        <v>446.89999999899999</v>
      </c>
      <c r="CU8">
        <v>446.5999999993</v>
      </c>
      <c r="CV8">
        <v>446.5999999993</v>
      </c>
      <c r="CW8">
        <v>446.5</v>
      </c>
      <c r="CX8">
        <v>446.5999999993</v>
      </c>
      <c r="CY8">
        <v>446.5999999993</v>
      </c>
      <c r="CZ8">
        <v>446.79999999969999</v>
      </c>
      <c r="DA8">
        <v>446.79999999969999</v>
      </c>
      <c r="DB8">
        <v>446.89999999899999</v>
      </c>
      <c r="DC8">
        <v>446.89999999899999</v>
      </c>
      <c r="DD8">
        <v>446.5999999993</v>
      </c>
      <c r="DE8">
        <v>446.7000000004</v>
      </c>
      <c r="DF8">
        <v>446.5999999993</v>
      </c>
      <c r="DG8">
        <v>4.8999999999000003</v>
      </c>
      <c r="DH8">
        <v>5.7999999989999997</v>
      </c>
      <c r="DI8">
        <v>5.6999999997000002</v>
      </c>
      <c r="DJ8">
        <v>5.7999999989999997</v>
      </c>
      <c r="DK8">
        <v>5.9000000001000004</v>
      </c>
      <c r="DL8">
        <v>5.6999999997000002</v>
      </c>
      <c r="DM8">
        <v>5.6000000003999997</v>
      </c>
      <c r="DN8">
        <v>5.6000000003999997</v>
      </c>
      <c r="DO8">
        <v>5.2999999988999997</v>
      </c>
      <c r="DP8">
        <v>4.9999999991999999</v>
      </c>
      <c r="DQ8">
        <v>4.4999999990999999</v>
      </c>
      <c r="DR8">
        <v>3.6999999993000001</v>
      </c>
      <c r="DS8">
        <v>3.0999999999000001</v>
      </c>
      <c r="DT8">
        <v>2.5000000005</v>
      </c>
      <c r="DU8">
        <v>1.6999999989000001</v>
      </c>
      <c r="DV8">
        <v>0.59999999940000004</v>
      </c>
      <c r="DW8">
        <v>4.3000000004999999</v>
      </c>
      <c r="DX8">
        <v>10.5999999996</v>
      </c>
      <c r="DY8">
        <v>17.200000000199999</v>
      </c>
      <c r="DZ8">
        <v>23.799999999000001</v>
      </c>
      <c r="EA8">
        <v>30.8999999997</v>
      </c>
      <c r="EB8">
        <v>38.899999999599999</v>
      </c>
      <c r="EC8">
        <v>46.099999999600001</v>
      </c>
      <c r="ED8">
        <v>52.900000000600002</v>
      </c>
      <c r="EE8">
        <v>60.199999999900001</v>
      </c>
      <c r="EF8">
        <v>67.4999999992</v>
      </c>
      <c r="EG8">
        <v>73.899999999399995</v>
      </c>
      <c r="EH8">
        <v>82.000000000300005</v>
      </c>
      <c r="EI8">
        <v>90.799999999899995</v>
      </c>
      <c r="EJ8">
        <v>98.899999999000002</v>
      </c>
      <c r="EK8">
        <v>106.20000000020001</v>
      </c>
      <c r="EL8">
        <v>114.0999999989</v>
      </c>
      <c r="EM8">
        <v>122.1000000005</v>
      </c>
      <c r="EN8">
        <v>129.80000000059999</v>
      </c>
      <c r="EO8">
        <v>138.4999999991</v>
      </c>
      <c r="EP8">
        <v>146.80000000039999</v>
      </c>
      <c r="EQ8">
        <v>155.0000000007</v>
      </c>
      <c r="ER8">
        <v>163.09999999979999</v>
      </c>
      <c r="ES8">
        <v>171.19999999890001</v>
      </c>
      <c r="ET8">
        <v>178.3999999989</v>
      </c>
      <c r="EU8">
        <v>186.79999999949999</v>
      </c>
      <c r="EV8">
        <v>195.70000000019999</v>
      </c>
      <c r="EW8">
        <v>204.099999999</v>
      </c>
      <c r="EX8">
        <v>211.60000000049999</v>
      </c>
      <c r="EY8">
        <v>219.30000000070001</v>
      </c>
      <c r="EZ8">
        <v>226.80000000039999</v>
      </c>
      <c r="FA8">
        <v>234.69999999909999</v>
      </c>
      <c r="FB8">
        <v>243.59999999979999</v>
      </c>
      <c r="FC8">
        <v>251.50000000029999</v>
      </c>
      <c r="FD8">
        <v>259.39999999899999</v>
      </c>
      <c r="FE8">
        <v>266.2</v>
      </c>
      <c r="FF8">
        <v>274.19999999980001</v>
      </c>
      <c r="FG8">
        <v>280.69999999930002</v>
      </c>
      <c r="FH8">
        <v>288.59999999989998</v>
      </c>
      <c r="FI8">
        <v>296.699999999</v>
      </c>
      <c r="FJ8">
        <v>304.39999999909998</v>
      </c>
      <c r="FK8">
        <v>311.40000000049997</v>
      </c>
      <c r="FL8">
        <v>318.60000000050002</v>
      </c>
      <c r="FM8">
        <v>325.10000000000002</v>
      </c>
      <c r="FN8">
        <v>331.39999999909998</v>
      </c>
      <c r="FO8">
        <v>338.20000000009998</v>
      </c>
      <c r="FP8">
        <v>345.40000000020001</v>
      </c>
      <c r="FQ8">
        <v>352.3999999998</v>
      </c>
      <c r="FR8">
        <v>358.89999999930001</v>
      </c>
      <c r="FS8">
        <v>365.49999999990001</v>
      </c>
      <c r="FT8">
        <v>371.4</v>
      </c>
      <c r="FU8">
        <v>377.50000000049999</v>
      </c>
      <c r="FV8">
        <v>382.79999999939997</v>
      </c>
      <c r="FW8">
        <v>388.80000000059999</v>
      </c>
      <c r="FX8">
        <v>395.39999999939999</v>
      </c>
      <c r="FY8">
        <v>401.40000000060002</v>
      </c>
      <c r="FZ8">
        <v>407.40000000010002</v>
      </c>
      <c r="GA8">
        <v>412.89999999939999</v>
      </c>
      <c r="GB8">
        <v>417.99999999969998</v>
      </c>
      <c r="GC8">
        <v>423.1</v>
      </c>
      <c r="GD8">
        <v>428.20000000030001</v>
      </c>
      <c r="GE8">
        <v>432.49999999900001</v>
      </c>
      <c r="GF8">
        <v>437.2999999996</v>
      </c>
      <c r="GG8">
        <v>442.30000000059999</v>
      </c>
      <c r="GH8">
        <v>446.3999999989</v>
      </c>
      <c r="GI8">
        <v>446.3999999989</v>
      </c>
      <c r="GJ8">
        <v>446.2999999996</v>
      </c>
      <c r="GK8">
        <v>446.5</v>
      </c>
      <c r="GL8">
        <v>446.5999999993</v>
      </c>
      <c r="GM8">
        <v>446.2999999996</v>
      </c>
      <c r="GN8">
        <v>446.3999999989</v>
      </c>
      <c r="GO8">
        <v>446.7000000004</v>
      </c>
      <c r="GP8">
        <v>446.7000000004</v>
      </c>
      <c r="GQ8">
        <v>446.7000000004</v>
      </c>
      <c r="GR8">
        <v>446.79999999969999</v>
      </c>
      <c r="GS8">
        <v>446.5</v>
      </c>
      <c r="GT8">
        <v>446.3999999989</v>
      </c>
      <c r="GU8">
        <v>446.7000000004</v>
      </c>
      <c r="GV8">
        <v>446.5999999993</v>
      </c>
      <c r="GW8">
        <v>1</v>
      </c>
      <c r="GX8">
        <v>113.4000000002</v>
      </c>
      <c r="GY8">
        <v>115.8999999989</v>
      </c>
      <c r="GZ8">
        <v>115.8999999989</v>
      </c>
      <c r="HA8">
        <v>122.1000000005</v>
      </c>
      <c r="HB8">
        <v>117.55111334830001</v>
      </c>
      <c r="HC8">
        <v>-6.2000000016000003</v>
      </c>
      <c r="HD8">
        <v>446.5999999993</v>
      </c>
      <c r="HE8">
        <v>282.89140651349999</v>
      </c>
      <c r="HF8">
        <v>98.896128454999996</v>
      </c>
      <c r="HG8">
        <v>446.89999999899999</v>
      </c>
      <c r="HH8">
        <v>446.79999999969999</v>
      </c>
      <c r="HI8">
        <v>446.89999999899999</v>
      </c>
      <c r="HJ8">
        <v>446.79999999969999</v>
      </c>
      <c r="HK8">
        <v>110.26392961880001</v>
      </c>
      <c r="HL8">
        <v>3.2810396626</v>
      </c>
      <c r="HM8">
        <v>3.2039791666999999</v>
      </c>
      <c r="HN8">
        <v>3.2540673931000001</v>
      </c>
      <c r="HO8">
        <v>3.0429251298</v>
      </c>
      <c r="HP8">
        <v>3.4318107682000001</v>
      </c>
      <c r="HQ8">
        <v>2.3279338679000001</v>
      </c>
      <c r="HR8">
        <v>18.6549848933</v>
      </c>
      <c r="HS8">
        <v>-30.4985337243</v>
      </c>
      <c r="HT8">
        <v>-208</v>
      </c>
      <c r="HU8">
        <v>400.44251986180001</v>
      </c>
      <c r="HV8">
        <v>89.149560117299998</v>
      </c>
      <c r="HW8">
        <v>608</v>
      </c>
      <c r="HX8">
        <v>18.6549848933</v>
      </c>
      <c r="HY8">
        <v>-30.4985337243</v>
      </c>
      <c r="HZ8">
        <v>-208</v>
      </c>
      <c r="IA8">
        <v>400.44251986180001</v>
      </c>
      <c r="IB8">
        <v>89.149560117299998</v>
      </c>
      <c r="IC8">
        <v>608</v>
      </c>
      <c r="ID8">
        <v>46.357480137899998</v>
      </c>
      <c r="IE8">
        <v>4.0281969999999997E-4</v>
      </c>
      <c r="IF8">
        <v>-39.8826979472</v>
      </c>
      <c r="IG8">
        <v>-272</v>
      </c>
      <c r="IH8">
        <v>422.66623027859998</v>
      </c>
      <c r="II8">
        <v>98.533724340199996</v>
      </c>
      <c r="IJ8">
        <v>672</v>
      </c>
      <c r="IK8">
        <v>381.78753496849998</v>
      </c>
      <c r="IL8">
        <v>119.6480938416</v>
      </c>
      <c r="IM8">
        <v>406.43120733990003</v>
      </c>
      <c r="IN8">
        <v>129.03225806450001</v>
      </c>
      <c r="IO8">
        <v>6.6000000005999997</v>
      </c>
      <c r="IP8">
        <v>5.9999999994</v>
      </c>
      <c r="IQ8">
        <v>9.0999999992999996</v>
      </c>
      <c r="IR8">
        <v>5.3387984181999997</v>
      </c>
      <c r="IS8">
        <v>5.3387984181999997</v>
      </c>
      <c r="IT8">
        <v>5.1000000002999997</v>
      </c>
      <c r="IU8">
        <v>-32.844574780099997</v>
      </c>
      <c r="IV8">
        <v>9.2999999997000007</v>
      </c>
      <c r="IW8">
        <v>68.035190615800005</v>
      </c>
      <c r="IX8">
        <v>7.9999999998</v>
      </c>
      <c r="IY8">
        <v>93.841642228699996</v>
      </c>
      <c r="IZ8">
        <v>-36.757188171400003</v>
      </c>
      <c r="JA8">
        <v>0.34529912950000002</v>
      </c>
      <c r="JB8">
        <v>-3.5641619999999998E-4</v>
      </c>
      <c r="JC8">
        <v>6.9810000000000004E-7</v>
      </c>
      <c r="JD8">
        <v>0.30478144210000002</v>
      </c>
      <c r="JE8">
        <v>0.34081038180000001</v>
      </c>
      <c r="JF8">
        <v>0.13610397799999999</v>
      </c>
      <c r="JG8">
        <v>117.75357913720001</v>
      </c>
      <c r="JH8">
        <v>3.4318107682000001</v>
      </c>
      <c r="JI8">
        <v>3.1722216E-3</v>
      </c>
      <c r="JJ8">
        <v>-7.0019999999999997E-5</v>
      </c>
      <c r="JK8">
        <v>3.2810396626</v>
      </c>
      <c r="JL8">
        <v>1.4017218499999999</v>
      </c>
      <c r="JM8">
        <v>0.51168078390000005</v>
      </c>
      <c r="JN8" t="s">
        <v>523</v>
      </c>
      <c r="JQ8">
        <v>1</v>
      </c>
    </row>
    <row r="9" spans="1:277">
      <c r="A9" t="s">
        <v>618</v>
      </c>
      <c r="B9" t="s">
        <v>619</v>
      </c>
      <c r="C9" t="s">
        <v>208</v>
      </c>
      <c r="D9">
        <v>3</v>
      </c>
      <c r="E9" t="s">
        <v>209</v>
      </c>
      <c r="F9" t="s">
        <v>210</v>
      </c>
      <c r="G9" t="s">
        <v>522</v>
      </c>
      <c r="H9" t="s">
        <v>528</v>
      </c>
      <c r="J9" t="s">
        <v>578</v>
      </c>
      <c r="K9" t="s">
        <v>579</v>
      </c>
      <c r="L9" t="s">
        <v>580</v>
      </c>
      <c r="M9" t="s">
        <v>581</v>
      </c>
      <c r="N9" t="s">
        <v>582</v>
      </c>
      <c r="O9">
        <v>0</v>
      </c>
      <c r="P9">
        <v>0</v>
      </c>
      <c r="Q9">
        <v>9.9999999300000003E-2</v>
      </c>
      <c r="R9">
        <v>0.29999999970000002</v>
      </c>
      <c r="S9">
        <v>0.20000000039999999</v>
      </c>
      <c r="T9">
        <v>0.20000000039999999</v>
      </c>
      <c r="U9">
        <v>0.20000000039999999</v>
      </c>
      <c r="V9">
        <v>0</v>
      </c>
      <c r="W9">
        <v>0.29999999970000002</v>
      </c>
      <c r="X9">
        <v>0.20000000039999999</v>
      </c>
      <c r="Y9">
        <v>0.40000000079999998</v>
      </c>
      <c r="Z9">
        <v>0.40000000079999998</v>
      </c>
      <c r="AA9">
        <v>0.40000000079999998</v>
      </c>
      <c r="AB9">
        <v>0.50000000010000001</v>
      </c>
      <c r="AC9">
        <v>0.29999999970000002</v>
      </c>
      <c r="AD9">
        <v>0.29999999970000002</v>
      </c>
      <c r="AE9">
        <v>0.20000000039999999</v>
      </c>
      <c r="AF9">
        <v>1.400000001</v>
      </c>
      <c r="AG9">
        <v>6.1999999998000002</v>
      </c>
      <c r="AH9">
        <v>11.0999999997</v>
      </c>
      <c r="AI9">
        <v>17.700000000300001</v>
      </c>
      <c r="AJ9">
        <v>24.499999999500002</v>
      </c>
      <c r="AK9">
        <v>30.800000000499999</v>
      </c>
      <c r="AL9">
        <v>37.400000001099997</v>
      </c>
      <c r="AM9">
        <v>44.400000000699997</v>
      </c>
      <c r="AN9">
        <v>51.100000000599998</v>
      </c>
      <c r="AO9">
        <v>58.9</v>
      </c>
      <c r="AP9">
        <v>66.3999999997</v>
      </c>
      <c r="AQ9">
        <v>74.300000000200001</v>
      </c>
      <c r="AR9">
        <v>81.5999999995</v>
      </c>
      <c r="AS9">
        <v>89.200000000299994</v>
      </c>
      <c r="AT9">
        <v>96.2</v>
      </c>
      <c r="AU9">
        <v>103.50000000110001</v>
      </c>
      <c r="AV9">
        <v>111.80000000059999</v>
      </c>
      <c r="AW9">
        <v>120.3999999998</v>
      </c>
      <c r="AX9">
        <v>128.89999999969999</v>
      </c>
      <c r="AY9">
        <v>136.3000000001</v>
      </c>
      <c r="AZ9">
        <v>144.50000000029999</v>
      </c>
      <c r="BA9">
        <v>151.70000000030001</v>
      </c>
      <c r="BB9">
        <v>159.70000000019999</v>
      </c>
      <c r="BC9">
        <v>168.2000000001</v>
      </c>
      <c r="BD9">
        <v>176.60000000069999</v>
      </c>
      <c r="BE9">
        <v>184.1000000004</v>
      </c>
      <c r="BF9">
        <v>192.19999999949999</v>
      </c>
      <c r="BG9">
        <v>199.8000000003</v>
      </c>
      <c r="BH9">
        <v>207.39999999930001</v>
      </c>
      <c r="BI9">
        <v>215.70000000069999</v>
      </c>
      <c r="BJ9">
        <v>223.79999999980001</v>
      </c>
      <c r="BK9">
        <v>231.70000000030001</v>
      </c>
      <c r="BL9">
        <v>238.9000000003</v>
      </c>
      <c r="BM9">
        <v>246.99999999939999</v>
      </c>
      <c r="BN9">
        <v>254.00000000079999</v>
      </c>
      <c r="BO9">
        <v>261.80000000019999</v>
      </c>
      <c r="BP9">
        <v>269.50000000030002</v>
      </c>
      <c r="BQ9">
        <v>277.29999999969999</v>
      </c>
      <c r="BR9">
        <v>284.49999999980002</v>
      </c>
      <c r="BS9">
        <v>291.69999999980001</v>
      </c>
      <c r="BT9">
        <v>299.0000000009</v>
      </c>
      <c r="BU9">
        <v>305.50000000040001</v>
      </c>
      <c r="BV9">
        <v>312.2999999996</v>
      </c>
      <c r="BW9">
        <v>319.7</v>
      </c>
      <c r="BX9">
        <v>326.99999999929997</v>
      </c>
      <c r="BY9">
        <v>333.70000000099998</v>
      </c>
      <c r="BZ9">
        <v>340.29999999979998</v>
      </c>
      <c r="CA9">
        <v>346.90000000049997</v>
      </c>
      <c r="CB9">
        <v>352.69999999949999</v>
      </c>
      <c r="CC9">
        <v>359.00000000040001</v>
      </c>
      <c r="CD9">
        <v>365.40000000060002</v>
      </c>
      <c r="CE9">
        <v>371.90000000010002</v>
      </c>
      <c r="CF9">
        <v>378.50000000070003</v>
      </c>
      <c r="CG9">
        <v>384.70000000049998</v>
      </c>
      <c r="CH9">
        <v>390.19999999980001</v>
      </c>
      <c r="CI9">
        <v>396.09999999989998</v>
      </c>
      <c r="CJ9">
        <v>402</v>
      </c>
      <c r="CK9">
        <v>407.00000000109998</v>
      </c>
      <c r="CL9">
        <v>412.5999999997</v>
      </c>
      <c r="CM9">
        <v>418.10000000079998</v>
      </c>
      <c r="CN9">
        <v>424.0000000009</v>
      </c>
      <c r="CO9">
        <v>429.50000000019998</v>
      </c>
      <c r="CP9">
        <v>434.80000000090001</v>
      </c>
      <c r="CQ9">
        <v>439.5999999997</v>
      </c>
      <c r="CR9">
        <v>444.60000000069999</v>
      </c>
      <c r="CS9">
        <v>449.80000000029997</v>
      </c>
      <c r="CT9">
        <v>454.10000000079998</v>
      </c>
      <c r="CU9">
        <v>455.90000000079999</v>
      </c>
      <c r="CV9">
        <v>455.79999999969999</v>
      </c>
      <c r="CW9">
        <v>455.7000000004</v>
      </c>
      <c r="CX9">
        <v>455.79999999969999</v>
      </c>
      <c r="CY9">
        <v>455.90000000079999</v>
      </c>
      <c r="CZ9">
        <v>455.90000000079999</v>
      </c>
      <c r="DA9">
        <v>455.79999999969999</v>
      </c>
      <c r="DB9">
        <v>455.90000000079999</v>
      </c>
      <c r="DC9">
        <v>455.5999999993</v>
      </c>
      <c r="DD9">
        <v>455.79999999969999</v>
      </c>
      <c r="DE9">
        <v>455.90000000079999</v>
      </c>
      <c r="DF9">
        <v>456.09999999939998</v>
      </c>
      <c r="DG9">
        <v>0.50000000010000001</v>
      </c>
      <c r="DH9">
        <v>1.2999999999</v>
      </c>
      <c r="DI9">
        <v>1.0999999995</v>
      </c>
      <c r="DJ9">
        <v>1.0999999995</v>
      </c>
      <c r="DK9">
        <v>1.2999999999</v>
      </c>
      <c r="DL9">
        <v>1.2999999999</v>
      </c>
      <c r="DM9">
        <v>1.5999999996000001</v>
      </c>
      <c r="DN9">
        <v>1.400000001</v>
      </c>
      <c r="DO9">
        <v>1.400000001</v>
      </c>
      <c r="DP9">
        <v>1.2000000006</v>
      </c>
      <c r="DQ9">
        <v>1.400000001</v>
      </c>
      <c r="DR9">
        <v>1.400000001</v>
      </c>
      <c r="DS9">
        <v>1.400000001</v>
      </c>
      <c r="DT9">
        <v>1.5000000003</v>
      </c>
      <c r="DU9">
        <v>1.400000001</v>
      </c>
      <c r="DV9">
        <v>5.3000000006999999</v>
      </c>
      <c r="DW9">
        <v>10.0000000002</v>
      </c>
      <c r="DX9">
        <v>16.600000000800001</v>
      </c>
      <c r="DY9">
        <v>23.4</v>
      </c>
      <c r="DZ9">
        <v>29.8999999995</v>
      </c>
      <c r="EA9">
        <v>36.700000000599999</v>
      </c>
      <c r="EB9">
        <v>43.4000000005</v>
      </c>
      <c r="EC9">
        <v>50.199999999699997</v>
      </c>
      <c r="ED9">
        <v>57.899999999800002</v>
      </c>
      <c r="EE9">
        <v>65.500000000599996</v>
      </c>
      <c r="EF9">
        <v>73.000000000300005</v>
      </c>
      <c r="EG9">
        <v>80.200000000299994</v>
      </c>
      <c r="EH9">
        <v>87.7</v>
      </c>
      <c r="EI9">
        <v>95.100000000500003</v>
      </c>
      <c r="EJ9">
        <v>102.30000000050001</v>
      </c>
      <c r="EK9">
        <v>110.3999999996</v>
      </c>
      <c r="EL9">
        <v>118.5999999998</v>
      </c>
      <c r="EM9">
        <v>127.2000000008</v>
      </c>
      <c r="EN9">
        <v>134.90000000090001</v>
      </c>
      <c r="EO9">
        <v>143.2000000004</v>
      </c>
      <c r="EP9">
        <v>150.29999999930001</v>
      </c>
      <c r="EQ9">
        <v>158.1999999999</v>
      </c>
      <c r="ER9">
        <v>166.60000000049999</v>
      </c>
      <c r="ES9">
        <v>175.1000000004</v>
      </c>
      <c r="ET9">
        <v>183.1000000002</v>
      </c>
      <c r="EU9">
        <v>191.1</v>
      </c>
      <c r="EV9">
        <v>198.89999999939999</v>
      </c>
      <c r="EW9">
        <v>206.7000000006</v>
      </c>
      <c r="EX9">
        <v>214.79999999969999</v>
      </c>
      <c r="EY9">
        <v>223.2000000004</v>
      </c>
      <c r="EZ9">
        <v>231.29999999949999</v>
      </c>
      <c r="FA9">
        <v>238.6999999999</v>
      </c>
      <c r="FB9">
        <v>246.90000000009999</v>
      </c>
      <c r="FC9">
        <v>254.00000000079999</v>
      </c>
      <c r="FD9">
        <v>262.00000000059998</v>
      </c>
      <c r="FE9">
        <v>269.89999999930001</v>
      </c>
      <c r="FF9">
        <v>277.90000000100002</v>
      </c>
      <c r="FG9">
        <v>285.10000000100001</v>
      </c>
      <c r="FH9">
        <v>292.4000000003</v>
      </c>
      <c r="FI9">
        <v>299.69999999959998</v>
      </c>
      <c r="FJ9">
        <v>306.59999999989998</v>
      </c>
      <c r="FK9">
        <v>313.79999999990002</v>
      </c>
      <c r="FL9">
        <v>321.4000000007</v>
      </c>
      <c r="FM9">
        <v>328.79999999929998</v>
      </c>
      <c r="FN9">
        <v>335.30000000059999</v>
      </c>
      <c r="FO9">
        <v>342.09999999979999</v>
      </c>
      <c r="FP9">
        <v>348.70000000049998</v>
      </c>
      <c r="FQ9">
        <v>354.800000001</v>
      </c>
      <c r="FR9">
        <v>361.30000000050001</v>
      </c>
      <c r="FS9">
        <v>367.59999999960002</v>
      </c>
      <c r="FT9">
        <v>374.60000000100001</v>
      </c>
      <c r="FU9">
        <v>381.19999999980001</v>
      </c>
      <c r="FV9">
        <v>386.59999999979999</v>
      </c>
      <c r="FW9">
        <v>392.60000000100001</v>
      </c>
      <c r="FX9">
        <v>398.80000000080003</v>
      </c>
      <c r="FY9">
        <v>404.3000000001</v>
      </c>
      <c r="FZ9">
        <v>409.90000000060002</v>
      </c>
      <c r="GA9">
        <v>415.30000000059999</v>
      </c>
      <c r="GB9">
        <v>420.29999999979998</v>
      </c>
      <c r="GC9">
        <v>426.4000000003</v>
      </c>
      <c r="GD9">
        <v>431.89999999960003</v>
      </c>
      <c r="GE9">
        <v>436.70000000020002</v>
      </c>
      <c r="GF9">
        <v>441.19999999930002</v>
      </c>
      <c r="GG9">
        <v>446.10000000100001</v>
      </c>
      <c r="GH9">
        <v>450.69999999940001</v>
      </c>
      <c r="GI9">
        <v>454.10000000079998</v>
      </c>
      <c r="GJ9">
        <v>455.5</v>
      </c>
      <c r="GK9">
        <v>455.5999999993</v>
      </c>
      <c r="GL9">
        <v>455.5999999993</v>
      </c>
      <c r="GM9">
        <v>455.7000000004</v>
      </c>
      <c r="GN9">
        <v>455.5999999993</v>
      </c>
      <c r="GO9">
        <v>455.79999999969999</v>
      </c>
      <c r="GP9">
        <v>455.7000000004</v>
      </c>
      <c r="GQ9">
        <v>455.90000000079999</v>
      </c>
      <c r="GR9">
        <v>455.90000000079999</v>
      </c>
      <c r="GS9">
        <v>455.79999999969999</v>
      </c>
      <c r="GT9">
        <v>455.79999999969999</v>
      </c>
      <c r="GU9">
        <v>455.79999999969999</v>
      </c>
      <c r="GV9">
        <v>455.90000000079999</v>
      </c>
      <c r="GW9">
        <v>1</v>
      </c>
      <c r="GX9">
        <v>122.99999999960001</v>
      </c>
      <c r="GY9">
        <v>120.3999999998</v>
      </c>
      <c r="GZ9">
        <v>120.3999999998</v>
      </c>
      <c r="HA9">
        <v>127.2000000008</v>
      </c>
      <c r="HB9">
        <v>122.24614035090001</v>
      </c>
      <c r="HC9">
        <v>-6.8000000009999999</v>
      </c>
      <c r="HD9">
        <v>455.90000000079999</v>
      </c>
      <c r="HE9">
        <v>292.23751096550001</v>
      </c>
      <c r="HF9">
        <v>104.2892653506</v>
      </c>
      <c r="HG9">
        <v>456.09999999939998</v>
      </c>
      <c r="HH9">
        <v>455.90000000079999</v>
      </c>
      <c r="HI9">
        <v>456.09999999939998</v>
      </c>
      <c r="HJ9">
        <v>455.90000000079999</v>
      </c>
      <c r="HK9">
        <v>114.9560117302</v>
      </c>
      <c r="HL9">
        <v>3.2359249574</v>
      </c>
      <c r="HM9">
        <v>3.161399812</v>
      </c>
      <c r="HN9">
        <v>3.1977315789</v>
      </c>
      <c r="HO9">
        <v>2.9501153125999999</v>
      </c>
      <c r="HP9">
        <v>3.3915955419000001</v>
      </c>
      <c r="HQ9">
        <v>2.2198854459000001</v>
      </c>
      <c r="HR9">
        <v>17.956875000299998</v>
      </c>
      <c r="HS9">
        <v>-32.844574780099997</v>
      </c>
      <c r="HT9">
        <v>-224</v>
      </c>
      <c r="HU9">
        <v>414.48365131640003</v>
      </c>
      <c r="HV9">
        <v>93.841642228699996</v>
      </c>
      <c r="HW9">
        <v>640</v>
      </c>
      <c r="HX9">
        <v>17.956875000299998</v>
      </c>
      <c r="HY9">
        <v>-32.844574780099997</v>
      </c>
      <c r="HZ9">
        <v>-224</v>
      </c>
      <c r="IA9">
        <v>414.48365131640003</v>
      </c>
      <c r="IB9">
        <v>93.841642228699996</v>
      </c>
      <c r="IC9">
        <v>640</v>
      </c>
      <c r="ID9">
        <v>41.416348684399999</v>
      </c>
      <c r="IE9">
        <v>0.2021052636</v>
      </c>
      <c r="IF9">
        <v>-42.228739002899999</v>
      </c>
      <c r="IG9">
        <v>-288</v>
      </c>
      <c r="IH9">
        <v>436.33842105280002</v>
      </c>
      <c r="II9">
        <v>103.22580645159999</v>
      </c>
      <c r="IJ9">
        <v>704</v>
      </c>
      <c r="IK9">
        <v>396.52677631609998</v>
      </c>
      <c r="IL9">
        <v>126.6862170088</v>
      </c>
      <c r="IM9">
        <v>419.51819079000001</v>
      </c>
      <c r="IN9">
        <v>136.0703812317</v>
      </c>
      <c r="IO9">
        <v>6.6000000005999997</v>
      </c>
      <c r="IP9">
        <v>6.1000000004999997</v>
      </c>
      <c r="IQ9">
        <v>8.6000000009999997</v>
      </c>
      <c r="IR9">
        <v>5.1446990345000003</v>
      </c>
      <c r="IS9">
        <v>5.1446990345000003</v>
      </c>
      <c r="IT9">
        <v>5.5000000011000001</v>
      </c>
      <c r="IU9">
        <v>-35.190615835800003</v>
      </c>
      <c r="IV9">
        <v>9.2999999997000007</v>
      </c>
      <c r="IW9">
        <v>79.765395894400001</v>
      </c>
      <c r="IX9">
        <v>8.2999999995000007</v>
      </c>
      <c r="IY9">
        <v>98.533724340199996</v>
      </c>
      <c r="IZ9">
        <v>-38.9024139506</v>
      </c>
      <c r="JA9">
        <v>0.35577696139999998</v>
      </c>
      <c r="JB9">
        <v>-3.8648190000000002E-4</v>
      </c>
      <c r="JC9">
        <v>7.23E-7</v>
      </c>
      <c r="JD9">
        <v>0.30903065219999998</v>
      </c>
      <c r="JE9">
        <v>0.25908159580000001</v>
      </c>
      <c r="JF9">
        <v>0.11674292059999999</v>
      </c>
      <c r="JG9">
        <v>122.2023050833</v>
      </c>
      <c r="JH9">
        <v>3.3915955419000001</v>
      </c>
      <c r="JI9">
        <v>3.3597718E-3</v>
      </c>
      <c r="JJ9">
        <v>-6.8219799999999994E-5</v>
      </c>
      <c r="JK9">
        <v>3.2359249574</v>
      </c>
      <c r="JL9">
        <v>1.2513525003999999</v>
      </c>
      <c r="JM9">
        <v>0.5154267387</v>
      </c>
      <c r="JN9" t="s">
        <v>523</v>
      </c>
      <c r="JQ9">
        <v>1</v>
      </c>
    </row>
    <row r="10" spans="1:277">
      <c r="A10" t="s">
        <v>630</v>
      </c>
      <c r="B10" t="s">
        <v>631</v>
      </c>
      <c r="C10" t="s">
        <v>208</v>
      </c>
      <c r="D10">
        <v>3</v>
      </c>
      <c r="E10" t="s">
        <v>209</v>
      </c>
      <c r="F10" t="s">
        <v>210</v>
      </c>
      <c r="G10" t="s">
        <v>522</v>
      </c>
      <c r="H10" t="s">
        <v>528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0.29999999970000002</v>
      </c>
      <c r="R10">
        <v>0</v>
      </c>
      <c r="S10">
        <v>9.9999999300000003E-2</v>
      </c>
      <c r="T10">
        <v>0.29999999970000002</v>
      </c>
      <c r="U10">
        <v>0.20000000039999999</v>
      </c>
      <c r="V10">
        <v>0.20000000039999999</v>
      </c>
      <c r="W10">
        <v>0.20000000039999999</v>
      </c>
      <c r="X10">
        <v>0.20000000039999999</v>
      </c>
      <c r="Y10">
        <v>0.20000000039999999</v>
      </c>
      <c r="Z10">
        <v>0.20000000039999999</v>
      </c>
      <c r="AA10">
        <v>0.29999999970000002</v>
      </c>
      <c r="AB10">
        <v>0.40000000079999998</v>
      </c>
      <c r="AC10">
        <v>0.50000000010000001</v>
      </c>
      <c r="AD10">
        <v>0.59999999940000004</v>
      </c>
      <c r="AE10">
        <v>0.50000000010000001</v>
      </c>
      <c r="AF10">
        <v>0.29999999970000002</v>
      </c>
      <c r="AG10">
        <v>0.29999999970000002</v>
      </c>
      <c r="AH10">
        <v>0.40000000079999998</v>
      </c>
      <c r="AI10">
        <v>0.59999999940000004</v>
      </c>
      <c r="AJ10">
        <v>4.3000000004999999</v>
      </c>
      <c r="AK10">
        <v>9.2999999997000007</v>
      </c>
      <c r="AL10">
        <v>15.6000000006</v>
      </c>
      <c r="AM10">
        <v>22.499999999100002</v>
      </c>
      <c r="AN10">
        <v>29.300000000099999</v>
      </c>
      <c r="AO10">
        <v>37.200000000700001</v>
      </c>
      <c r="AP10">
        <v>44.900000000799999</v>
      </c>
      <c r="AQ10">
        <v>52.200000000099998</v>
      </c>
      <c r="AR10">
        <v>59.900000000200002</v>
      </c>
      <c r="AS10">
        <v>67.399999999900004</v>
      </c>
      <c r="AT10">
        <v>74.800000000300003</v>
      </c>
      <c r="AU10">
        <v>82.399999999299993</v>
      </c>
      <c r="AV10">
        <v>90.700000000700001</v>
      </c>
      <c r="AW10">
        <v>99.0999999995</v>
      </c>
      <c r="AX10">
        <v>107.2000000004</v>
      </c>
      <c r="AY10">
        <v>115.09999999910001</v>
      </c>
      <c r="AZ10">
        <v>123.10000000070001</v>
      </c>
      <c r="BA10">
        <v>130.6000000004</v>
      </c>
      <c r="BB10">
        <v>139.10000000030001</v>
      </c>
      <c r="BC10">
        <v>147.80000000059999</v>
      </c>
      <c r="BD10">
        <v>156.19999999940001</v>
      </c>
      <c r="BE10">
        <v>164.1</v>
      </c>
      <c r="BF10">
        <v>172.39999999950001</v>
      </c>
      <c r="BG10">
        <v>180.09999999959999</v>
      </c>
      <c r="BH10">
        <v>188.5000000002</v>
      </c>
      <c r="BI10">
        <v>197.00000000009999</v>
      </c>
      <c r="BJ10">
        <v>205.4000000007</v>
      </c>
      <c r="BK10">
        <v>213.10000000080001</v>
      </c>
      <c r="BL10">
        <v>221.2</v>
      </c>
      <c r="BM10">
        <v>228.99999999939999</v>
      </c>
      <c r="BN10">
        <v>236.80000000059999</v>
      </c>
      <c r="BO10">
        <v>245.10000000010001</v>
      </c>
      <c r="BP10">
        <v>253.5000000007</v>
      </c>
      <c r="BQ10">
        <v>261.00000000040001</v>
      </c>
      <c r="BR10">
        <v>268.50000000009999</v>
      </c>
      <c r="BS10">
        <v>276.40000000060002</v>
      </c>
      <c r="BT10">
        <v>283.7</v>
      </c>
      <c r="BU10">
        <v>291.30000000080003</v>
      </c>
      <c r="BV10">
        <v>298.9999999991</v>
      </c>
      <c r="BW10">
        <v>306.59999999989998</v>
      </c>
      <c r="BX10">
        <v>313.59999999950003</v>
      </c>
      <c r="BY10">
        <v>320.49999999980002</v>
      </c>
      <c r="BZ10">
        <v>327.69999999980001</v>
      </c>
      <c r="CA10">
        <v>334.39999999970001</v>
      </c>
      <c r="CB10">
        <v>341.50000000049999</v>
      </c>
      <c r="CC10">
        <v>348.29999999969999</v>
      </c>
      <c r="CD10">
        <v>355.40000000039998</v>
      </c>
      <c r="CE10">
        <v>361.89999999989999</v>
      </c>
      <c r="CF10">
        <v>368.39999999939999</v>
      </c>
      <c r="CG10">
        <v>374.70000000030001</v>
      </c>
      <c r="CH10">
        <v>380.90000000010002</v>
      </c>
      <c r="CI10">
        <v>387.00000000059998</v>
      </c>
      <c r="CJ10">
        <v>393.0999999993</v>
      </c>
      <c r="CK10">
        <v>399.49999999950001</v>
      </c>
      <c r="CL10">
        <v>405.69999999930002</v>
      </c>
      <c r="CM10">
        <v>411.29999999979998</v>
      </c>
      <c r="CN10">
        <v>417.2999999992</v>
      </c>
      <c r="CO10">
        <v>422.50000000059998</v>
      </c>
      <c r="CP10">
        <v>428.5</v>
      </c>
      <c r="CQ10">
        <v>433.60000000029999</v>
      </c>
      <c r="CR10">
        <v>439.00000000030002</v>
      </c>
      <c r="CS10">
        <v>444.49999999959999</v>
      </c>
      <c r="CT10">
        <v>449.80000000029997</v>
      </c>
      <c r="CU10">
        <v>454.40000000049997</v>
      </c>
      <c r="CV10">
        <v>456.39999999909998</v>
      </c>
      <c r="CW10">
        <v>456.50000000019998</v>
      </c>
      <c r="CX10">
        <v>456.50000000019998</v>
      </c>
      <c r="CY10">
        <v>456.50000000019998</v>
      </c>
      <c r="CZ10">
        <v>456.29999999979998</v>
      </c>
      <c r="DA10">
        <v>456.29999999979998</v>
      </c>
      <c r="DB10">
        <v>456.39999999909998</v>
      </c>
      <c r="DC10">
        <v>456.29999999979998</v>
      </c>
      <c r="DD10">
        <v>456.29999999979998</v>
      </c>
      <c r="DE10">
        <v>456.39999999909998</v>
      </c>
      <c r="DF10">
        <v>456.39999999909998</v>
      </c>
      <c r="DG10">
        <v>0.89999999909999995</v>
      </c>
      <c r="DH10">
        <v>1.0000000002</v>
      </c>
      <c r="DI10">
        <v>1.2000000006</v>
      </c>
      <c r="DJ10">
        <v>1.2999999999</v>
      </c>
      <c r="DK10">
        <v>1.0000000002</v>
      </c>
      <c r="DL10">
        <v>0.89999999909999995</v>
      </c>
      <c r="DM10">
        <v>0.89999999909999995</v>
      </c>
      <c r="DN10">
        <v>0.89999999909999995</v>
      </c>
      <c r="DO10">
        <v>1.0000000002</v>
      </c>
      <c r="DP10">
        <v>1.0999999995</v>
      </c>
      <c r="DQ10">
        <v>1.0999999995</v>
      </c>
      <c r="DR10">
        <v>1.2000000006</v>
      </c>
      <c r="DS10">
        <v>1.0000000002</v>
      </c>
      <c r="DT10">
        <v>1.0000000002</v>
      </c>
      <c r="DU10">
        <v>1.2000000006</v>
      </c>
      <c r="DV10">
        <v>1.0999999995</v>
      </c>
      <c r="DW10">
        <v>1.5000000003</v>
      </c>
      <c r="DX10">
        <v>0.89999999909999995</v>
      </c>
      <c r="DY10">
        <v>2.3999999993999999</v>
      </c>
      <c r="DZ10">
        <v>7.1000000006999997</v>
      </c>
      <c r="EA10">
        <v>13.800000000600001</v>
      </c>
      <c r="EB10">
        <v>20.699999999100001</v>
      </c>
      <c r="EC10">
        <v>27.4000000009</v>
      </c>
      <c r="ED10">
        <v>35.299999999599997</v>
      </c>
      <c r="EE10">
        <v>42.900000000399999</v>
      </c>
      <c r="EF10">
        <v>50.199999999699997</v>
      </c>
      <c r="EG10">
        <v>57.699999999399999</v>
      </c>
      <c r="EH10">
        <v>65.199999999100001</v>
      </c>
      <c r="EI10">
        <v>72.700000000599999</v>
      </c>
      <c r="EJ10">
        <v>79.900000000600002</v>
      </c>
      <c r="EK10">
        <v>88.4000000005</v>
      </c>
      <c r="EL10">
        <v>96.799999999299999</v>
      </c>
      <c r="EM10">
        <v>104.7999999992</v>
      </c>
      <c r="EN10">
        <v>112.6999999997</v>
      </c>
      <c r="EO10">
        <v>120.6000000002</v>
      </c>
      <c r="EP10">
        <v>128.5000000007</v>
      </c>
      <c r="EQ10">
        <v>136.80000000019999</v>
      </c>
      <c r="ER10">
        <v>145.59999999979999</v>
      </c>
      <c r="ES10">
        <v>153.59999999959999</v>
      </c>
      <c r="ET10">
        <v>161.89999999919999</v>
      </c>
      <c r="EU10">
        <v>170.20000000050001</v>
      </c>
      <c r="EV10">
        <v>178.09999999920001</v>
      </c>
      <c r="EW10">
        <v>186.2000000001</v>
      </c>
      <c r="EX10">
        <v>195.2000000001</v>
      </c>
      <c r="EY10">
        <v>203.7</v>
      </c>
      <c r="EZ10">
        <v>211.69999999980001</v>
      </c>
      <c r="FA10">
        <v>219.9999999993</v>
      </c>
      <c r="FB10">
        <v>227.89999999989999</v>
      </c>
      <c r="FC10">
        <v>235.6</v>
      </c>
      <c r="FD10">
        <v>244.09999999990001</v>
      </c>
      <c r="FE10">
        <v>252.50000000049999</v>
      </c>
      <c r="FF10">
        <v>260.50000000030002</v>
      </c>
      <c r="FG10">
        <v>267.9000000007</v>
      </c>
      <c r="FH10">
        <v>275.90000000049997</v>
      </c>
      <c r="FI10">
        <v>283.1999999999</v>
      </c>
      <c r="FJ10">
        <v>290.99999999929997</v>
      </c>
      <c r="FK10">
        <v>298.60000000010001</v>
      </c>
      <c r="FL10">
        <v>306.30000000019999</v>
      </c>
      <c r="FM10">
        <v>313.50000000019998</v>
      </c>
      <c r="FN10">
        <v>320.70000000020002</v>
      </c>
      <c r="FO10">
        <v>328.10000000060001</v>
      </c>
      <c r="FP10">
        <v>334.9999999991</v>
      </c>
      <c r="FQ10">
        <v>341.89999999939999</v>
      </c>
      <c r="FR10">
        <v>349.00000000019998</v>
      </c>
      <c r="FS10">
        <v>355.90000000049997</v>
      </c>
      <c r="FT10">
        <v>362.80000000080003</v>
      </c>
      <c r="FU10">
        <v>369.00000000059998</v>
      </c>
      <c r="FV10">
        <v>375.59999999939998</v>
      </c>
      <c r="FW10">
        <v>381.40000000020001</v>
      </c>
      <c r="FX10">
        <v>387.6</v>
      </c>
      <c r="FY10">
        <v>393.89999999909998</v>
      </c>
      <c r="FZ10">
        <v>400.10000000069999</v>
      </c>
      <c r="GA10">
        <v>406.4999999991</v>
      </c>
      <c r="GB10">
        <v>412.3</v>
      </c>
      <c r="GC10">
        <v>417.79999999929998</v>
      </c>
      <c r="GD10">
        <v>423.39999999970001</v>
      </c>
      <c r="GE10">
        <v>428.79999999969999</v>
      </c>
      <c r="GF10">
        <v>433.99999999929997</v>
      </c>
      <c r="GG10">
        <v>439.00000000030002</v>
      </c>
      <c r="GH10">
        <v>444.60000000069999</v>
      </c>
      <c r="GI10">
        <v>449.39999999949998</v>
      </c>
      <c r="GJ10">
        <v>453.60000000069999</v>
      </c>
      <c r="GK10">
        <v>456.20000000049998</v>
      </c>
      <c r="GL10">
        <v>456.20000000049998</v>
      </c>
      <c r="GM10">
        <v>456.29999999979998</v>
      </c>
      <c r="GN10">
        <v>456.29999999979998</v>
      </c>
      <c r="GO10">
        <v>456.09999999939998</v>
      </c>
      <c r="GP10">
        <v>456.50000000019998</v>
      </c>
      <c r="GQ10">
        <v>456.50000000019998</v>
      </c>
      <c r="GR10">
        <v>456.29999999979998</v>
      </c>
      <c r="GS10">
        <v>456.39999999909998</v>
      </c>
      <c r="GT10">
        <v>456.09999999939998</v>
      </c>
      <c r="GU10">
        <v>456.39999999909998</v>
      </c>
      <c r="GV10">
        <v>456.29999999979998</v>
      </c>
      <c r="GW10">
        <v>1</v>
      </c>
      <c r="GX10">
        <v>101.0000000006</v>
      </c>
      <c r="GY10">
        <v>99.0999999995</v>
      </c>
      <c r="GZ10">
        <v>99.0999999995</v>
      </c>
      <c r="HA10">
        <v>104.7999999992</v>
      </c>
      <c r="HB10">
        <v>100.3732581063</v>
      </c>
      <c r="HC10">
        <v>-5.6999999997000002</v>
      </c>
      <c r="HD10">
        <v>456.30001095509999</v>
      </c>
      <c r="HE10">
        <v>316.8307186678</v>
      </c>
      <c r="HF10">
        <v>84.570442592999996</v>
      </c>
      <c r="HG10">
        <v>456.50000000019998</v>
      </c>
      <c r="HH10">
        <v>456.50000000019998</v>
      </c>
      <c r="HI10">
        <v>456.50000000019998</v>
      </c>
      <c r="HJ10">
        <v>456.50000000019998</v>
      </c>
      <c r="HK10">
        <v>117.3020527859</v>
      </c>
      <c r="HL10">
        <v>3.3247354452</v>
      </c>
      <c r="HM10">
        <v>3.2342975839000001</v>
      </c>
      <c r="HN10">
        <v>3.3018541929</v>
      </c>
      <c r="HO10">
        <v>3.1072317218999999</v>
      </c>
      <c r="HP10">
        <v>3.4553572424999999</v>
      </c>
      <c r="HQ10">
        <v>2.2996168737999998</v>
      </c>
      <c r="HR10">
        <v>15.802815513300001</v>
      </c>
      <c r="HS10">
        <v>-25.806451612899998</v>
      </c>
      <c r="HT10">
        <v>-176</v>
      </c>
      <c r="HU10">
        <v>417.2039767741</v>
      </c>
      <c r="HV10">
        <v>98.533724340199996</v>
      </c>
      <c r="HW10">
        <v>672</v>
      </c>
      <c r="HX10">
        <v>15.802815513300001</v>
      </c>
      <c r="HY10">
        <v>-25.806451612899998</v>
      </c>
      <c r="HZ10">
        <v>-176</v>
      </c>
      <c r="IA10">
        <v>417.2039767741</v>
      </c>
      <c r="IB10">
        <v>98.533724340199996</v>
      </c>
      <c r="IC10">
        <v>672</v>
      </c>
      <c r="ID10">
        <v>39.296023226199999</v>
      </c>
      <c r="IE10">
        <v>0.40071209549999998</v>
      </c>
      <c r="IF10">
        <v>-35.190615835800003</v>
      </c>
      <c r="IG10">
        <v>-240</v>
      </c>
      <c r="IH10">
        <v>438.76218229649999</v>
      </c>
      <c r="II10">
        <v>107.91788856300001</v>
      </c>
      <c r="IJ10">
        <v>736</v>
      </c>
      <c r="IK10">
        <v>401.4011612608</v>
      </c>
      <c r="IL10">
        <v>124.3401759531</v>
      </c>
      <c r="IM10">
        <v>424.04056748390002</v>
      </c>
      <c r="IN10">
        <v>133.724340176</v>
      </c>
      <c r="IO10">
        <v>6.6999999999000002</v>
      </c>
      <c r="IP10">
        <v>5.6000000003999997</v>
      </c>
      <c r="IQ10">
        <v>9</v>
      </c>
      <c r="IR10">
        <v>5.7025825662000003</v>
      </c>
      <c r="IS10">
        <v>5.7025825662000003</v>
      </c>
      <c r="IT10">
        <v>4.5000000009000001</v>
      </c>
      <c r="IU10">
        <v>-28.152492668600001</v>
      </c>
      <c r="IV10">
        <v>7.6000000007999997</v>
      </c>
      <c r="IW10">
        <v>65.689149560100006</v>
      </c>
      <c r="IX10">
        <v>5.6000000003999997</v>
      </c>
      <c r="IY10">
        <v>110.26392961880001</v>
      </c>
      <c r="IZ10">
        <v>-31.034841760199999</v>
      </c>
      <c r="JA10">
        <v>0.33759910430000001</v>
      </c>
      <c r="JB10">
        <v>-3.3666140000000001E-4</v>
      </c>
      <c r="JC10">
        <v>6.4990000000000002E-7</v>
      </c>
      <c r="JD10">
        <v>0.300775811</v>
      </c>
      <c r="JE10">
        <v>0.19903080779999999</v>
      </c>
      <c r="JF10">
        <v>8.0002138299999997E-2</v>
      </c>
      <c r="JG10">
        <v>100.4167521418</v>
      </c>
      <c r="JH10">
        <v>3.4553572424999999</v>
      </c>
      <c r="JI10">
        <v>4.1278397000000001E-3</v>
      </c>
      <c r="JJ10">
        <v>-6.7608199999999994E-5</v>
      </c>
      <c r="JK10">
        <v>3.3247354452</v>
      </c>
      <c r="JL10">
        <v>0.91888708959999998</v>
      </c>
      <c r="JM10">
        <v>0.40480442599999999</v>
      </c>
      <c r="JN10" t="s">
        <v>523</v>
      </c>
      <c r="JQ10">
        <v>1</v>
      </c>
    </row>
    <row r="11" spans="1:277">
      <c r="A11" t="s">
        <v>645</v>
      </c>
      <c r="B11" t="s">
        <v>646</v>
      </c>
      <c r="C11" t="s">
        <v>208</v>
      </c>
      <c r="D11">
        <v>3</v>
      </c>
      <c r="E11" t="s">
        <v>209</v>
      </c>
      <c r="F11" t="s">
        <v>210</v>
      </c>
      <c r="G11" t="s">
        <v>522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0.7000000005</v>
      </c>
      <c r="R11">
        <v>1.5000000003</v>
      </c>
      <c r="S11">
        <v>1.5999999996000001</v>
      </c>
      <c r="T11">
        <v>1.5999999996000001</v>
      </c>
      <c r="U11">
        <v>1.5999999996000001</v>
      </c>
      <c r="V11">
        <v>1.5000000003</v>
      </c>
      <c r="W11">
        <v>1.5000000003</v>
      </c>
      <c r="X11">
        <v>1.5000000003</v>
      </c>
      <c r="Y11">
        <v>1.7000000007</v>
      </c>
      <c r="Z11">
        <v>1.7000000007</v>
      </c>
      <c r="AA11">
        <v>1.8</v>
      </c>
      <c r="AB11">
        <v>2.0000000004</v>
      </c>
      <c r="AC11">
        <v>2.0000000004</v>
      </c>
      <c r="AD11">
        <v>1.3999999992000001</v>
      </c>
      <c r="AE11">
        <v>0.7000000005</v>
      </c>
      <c r="AF11">
        <v>0</v>
      </c>
      <c r="AG11">
        <v>3.3000000002999998</v>
      </c>
      <c r="AH11">
        <v>6.9000000003000004</v>
      </c>
      <c r="AI11">
        <v>12.0000000006</v>
      </c>
      <c r="AJ11">
        <v>19.700000000700001</v>
      </c>
      <c r="AK11">
        <v>27</v>
      </c>
      <c r="AL11">
        <v>34.200000000099998</v>
      </c>
      <c r="AM11">
        <v>41.100000000400001</v>
      </c>
      <c r="AN11">
        <v>47.899999999599999</v>
      </c>
      <c r="AO11">
        <v>55.5000000004</v>
      </c>
      <c r="AP11">
        <v>62.400000000699997</v>
      </c>
      <c r="AQ11">
        <v>70.799999999500002</v>
      </c>
      <c r="AR11">
        <v>78.799999999299999</v>
      </c>
      <c r="AS11">
        <v>86.999999999500005</v>
      </c>
      <c r="AT11">
        <v>94.1000000003</v>
      </c>
      <c r="AU11">
        <v>102.1000000001</v>
      </c>
      <c r="AV11">
        <v>109.8999999995</v>
      </c>
      <c r="AW11">
        <v>117.89999999929999</v>
      </c>
      <c r="AX11">
        <v>127.00000000039999</v>
      </c>
      <c r="AY11">
        <v>135.39999999919999</v>
      </c>
      <c r="AZ11">
        <v>143.29999999969999</v>
      </c>
      <c r="BA11">
        <v>150.9999999998</v>
      </c>
      <c r="BB11">
        <v>159.2000000001</v>
      </c>
      <c r="BC11">
        <v>166.69999999980001</v>
      </c>
      <c r="BD11">
        <v>175.69999999980001</v>
      </c>
      <c r="BE11">
        <v>184.1999999997</v>
      </c>
      <c r="BF11">
        <v>192.30000000059999</v>
      </c>
      <c r="BG11">
        <v>200.0000000007</v>
      </c>
      <c r="BH11">
        <v>208.00000000049999</v>
      </c>
      <c r="BI11">
        <v>215.89999999919999</v>
      </c>
      <c r="BJ11">
        <v>223.70000000050001</v>
      </c>
      <c r="BK11">
        <v>232.40000000079999</v>
      </c>
      <c r="BL11">
        <v>240.59999999920001</v>
      </c>
      <c r="BM11">
        <v>247.60000000060001</v>
      </c>
      <c r="BN11">
        <v>255.30000000070001</v>
      </c>
      <c r="BO11">
        <v>263.19999999940001</v>
      </c>
      <c r="BP11">
        <v>270.39999999939999</v>
      </c>
      <c r="BQ11">
        <v>278.39999999920002</v>
      </c>
      <c r="BR11">
        <v>286.40000000089998</v>
      </c>
      <c r="BS11">
        <v>293.79999999950002</v>
      </c>
      <c r="BT11">
        <v>300.60000000050002</v>
      </c>
      <c r="BU11">
        <v>307.60000000010001</v>
      </c>
      <c r="BV11">
        <v>314.5999999997</v>
      </c>
      <c r="BW11">
        <v>321.4000000007</v>
      </c>
      <c r="BX11">
        <v>328.49999999959999</v>
      </c>
      <c r="BY11">
        <v>336.19999999970003</v>
      </c>
      <c r="BZ11">
        <v>343.30000000050001</v>
      </c>
      <c r="CA11">
        <v>349.39999999920002</v>
      </c>
      <c r="CB11">
        <v>355.60000000079998</v>
      </c>
      <c r="CC11">
        <v>362.30000000069998</v>
      </c>
      <c r="CD11">
        <v>368.50000000049999</v>
      </c>
      <c r="CE11">
        <v>374.40000000060002</v>
      </c>
      <c r="CF11">
        <v>381.30000000090001</v>
      </c>
      <c r="CG11">
        <v>388.10000000010001</v>
      </c>
      <c r="CH11">
        <v>393.89999999909998</v>
      </c>
      <c r="CI11">
        <v>399.9000000003</v>
      </c>
      <c r="CJ11">
        <v>405.00000000070003</v>
      </c>
      <c r="CK11">
        <v>410.90000000079999</v>
      </c>
      <c r="CL11">
        <v>416.30000000080003</v>
      </c>
      <c r="CM11">
        <v>421.8000000001</v>
      </c>
      <c r="CN11">
        <v>427.20000000009998</v>
      </c>
      <c r="CO11">
        <v>433.39999999989999</v>
      </c>
      <c r="CP11">
        <v>438.79999999990002</v>
      </c>
      <c r="CQ11">
        <v>442.99999999929997</v>
      </c>
      <c r="CR11">
        <v>445.49999999980002</v>
      </c>
      <c r="CS11">
        <v>446.7000000004</v>
      </c>
      <c r="CT11">
        <v>446.79999999969999</v>
      </c>
      <c r="CU11">
        <v>446.79999999969999</v>
      </c>
      <c r="CV11">
        <v>446.79999999969999</v>
      </c>
      <c r="CW11">
        <v>446.79999999969999</v>
      </c>
      <c r="CX11">
        <v>446.79999999969999</v>
      </c>
      <c r="CY11">
        <v>447.00000000009999</v>
      </c>
      <c r="CZ11">
        <v>446.90000000079999</v>
      </c>
      <c r="DA11">
        <v>446.90000000079999</v>
      </c>
      <c r="DB11">
        <v>447.00000000009999</v>
      </c>
      <c r="DC11">
        <v>446.90000000079999</v>
      </c>
      <c r="DD11">
        <v>446.90000000079999</v>
      </c>
      <c r="DE11">
        <v>446.90000000079999</v>
      </c>
      <c r="DF11">
        <v>447.09999999939998</v>
      </c>
      <c r="DG11">
        <v>1.7000000007</v>
      </c>
      <c r="DH11">
        <v>2.8999999994999999</v>
      </c>
      <c r="DI11">
        <v>2.8999999994999999</v>
      </c>
      <c r="DJ11">
        <v>2.8999999994999999</v>
      </c>
      <c r="DK11">
        <v>3.0000000006</v>
      </c>
      <c r="DL11">
        <v>3.0000000006</v>
      </c>
      <c r="DM11">
        <v>3.0000000006</v>
      </c>
      <c r="DN11">
        <v>3.0999999999000001</v>
      </c>
      <c r="DO11">
        <v>3.1999999992000001</v>
      </c>
      <c r="DP11">
        <v>3.1999999992000001</v>
      </c>
      <c r="DQ11">
        <v>3.1999999992000001</v>
      </c>
      <c r="DR11">
        <v>3.1999999992000001</v>
      </c>
      <c r="DS11">
        <v>3.1999999992000001</v>
      </c>
      <c r="DT11">
        <v>2.3999999993999999</v>
      </c>
      <c r="DU11">
        <v>2.0000000004</v>
      </c>
      <c r="DV11">
        <v>2.2000000007999998</v>
      </c>
      <c r="DW11">
        <v>6.3000000008999999</v>
      </c>
      <c r="DX11">
        <v>10.700000000699999</v>
      </c>
      <c r="DY11">
        <v>18.500000000099998</v>
      </c>
      <c r="DZ11">
        <v>25.799999999400001</v>
      </c>
      <c r="EA11">
        <v>32.999999999400004</v>
      </c>
      <c r="EB11">
        <v>40.399999999899997</v>
      </c>
      <c r="EC11">
        <v>46.800000000099999</v>
      </c>
      <c r="ED11">
        <v>54.099999999399998</v>
      </c>
      <c r="EE11">
        <v>61.499999999800004</v>
      </c>
      <c r="EF11">
        <v>70.299999999400001</v>
      </c>
      <c r="EG11">
        <v>78.100000000600005</v>
      </c>
      <c r="EH11">
        <v>85.800000000699995</v>
      </c>
      <c r="EI11">
        <v>93.0000000008</v>
      </c>
      <c r="EJ11">
        <v>100.7000000009</v>
      </c>
      <c r="EK11">
        <v>108.2999999999</v>
      </c>
      <c r="EL11">
        <v>115.9000000007</v>
      </c>
      <c r="EM11">
        <v>125.0999999993</v>
      </c>
      <c r="EN11">
        <v>133.7999999996</v>
      </c>
      <c r="EO11">
        <v>141.9999999998</v>
      </c>
      <c r="EP11">
        <v>149.40000000020001</v>
      </c>
      <c r="EQ11">
        <v>157.80000000090001</v>
      </c>
      <c r="ER11">
        <v>165.60000000030001</v>
      </c>
      <c r="ES11">
        <v>174.39999999989999</v>
      </c>
      <c r="ET11">
        <v>183.30000000059999</v>
      </c>
      <c r="EU11">
        <v>191.39999999969999</v>
      </c>
      <c r="EV11">
        <v>199.19999999909999</v>
      </c>
      <c r="EW11">
        <v>207.39999999930001</v>
      </c>
      <c r="EX11">
        <v>215.09999999940001</v>
      </c>
      <c r="EY11">
        <v>223.29999999969999</v>
      </c>
      <c r="EZ11">
        <v>232.29999999969999</v>
      </c>
      <c r="FA11">
        <v>240.70000000030001</v>
      </c>
      <c r="FB11">
        <v>247.99999999959999</v>
      </c>
      <c r="FC11">
        <v>256.10000000050002</v>
      </c>
      <c r="FD11">
        <v>263.80000000059999</v>
      </c>
      <c r="FE11">
        <v>271.19999999919997</v>
      </c>
      <c r="FF11">
        <v>279.50000000059998</v>
      </c>
      <c r="FG11">
        <v>287.3</v>
      </c>
      <c r="FH11">
        <v>295.29999999979998</v>
      </c>
      <c r="FI11">
        <v>302.20000000009998</v>
      </c>
      <c r="FJ11">
        <v>309.60000000050002</v>
      </c>
      <c r="FK11">
        <v>316.60000000010001</v>
      </c>
      <c r="FL11">
        <v>323.50000000040001</v>
      </c>
      <c r="FM11">
        <v>331.39999999909998</v>
      </c>
      <c r="FN11">
        <v>338.79999999950002</v>
      </c>
      <c r="FO11">
        <v>345.79999999910001</v>
      </c>
      <c r="FP11">
        <v>351.89999999970001</v>
      </c>
      <c r="FQ11">
        <v>358.50000000030002</v>
      </c>
      <c r="FR11">
        <v>365.10000000090002</v>
      </c>
      <c r="FS11">
        <v>371.10000000029999</v>
      </c>
      <c r="FT11">
        <v>377.39999999939999</v>
      </c>
      <c r="FU11">
        <v>384.40000000079999</v>
      </c>
      <c r="FV11">
        <v>390.9000000003</v>
      </c>
      <c r="FW11">
        <v>397.10000000010001</v>
      </c>
      <c r="FX11">
        <v>402.50000000009999</v>
      </c>
      <c r="FY11">
        <v>408.1999999999</v>
      </c>
      <c r="FZ11">
        <v>414.00000000070003</v>
      </c>
      <c r="GA11">
        <v>419.20000000030001</v>
      </c>
      <c r="GB11">
        <v>424.30000000059999</v>
      </c>
      <c r="GC11">
        <v>429.50000000019998</v>
      </c>
      <c r="GD11">
        <v>435.2999999992</v>
      </c>
      <c r="GE11">
        <v>440.50000000059998</v>
      </c>
      <c r="GF11">
        <v>443.69999999980001</v>
      </c>
      <c r="GG11">
        <v>445.90000000060002</v>
      </c>
      <c r="GH11">
        <v>446.79999999969999</v>
      </c>
      <c r="GI11">
        <v>446.79999999969999</v>
      </c>
      <c r="GJ11">
        <v>446.90000000079999</v>
      </c>
      <c r="GK11">
        <v>446.7000000004</v>
      </c>
      <c r="GL11">
        <v>446.79999999969999</v>
      </c>
      <c r="GM11">
        <v>446.7000000004</v>
      </c>
      <c r="GN11">
        <v>446.90000000079999</v>
      </c>
      <c r="GO11">
        <v>446.7000000004</v>
      </c>
      <c r="GP11">
        <v>446.79999999969999</v>
      </c>
      <c r="GQ11">
        <v>446.79999999969999</v>
      </c>
      <c r="GR11">
        <v>446.90000000079999</v>
      </c>
      <c r="GS11">
        <v>447.00000000009999</v>
      </c>
      <c r="GT11">
        <v>446.90000000079999</v>
      </c>
      <c r="GU11">
        <v>447.00000000009999</v>
      </c>
      <c r="GV11">
        <v>447.00000000009999</v>
      </c>
      <c r="GW11">
        <v>1</v>
      </c>
      <c r="GX11">
        <v>119.3999999996</v>
      </c>
      <c r="GY11">
        <v>117.89999999929999</v>
      </c>
      <c r="GZ11">
        <v>117.89999999929999</v>
      </c>
      <c r="HA11">
        <v>125.0999999993</v>
      </c>
      <c r="HB11">
        <v>119.8568280946</v>
      </c>
      <c r="HC11">
        <v>-7.2</v>
      </c>
      <c r="HD11">
        <v>447.00000000009999</v>
      </c>
      <c r="HE11">
        <v>298.74905491660002</v>
      </c>
      <c r="HF11">
        <v>99.846404203899993</v>
      </c>
      <c r="HG11">
        <v>447.09999999939998</v>
      </c>
      <c r="HH11">
        <v>447.00000000009999</v>
      </c>
      <c r="HI11">
        <v>447.09999999939998</v>
      </c>
      <c r="HJ11">
        <v>447.00000000009999</v>
      </c>
      <c r="HK11">
        <v>110.26392961880001</v>
      </c>
      <c r="HL11">
        <v>3.3077805272999998</v>
      </c>
      <c r="HM11">
        <v>3.2239661705999998</v>
      </c>
      <c r="HN11">
        <v>3.3053571352</v>
      </c>
      <c r="HO11">
        <v>3.0951551185000001</v>
      </c>
      <c r="HP11">
        <v>3.4819268585000001</v>
      </c>
      <c r="HQ11">
        <v>2.2472773032000002</v>
      </c>
      <c r="HR11">
        <v>20.010423890599998</v>
      </c>
      <c r="HS11">
        <v>-30.4985337243</v>
      </c>
      <c r="HT11">
        <v>-208</v>
      </c>
      <c r="HU11">
        <v>418.60588301119998</v>
      </c>
      <c r="HV11">
        <v>93.841642228699996</v>
      </c>
      <c r="HW11">
        <v>640</v>
      </c>
      <c r="HX11">
        <v>20.010423890599998</v>
      </c>
      <c r="HY11">
        <v>-30.4985337243</v>
      </c>
      <c r="HZ11">
        <v>-208</v>
      </c>
      <c r="IA11">
        <v>418.60588301119998</v>
      </c>
      <c r="IB11">
        <v>93.841642228699996</v>
      </c>
      <c r="IC11">
        <v>640</v>
      </c>
      <c r="ID11">
        <v>28.394116988899999</v>
      </c>
      <c r="IE11">
        <v>5.4132646999999999E-3</v>
      </c>
      <c r="IF11">
        <v>-39.8826979472</v>
      </c>
      <c r="IG11">
        <v>-272</v>
      </c>
      <c r="IH11">
        <v>440.3395928873</v>
      </c>
      <c r="II11">
        <v>103.22580645159999</v>
      </c>
      <c r="IJ11">
        <v>704</v>
      </c>
      <c r="IK11">
        <v>398.59545912060003</v>
      </c>
      <c r="IL11">
        <v>124.3401759531</v>
      </c>
      <c r="IM11">
        <v>422.15660440649998</v>
      </c>
      <c r="IN11">
        <v>133.724340176</v>
      </c>
      <c r="IO11">
        <v>7.7999999993999998</v>
      </c>
      <c r="IP11">
        <v>6.1999999998000002</v>
      </c>
      <c r="IQ11">
        <v>9.1999999985999992</v>
      </c>
      <c r="IR11">
        <v>5.7617677192999999</v>
      </c>
      <c r="IS11">
        <v>5.7617677192999999</v>
      </c>
      <c r="IT11">
        <v>6.4999999995</v>
      </c>
      <c r="IU11">
        <v>-32.844574780099997</v>
      </c>
      <c r="IV11">
        <v>10.299999999900001</v>
      </c>
      <c r="IW11">
        <v>63.3431085044</v>
      </c>
      <c r="IX11">
        <v>8.0999999990999996</v>
      </c>
      <c r="IY11">
        <v>100.87976539589999</v>
      </c>
      <c r="IZ11">
        <v>-37.185502971399998</v>
      </c>
      <c r="JA11">
        <v>0.3430827729</v>
      </c>
      <c r="JB11">
        <v>-3.6044240000000002E-4</v>
      </c>
      <c r="JC11">
        <v>6.8560000000000005E-7</v>
      </c>
      <c r="JD11">
        <v>0.30231751829999998</v>
      </c>
      <c r="JE11">
        <v>0.27976982430000003</v>
      </c>
      <c r="JF11">
        <v>0.12392646509999999</v>
      </c>
      <c r="JG11">
        <v>120.5411226656</v>
      </c>
      <c r="JH11">
        <v>3.4819268585000001</v>
      </c>
      <c r="JI11">
        <v>3.1719666999999998E-3</v>
      </c>
      <c r="JJ11">
        <v>-6.9268000000000002E-5</v>
      </c>
      <c r="JK11">
        <v>3.3077805272999998</v>
      </c>
      <c r="JL11">
        <v>1.0542338608999999</v>
      </c>
      <c r="JM11">
        <v>0.51873899219999997</v>
      </c>
      <c r="JN11" t="s">
        <v>523</v>
      </c>
      <c r="JQ11">
        <v>1</v>
      </c>
    </row>
    <row r="12" spans="1:277">
      <c r="A12" t="s">
        <v>654</v>
      </c>
      <c r="B12" t="s">
        <v>655</v>
      </c>
      <c r="C12" t="s">
        <v>208</v>
      </c>
      <c r="D12">
        <v>3</v>
      </c>
      <c r="E12" t="s">
        <v>209</v>
      </c>
      <c r="F12" t="s">
        <v>210</v>
      </c>
      <c r="G12" t="s">
        <v>522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3.3999999995999999</v>
      </c>
      <c r="R12">
        <v>4.2999999986999997</v>
      </c>
      <c r="S12">
        <v>4.1000000000999997</v>
      </c>
      <c r="T12">
        <v>3.8999999996999999</v>
      </c>
      <c r="U12">
        <v>4.1999999994000001</v>
      </c>
      <c r="V12">
        <v>4.1000000000999997</v>
      </c>
      <c r="W12">
        <v>4.1999999994000001</v>
      </c>
      <c r="X12">
        <v>4.1999999994000001</v>
      </c>
      <c r="Y12">
        <v>4.1000000000999997</v>
      </c>
      <c r="Z12">
        <v>3.6</v>
      </c>
      <c r="AA12">
        <v>2.8999999994999999</v>
      </c>
      <c r="AB12">
        <v>1.9999999986000001</v>
      </c>
      <c r="AC12">
        <v>1.5000000003</v>
      </c>
      <c r="AD12">
        <v>1.0000000002</v>
      </c>
      <c r="AE12">
        <v>0.69999999869999996</v>
      </c>
      <c r="AF12">
        <v>0.59999999940000004</v>
      </c>
      <c r="AG12">
        <v>0</v>
      </c>
      <c r="AH12">
        <v>4.2999999986999997</v>
      </c>
      <c r="AI12">
        <v>9.5000000001</v>
      </c>
      <c r="AJ12">
        <v>16.299999999299999</v>
      </c>
      <c r="AK12">
        <v>22.8999999999</v>
      </c>
      <c r="AL12">
        <v>28.8999999993</v>
      </c>
      <c r="AM12">
        <v>36.299999999800001</v>
      </c>
      <c r="AN12">
        <v>43.899999998799998</v>
      </c>
      <c r="AO12">
        <v>50.999999999499998</v>
      </c>
      <c r="AP12">
        <v>58.100000000199998</v>
      </c>
      <c r="AQ12">
        <v>65.699999999200003</v>
      </c>
      <c r="AR12">
        <v>73.099999999600001</v>
      </c>
      <c r="AS12">
        <v>80.200000000299994</v>
      </c>
      <c r="AT12">
        <v>87.999999999699995</v>
      </c>
      <c r="AU12">
        <v>96.2</v>
      </c>
      <c r="AV12">
        <v>103.9999999994</v>
      </c>
      <c r="AW12">
        <v>112.29999999890001</v>
      </c>
      <c r="AX12">
        <v>121.1000000003</v>
      </c>
      <c r="AY12">
        <v>128.1999999992</v>
      </c>
      <c r="AZ12">
        <v>136.3000000001</v>
      </c>
      <c r="BA12">
        <v>144.59999999959999</v>
      </c>
      <c r="BB12">
        <v>153.0000000002</v>
      </c>
      <c r="BC12">
        <v>160.8999999989</v>
      </c>
      <c r="BD12">
        <v>169.2999999996</v>
      </c>
      <c r="BE12">
        <v>176.79999999930001</v>
      </c>
      <c r="BF12">
        <v>184.1999999997</v>
      </c>
      <c r="BG12">
        <v>192.60000000030001</v>
      </c>
      <c r="BH12">
        <v>201.29999999879999</v>
      </c>
      <c r="BI12">
        <v>208.99999999889999</v>
      </c>
      <c r="BJ12">
        <v>216.89999999939999</v>
      </c>
      <c r="BK12">
        <v>224.6999999988</v>
      </c>
      <c r="BL12">
        <v>231.7999999996</v>
      </c>
      <c r="BM12">
        <v>239.39999999860001</v>
      </c>
      <c r="BN12">
        <v>247.40000000020001</v>
      </c>
      <c r="BO12">
        <v>255.99999999939999</v>
      </c>
      <c r="BP12">
        <v>263.19999999940001</v>
      </c>
      <c r="BQ12">
        <v>270.80000000019999</v>
      </c>
      <c r="BR12">
        <v>277.89999999909998</v>
      </c>
      <c r="BS12">
        <v>284.79999999939997</v>
      </c>
      <c r="BT12">
        <v>291.99999999950001</v>
      </c>
      <c r="BU12">
        <v>299.49999999919999</v>
      </c>
      <c r="BV12">
        <v>307.19999999930002</v>
      </c>
      <c r="BW12">
        <v>313.79999999990002</v>
      </c>
      <c r="BX12">
        <v>320.99999999990001</v>
      </c>
      <c r="BY12">
        <v>327.69999999980001</v>
      </c>
      <c r="BZ12">
        <v>333.59999999989998</v>
      </c>
      <c r="CA12">
        <v>340.19999999869998</v>
      </c>
      <c r="CB12">
        <v>346.79999999929998</v>
      </c>
      <c r="CC12">
        <v>353.90000000010002</v>
      </c>
      <c r="CD12">
        <v>360.6</v>
      </c>
      <c r="CE12">
        <v>366.79999999979998</v>
      </c>
      <c r="CF12">
        <v>373.09999999889999</v>
      </c>
      <c r="CG12">
        <v>378.79999999860001</v>
      </c>
      <c r="CH12">
        <v>384.50000000009999</v>
      </c>
      <c r="CI12">
        <v>390.29999999910001</v>
      </c>
      <c r="CJ12">
        <v>395.89999999949998</v>
      </c>
      <c r="CK12">
        <v>402.0999999993</v>
      </c>
      <c r="CL12">
        <v>407.99999999940002</v>
      </c>
      <c r="CM12">
        <v>413.80000000029997</v>
      </c>
      <c r="CN12">
        <v>418.99999999990001</v>
      </c>
      <c r="CO12">
        <v>424.39999999989999</v>
      </c>
      <c r="CP12">
        <v>429.39999999909998</v>
      </c>
      <c r="CQ12">
        <v>434.40000000010002</v>
      </c>
      <c r="CR12">
        <v>439.39999999930001</v>
      </c>
      <c r="CS12">
        <v>444.1999999999</v>
      </c>
      <c r="CT12">
        <v>449.49999999879998</v>
      </c>
      <c r="CU12">
        <v>449.69999999919997</v>
      </c>
      <c r="CV12">
        <v>449.80000000029997</v>
      </c>
      <c r="CW12">
        <v>449.39999999949998</v>
      </c>
      <c r="CX12">
        <v>449.19999999909999</v>
      </c>
      <c r="CY12">
        <v>449.19999999909999</v>
      </c>
      <c r="CZ12">
        <v>449.49999999879998</v>
      </c>
      <c r="DA12">
        <v>449.69999999919997</v>
      </c>
      <c r="DB12">
        <v>449.39999999949998</v>
      </c>
      <c r="DC12">
        <v>449.69999999919997</v>
      </c>
      <c r="DD12">
        <v>449.30000000019999</v>
      </c>
      <c r="DE12">
        <v>449.49999999879998</v>
      </c>
      <c r="DF12">
        <v>448.99999999869999</v>
      </c>
      <c r="DG12">
        <v>4.2999999986999997</v>
      </c>
      <c r="DH12">
        <v>5.1000000002999997</v>
      </c>
      <c r="DI12">
        <v>5.1999999996000001</v>
      </c>
      <c r="DJ12">
        <v>5.4</v>
      </c>
      <c r="DK12">
        <v>5.2999999988999997</v>
      </c>
      <c r="DL12">
        <v>5.4999999992999999</v>
      </c>
      <c r="DM12">
        <v>5.4</v>
      </c>
      <c r="DN12">
        <v>5.4</v>
      </c>
      <c r="DO12">
        <v>4.7999999987999997</v>
      </c>
      <c r="DP12">
        <v>4.2999999986999997</v>
      </c>
      <c r="DQ12">
        <v>3.6999999993000001</v>
      </c>
      <c r="DR12">
        <v>3.0999999999000001</v>
      </c>
      <c r="DS12">
        <v>2.4999999986999999</v>
      </c>
      <c r="DT12">
        <v>1.8</v>
      </c>
      <c r="DU12">
        <v>1.5000000003</v>
      </c>
      <c r="DV12">
        <v>0.79999999980000003</v>
      </c>
      <c r="DW12">
        <v>3.1999999992000001</v>
      </c>
      <c r="DX12">
        <v>8.2999999995000007</v>
      </c>
      <c r="DY12">
        <v>16.2</v>
      </c>
      <c r="DZ12">
        <v>22.299999998699999</v>
      </c>
      <c r="EA12">
        <v>27.8999999991</v>
      </c>
      <c r="EB12">
        <v>34.799999999400001</v>
      </c>
      <c r="EC12">
        <v>42.400000000299997</v>
      </c>
      <c r="ED12">
        <v>49.9</v>
      </c>
      <c r="EE12">
        <v>57.299999998600001</v>
      </c>
      <c r="EF12">
        <v>64.999999998700005</v>
      </c>
      <c r="EG12">
        <v>72.199999998699994</v>
      </c>
      <c r="EH12">
        <v>78.899999998599995</v>
      </c>
      <c r="EI12">
        <v>86.400000000099993</v>
      </c>
      <c r="EJ12">
        <v>94.4999999992</v>
      </c>
      <c r="EK12">
        <v>102.4999999991</v>
      </c>
      <c r="EL12">
        <v>110.8999999997</v>
      </c>
      <c r="EM12">
        <v>119.49999999889999</v>
      </c>
      <c r="EN12">
        <v>127.199999999</v>
      </c>
      <c r="EO12">
        <v>135.1999999988</v>
      </c>
      <c r="EP12">
        <v>143.19999999859999</v>
      </c>
      <c r="EQ12">
        <v>151.7999999996</v>
      </c>
      <c r="ER12">
        <v>159.599999999</v>
      </c>
      <c r="ES12">
        <v>168.2999999994</v>
      </c>
      <c r="ET12">
        <v>176.0999999988</v>
      </c>
      <c r="EU12">
        <v>183.60000000030001</v>
      </c>
      <c r="EV12">
        <v>191.69999999940001</v>
      </c>
      <c r="EW12">
        <v>200.29999999859999</v>
      </c>
      <c r="EX12">
        <v>208.09999999979999</v>
      </c>
      <c r="EY12">
        <v>216.09999999959999</v>
      </c>
      <c r="EZ12">
        <v>224.39999999919999</v>
      </c>
      <c r="FA12">
        <v>231.7999999996</v>
      </c>
      <c r="FB12">
        <v>239.599999999</v>
      </c>
      <c r="FC12">
        <v>247.5999999988</v>
      </c>
      <c r="FD12">
        <v>255.79999999899999</v>
      </c>
      <c r="FE12">
        <v>263.10000000010001</v>
      </c>
      <c r="FF12">
        <v>271.09999999989998</v>
      </c>
      <c r="FG12">
        <v>278.50000000030002</v>
      </c>
      <c r="FH12">
        <v>285.8999999989</v>
      </c>
      <c r="FI12">
        <v>292.99999999969998</v>
      </c>
      <c r="FJ12">
        <v>300.99999999950001</v>
      </c>
      <c r="FK12">
        <v>308.19999999949999</v>
      </c>
      <c r="FL12">
        <v>314.8000000001</v>
      </c>
      <c r="FM12">
        <v>322.39999999909998</v>
      </c>
      <c r="FN12">
        <v>329.29999999939997</v>
      </c>
      <c r="FO12">
        <v>335.9</v>
      </c>
      <c r="FP12">
        <v>342.09999999979999</v>
      </c>
      <c r="FQ12">
        <v>349.39999999920002</v>
      </c>
      <c r="FR12">
        <v>356.09999999910002</v>
      </c>
      <c r="FS12">
        <v>362.59999999860003</v>
      </c>
      <c r="FT12">
        <v>368.69999999909999</v>
      </c>
      <c r="FU12">
        <v>375.50000000009999</v>
      </c>
      <c r="FV12">
        <v>381.09999999870001</v>
      </c>
      <c r="FW12">
        <v>387.09999999989998</v>
      </c>
      <c r="FX12">
        <v>392.49999999990001</v>
      </c>
      <c r="FY12">
        <v>398.59999999860003</v>
      </c>
      <c r="FZ12">
        <v>404.39999999939999</v>
      </c>
      <c r="GA12">
        <v>410.7000000004</v>
      </c>
      <c r="GB12">
        <v>415.99999999929997</v>
      </c>
      <c r="GC12">
        <v>421.3</v>
      </c>
      <c r="GD12">
        <v>426.7</v>
      </c>
      <c r="GE12">
        <v>431.39999999949998</v>
      </c>
      <c r="GF12">
        <v>436.20000000009998</v>
      </c>
      <c r="GG12">
        <v>440.49999999879998</v>
      </c>
      <c r="GH12">
        <v>444.89999999859998</v>
      </c>
      <c r="GI12">
        <v>448.89999999939999</v>
      </c>
      <c r="GJ12">
        <v>449.19999999909999</v>
      </c>
      <c r="GK12">
        <v>449.30000000019999</v>
      </c>
      <c r="GL12">
        <v>449.69999999919997</v>
      </c>
      <c r="GM12">
        <v>449.39999999949998</v>
      </c>
      <c r="GN12">
        <v>449.49999999879998</v>
      </c>
      <c r="GO12">
        <v>448.99999999869999</v>
      </c>
      <c r="GP12">
        <v>449.19999999909999</v>
      </c>
      <c r="GQ12">
        <v>449.30000000019999</v>
      </c>
      <c r="GR12">
        <v>449.30000000019999</v>
      </c>
      <c r="GS12">
        <v>449.89999999960003</v>
      </c>
      <c r="GT12">
        <v>449.59999999989998</v>
      </c>
      <c r="GU12">
        <v>449.49999999879998</v>
      </c>
      <c r="GV12">
        <v>449.09999999979999</v>
      </c>
      <c r="GW12">
        <v>1</v>
      </c>
      <c r="GX12">
        <v>112.0999999985</v>
      </c>
      <c r="GY12">
        <v>112.29999999890001</v>
      </c>
      <c r="GZ12">
        <v>112.29999999890001</v>
      </c>
      <c r="HA12">
        <v>119.49999999889999</v>
      </c>
      <c r="HB12">
        <v>114.1552245431</v>
      </c>
      <c r="HC12">
        <v>-7.2</v>
      </c>
      <c r="HD12">
        <v>449.09983325899998</v>
      </c>
      <c r="HE12">
        <v>289.30652512289998</v>
      </c>
      <c r="HF12">
        <v>97.597776789299999</v>
      </c>
      <c r="HG12">
        <v>449.89999999960003</v>
      </c>
      <c r="HH12">
        <v>449.89999999960003</v>
      </c>
      <c r="HI12">
        <v>449.80000000029997</v>
      </c>
      <c r="HJ12">
        <v>449.89999999960003</v>
      </c>
      <c r="HK12">
        <v>114.9560117302</v>
      </c>
      <c r="HL12">
        <v>3.2742910142000001</v>
      </c>
      <c r="HM12">
        <v>3.1986557127999999</v>
      </c>
      <c r="HN12">
        <v>3.2337744234999999</v>
      </c>
      <c r="HO12">
        <v>3.0090224157000001</v>
      </c>
      <c r="HP12">
        <v>3.421017532</v>
      </c>
      <c r="HQ12">
        <v>2.2881788937</v>
      </c>
      <c r="HR12">
        <v>16.557447753799998</v>
      </c>
      <c r="HS12">
        <v>-30.4985337243</v>
      </c>
      <c r="HT12">
        <v>-208</v>
      </c>
      <c r="HU12">
        <v>403.461749666</v>
      </c>
      <c r="HV12">
        <v>91.495601172999997</v>
      </c>
      <c r="HW12">
        <v>624</v>
      </c>
      <c r="HX12">
        <v>16.557447753799998</v>
      </c>
      <c r="HY12">
        <v>-30.4985337243</v>
      </c>
      <c r="HZ12">
        <v>-208</v>
      </c>
      <c r="IA12">
        <v>403.461749666</v>
      </c>
      <c r="IB12">
        <v>91.495601172999997</v>
      </c>
      <c r="IC12">
        <v>624</v>
      </c>
      <c r="ID12">
        <v>46.438250333600003</v>
      </c>
      <c r="IE12">
        <v>0.60031124879999997</v>
      </c>
      <c r="IF12">
        <v>-39.8826979472</v>
      </c>
      <c r="IG12">
        <v>-272</v>
      </c>
      <c r="IH12">
        <v>426.23865051130002</v>
      </c>
      <c r="II12">
        <v>100.87976539589999</v>
      </c>
      <c r="IJ12">
        <v>688</v>
      </c>
      <c r="IK12">
        <v>386.90430191209998</v>
      </c>
      <c r="IL12">
        <v>121.9941348974</v>
      </c>
      <c r="IM12">
        <v>410.97167630119998</v>
      </c>
      <c r="IN12">
        <v>131.37829912020001</v>
      </c>
      <c r="IO12">
        <v>7.9000000005000004</v>
      </c>
      <c r="IP12">
        <v>5.8000000007999999</v>
      </c>
      <c r="IQ12">
        <v>8.8000000014000008</v>
      </c>
      <c r="IR12">
        <v>4.6835634461</v>
      </c>
      <c r="IS12">
        <v>4.6835634461</v>
      </c>
      <c r="IT12">
        <v>6.6999999999000002</v>
      </c>
      <c r="IU12">
        <v>-32.844574780099997</v>
      </c>
      <c r="IV12">
        <v>9.2999999997000007</v>
      </c>
      <c r="IW12">
        <v>72.727272727300004</v>
      </c>
      <c r="IX12">
        <v>7.9999999998</v>
      </c>
      <c r="IY12">
        <v>96.187683284499997</v>
      </c>
      <c r="IZ12">
        <v>-35.871170896099997</v>
      </c>
      <c r="JA12">
        <v>0.34739655879999998</v>
      </c>
      <c r="JB12">
        <v>-3.6678649999999998E-4</v>
      </c>
      <c r="JC12">
        <v>7.1269999999999997E-7</v>
      </c>
      <c r="JD12">
        <v>0.30540962780000003</v>
      </c>
      <c r="JE12">
        <v>0.28204401890000003</v>
      </c>
      <c r="JF12">
        <v>0.1246926949</v>
      </c>
      <c r="JG12">
        <v>114.3141138232</v>
      </c>
      <c r="JH12">
        <v>3.421017532</v>
      </c>
      <c r="JI12">
        <v>3.5180890999999999E-3</v>
      </c>
      <c r="JJ12">
        <v>-7.0741200000000006E-5</v>
      </c>
      <c r="JK12">
        <v>3.2742910142000001</v>
      </c>
      <c r="JL12">
        <v>1.3001409471000001</v>
      </c>
      <c r="JM12">
        <v>0.5129391579</v>
      </c>
      <c r="JN12" t="s">
        <v>523</v>
      </c>
      <c r="JQ12">
        <v>1</v>
      </c>
    </row>
    <row r="13" spans="1:277">
      <c r="A13" t="s">
        <v>669</v>
      </c>
      <c r="B13" t="s">
        <v>670</v>
      </c>
      <c r="C13" t="s">
        <v>208</v>
      </c>
      <c r="D13">
        <v>3</v>
      </c>
      <c r="E13" t="s">
        <v>209</v>
      </c>
      <c r="F13" t="s">
        <v>210</v>
      </c>
      <c r="G13" t="s">
        <v>522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0</v>
      </c>
      <c r="R13">
        <v>0.59999999940000004</v>
      </c>
      <c r="S13">
        <v>0.69999999869999996</v>
      </c>
      <c r="T13">
        <v>0.99999999839999998</v>
      </c>
      <c r="U13">
        <v>1.0999999995</v>
      </c>
      <c r="V13">
        <v>0.79999999980000003</v>
      </c>
      <c r="W13">
        <v>0.69999999869999996</v>
      </c>
      <c r="X13">
        <v>0.49999999830000003</v>
      </c>
      <c r="Y13">
        <v>0.69999999869999996</v>
      </c>
      <c r="Z13">
        <v>0.69999999869999996</v>
      </c>
      <c r="AA13">
        <v>0.69999999869999996</v>
      </c>
      <c r="AB13">
        <v>0.89999999909999995</v>
      </c>
      <c r="AC13">
        <v>1.1999999988000001</v>
      </c>
      <c r="AD13">
        <v>1.0999999995</v>
      </c>
      <c r="AE13">
        <v>0.99999999839999998</v>
      </c>
      <c r="AF13">
        <v>1.5999999996000001</v>
      </c>
      <c r="AG13">
        <v>4.4999999990999999</v>
      </c>
      <c r="AH13">
        <v>6.9999999996</v>
      </c>
      <c r="AI13">
        <v>10.199999998799999</v>
      </c>
      <c r="AJ13">
        <v>17.8999999989</v>
      </c>
      <c r="AK13">
        <v>24.0999999987</v>
      </c>
      <c r="AL13">
        <v>30.999999999</v>
      </c>
      <c r="AM13">
        <v>37.499999998500002</v>
      </c>
      <c r="AN13">
        <v>44.3999999989</v>
      </c>
      <c r="AO13">
        <v>51.999999999700002</v>
      </c>
      <c r="AP13">
        <v>58.199999999500001</v>
      </c>
      <c r="AQ13">
        <v>66.599999998300007</v>
      </c>
      <c r="AR13">
        <v>73.899999999399995</v>
      </c>
      <c r="AS13">
        <v>81.799999999899995</v>
      </c>
      <c r="AT13">
        <v>88.899999998799998</v>
      </c>
      <c r="AU13">
        <v>96.2</v>
      </c>
      <c r="AV13">
        <v>103.9999999994</v>
      </c>
      <c r="AW13">
        <v>112.29999999890001</v>
      </c>
      <c r="AX13">
        <v>120.59999999839999</v>
      </c>
      <c r="AY13">
        <v>128.69999999929999</v>
      </c>
      <c r="AZ13">
        <v>136.49999999869999</v>
      </c>
      <c r="BA13">
        <v>144.0999999995</v>
      </c>
      <c r="BB13">
        <v>152</v>
      </c>
      <c r="BC13">
        <v>160.19999999839999</v>
      </c>
      <c r="BD13">
        <v>168.099999999</v>
      </c>
      <c r="BE13">
        <v>175.59999999870001</v>
      </c>
      <c r="BF13">
        <v>183.69999999960001</v>
      </c>
      <c r="BG13">
        <v>191.39999999969999</v>
      </c>
      <c r="BH13">
        <v>199.19999999909999</v>
      </c>
      <c r="BI13">
        <v>207.19999999890001</v>
      </c>
      <c r="BJ13">
        <v>215.19999999870001</v>
      </c>
      <c r="BK13">
        <v>223</v>
      </c>
      <c r="BL13">
        <v>230.599999999</v>
      </c>
      <c r="BM13">
        <v>237.89999999829999</v>
      </c>
      <c r="BN13">
        <v>245.19999999940001</v>
      </c>
      <c r="BO13">
        <v>252.69999999909999</v>
      </c>
      <c r="BP13">
        <v>260.59999999960002</v>
      </c>
      <c r="BQ13">
        <v>268.19999999859999</v>
      </c>
      <c r="BR13">
        <v>275.59999999899998</v>
      </c>
      <c r="BS13">
        <v>282.99999999940002</v>
      </c>
      <c r="BT13">
        <v>289.8999999998</v>
      </c>
      <c r="BU13">
        <v>296.8000000001</v>
      </c>
      <c r="BV13">
        <v>303.2999999996</v>
      </c>
      <c r="BW13">
        <v>310.59999999889999</v>
      </c>
      <c r="BX13">
        <v>317.89999999999998</v>
      </c>
      <c r="BY13">
        <v>324.59999999989998</v>
      </c>
      <c r="BZ13">
        <v>331.49999999840003</v>
      </c>
      <c r="CA13">
        <v>338.09999999899998</v>
      </c>
      <c r="CB13">
        <v>344.19999999949999</v>
      </c>
      <c r="CC13">
        <v>350.3000000001</v>
      </c>
      <c r="CD13">
        <v>356.49999999990001</v>
      </c>
      <c r="CE13">
        <v>363.19999999980001</v>
      </c>
      <c r="CF13">
        <v>369.6</v>
      </c>
      <c r="CG13">
        <v>375.49999999829998</v>
      </c>
      <c r="CH13">
        <v>381.6999999999</v>
      </c>
      <c r="CI13">
        <v>387.6</v>
      </c>
      <c r="CJ13">
        <v>393.19999999859999</v>
      </c>
      <c r="CK13">
        <v>398.69999999970003</v>
      </c>
      <c r="CL13">
        <v>403.59999999960002</v>
      </c>
      <c r="CM13">
        <v>409.59999999899998</v>
      </c>
      <c r="CN13">
        <v>415.29999999879999</v>
      </c>
      <c r="CO13">
        <v>420.89999999920002</v>
      </c>
      <c r="CP13">
        <v>426.0999999988</v>
      </c>
      <c r="CQ13">
        <v>431.49999999879998</v>
      </c>
      <c r="CR13">
        <v>436.59999999910002</v>
      </c>
      <c r="CS13">
        <v>441.49999999900001</v>
      </c>
      <c r="CT13">
        <v>446.3999999989</v>
      </c>
      <c r="CU13">
        <v>449.29999999839998</v>
      </c>
      <c r="CV13">
        <v>449.19999999909999</v>
      </c>
      <c r="CW13">
        <v>449.09999999979999</v>
      </c>
      <c r="CX13">
        <v>449.29999999839998</v>
      </c>
      <c r="CY13">
        <v>449.09999999979999</v>
      </c>
      <c r="CZ13">
        <v>449.09999999979999</v>
      </c>
      <c r="DA13">
        <v>449.19999999909999</v>
      </c>
      <c r="DB13">
        <v>449.09999999979999</v>
      </c>
      <c r="DC13">
        <v>449.29999999839998</v>
      </c>
      <c r="DD13">
        <v>449.19999999909999</v>
      </c>
      <c r="DE13">
        <v>449.19999999909999</v>
      </c>
      <c r="DF13">
        <v>449.19999999909999</v>
      </c>
      <c r="DG13">
        <v>0.79999999980000003</v>
      </c>
      <c r="DH13">
        <v>1.6999999989000001</v>
      </c>
      <c r="DI13">
        <v>1.6999999989000001</v>
      </c>
      <c r="DJ13">
        <v>1.5999999996000001</v>
      </c>
      <c r="DK13">
        <v>1.6999999989000001</v>
      </c>
      <c r="DL13">
        <v>1.8</v>
      </c>
      <c r="DM13">
        <v>2.0999999997000001</v>
      </c>
      <c r="DN13">
        <v>1.8999999993000001</v>
      </c>
      <c r="DO13">
        <v>2.0999999997000001</v>
      </c>
      <c r="DP13">
        <v>2.1999999990000001</v>
      </c>
      <c r="DQ13">
        <v>1.9999999986000001</v>
      </c>
      <c r="DR13">
        <v>1.9999999986000001</v>
      </c>
      <c r="DS13">
        <v>1.9999999986000001</v>
      </c>
      <c r="DT13">
        <v>1.9999999986000001</v>
      </c>
      <c r="DU13">
        <v>1.8</v>
      </c>
      <c r="DV13">
        <v>4.2999999986999997</v>
      </c>
      <c r="DW13">
        <v>7.0999999989000004</v>
      </c>
      <c r="DX13">
        <v>10.9999999986</v>
      </c>
      <c r="DY13">
        <v>16.699999998300001</v>
      </c>
      <c r="DZ13">
        <v>23.0999999985</v>
      </c>
      <c r="EA13">
        <v>29.799999998400001</v>
      </c>
      <c r="EB13">
        <v>36.499999998299998</v>
      </c>
      <c r="EC13">
        <v>43.299999999400001</v>
      </c>
      <c r="ED13">
        <v>50.899999998399998</v>
      </c>
      <c r="EE13">
        <v>58.4999999992</v>
      </c>
      <c r="EF13">
        <v>65.499999998800007</v>
      </c>
      <c r="EG13">
        <v>72.799999999899995</v>
      </c>
      <c r="EH13">
        <v>80.199999998500004</v>
      </c>
      <c r="EI13">
        <v>87.599999998900003</v>
      </c>
      <c r="EJ13">
        <v>94.4999999992</v>
      </c>
      <c r="EK13">
        <v>102.3999999998</v>
      </c>
      <c r="EL13">
        <v>110.49999999889999</v>
      </c>
      <c r="EM13">
        <v>118.8999999995</v>
      </c>
      <c r="EN13">
        <v>127.199999999</v>
      </c>
      <c r="EO13">
        <v>135.0999999995</v>
      </c>
      <c r="EP13">
        <v>142.8999999989</v>
      </c>
      <c r="EQ13">
        <v>150.599999999</v>
      </c>
      <c r="ER13">
        <v>158.7999999992</v>
      </c>
      <c r="ES13">
        <v>166.49999999939999</v>
      </c>
      <c r="ET13">
        <v>174.39999999989999</v>
      </c>
      <c r="EU13">
        <v>182.39999999969999</v>
      </c>
      <c r="EV13">
        <v>190.49999999880001</v>
      </c>
      <c r="EW13">
        <v>197.89999999919999</v>
      </c>
      <c r="EX13">
        <v>206.19999999870001</v>
      </c>
      <c r="EY13">
        <v>214.5</v>
      </c>
      <c r="EZ13">
        <v>222.49999999990001</v>
      </c>
      <c r="FA13">
        <v>230.39999999860001</v>
      </c>
      <c r="FB13">
        <v>237.79999999899999</v>
      </c>
      <c r="FC13">
        <v>245.2999999987</v>
      </c>
      <c r="FD13">
        <v>252.79999999840001</v>
      </c>
      <c r="FE13">
        <v>260.8</v>
      </c>
      <c r="FF13">
        <v>268.59999999939998</v>
      </c>
      <c r="FG13">
        <v>276.29999999950002</v>
      </c>
      <c r="FH13">
        <v>283.7999999992</v>
      </c>
      <c r="FI13">
        <v>290.89999999999998</v>
      </c>
      <c r="FJ13">
        <v>297.89999999960003</v>
      </c>
      <c r="FK13">
        <v>304.69999999880002</v>
      </c>
      <c r="FL13">
        <v>312.2999999996</v>
      </c>
      <c r="FM13">
        <v>319.49999999959999</v>
      </c>
      <c r="FN13">
        <v>326.29999999879999</v>
      </c>
      <c r="FO13">
        <v>333.19999999909999</v>
      </c>
      <c r="FP13">
        <v>339.89999999899999</v>
      </c>
      <c r="FQ13">
        <v>346.49999999969998</v>
      </c>
      <c r="FR13">
        <v>352.4999999991</v>
      </c>
      <c r="FS13">
        <v>359.0999999997</v>
      </c>
      <c r="FT13">
        <v>365.8999999989</v>
      </c>
      <c r="FU13">
        <v>371.89999999830002</v>
      </c>
      <c r="FV13">
        <v>378.19999999919997</v>
      </c>
      <c r="FW13">
        <v>383.8999999989</v>
      </c>
      <c r="FX13">
        <v>390.19999999980001</v>
      </c>
      <c r="FY13">
        <v>395.69999999909999</v>
      </c>
      <c r="FZ13">
        <v>401.09999999910002</v>
      </c>
      <c r="GA13">
        <v>406.69999999949999</v>
      </c>
      <c r="GB13">
        <v>412.49999999850002</v>
      </c>
      <c r="GC13">
        <v>417.99999999969998</v>
      </c>
      <c r="GD13">
        <v>423.1</v>
      </c>
      <c r="GE13">
        <v>428.5</v>
      </c>
      <c r="GF13">
        <v>433.39999999989999</v>
      </c>
      <c r="GG13">
        <v>438.09999999939998</v>
      </c>
      <c r="GH13">
        <v>442.39999999989999</v>
      </c>
      <c r="GI13">
        <v>446.79999999969999</v>
      </c>
      <c r="GJ13">
        <v>449.09999999979999</v>
      </c>
      <c r="GK13">
        <v>449.09999999979999</v>
      </c>
      <c r="GL13">
        <v>449.09999999979999</v>
      </c>
      <c r="GM13">
        <v>449.09999999979999</v>
      </c>
      <c r="GN13">
        <v>448.99999999869999</v>
      </c>
      <c r="GO13">
        <v>449.19999999909999</v>
      </c>
      <c r="GP13">
        <v>448.99999999869999</v>
      </c>
      <c r="GQ13">
        <v>449.09999999979999</v>
      </c>
      <c r="GR13">
        <v>448.99999999869999</v>
      </c>
      <c r="GS13">
        <v>449.19999999909999</v>
      </c>
      <c r="GT13">
        <v>449.09999999979999</v>
      </c>
      <c r="GU13">
        <v>449.19999999909999</v>
      </c>
      <c r="GV13">
        <v>449.09999999979999</v>
      </c>
      <c r="GW13">
        <v>1</v>
      </c>
      <c r="GX13">
        <v>115.1000000009</v>
      </c>
      <c r="GY13">
        <v>112.29999999890001</v>
      </c>
      <c r="GZ13">
        <v>112.29999999890001</v>
      </c>
      <c r="HA13">
        <v>118.8999999995</v>
      </c>
      <c r="HB13">
        <v>113.998297161</v>
      </c>
      <c r="HC13">
        <v>-6.6000000005999997</v>
      </c>
      <c r="HD13">
        <v>449.1000222591</v>
      </c>
      <c r="HE13">
        <v>291.87276572119998</v>
      </c>
      <c r="HF13">
        <v>95.861012799199997</v>
      </c>
      <c r="HG13">
        <v>449.29999999839998</v>
      </c>
      <c r="HH13">
        <v>449.19999999909999</v>
      </c>
      <c r="HI13">
        <v>449.29999999839998</v>
      </c>
      <c r="HJ13">
        <v>449.19999999909999</v>
      </c>
      <c r="HK13">
        <v>114.9560117302</v>
      </c>
      <c r="HL13">
        <v>3.2199591818000002</v>
      </c>
      <c r="HM13">
        <v>3.1323970394999998</v>
      </c>
      <c r="HN13">
        <v>3.1944244577999998</v>
      </c>
      <c r="HO13">
        <v>2.9690293243000001</v>
      </c>
      <c r="HP13">
        <v>3.3616562423</v>
      </c>
      <c r="HQ13">
        <v>2.2560642420999999</v>
      </c>
      <c r="HR13">
        <v>18.137284361700001</v>
      </c>
      <c r="HS13">
        <v>-30.4985337243</v>
      </c>
      <c r="HT13">
        <v>-208</v>
      </c>
      <c r="HU13">
        <v>405.87106288220002</v>
      </c>
      <c r="HV13">
        <v>93.841642228699996</v>
      </c>
      <c r="HW13">
        <v>640</v>
      </c>
      <c r="HX13">
        <v>18.137284361700001</v>
      </c>
      <c r="HY13">
        <v>-30.4985337243</v>
      </c>
      <c r="HZ13">
        <v>-208</v>
      </c>
      <c r="IA13">
        <v>405.87106288220002</v>
      </c>
      <c r="IB13">
        <v>93.841642228699996</v>
      </c>
      <c r="IC13">
        <v>640</v>
      </c>
      <c r="ID13">
        <v>43.328937116900001</v>
      </c>
      <c r="IE13">
        <v>1.6177295488000001</v>
      </c>
      <c r="IF13">
        <v>-39.8826979472</v>
      </c>
      <c r="IG13">
        <v>-272</v>
      </c>
      <c r="IH13">
        <v>428.08468558700002</v>
      </c>
      <c r="II13">
        <v>103.22580645159999</v>
      </c>
      <c r="IJ13">
        <v>704</v>
      </c>
      <c r="IK13">
        <v>387.73377852039999</v>
      </c>
      <c r="IL13">
        <v>124.3401759531</v>
      </c>
      <c r="IM13">
        <v>410.25702838069998</v>
      </c>
      <c r="IN13">
        <v>133.724340176</v>
      </c>
      <c r="IO13">
        <v>7.7000000001000002</v>
      </c>
      <c r="IP13">
        <v>5.7999999989999997</v>
      </c>
      <c r="IQ13">
        <v>8.4000000006000004</v>
      </c>
      <c r="IR13">
        <v>4.7553145292999996</v>
      </c>
      <c r="IS13">
        <v>4.7553145292999996</v>
      </c>
      <c r="IT13">
        <v>6.4999999995</v>
      </c>
      <c r="IU13">
        <v>-32.844574780099997</v>
      </c>
      <c r="IV13">
        <v>9.3999999990000003</v>
      </c>
      <c r="IW13">
        <v>77.419354838700002</v>
      </c>
      <c r="IX13">
        <v>7.8000000011999999</v>
      </c>
      <c r="IY13">
        <v>100.87976539589999</v>
      </c>
      <c r="IZ13">
        <v>-36.501723681199998</v>
      </c>
      <c r="JA13">
        <v>0.35324449089999999</v>
      </c>
      <c r="JB13">
        <v>-3.6933469999999999E-4</v>
      </c>
      <c r="JC13">
        <v>7.1230000000000005E-7</v>
      </c>
      <c r="JD13">
        <v>0.31056294309999999</v>
      </c>
      <c r="JE13">
        <v>0.31237112709999998</v>
      </c>
      <c r="JF13">
        <v>0.117778016</v>
      </c>
      <c r="JG13">
        <v>114.30737905860001</v>
      </c>
      <c r="JH13">
        <v>3.3616562423</v>
      </c>
      <c r="JI13">
        <v>3.4130778999999999E-3</v>
      </c>
      <c r="JJ13">
        <v>-6.6095799999999998E-5</v>
      </c>
      <c r="JK13">
        <v>3.2199591818000002</v>
      </c>
      <c r="JL13">
        <v>1.3057396488999999</v>
      </c>
      <c r="JM13">
        <v>0.47288350810000002</v>
      </c>
      <c r="JN13" t="s">
        <v>523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76.760950986799998</v>
      </c>
      <c r="D16" s="9">
        <f>AVERAGE(C18:C20)</f>
        <v>83.815694767966662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85.284078539800007</v>
      </c>
      <c r="D17" s="9">
        <f>AVERAGE(C21:C23)</f>
        <v>84.937995745233337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82.147660391499997</v>
      </c>
      <c r="D18" s="11">
        <f>AVERAGE(C24:C26)</f>
        <v>86.869803282399985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83.135284385700004</v>
      </c>
      <c r="D19" s="6">
        <f>AVERAGE('Summary(3pcs)'!E34:E35)</f>
        <v>139.4119652678379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86.164139526699998</v>
      </c>
      <c r="D20" s="9">
        <f>AVERAGE('Summary(3pcs)'!E36:E38)</f>
        <v>136.62847194063792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87.159127525599999</v>
      </c>
      <c r="D21" s="9">
        <f>AVERAGE('Summary(3pcs)'!E39:E41)</f>
        <v>129.36840589520457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77.172147590999998</v>
      </c>
      <c r="D22" s="11">
        <f>AVERAGE('Summary(3pcs)'!E42:E44)</f>
        <v>137.26073189207122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90.4827121191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90.613936628499999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82.205741844299993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87.789731374400006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3.8110379762000002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6.1713540460000003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0.42882829989999999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-2.7762555613000002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2.0010930317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-7.1767711523999997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-6.4674079906999999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-1.7759311786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1.9087411902</v>
      </c>
      <c r="C39" s="5">
        <f>'Summary(3pcs)'!M34</f>
        <v>3.8110379762000002</v>
      </c>
      <c r="D39" s="11">
        <f t="shared" si="0"/>
        <v>-2.7235661812999998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6.1713540460000003</v>
      </c>
      <c r="D40" s="6">
        <f t="shared" si="0"/>
        <v>0.3272408249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0.42882829989999999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-2.7762555613000002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-3.3547543224999998</v>
      </c>
      <c r="C43" s="8">
        <f>'Summary(3pcs)'!M39</f>
        <v>2.0010930317</v>
      </c>
      <c r="D43" s="6">
        <f t="shared" ref="D43:D54" si="2">C55</f>
        <v>10.6746928142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-7.1767711523999997</v>
      </c>
      <c r="D44" s="9">
        <f t="shared" si="2"/>
        <v>7.0190843957000002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-6.4674079906999999</v>
      </c>
      <c r="D45" s="11">
        <f t="shared" si="2"/>
        <v>9.3815002201999995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-1.7759311786</v>
      </c>
      <c r="D46" s="6">
        <f t="shared" si="2"/>
        <v>9.2991508122999988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-2.7235661812999998</v>
      </c>
      <c r="D47" s="9">
        <f t="shared" si="2"/>
        <v>8.5810727922999988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0.3272408249</v>
      </c>
      <c r="D48" s="11">
        <f t="shared" si="2"/>
        <v>1.0549242151999998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-8.4413848199999642E-2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-4.2351261426000004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-1.6897958940000004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-7.5586488644000003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9.0936070606000001</v>
      </c>
      <c r="C55" s="5">
        <f>'Summary(3pcs)'!N34</f>
        <v>10.6746928142</v>
      </c>
      <c r="D55" s="6">
        <f>AVERAGE(D31:D33)</f>
        <v>3.4704067740333335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7.0190843957000002</v>
      </c>
      <c r="D56" s="9">
        <f>AVERAGE(D34:D36)</f>
        <v>-2.6506445606666666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9.3815002201999995</v>
      </c>
      <c r="D57" s="9">
        <f>AVERAGE(D37:D39)</f>
        <v>-3.6556351168666672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9.2991508122999988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1.3291142541749994</v>
      </c>
      <c r="C59" s="8">
        <f>'Summary(3pcs)'!N39</f>
        <v>8.5810727922999988</v>
      </c>
      <c r="D59" s="9">
        <f>AVERAGE(D43:D45)</f>
        <v>9.0250924766999994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1.0549242151999998</v>
      </c>
      <c r="D60" s="9">
        <f>AVERAGE(D46:D48)</f>
        <v>6.3117159399333325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-8.4413848199999642E-2</v>
      </c>
      <c r="D61" s="9">
        <f>AVERAGE(D49:D51)</f>
        <v>-2.0031119616000002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-4.2351261426000004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-1.6897958940000004</v>
      </c>
      <c r="D63" s="6">
        <f>AVERAGE(C71:C73)</f>
        <v>-6.2158303260666665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-7.5586488644000003</v>
      </c>
      <c r="D64" s="9">
        <f>AVERAGE(C74:C76)</f>
        <v>-2.5365244945000001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-9.467094659799999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-0.30713168780000011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3.4285513957333342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-1.2681817213333333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-1.140654265866667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-5.8519272804333333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-9.8818869591000009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-7.1867547035000001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-1.5788493156000003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-4.5263282061000005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-9.3402862499999628E-2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-2.9898424149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-10.375061988799999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-9.1852018832999995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-8.8410201073000003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4.4858589171999999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-0.82348251340000012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-4.5837714672000001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-1.1142576932999999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8.5755271912000008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2.8243846893000004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2.099624157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-4.1052238940999999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-1.7989454269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-3.5539224744000002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-2.4530370234999999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2.5849967002999996</v>
      </c>
    </row>
    <row r="96" spans="1:7">
      <c r="A96" s="1" t="s">
        <v>87</v>
      </c>
      <c r="C96" s="5">
        <f>'Summary(3pcs)'!W43</f>
        <v>-3.9353893995</v>
      </c>
    </row>
    <row r="97" spans="1:3">
      <c r="A97" s="1" t="s">
        <v>87</v>
      </c>
      <c r="C97" s="8">
        <f>'Summary(3pcs)'!W44</f>
        <v>-3.2899862527999999</v>
      </c>
    </row>
    <row r="98" spans="1:3" ht="17.25" thickBot="1">
      <c r="A98" s="1" t="s">
        <v>87</v>
      </c>
      <c r="C98" s="10">
        <f>'Summary(3pcs)'!W45</f>
        <v>-10.330406189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2022-09-23T10:32:01Z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